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02CB6B0F-9FAD-4678-B11B-54C031659249}" xr6:coauthVersionLast="47" xr6:coauthVersionMax="47" xr10:uidLastSave="{00000000-0000-0000-0000-000000000000}"/>
  <bookViews>
    <workbookView xWindow="-110" yWindow="-110" windowWidth="25820" windowHeight="15500" firstSheet="1" activeTab="5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<sst xmlns="http://schemas.openxmlformats.org/spreadsheetml/2006/main" count="4139" uniqueCount="926">
  <si>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</si>
  <si>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</si>
  <si>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</si>
  <si>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</si>
  <si>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</si>
  <si>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</si>
  <si>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</si>
  <si>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</si>
  <si>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</si>
  <si>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</si>
  <si>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</si>
  <si>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</si>
  <si>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</si>
  <si>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</si>
  <si>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</si>
  <si>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</si>
  <si>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</si>
  <si>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</si>
  <si>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</si>
  <si>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</si>
  <si>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</si>
  <si>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</si>
  <si>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</si>
  <si>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</si>
  <si>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</si>
  <si>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</si>
  <si>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</si>
  <si>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</si>
  <si>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</si>
  <si>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</si>
  <si>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</si>
  <si>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</si>
  <si>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</si>
  <si>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</si>
  <si>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</si>
  <si>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</si>
  <si>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</si>
  <si>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</si>
  <si>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</si>
  <si>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</si>
  <si>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</si>
  <si>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</si>
  <si>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</si>
  <si>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</si>
  <si>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</si>
  <si>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</si>
  <si>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</si>
  <si>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</si>
  <si>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</si>
  <si>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</si>
  <si>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</si>
  <si>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</si>
  <si>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</si>
  <si>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</si>
  <si>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</si>
  <si>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</si>
  <si>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</si>
  <si>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</si>
  <si>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</si>
  <si>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</si>
  <si>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</si>
  <si>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</si>
  <si>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</si>
  <si>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</si>
  <si>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</si>
  <si>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</si>
  <si>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</si>
  <si>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</si>
  <si>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</si>
  <si>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</si>
  <si>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</si>
  <si>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</si>
  <si>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</si>
  <si>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</si>
  <si>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</si>
  <si>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</si>
  <si>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</si>
  <si>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</si>
  <si>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</si>
  <si>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</si>
  <si>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</si>
  <si>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</si>
  <si>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</si>
  <si>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</si>
  <si>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</si>
  <si>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</si>
  <si>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</si>
  <si>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</si>
  <si>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</si>
  <si>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</si>
  <si>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</si>
  <si>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</si>
  <si>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</si>
  <si>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</si>
  <si>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</si>
  <si>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</si>
  <si>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</si>
  <si>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</si>
  <si>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</si>
  <si>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</si>
  <si>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</si>
  <si>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</si>
  <si>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</si>
  <si>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</si>
  <si>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</si>
  <si>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</si>
  <si>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</si>
  <si>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</si>
  <si>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</si>
  <si>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</si>
  <si>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</si>
  <si>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</si>
  <si>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</si>
  <si>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</si>
  <si>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</si>
  <si>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</si>
  <si>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</si>
  <si>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</si>
  <si>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</si>
  <si>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</si>
  <si>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</si>
  <si>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</si>
  <si>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</si>
  <si>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</si>
  <si>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</si>
  <si>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</si>
  <si>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</si>
  <si>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</si>
  <si>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</si>
  <si>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</si>
  <si>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</si>
  <si>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</si>
  <si>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</si>
  <si>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</si>
  <si>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</si>
  <si>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</si>
  <si>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</si>
  <si>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</si>
  <si>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</si>
  <si>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</si>
  <si>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</si>
  <si>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</si>
  <si>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</si>
  <si>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</si>
  <si>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</si>
  <si>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</si>
  <si>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</si>
  <si>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</si>
  <si>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</si>
  <si>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</si>
  <si>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</si>
  <si>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</si>
  <si>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</si>
  <si>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</si>
  <si>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</si>
  <si>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</si>
  <si>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</si>
  <si>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</si>
  <si>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</si>
  <si>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</si>
  <si>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</si>
  <si>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</si>
  <si>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</si>
  <si>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</si>
  <si>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</si>
  <si>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</si>
  <si>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</si>
  <si>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</si>
  <si>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</si>
  <si>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</si>
  <si>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</si>
  <si>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</si>
  <si>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</si>
  <si>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</si>
  <si>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</si>
  <si>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</si>
  <si>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</si>
  <si>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</si>
  <si>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</si>
  <si>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</si>
  <si>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</si>
  <si>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</si>
  <si>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</si>
  <si>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</si>
  <si>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</si>
  <si>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</si>
  <si>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</si>
  <si>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</si>
  <si>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</si>
  <si>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</si>
  <si>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</si>
  <si>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</si>
  <si>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</si>
  <si>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</si>
  <si>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</si>
  <si>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</si>
  <si>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</si>
  <si>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</si>
  <si>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</si>
  <si>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</si>
  <si>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</si>
  <si>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</si>
  <si>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</si>
  <si>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</si>
  <si>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</si>
  <si>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</si>
  <si>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</si>
  <si>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</si>
  <si>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</si>
  <si>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</si>
  <si>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</si>
  <si>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</si>
  <si>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</si>
  <si>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</si>
  <si>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</si>
  <si>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</si>
  <si>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</si>
  <si>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</si>
  <si>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</si>
  <si>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</si>
  <si>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</si>
  <si>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</si>
  <si>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</si>
  <si>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</si>
  <si>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</si>
  <si>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</si>
  <si>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</si>
  <si>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</si>
  <si>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</si>
  <si>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</si>
  <si>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</si>
  <si>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</si>
  <si>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</si>
  <si>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</si>
  <si>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</si>
  <si>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</si>
  <si>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</si>
  <si>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</si>
  <si>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</si>
  <si>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</si>
  <si>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</si>
  <si>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</si>
  <si>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</si>
  <si>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</si>
  <si>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</si>
  <si>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</si>
  <si>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</si>
  <si>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</si>
  <si>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</si>
  <si>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</si>
  <si>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</si>
  <si>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</si>
  <si>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</si>
  <si>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</si>
  <si>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</si>
  <si>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</si>
  <si>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</si>
  <si>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</si>
  <si>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</si>
  <si>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</si>
  <si>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</si>
  <si>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</si>
  <si>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</si>
  <si>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</si>
  <si>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</si>
  <si>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</si>
  <si>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</si>
  <si>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</si>
  <si>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</si>
  <si>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</si>
  <si>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</si>
  <si>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</si>
  <si>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</si>
  <si>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</si>
  <si>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</si>
  <si>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</si>
  <si>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</si>
  <si>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</si>
  <si>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</si>
  <si>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</si>
  <si>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</si>
  <si>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</si>
  <si>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</si>
  <si>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</si>
  <si>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</si>
  <si>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</si>
  <si>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</si>
  <si>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</si>
  <si>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</si>
  <si>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</si>
  <si>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</si>
  <si>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</si>
  <si>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</si>
  <si>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</si>
  <si>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</si>
  <si>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</si>
  <si>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</si>
  <si>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</si>
  <si>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</si>
  <si>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</si>
  <si>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</si>
  <si>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</si>
  <si>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</si>
  <si>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</si>
  <si>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</si>
  <si>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</si>
  <si>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</si>
  <si>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</si>
  <si>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</si>
  <si>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</si>
  <si>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</si>
  <si>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</si>
  <si>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</si>
  <si>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</si>
  <si>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</si>
  <si>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</si>
  <si>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</si>
  <si>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</si>
  <si>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</si>
  <si>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</si>
  <si>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</si>
  <si>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</si>
  <si>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</si>
  <si>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</si>
  <si>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</si>
  <si>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</si>
  <si>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</si>
  <si>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</si>
  <si>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</si>
  <si>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</si>
  <si>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</si>
  <si>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</si>
  <si>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</si>
  <si>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</si>
  <si>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</si>
  <si>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</si>
  <si>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</si>
  <si>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</si>
  <si>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</si>
  <si>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</si>
  <si>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</si>
  <si>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</si>
  <si>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</si>
  <si>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</si>
  <si>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</si>
  <si>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</si>
  <si>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</si>
  <si>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</si>
  <si>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</si>
  <si>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</si>
  <si>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</si>
  <si>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</si>
  <si>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</si>
  <si>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</si>
  <si>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</si>
  <si>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</si>
  <si>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</si>
  <si>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</si>
  <si>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</si>
  <si>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</si>
  <si>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</si>
  <si>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</si>
  <si>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</si>
  <si>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</si>
  <si>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</si>
  <si>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</si>
  <si>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</si>
  <si>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</si>
  <si>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</si>
  <si>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</si>
  <si>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</si>
  <si>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</si>
  <si>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</si>
  <si>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</si>
  <si>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</si>
  <si>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</si>
  <si>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</si>
  <si>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</si>
  <si>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</si>
  <si>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</si>
  <si>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</si>
  <si>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</si>
  <si>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</si>
  <si>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</si>
  <si>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</si>
  <si>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</si>
  <si>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</si>
  <si>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</si>
  <si>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</si>
  <si>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</si>
  <si>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</si>
  <si>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</si>
  <si>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</si>
  <si>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</si>
  <si>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</si>
  <si>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</si>
  <si>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</si>
  <si>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</si>
  <si>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</si>
  <si>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</si>
  <si>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</si>
  <si>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</si>
  <si>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</si>
  <si>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</si>
  <si>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</si>
  <si>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</si>
  <si>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</si>
  <si>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</si>
  <si>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</si>
  <si>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</si>
  <si>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</si>
  <si>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</si>
  <si>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</si>
  <si>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</si>
  <si>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</si>
  <si>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</si>
  <si>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</si>
  <si>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</si>
  <si>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</si>
  <si>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</si>
  <si>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</si>
  <si>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</si>
  <si>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</si>
  <si>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</si>
  <si>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</si>
  <si>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</si>
  <si>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</si>
  <si>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</si>
  <si>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</si>
  <si>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</si>
  <si>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</si>
  <si>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</si>
  <si>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</si>
  <si>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</si>
  <si>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</si>
  <si>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</si>
  <si>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</si>
  <si>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</si>
  <si>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</si>
  <si>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</si>
  <si>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</si>
  <si>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</si>
  <si>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</si>
  <si>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</si>
  <si>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</si>
  <si>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</si>
  <si>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</si>
  <si>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</si>
  <si>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</si>
  <si>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</si>
  <si>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</si>
  <si>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</si>
  <si>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</si>
  <si>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</si>
  <si>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</si>
  <si>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</si>
  <si>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</si>
  <si>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</si>
  <si>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</si>
  <si>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</si>
  <si>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</si>
  <si>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</si>
  <si>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</si>
  <si>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</si>
  <si>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</si>
  <si>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</si>
  <si>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</si>
  <si>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</si>
  <si>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</si>
  <si>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</si>
  <si>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</si>
  <si>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</si>
  <si>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</si>
  <si>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</si>
  <si>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</si>
  <si>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</si>
  <si>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</si>
  <si>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</si>
  <si>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</si>
  <si>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</si>
  <si>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</si>
  <si>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</si>
  <si>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</si>
  <si>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</si>
  <si>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</si>
  <si>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</si>
  <si>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</si>
  <si>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</si>
  <si>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</si>
  <si>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</si>
  <si>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</si>
  <si>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</si>
  <si>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</si>
  <si>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</si>
  <si>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</si>
  <si>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</si>
  <si>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</si>
  <si>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</si>
  <si>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</si>
  <si>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</si>
  <si>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</si>
  <si>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</si>
  <si>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</si>
  <si>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</si>
  <si>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</si>
  <si>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</si>
  <si>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</si>
  <si>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</si>
  <si>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</si>
  <si>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</si>
  <si>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</si>
  <si>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</si>
  <si>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</si>
  <si>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</si>
  <si>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</si>
  <si>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</si>
  <si>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</si>
  <si>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</si>
  <si>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</si>
  <si>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</si>
  <si>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</si>
  <si>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</si>
  <si>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</si>
  <si>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</si>
  <si>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</si>
  <si>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</si>
  <si>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</si>
  <si>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</si>
  <si>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</si>
  <si>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</si>
  <si>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</si>
  <si>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</si>
  <si>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</si>
  <si>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</si>
  <si>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</si>
  <si>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</si>
  <si>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</si>
  <si>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</si>
  <si>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</si>
  <si>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</si>
  <si>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</si>
  <si>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</si>
  <si>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</si>
  <si>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</si>
  <si>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</si>
  <si>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</si>
  <si>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</si>
  <si>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</si>
  <si>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</si>
  <si>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</si>
  <si>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</si>
  <si>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</si>
  <si>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</si>
  <si>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</si>
  <si>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</si>
  <si>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</si>
  <si>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</si>
  <si>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</si>
  <si>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</si>
  <si>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</si>
  <si>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</si>
  <si>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</si>
  <si>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</si>
  <si>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</si>
  <si>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</si>
  <si>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</si>
  <si>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</si>
  <si>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</si>
  <si>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</si>
  <si>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</si>
  <si>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</si>
  <si>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</si>
  <si>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</si>
  <si>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</si>
  <si>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</si>
  <si>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</si>
  <si>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</si>
  <si>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</si>
  <si>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</si>
  <si>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</si>
  <si>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</si>
  <si>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</si>
  <si>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</si>
  <si>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</si>
  <si>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</si>
  <si>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</si>
  <si>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</si>
  <si>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</si>
  <si>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</si>
  <si>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</si>
  <si>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</si>
  <si>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</si>
  <si>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</si>
  <si>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</si>
  <si>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</si>
  <si>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</si>
  <si>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</si>
  <si>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</si>
  <si>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</si>
  <si>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</si>
  <si>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</si>
  <si>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</si>
  <si>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</si>
  <si>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</si>
  <si>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</si>
  <si>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</si>
  <si>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</si>
  <si>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</si>
  <si>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</si>
  <si>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</si>
  <si>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</si>
  <si>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</si>
  <si>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</si>
  <si>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</si>
  <si>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</si>
  <si>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</si>
  <si>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</si>
  <si>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</si>
  <si>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</si>
  <si>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</si>
  <si>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</si>
  <si>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</si>
  <si>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</si>
  <si>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</si>
  <si>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</si>
  <si>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</si>
  <si>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</si>
  <si>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</si>
  <si>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</si>
  <si>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</si>
  <si>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</si>
  <si>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</si>
  <si>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</si>
  <si>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</si>
  <si>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</si>
  <si>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</si>
  <si>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</si>
  <si>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</si>
  <si>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</si>
  <si>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</si>
  <si>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</si>
  <si>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</si>
  <si>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</si>
  <si>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</si>
  <si>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</si>
  <si>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</si>
  <si>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</si>
  <si>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</si>
  <si>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</si>
  <si>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</si>
  <si>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</si>
  <si>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</si>
  <si>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</si>
  <si>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</si>
  <si>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</si>
  <si>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</si>
  <si>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</si>
  <si>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</si>
  <si>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</si>
  <si>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</si>
  <si>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</si>
  <si>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</si>
  <si>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</si>
  <si>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</si>
  <si>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</si>
  <si>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</si>
  <si>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</si>
  <si>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</si>
  <si>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</si>
  <si>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</si>
  <si>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</si>
  <si>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</si>
  <si>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</si>
  <si>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</si>
  <si>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</si>
  <si>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</si>
  <si>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</si>
  <si>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</si>
  <si>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</si>
  <si>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</si>
  <si>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</si>
  <si>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</si>
  <si>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</si>
  <si>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</si>
  <si>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</si>
  <si>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</si>
  <si>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</si>
  <si>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</si>
  <si>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</si>
  <si>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</si>
  <si>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</si>
  <si>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</si>
  <si>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</si>
  <si>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</si>
  <si>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</si>
  <si>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</si>
  <si>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</si>
  <si>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</si>
  <si>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</si>
  <si>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</si>
  <si>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</si>
  <si>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</si>
  <si>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</si>
  <si>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</si>
  <si>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</si>
  <si>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</si>
  <si>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</si>
  <si>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</si>
  <si>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</si>
  <si>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</si>
  <si>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</si>
  <si>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</si>
  <si>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</si>
  <si>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</si>
  <si>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</si>
  <si>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</si>
  <si>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</si>
  <si>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</si>
  <si>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</si>
  <si>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</si>
  <si>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</si>
  <si>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</si>
  <si>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</si>
  <si>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</si>
  <si>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</si>
  <si>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</si>
  <si>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</si>
  <si>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</si>
  <si>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</si>
  <si>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</si>
  <si>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</si>
  <si>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</si>
  <si>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</si>
  <si>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</si>
  <si>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</si>
  <si>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</si>
  <si>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</si>
  <si>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</si>
  <si>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</si>
  <si>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</si>
  <si>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</si>
  <si>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</si>
  <si>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</si>
  <si>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</si>
  <si>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</si>
  <si>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</si>
  <si>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</si>
  <si>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</si>
  <si>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</si>
  <si>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</si>
  <si>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</si>
  <si>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</si>
  <si>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</si>
  <si>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</si>
  <si>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</si>
  <si>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</si>
  <si>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</si>
  <si>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</si>
  <si>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</si>
  <si>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</si>
  <si>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</si>
  <si>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</si>
  <si>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</si>
  <si>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</si>
  <si>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</si>
  <si>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</si>
  <si>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</si>
  <si>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</si>
  <si>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</si>
  <si>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</si>
  <si>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</si>
  <si>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</si>
  <si>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</si>
  <si>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</si>
  <si>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</si>
  <si>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</si>
  <si>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</si>
  <si>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</si>
  <si>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</si>
  <si>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</si>
  <si>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</si>
  <si>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</si>
  <si>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</si>
  <si>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</si>
  <si>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</si>
  <si>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</si>
  <si>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</si>
  <si>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</si>
  <si>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</si>
  <si>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</si>
  <si>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</si>
  <si>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</si>
  <si>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</si>
  <si>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</si>
  <si>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</si>
  <si>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</si>
  <si>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</si>
  <si>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</si>
  <si>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</si>
  <si>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</si>
  <si>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</si>
  <si>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</si>
  <si>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</si>
  <si>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</si>
  <si>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</si>
  <si>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</si>
  <si>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</si>
  <si>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</si>
  <si>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</si>
  <si>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</si>
  <si>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</si>
  <si>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</si>
  <si>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</si>
  <si>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</si>
  <si>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</si>
  <si>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</si>
  <si>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</si>
  <si>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</si>
  <si>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</si>
  <si>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</si>
  <si>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</si>
  <si>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</si>
  <si>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</si>
  <si>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</si>
  <si>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</si>
  <si>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</si>
  <si>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</si>
  <si>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</si>
  <si>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</si>
  <si>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</si>
  <si>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</si>
  <si>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</si>
  <si>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</si>
  <si>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</si>
  <si>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</si>
  <si>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</si>
  <si>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</si>
  <si>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</si>
  <si>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</si>
  <si>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</si>
  <si>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</si>
  <si>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</si>
  <si>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</si>
  <si>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</si>
  <si>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</si>
  <si>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</si>
  <si>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</si>
  <si>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</si>
  <si>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</si>
  <si>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</si>
  <si>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</si>
  <si>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</si>
  <si>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</si>
  <si>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</si>
  <si>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</si>
  <si>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</si>
  <si>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</si>
  <si>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</si>
  <si>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</si>
  <si>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</si>
  <si>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</si>
  <si>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</si>
  <si>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</si>
  <si>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</si>
  <si>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</si>
  <si>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</si>
  <si>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</si>
  <si>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</si>
  <si>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</si>
  <si>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</si>
  <si>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</si>
  <si>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</si>
  <si>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</si>
  <si>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</si>
  <si>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</si>
  <si>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</si>
  <si>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</si>
  <si>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</si>
  <si>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</si>
  <si>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</si>
  <si>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</si>
  <si>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</si>
  <si>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</si>
  <si>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</si>
  <si>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</si>
  <si>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</si>
  <si>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</si>
  <si>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</si>
  <si>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</si>
  <si>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</si>
  <si>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</si>
  <si>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</si>
  <si>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</si>
  <si>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</si>
  <si>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</si>
  <si>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</si>
  <si>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</si>
  <si>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</si>
  <si>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</si>
  <si>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</si>
  <si>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</si>
  <si>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</si>
  <si>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</si>
  <si>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</si>
  <si>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</si>
  <si>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</si>
  <si>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</si>
  <si>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</si>
  <si>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</si>
  <si>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</si>
  <si>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</si>
  <si>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</si>
  <si>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</si>
  <si>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</si>
  <si>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</si>
  <si>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</si>
  <si>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</si>
  <si>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</si>
  <si>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</si>
  <si>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</si>
  <si>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</si>
  <si>
    <t>Januari</t>
  </si>
  <si>
    <t>Februari</t>
  </si>
  <si>
    <t>Maret</t>
  </si>
  <si>
    <t>April</t>
  </si>
  <si>
    <t>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</si>
</sst>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4" fillId="5" borderId="3" xfId="0" applyNumberFormat="1" applyFont="1" applyFill="1" applyBorder="1" applyAlignment="1">
      <alignment horizontal="center" vertical="center" wrapText="1"/>
    </xf>
    <xf numFmtId="0" fontId="5" fillId="7" borderId="6" xfId="0" applyNumberFormat="1" applyFont="1" applyFill="1" applyBorder="1" applyAlignment="1">
      <alignment vertical="center" wrapText="1"/>
    </xf>
    <xf numFmtId="0" fontId="5" fillId="7" borderId="0" xfId="0" applyNumberFormat="1" applyFont="1" applyFill="1" applyAlignment="1">
      <alignment vertical="center" wrapText="1"/>
    </xf>
    <xf numFmtId="0" fontId="5" fillId="7" borderId="11" xfId="0" applyNumberFormat="1" applyFont="1" applyFill="1" applyBorder="1" applyAlignment="1">
      <alignment vertical="center" wrapText="1"/>
    </xf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3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2"/>
    <tableColumn id="23" xr3:uid="{00000000-0010-0000-0000-000017000000}" name="LONGITUDE"/>
    <tableColumn id="24" xr3:uid="{00000000-0010-0000-0000-000018000000}" name="TAHUN_DATA*" dataDxfId="1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 dataDxfId="0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115" zoomScaleNormal="115" workbookViewId="0">
      <pane xSplit="2" ySplit="5" topLeftCell="Q6" activePane="bottomRight" state="frozen"/>
      <selection pane="topRight" activeCell="C1" sqref="C1"/>
      <selection pane="bottomLeft" activeCell="A6" sqref="A6"/>
      <selection pane="bottomRight" activeCell="S19" sqref="S19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0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1"/>
      <c r="AA1" s="71"/>
      <c r="AB1" s="71"/>
      <c r="AC1" s="71"/>
      <c r="AD1" s="71"/>
    </row>
    <row r="2" spans="1:30" ht="17.399999999999999" customHeight="1">
      <c r="A2" s="72" t="s">
        <v>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1"/>
      <c r="AA2" s="71"/>
      <c r="AB2" s="71"/>
      <c r="AC2" s="71"/>
      <c r="AD2" s="71"/>
    </row>
    <row r="3" spans="1:30" ht="25.4" customHeight="1">
      <c r="A3" s="73" t="s">
        <v>2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4"/>
      <c r="AA3" s="74"/>
      <c r="AB3" s="74"/>
      <c r="AC3" s="74"/>
      <c r="AD3" s="74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4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10">
        <v>-2.0962670999999999</v>
      </c>
      <c r="W6" s="10">
        <v>106.0769433</v>
      </c>
      <c r="X6" s="67">
        <v>2025</v>
      </c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6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11">
        <v>-2.1163816999999998</v>
      </c>
      <c r="W7" s="11">
        <v>106.06782029999999</v>
      </c>
      <c r="X7" s="68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6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11">
        <v>-2.1141640000000002</v>
      </c>
      <c r="W8" s="11">
        <v>106.065597</v>
      </c>
      <c r="X8" s="68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6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11">
        <v>-2.1202549999999998</v>
      </c>
      <c r="W9" s="11">
        <v>106.07257199999999</v>
      </c>
      <c r="X9" s="68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6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 t="s">
        <v>919</v>
      </c>
      <c r="S10" s="20"/>
      <c r="T10" s="11"/>
      <c r="U10" s="11"/>
      <c r="V10" s="11">
        <v>-2.094214</v>
      </c>
      <c r="W10" s="11">
        <v>106.0800655</v>
      </c>
      <c r="X10" s="68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6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11">
        <v>-2.1142946999999999</v>
      </c>
      <c r="W11" s="11">
        <v>106.0637443</v>
      </c>
      <c r="X11" s="68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6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 t="s">
        <v>919</v>
      </c>
      <c r="S12" s="20"/>
      <c r="T12" s="11"/>
      <c r="U12" s="11"/>
      <c r="V12" s="11">
        <v>-2.1036899</v>
      </c>
      <c r="W12" s="11">
        <v>106.0958978</v>
      </c>
      <c r="X12" s="68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6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8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6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11">
        <v>-2.0904376</v>
      </c>
      <c r="W14" s="11">
        <v>106.09290710000001</v>
      </c>
      <c r="X14" s="68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6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917</v>
      </c>
      <c r="R15" s="23" t="s">
        <v>919</v>
      </c>
      <c r="S15" s="20"/>
      <c r="T15" s="11" t="s">
        <v>913</v>
      </c>
      <c r="U15" s="11"/>
      <c r="V15" s="11">
        <v>-2.100133</v>
      </c>
      <c r="W15" s="11">
        <v>106.07501499999999</v>
      </c>
      <c r="X15" s="68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6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11">
        <v>-2.1091386999999999</v>
      </c>
      <c r="W16" s="11">
        <v>106.0656738</v>
      </c>
      <c r="X16" s="68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6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11">
        <v>-2.0843104000000001</v>
      </c>
      <c r="W17" s="11">
        <v>106.09608110000001</v>
      </c>
      <c r="X17" s="68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6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11">
        <v>-2.1291820000000001</v>
      </c>
      <c r="W18" s="11">
        <v>106.14707799999999</v>
      </c>
      <c r="X18" s="68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6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11">
        <v>-2.1291820000000001</v>
      </c>
      <c r="W19" s="11">
        <v>106.14707900000001</v>
      </c>
      <c r="X19" s="68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6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11">
        <v>-2.0851687000000001</v>
      </c>
      <c r="W20" s="11">
        <v>106.1168948</v>
      </c>
      <c r="X20" s="68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6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11">
        <v>-2.0851687000000001</v>
      </c>
      <c r="W21" s="11">
        <v>106.11689490000001</v>
      </c>
      <c r="X21" s="68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6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11">
        <v>-2.1510370000000001</v>
      </c>
      <c r="W22" s="11">
        <v>106.1741657</v>
      </c>
      <c r="X22" s="68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6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11">
        <v>-2.1510370000000001</v>
      </c>
      <c r="W23" s="11">
        <v>106.1741657</v>
      </c>
      <c r="X23" s="68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6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11">
        <v>-2.1040527</v>
      </c>
      <c r="W24" s="11">
        <v>106.13135629999999</v>
      </c>
      <c r="X24" s="68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6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11">
        <v>-2.1027433000000002</v>
      </c>
      <c r="W25" s="11">
        <v>106.0581504</v>
      </c>
      <c r="X25" s="68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6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11">
        <v>-2.1027433000000002</v>
      </c>
      <c r="W26" s="11">
        <v>106.0581504</v>
      </c>
      <c r="X26" s="68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6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 t="s">
        <v>920</v>
      </c>
      <c r="S27" s="20"/>
      <c r="T27" s="11"/>
      <c r="U27" s="11"/>
      <c r="V27" s="11">
        <v>-2.1046360000000002</v>
      </c>
      <c r="W27" s="11">
        <v>106.08262999999999</v>
      </c>
      <c r="X27" s="68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6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11">
        <v>-2.1201479999999999</v>
      </c>
      <c r="W28" s="11">
        <v>106.068039</v>
      </c>
      <c r="X28" s="68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6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11">
        <v>-2.0965927</v>
      </c>
      <c r="W29" s="11">
        <v>106.0855923</v>
      </c>
      <c r="X29" s="68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6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8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6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11"/>
      <c r="W31" s="11"/>
      <c r="X31" s="68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6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 t="s">
        <v>920</v>
      </c>
      <c r="S32" s="20"/>
      <c r="T32" s="11"/>
      <c r="U32" s="11"/>
      <c r="V32" s="11">
        <v>-2.1265749999999999</v>
      </c>
      <c r="W32" s="11">
        <v>106.16171900000001</v>
      </c>
      <c r="X32" s="68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6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 t="s">
        <v>920</v>
      </c>
      <c r="S33" s="20"/>
      <c r="T33" s="11"/>
      <c r="U33" s="11"/>
      <c r="V33" s="11">
        <v>-2.1265160000000001</v>
      </c>
      <c r="W33" s="11">
        <v>106.162347</v>
      </c>
      <c r="X33" s="68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6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 t="s">
        <v>920</v>
      </c>
      <c r="S34" s="20"/>
      <c r="T34" s="11"/>
      <c r="U34" s="11"/>
      <c r="V34" s="11">
        <v>-2.1265869999999998</v>
      </c>
      <c r="W34" s="11">
        <v>106.163877</v>
      </c>
      <c r="X34" s="68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6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11">
        <v>-2.1284293000000001</v>
      </c>
      <c r="W35" s="11">
        <v>106.1647957</v>
      </c>
      <c r="X35" s="68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6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11">
        <v>-2.0998827000000002</v>
      </c>
      <c r="W36" s="11">
        <v>106.07701280000001</v>
      </c>
      <c r="X36" s="68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6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11">
        <v>-2.1064750000000001</v>
      </c>
      <c r="W37" s="11">
        <v>106.09184</v>
      </c>
      <c r="X37" s="68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6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11">
        <v>-2.1070612</v>
      </c>
      <c r="W38" s="11">
        <v>106.0869773</v>
      </c>
      <c r="X38" s="68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11">
        <v>-2.105553</v>
      </c>
      <c r="W39" s="11">
        <v>106.078391</v>
      </c>
      <c r="X39" s="68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6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8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6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11">
        <v>-2.1149461000000001</v>
      </c>
      <c r="W41" s="11">
        <v>106.0729504</v>
      </c>
      <c r="X41" s="68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6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11">
        <v>-2.1140292999999999</v>
      </c>
      <c r="W42" s="11">
        <v>106.0734587</v>
      </c>
      <c r="X42" s="68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6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11">
        <v>-2.1030522999999999</v>
      </c>
      <c r="W43" s="11">
        <v>106.0597731</v>
      </c>
      <c r="X43" s="68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6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11">
        <v>-2.1030522999999999</v>
      </c>
      <c r="W44" s="11">
        <v>106.0597731</v>
      </c>
      <c r="X44" s="68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920</v>
      </c>
      <c r="S45" s="20"/>
      <c r="T45" s="11"/>
      <c r="U45" s="11"/>
      <c r="V45" s="11">
        <v>-2.0896949999999999</v>
      </c>
      <c r="W45" s="11">
        <v>106.10564100000001</v>
      </c>
      <c r="X45" s="68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6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11">
        <v>-2.084692</v>
      </c>
      <c r="W46" s="11">
        <v>106.09772599999999</v>
      </c>
      <c r="X46" s="68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6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11">
        <v>-2.1513855</v>
      </c>
      <c r="W47" s="11">
        <v>106.1672731</v>
      </c>
      <c r="X47" s="68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6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11">
        <v>-2.1406580000000002</v>
      </c>
      <c r="W48" s="11">
        <v>106.167591</v>
      </c>
      <c r="X48" s="68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6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11"/>
      <c r="W49" s="11"/>
      <c r="X49" s="68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6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11">
        <v>-2.1156009</v>
      </c>
      <c r="W50" s="11">
        <v>106.0769555</v>
      </c>
      <c r="X50" s="68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6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11">
        <v>-2.0902853000000001</v>
      </c>
      <c r="W51" s="11">
        <v>106.1002032</v>
      </c>
      <c r="X51" s="68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6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11">
        <v>-2.1102129999999999</v>
      </c>
      <c r="W52" s="11">
        <v>106.09541299999999</v>
      </c>
      <c r="X52" s="68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6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11">
        <v>-2.1096020000000002</v>
      </c>
      <c r="W53" s="11">
        <v>106.09485599999999</v>
      </c>
      <c r="X53" s="68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6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11">
        <v>-2.107672</v>
      </c>
      <c r="W54" s="11">
        <v>106.092901</v>
      </c>
      <c r="X54" s="68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6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11">
        <v>-2.1058629999999998</v>
      </c>
      <c r="W55" s="11">
        <v>106.089313</v>
      </c>
      <c r="X55" s="68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6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11">
        <v>-2.1422300000000001</v>
      </c>
      <c r="W56" s="11">
        <v>106.135379</v>
      </c>
      <c r="X56" s="68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6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11">
        <v>-2.1050179999999998</v>
      </c>
      <c r="W57" s="11">
        <v>106.089422</v>
      </c>
      <c r="X57" s="68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6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11">
        <v>-2.1097991</v>
      </c>
      <c r="W58" s="11">
        <v>106.0891817</v>
      </c>
      <c r="X58" s="68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6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11">
        <v>-2.11145</v>
      </c>
      <c r="W59" s="11">
        <v>106.088959</v>
      </c>
      <c r="X59" s="68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6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11">
        <v>-2.1020436</v>
      </c>
      <c r="W60" s="11">
        <v>106.04731630000001</v>
      </c>
      <c r="X60" s="68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6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11">
        <v>-2.1020436</v>
      </c>
      <c r="W61" s="11">
        <v>106.0473164</v>
      </c>
      <c r="X61" s="68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6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11"/>
      <c r="W62" s="11"/>
      <c r="X62" s="68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6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11">
        <v>-2.1043018</v>
      </c>
      <c r="W63" s="11">
        <v>106.0806498</v>
      </c>
      <c r="X63" s="68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6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11">
        <v>-2.0780973399999998</v>
      </c>
      <c r="W64" s="11">
        <v>106.1239751</v>
      </c>
      <c r="X64" s="68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6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11">
        <v>-2.0876017</v>
      </c>
      <c r="W65" s="11">
        <v>106.12235029999999</v>
      </c>
      <c r="X65" s="68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6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11">
        <v>-2.1467825</v>
      </c>
      <c r="W66" s="11">
        <v>106.16664129999999</v>
      </c>
      <c r="X66" s="68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6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11">
        <v>-2.107863</v>
      </c>
      <c r="W67" s="11">
        <v>106.084007</v>
      </c>
      <c r="X67" s="68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6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11">
        <v>-2.0983489999999998</v>
      </c>
      <c r="W68" s="11">
        <v>106.080001</v>
      </c>
      <c r="X68" s="68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6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11">
        <v>-2.0990563</v>
      </c>
      <c r="W69" s="11">
        <v>106.0800362</v>
      </c>
      <c r="X69" s="68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6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11">
        <v>-2.099672</v>
      </c>
      <c r="W70" s="11">
        <v>106.080805</v>
      </c>
      <c r="X70" s="68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6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11">
        <v>-2.1105010000000002</v>
      </c>
      <c r="W71" s="11">
        <v>106.088167</v>
      </c>
      <c r="X71" s="68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6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11">
        <v>-2.1059435</v>
      </c>
      <c r="W72" s="11">
        <v>106.0873139</v>
      </c>
      <c r="X72" s="68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6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11">
        <v>-2.1110685</v>
      </c>
      <c r="W73" s="11">
        <v>106.0932651</v>
      </c>
      <c r="X73" s="68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6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11">
        <v>-2.094849</v>
      </c>
      <c r="W74" s="11">
        <v>106.098916</v>
      </c>
      <c r="X74" s="68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6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11">
        <v>-2.1015929999999998</v>
      </c>
      <c r="W75" s="11">
        <v>106.096616</v>
      </c>
      <c r="X75" s="68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6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11">
        <v>-2.1018757099999998</v>
      </c>
      <c r="W76" s="11">
        <v>106.0948856</v>
      </c>
      <c r="X76" s="68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6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8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6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11">
        <v>-2.0908709999999999</v>
      </c>
      <c r="W78" s="11">
        <v>106.095277</v>
      </c>
      <c r="X78" s="68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6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11">
        <v>-2.091539</v>
      </c>
      <c r="W79" s="11">
        <v>106.094336</v>
      </c>
      <c r="X79" s="68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6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8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6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11">
        <v>-2.1064370000000001</v>
      </c>
      <c r="W81" s="11">
        <v>106.083372</v>
      </c>
      <c r="X81" s="68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6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8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6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 t="s">
        <v>918</v>
      </c>
      <c r="S83" s="20"/>
      <c r="T83" s="11"/>
      <c r="U83" s="11"/>
      <c r="V83" s="11">
        <v>-2.0963539999999998</v>
      </c>
      <c r="W83" s="11">
        <v>106.08517500000001</v>
      </c>
      <c r="X83" s="68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6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11">
        <v>-2.1202122999999999</v>
      </c>
      <c r="W84" s="11">
        <v>106.0750427</v>
      </c>
      <c r="X84" s="68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6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8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6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11">
        <v>-2.0918890000000001</v>
      </c>
      <c r="W86" s="11">
        <v>106.09471600000001</v>
      </c>
      <c r="X86" s="68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6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11"/>
      <c r="W87" s="11"/>
      <c r="X87" s="68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6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11">
        <v>-2.106166</v>
      </c>
      <c r="W88" s="11">
        <v>106.092079</v>
      </c>
      <c r="X88" s="68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6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11">
        <v>-2.1276793999999999</v>
      </c>
      <c r="W89" s="11">
        <v>106.1520824</v>
      </c>
      <c r="X89" s="68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6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8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11">
        <v>-2.1409722000000002</v>
      </c>
      <c r="W91" s="11">
        <v>106.1375556</v>
      </c>
      <c r="X91" s="68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 t="s">
        <v>919</v>
      </c>
      <c r="S92" s="20"/>
      <c r="T92" s="11"/>
      <c r="U92" s="11"/>
      <c r="V92" s="11">
        <v>-2.1399853000000002</v>
      </c>
      <c r="W92" s="11">
        <v>106.165569</v>
      </c>
      <c r="X92" s="68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6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 t="s">
        <v>919</v>
      </c>
      <c r="S93" s="20"/>
      <c r="T93" s="11" t="s">
        <v>913</v>
      </c>
      <c r="U93" s="11"/>
      <c r="V93" s="11">
        <v>-2.1399853000000002</v>
      </c>
      <c r="W93" s="11">
        <v>106.1655691</v>
      </c>
      <c r="X93" s="68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6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11">
        <v>-2.0881560000000001</v>
      </c>
      <c r="W94" s="11">
        <v>106.11421300000001</v>
      </c>
      <c r="X94" s="68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6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11">
        <v>-2.0873370000000002</v>
      </c>
      <c r="W95" s="11">
        <v>106.115123</v>
      </c>
      <c r="X95" s="68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6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8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11">
        <v>-2.1327805999999998</v>
      </c>
      <c r="W97" s="11">
        <v>106.1638396</v>
      </c>
      <c r="X97" s="68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6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11">
        <v>-2.099383</v>
      </c>
      <c r="W98" s="11">
        <v>106.0753648</v>
      </c>
      <c r="X98" s="68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6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11">
        <v>-2.0993406999999999</v>
      </c>
      <c r="W99" s="11">
        <v>106.07502890000001</v>
      </c>
      <c r="X99" s="68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11">
        <v>-2.1267033</v>
      </c>
      <c r="W100" s="11">
        <v>106.1668955</v>
      </c>
      <c r="X100" s="68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11">
        <v>-2.1267033</v>
      </c>
      <c r="W101" s="11">
        <v>106.1668955</v>
      </c>
      <c r="X101" s="68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8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8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8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 t="s">
        <v>920</v>
      </c>
      <c r="S105" s="20"/>
      <c r="T105" s="11"/>
      <c r="U105" s="11"/>
      <c r="V105" s="11">
        <v>-2.101267</v>
      </c>
      <c r="W105" s="11">
        <v>106.093493</v>
      </c>
      <c r="X105" s="68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6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11">
        <v>-2.1226183000000001</v>
      </c>
      <c r="W106" s="11">
        <v>106.1419678</v>
      </c>
      <c r="X106" s="68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8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8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11">
        <v>-2.113772</v>
      </c>
      <c r="W109" s="11">
        <v>106.083653</v>
      </c>
      <c r="X109" s="68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8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6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11">
        <v>-2.151332</v>
      </c>
      <c r="W111" s="11">
        <v>106.10645599999999</v>
      </c>
      <c r="X111" s="68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8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11">
        <v>-2.0956190000000001</v>
      </c>
      <c r="W113" s="11">
        <v>106.118709</v>
      </c>
      <c r="X113" s="68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6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11">
        <v>-2.0956190000000001</v>
      </c>
      <c r="W114" s="11">
        <v>106.118709</v>
      </c>
      <c r="X114" s="68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8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11">
        <v>-2.1119620000000001</v>
      </c>
      <c r="W116" s="11">
        <v>106.0839</v>
      </c>
      <c r="X116" s="68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8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11">
        <v>-2.1311974</v>
      </c>
      <c r="W118" s="11">
        <v>106.1576383</v>
      </c>
      <c r="X118" s="68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8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8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11">
        <v>-2.1169730000000002</v>
      </c>
      <c r="W121" s="11">
        <v>106.090628</v>
      </c>
      <c r="X121" s="68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11">
        <v>-2.1247167</v>
      </c>
      <c r="W122" s="11">
        <v>106.07904379999999</v>
      </c>
      <c r="X122" s="68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11">
        <v>-2.0988720000000001</v>
      </c>
      <c r="W123" s="11">
        <v>106.086156</v>
      </c>
      <c r="X123" s="68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11">
        <v>-2.1160036999999998</v>
      </c>
      <c r="W124" s="11">
        <v>106.0764578</v>
      </c>
      <c r="X124" s="68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6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11"/>
      <c r="W125" s="11"/>
      <c r="X125" s="68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8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8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 t="s">
        <v>920</v>
      </c>
      <c r="S128" s="20"/>
      <c r="T128" s="11"/>
      <c r="U128" s="11"/>
      <c r="V128" s="11">
        <v>-2.1169406</v>
      </c>
      <c r="W128" s="11">
        <v>106.0747703</v>
      </c>
      <c r="X128" s="68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6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8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8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11">
        <v>-2.1191513</v>
      </c>
      <c r="W131" s="11">
        <v>106.0727887</v>
      </c>
      <c r="X131" s="68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11"/>
      <c r="W132" s="11"/>
      <c r="X132" s="68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11">
        <v>-2.098071</v>
      </c>
      <c r="W133" s="11">
        <v>106.116671</v>
      </c>
      <c r="X133" s="68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11">
        <v>-2.101518</v>
      </c>
      <c r="W134" s="11">
        <v>106.11780299999999</v>
      </c>
      <c r="X134" s="68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6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11">
        <v>-2.0988720000000001</v>
      </c>
      <c r="W135" s="11">
        <v>106.0761523</v>
      </c>
      <c r="X135" s="68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6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11">
        <v>-2.0975619999999999</v>
      </c>
      <c r="W136" s="11">
        <v>106.07432350000001</v>
      </c>
      <c r="X136" s="68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11">
        <v>-2.097502</v>
      </c>
      <c r="W137" s="11">
        <v>106.092822</v>
      </c>
      <c r="X137" s="68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8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8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8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6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8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6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8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11"/>
      <c r="W143" s="11"/>
      <c r="X143" s="68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6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8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6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11">
        <v>-2.084654</v>
      </c>
      <c r="W145" s="11">
        <v>106.113918</v>
      </c>
      <c r="X145" s="68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6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8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6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11"/>
      <c r="W147" s="11"/>
      <c r="X147" s="68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6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8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6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11">
        <v>-2.1158537000000002</v>
      </c>
      <c r="W149" s="11">
        <v>106.0816123</v>
      </c>
      <c r="X149" s="68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8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8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8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6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8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11">
        <v>-2.130566</v>
      </c>
      <c r="W154" s="11">
        <v>106.16054800000001</v>
      </c>
      <c r="X154" s="68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11">
        <v>-2.1078779999999999</v>
      </c>
      <c r="W155" s="11">
        <v>106.06042100000001</v>
      </c>
      <c r="X155" s="68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11">
        <v>-2.1125147000000002</v>
      </c>
      <c r="W156" s="11">
        <v>106.07043590000001</v>
      </c>
      <c r="X156" s="68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11">
        <v>-2.1084619999999998</v>
      </c>
      <c r="W157" s="11">
        <v>106.062211</v>
      </c>
      <c r="X157" s="68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11">
        <v>-2.0945735000000001</v>
      </c>
      <c r="W158" s="11">
        <v>106.113224</v>
      </c>
      <c r="X158" s="68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11">
        <v>-2.1185654</v>
      </c>
      <c r="W159" s="11">
        <v>106.0760401</v>
      </c>
      <c r="X159" s="68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6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11"/>
      <c r="W160" s="11"/>
      <c r="X160" s="68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11">
        <v>-2.1512880999999999</v>
      </c>
      <c r="W161" s="11">
        <v>106.1042964</v>
      </c>
      <c r="X161" s="68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6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8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 t="s">
        <v>920</v>
      </c>
      <c r="S163" s="20"/>
      <c r="T163" s="11"/>
      <c r="U163" s="11"/>
      <c r="V163" s="11">
        <v>-2.0915680000000001</v>
      </c>
      <c r="W163" s="11">
        <v>106.118658</v>
      </c>
      <c r="X163" s="68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11">
        <v>-2.1000770000000002</v>
      </c>
      <c r="W164" s="11">
        <v>106.07646699999999</v>
      </c>
      <c r="X164" s="68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8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6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11">
        <v>-2.0903510000000001</v>
      </c>
      <c r="W166" s="11">
        <v>106.11813600000001</v>
      </c>
      <c r="X166" s="68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6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8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6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11">
        <v>-2.1573333319999999</v>
      </c>
      <c r="W168" s="11">
        <v>106.15588889999999</v>
      </c>
      <c r="X168" s="68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6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11">
        <v>-2.0841970000000001</v>
      </c>
      <c r="W169" s="11">
        <v>106.096322</v>
      </c>
      <c r="X169" s="68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11">
        <v>-2.1393496999999999</v>
      </c>
      <c r="W170" s="11">
        <v>106.1528338</v>
      </c>
      <c r="X170" s="68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11">
        <v>-2.0889690000000001</v>
      </c>
      <c r="W171" s="11">
        <v>106.116389</v>
      </c>
      <c r="X171" s="68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11">
        <v>-2.0892409999999999</v>
      </c>
      <c r="W172" s="11">
        <v>106.096075</v>
      </c>
      <c r="X172" s="68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11">
        <v>-2.090052</v>
      </c>
      <c r="W173" s="11">
        <v>106.094559</v>
      </c>
      <c r="X173" s="68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11">
        <v>-2.0964974999999999</v>
      </c>
      <c r="W174" s="11">
        <v>106.1040895</v>
      </c>
      <c r="X174" s="68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11">
        <v>-2.0814569999999999</v>
      </c>
      <c r="W175" s="11">
        <v>106.12316300000001</v>
      </c>
      <c r="X175" s="68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8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6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11">
        <v>-2.0900346999999999</v>
      </c>
      <c r="W177" s="11">
        <v>106.0923793</v>
      </c>
      <c r="X177" s="68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6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11">
        <v>-2.1382370000000002</v>
      </c>
      <c r="W178" s="11">
        <v>106.1508</v>
      </c>
      <c r="X178" s="68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11">
        <v>-2.099604555</v>
      </c>
      <c r="W179" s="11">
        <v>106.1074424</v>
      </c>
      <c r="X179" s="68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11">
        <v>-2.0878000000000001</v>
      </c>
      <c r="W180" s="11">
        <v>106.0942</v>
      </c>
      <c r="X180" s="68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11">
        <v>-2.101111</v>
      </c>
      <c r="W181" s="11">
        <v>106.0888344</v>
      </c>
      <c r="X181" s="68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11">
        <v>-2.0900110000000001</v>
      </c>
      <c r="W182" s="11">
        <v>106.10247200000001</v>
      </c>
      <c r="X182" s="68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6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8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6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8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11">
        <v>-2.1216097</v>
      </c>
      <c r="W185" s="11">
        <v>106.0862723</v>
      </c>
      <c r="X185" s="68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11">
        <v>-2.0946505000000002</v>
      </c>
      <c r="W186" s="11">
        <v>106.091736</v>
      </c>
      <c r="X186" s="68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6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8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6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11">
        <v>-2.0995051</v>
      </c>
      <c r="W188" s="11">
        <v>106.0848124</v>
      </c>
      <c r="X188" s="68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6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11">
        <v>-2.106506</v>
      </c>
      <c r="W189" s="11">
        <v>106.090225</v>
      </c>
      <c r="X189" s="68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11">
        <v>-2.1166117</v>
      </c>
      <c r="W190" s="11">
        <v>106.0875205</v>
      </c>
      <c r="X190" s="68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11">
        <v>-2.101629</v>
      </c>
      <c r="W191" s="11">
        <v>106.0795565</v>
      </c>
      <c r="X191" s="68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8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11">
        <v>-2.0896349999999999</v>
      </c>
      <c r="W193" s="11">
        <v>106.10897799999999</v>
      </c>
      <c r="X193" s="68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 t="s">
        <v>920</v>
      </c>
      <c r="S194" s="20" t="s">
        <v>916</v>
      </c>
      <c r="T194" s="11"/>
      <c r="U194" s="11"/>
      <c r="V194" s="11">
        <v>-2.1338387000000001</v>
      </c>
      <c r="W194" s="11">
        <v>106.15800900000001</v>
      </c>
      <c r="X194" s="68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 t="s">
        <v>920</v>
      </c>
      <c r="S195" s="20" t="s">
        <v>916</v>
      </c>
      <c r="T195" s="11"/>
      <c r="U195" s="11"/>
      <c r="V195" s="11"/>
      <c r="W195" s="11"/>
      <c r="X195" s="68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 t="s">
        <v>920</v>
      </c>
      <c r="S196" s="20" t="s">
        <v>916</v>
      </c>
      <c r="T196" s="11"/>
      <c r="U196" s="11"/>
      <c r="V196" s="11"/>
      <c r="W196" s="11"/>
      <c r="X196" s="68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 t="s">
        <v>920</v>
      </c>
      <c r="S197" s="20" t="s">
        <v>916</v>
      </c>
      <c r="T197" s="11"/>
      <c r="U197" s="11"/>
      <c r="V197" s="11">
        <v>-2.1338387000000001</v>
      </c>
      <c r="W197" s="11">
        <v>106.15800900000001</v>
      </c>
      <c r="X197" s="68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 t="s">
        <v>920</v>
      </c>
      <c r="S198" s="20" t="s">
        <v>916</v>
      </c>
      <c r="T198" s="11"/>
      <c r="U198" s="11"/>
      <c r="V198" s="11">
        <v>-2.1337893999999999</v>
      </c>
      <c r="W198" s="11">
        <v>106.1568065</v>
      </c>
      <c r="X198" s="68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8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11">
        <v>-2.0791229000000002</v>
      </c>
      <c r="W200" s="11">
        <v>106.12775739999999</v>
      </c>
      <c r="X200" s="68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8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6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8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8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11">
        <v>-2.1016789999999999</v>
      </c>
      <c r="W204" s="11">
        <v>106.092687</v>
      </c>
      <c r="X204" s="68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12">
        <v>-2.1004930000000002</v>
      </c>
      <c r="W205" s="12">
        <v>106.09254</v>
      </c>
      <c r="X205" s="69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2" customFormat="1" ht="12.5">
      <c r="A206" s="65">
        <v>201</v>
      </c>
      <c r="B206" s="61" t="s">
        <v>582</v>
      </c>
      <c r="C206" s="62" t="s">
        <v>93</v>
      </c>
      <c r="D206" s="61" t="s">
        <v>94</v>
      </c>
      <c r="E206" s="61" t="s">
        <v>95</v>
      </c>
      <c r="F206" s="62" t="s">
        <v>583</v>
      </c>
      <c r="G206" s="62" t="s">
        <v>332</v>
      </c>
      <c r="H206" s="62" t="s">
        <v>333</v>
      </c>
      <c r="I206" s="62" t="s">
        <v>101</v>
      </c>
      <c r="J206" s="62">
        <v>2022</v>
      </c>
      <c r="K206" s="62">
        <v>67</v>
      </c>
      <c r="L206" s="61">
        <v>67</v>
      </c>
      <c r="M206" s="62">
        <v>67</v>
      </c>
      <c r="N206" s="62" t="s">
        <v>100</v>
      </c>
      <c r="O206" s="62" t="s">
        <v>101</v>
      </c>
      <c r="Q206" s="23" t="s">
        <v>912</v>
      </c>
      <c r="S206" s="61"/>
      <c r="T206" s="11" t="s">
        <v>913</v>
      </c>
      <c r="U206" s="61"/>
      <c r="V206" s="61">
        <v>-2.0975090000000001</v>
      </c>
      <c r="W206" s="61">
        <v>106.089961</v>
      </c>
      <c r="X206" s="63"/>
      <c r="Y206" s="63"/>
      <c r="Z206" s="61"/>
      <c r="AA206" s="63"/>
      <c r="AB206" s="63"/>
      <c r="AC206" s="64">
        <f t="shared" ref="AC206:AC212" si="14">IF(A206="","",IFERROR(L206/K206,0))</f>
        <v>1</v>
      </c>
      <c r="AD206" s="64">
        <f t="shared" ref="AD206:AD212" si="15">IF(A206="","",IFERROR(M206/L206,0))</f>
        <v>1</v>
      </c>
    </row>
    <row r="207" spans="1:30" s="62" customFormat="1" ht="12.5">
      <c r="A207" s="66">
        <v>202</v>
      </c>
      <c r="B207" s="61" t="s">
        <v>584</v>
      </c>
      <c r="C207" s="62" t="s">
        <v>93</v>
      </c>
      <c r="D207" s="61" t="s">
        <v>116</v>
      </c>
      <c r="E207" s="61" t="s">
        <v>126</v>
      </c>
      <c r="F207" s="62" t="s">
        <v>118</v>
      </c>
      <c r="G207" s="62" t="s">
        <v>585</v>
      </c>
      <c r="H207" s="62" t="s">
        <v>586</v>
      </c>
      <c r="I207" s="62" t="s">
        <v>218</v>
      </c>
      <c r="J207" s="62">
        <v>2018</v>
      </c>
      <c r="K207" s="62">
        <v>42</v>
      </c>
      <c r="L207" s="61">
        <v>33</v>
      </c>
      <c r="M207" s="62">
        <v>33</v>
      </c>
      <c r="N207" s="62" t="s">
        <v>100</v>
      </c>
      <c r="O207" s="62" t="s">
        <v>101</v>
      </c>
      <c r="Q207" s="23" t="s">
        <v>912</v>
      </c>
      <c r="S207" s="61"/>
      <c r="T207" s="61"/>
      <c r="U207" s="61"/>
      <c r="V207" s="61">
        <v>-2.1016526</v>
      </c>
      <c r="W207" s="61">
        <v>106.08860610000001</v>
      </c>
      <c r="X207" s="63"/>
      <c r="Y207" s="63"/>
      <c r="Z207" s="61"/>
      <c r="AA207" s="63"/>
      <c r="AB207" s="63"/>
      <c r="AC207" s="64">
        <f t="shared" si="14"/>
        <v>0.7857142857142857</v>
      </c>
      <c r="AD207" s="64">
        <f t="shared" si="15"/>
        <v>1</v>
      </c>
    </row>
    <row r="208" spans="1:30" s="62" customFormat="1" ht="12.5">
      <c r="A208" s="66">
        <v>203</v>
      </c>
      <c r="B208" s="61" t="s">
        <v>587</v>
      </c>
      <c r="C208" s="62" t="s">
        <v>93</v>
      </c>
      <c r="D208" s="61" t="s">
        <v>135</v>
      </c>
      <c r="E208" s="61" t="s">
        <v>136</v>
      </c>
      <c r="F208" s="62" t="s">
        <v>588</v>
      </c>
      <c r="G208" s="62" t="s">
        <v>589</v>
      </c>
      <c r="H208" s="62" t="s">
        <v>590</v>
      </c>
      <c r="I208" s="62" t="s">
        <v>101</v>
      </c>
      <c r="J208" s="62">
        <v>2023</v>
      </c>
      <c r="K208" s="62">
        <v>43</v>
      </c>
      <c r="L208" s="61">
        <v>0</v>
      </c>
      <c r="M208" s="62">
        <v>0</v>
      </c>
      <c r="N208" s="62" t="s">
        <v>100</v>
      </c>
      <c r="O208" s="62" t="s">
        <v>101</v>
      </c>
      <c r="Q208" s="23" t="s">
        <v>912</v>
      </c>
      <c r="S208" s="61"/>
      <c r="T208" s="61"/>
      <c r="U208" s="61"/>
      <c r="V208" s="61">
        <v>-2.1427999999999998</v>
      </c>
      <c r="W208" s="61">
        <v>106.137094</v>
      </c>
      <c r="X208" s="63"/>
      <c r="Y208" s="63"/>
      <c r="Z208" s="61"/>
      <c r="AA208" s="63"/>
      <c r="AB208" s="63"/>
      <c r="AC208" s="64">
        <f t="shared" si="14"/>
        <v>0</v>
      </c>
      <c r="AD208" s="64">
        <f t="shared" si="15"/>
        <v>0</v>
      </c>
    </row>
    <row r="209" spans="1:30" s="62" customFormat="1" ht="12.5">
      <c r="A209" s="66">
        <v>204</v>
      </c>
      <c r="B209" s="61" t="s">
        <v>591</v>
      </c>
      <c r="C209" s="62" t="s">
        <v>93</v>
      </c>
      <c r="D209" s="61" t="s">
        <v>94</v>
      </c>
      <c r="E209" s="61" t="s">
        <v>103</v>
      </c>
      <c r="F209" s="62" t="s">
        <v>108</v>
      </c>
      <c r="G209" s="62" t="s">
        <v>592</v>
      </c>
      <c r="H209" s="62" t="s">
        <v>593</v>
      </c>
      <c r="I209" s="62" t="s">
        <v>165</v>
      </c>
      <c r="J209" s="62">
        <v>2017</v>
      </c>
      <c r="K209" s="62">
        <v>97</v>
      </c>
      <c r="L209" s="61">
        <v>97</v>
      </c>
      <c r="M209" s="62">
        <v>95</v>
      </c>
      <c r="N209" s="62" t="s">
        <v>105</v>
      </c>
      <c r="O209" s="62">
        <v>2021</v>
      </c>
      <c r="Q209" s="62" t="s">
        <v>914</v>
      </c>
      <c r="R209" s="62" t="s">
        <v>920</v>
      </c>
      <c r="S209" s="61"/>
      <c r="T209" s="61"/>
      <c r="U209" s="61"/>
      <c r="V209" s="61">
        <v>-2.1243370000000001</v>
      </c>
      <c r="W209" s="61">
        <v>106.07397899999999</v>
      </c>
      <c r="X209" s="63"/>
      <c r="Y209" s="63"/>
      <c r="Z209" s="61"/>
      <c r="AA209" s="63"/>
      <c r="AB209" s="63"/>
      <c r="AC209" s="64">
        <f t="shared" si="14"/>
        <v>1</v>
      </c>
      <c r="AD209" s="64">
        <f t="shared" si="15"/>
        <v>0.97938144329896903</v>
      </c>
    </row>
    <row r="210" spans="1:30" s="62" customFormat="1" ht="12.5">
      <c r="A210" s="66">
        <v>205</v>
      </c>
      <c r="B210" s="61" t="s">
        <v>594</v>
      </c>
      <c r="C210" s="62" t="s">
        <v>93</v>
      </c>
      <c r="D210" s="61" t="s">
        <v>94</v>
      </c>
      <c r="E210" s="61" t="s">
        <v>95</v>
      </c>
      <c r="F210" s="62" t="s">
        <v>157</v>
      </c>
      <c r="G210" s="62" t="s">
        <v>595</v>
      </c>
      <c r="H210" s="62" t="s">
        <v>593</v>
      </c>
      <c r="I210" s="62" t="s">
        <v>165</v>
      </c>
      <c r="J210" s="62">
        <v>2020</v>
      </c>
      <c r="K210" s="62">
        <v>81</v>
      </c>
      <c r="L210" s="61">
        <v>52</v>
      </c>
      <c r="M210" s="62">
        <v>52</v>
      </c>
      <c r="N210" s="62" t="s">
        <v>100</v>
      </c>
      <c r="O210" s="62" t="s">
        <v>101</v>
      </c>
      <c r="Q210" s="23" t="s">
        <v>912</v>
      </c>
      <c r="R210" s="23" t="s">
        <v>915</v>
      </c>
      <c r="S210" s="61"/>
      <c r="T210" s="61"/>
      <c r="U210" s="61"/>
      <c r="V210" s="61">
        <v>-2.103507</v>
      </c>
      <c r="W210" s="61">
        <v>106.05775800000001</v>
      </c>
      <c r="X210" s="63"/>
      <c r="Y210" s="63"/>
      <c r="Z210" s="61"/>
      <c r="AA210" s="63"/>
      <c r="AB210" s="63"/>
      <c r="AC210" s="64">
        <f t="shared" si="14"/>
        <v>0.64197530864197527</v>
      </c>
      <c r="AD210" s="64">
        <f t="shared" si="15"/>
        <v>1</v>
      </c>
    </row>
    <row r="211" spans="1:30" s="62" customFormat="1" ht="12.5">
      <c r="A211" s="66">
        <v>206</v>
      </c>
      <c r="B211" s="61" t="s">
        <v>596</v>
      </c>
      <c r="C211" s="62" t="s">
        <v>93</v>
      </c>
      <c r="D211" s="61" t="s">
        <v>116</v>
      </c>
      <c r="E211" s="61" t="s">
        <v>144</v>
      </c>
      <c r="F211" s="62" t="s">
        <v>206</v>
      </c>
      <c r="G211" s="62" t="s">
        <v>207</v>
      </c>
      <c r="H211" s="62" t="s">
        <v>208</v>
      </c>
      <c r="I211" s="62" t="s">
        <v>121</v>
      </c>
      <c r="J211" s="62">
        <v>2017</v>
      </c>
      <c r="K211" s="62">
        <v>111</v>
      </c>
      <c r="L211" s="61">
        <v>111</v>
      </c>
      <c r="M211" s="62">
        <v>111</v>
      </c>
      <c r="N211" s="62" t="s">
        <v>100</v>
      </c>
      <c r="O211" s="62" t="s">
        <v>101</v>
      </c>
      <c r="Q211" s="23" t="s">
        <v>912</v>
      </c>
      <c r="S211" s="61"/>
      <c r="T211" s="61"/>
      <c r="U211" s="61"/>
      <c r="V211" s="61">
        <v>-2.0895030000000001</v>
      </c>
      <c r="W211" s="61">
        <v>106.106718</v>
      </c>
      <c r="X211" s="63"/>
      <c r="Y211" s="63"/>
      <c r="Z211" s="61"/>
      <c r="AA211" s="63"/>
      <c r="AB211" s="63"/>
      <c r="AC211" s="64">
        <f t="shared" si="14"/>
        <v>1</v>
      </c>
      <c r="AD211" s="64">
        <f t="shared" si="15"/>
        <v>1</v>
      </c>
    </row>
    <row r="212" spans="1:30" s="62" customFormat="1" ht="12.5">
      <c r="A212" s="66">
        <v>207</v>
      </c>
      <c r="B212" s="61" t="s">
        <v>597</v>
      </c>
      <c r="C212" s="62" t="s">
        <v>93</v>
      </c>
      <c r="D212" s="61" t="s">
        <v>94</v>
      </c>
      <c r="E212" s="61" t="s">
        <v>95</v>
      </c>
      <c r="F212" s="62" t="s">
        <v>285</v>
      </c>
      <c r="G212" s="62" t="s">
        <v>598</v>
      </c>
      <c r="H212" s="62" t="s">
        <v>593</v>
      </c>
      <c r="I212" s="62" t="s">
        <v>101</v>
      </c>
      <c r="J212" s="62">
        <v>2018</v>
      </c>
      <c r="K212" s="62">
        <v>25</v>
      </c>
      <c r="L212" s="61">
        <v>25</v>
      </c>
      <c r="M212" s="62">
        <v>25</v>
      </c>
      <c r="N212" s="62" t="s">
        <v>100</v>
      </c>
      <c r="O212" s="62" t="s">
        <v>101</v>
      </c>
      <c r="Q212" s="23" t="s">
        <v>912</v>
      </c>
      <c r="S212" s="61"/>
      <c r="T212" s="61"/>
      <c r="U212" s="61"/>
      <c r="V212" s="61">
        <v>-2.1027453999999999</v>
      </c>
      <c r="W212" s="61">
        <v>106.08195600000001</v>
      </c>
      <c r="X212" s="63"/>
      <c r="Y212" s="63"/>
      <c r="Z212" s="61"/>
      <c r="AA212" s="63"/>
      <c r="AB212" s="63"/>
      <c r="AC212" s="64">
        <f t="shared" si="14"/>
        <v>1</v>
      </c>
      <c r="AD212" s="64">
        <f t="shared" si="15"/>
        <v>1</v>
      </c>
    </row>
    <row r="213" spans="1:30" s="62" customFormat="1" ht="12.5">
      <c r="A213" s="66">
        <v>208</v>
      </c>
      <c r="B213" s="61" t="s">
        <v>599</v>
      </c>
      <c r="C213" s="62" t="s">
        <v>93</v>
      </c>
      <c r="D213" s="61" t="s">
        <v>94</v>
      </c>
      <c r="E213" s="61" t="s">
        <v>600</v>
      </c>
      <c r="F213" s="62" t="s">
        <v>101</v>
      </c>
      <c r="G213" s="62" t="s">
        <v>379</v>
      </c>
      <c r="H213" s="62" t="s">
        <v>380</v>
      </c>
      <c r="I213" s="62" t="s">
        <v>101</v>
      </c>
      <c r="J213" s="62">
        <v>2017</v>
      </c>
      <c r="K213" s="62">
        <v>15</v>
      </c>
      <c r="L213" s="61">
        <v>0</v>
      </c>
      <c r="M213" s="62">
        <v>0</v>
      </c>
      <c r="N213" s="62" t="s">
        <v>100</v>
      </c>
      <c r="O213" s="62" t="s">
        <v>101</v>
      </c>
      <c r="Q213" s="23" t="s">
        <v>912</v>
      </c>
      <c r="S213" s="61"/>
      <c r="T213" s="61"/>
      <c r="U213" s="61"/>
      <c r="V213" s="61">
        <v>-2.1195455999999999</v>
      </c>
      <c r="W213" s="61">
        <v>106.0841642</v>
      </c>
      <c r="X213" s="63"/>
      <c r="Y213" s="63"/>
      <c r="Z213" s="61"/>
      <c r="AA213" s="63"/>
      <c r="AB213" s="63"/>
      <c r="AC213" s="64">
        <f t="shared" ref="AC213:AC276" si="16">IF(A213="","",IFERROR(L213/K213,0))</f>
        <v>0</v>
      </c>
      <c r="AD213" s="64">
        <f t="shared" ref="AD213:AD276" si="17">IF(A213="","",IFERROR(M213/L213,0))</f>
        <v>0</v>
      </c>
    </row>
    <row r="214" spans="1:30" s="62" customFormat="1" ht="12.5">
      <c r="A214" s="66">
        <v>209</v>
      </c>
      <c r="B214" s="61" t="s">
        <v>599</v>
      </c>
      <c r="C214" s="62" t="s">
        <v>93</v>
      </c>
      <c r="D214" s="61" t="s">
        <v>116</v>
      </c>
      <c r="E214" s="61" t="s">
        <v>126</v>
      </c>
      <c r="F214" s="62" t="s">
        <v>550</v>
      </c>
      <c r="G214" s="62" t="s">
        <v>601</v>
      </c>
      <c r="H214" s="62" t="s">
        <v>602</v>
      </c>
      <c r="I214" s="62" t="s">
        <v>165</v>
      </c>
      <c r="J214" s="62">
        <v>2021</v>
      </c>
      <c r="K214" s="62">
        <v>43</v>
      </c>
      <c r="L214" s="61">
        <v>42</v>
      </c>
      <c r="M214" s="62">
        <v>42</v>
      </c>
      <c r="N214" s="62" t="s">
        <v>100</v>
      </c>
      <c r="O214" s="62" t="s">
        <v>101</v>
      </c>
      <c r="Q214" s="23" t="s">
        <v>912</v>
      </c>
      <c r="S214" s="61"/>
      <c r="T214" s="11" t="s">
        <v>913</v>
      </c>
      <c r="U214" s="61"/>
      <c r="V214" s="61">
        <v>-2.0967829999999998</v>
      </c>
      <c r="W214" s="61">
        <v>106.090541</v>
      </c>
      <c r="X214" s="63"/>
      <c r="Y214" s="63"/>
      <c r="Z214" s="61"/>
      <c r="AA214" s="63"/>
      <c r="AB214" s="63"/>
      <c r="AC214" s="64">
        <f t="shared" si="16"/>
        <v>0.97674418604651159</v>
      </c>
      <c r="AD214" s="64">
        <f t="shared" si="17"/>
        <v>1</v>
      </c>
    </row>
    <row r="215" spans="1:30" s="62" customFormat="1" ht="12.5">
      <c r="A215" s="66">
        <v>210</v>
      </c>
      <c r="B215" s="61" t="s">
        <v>603</v>
      </c>
      <c r="C215" s="62" t="s">
        <v>222</v>
      </c>
      <c r="D215" s="61" t="s">
        <v>116</v>
      </c>
      <c r="E215" s="61" t="s">
        <v>144</v>
      </c>
      <c r="F215" s="62" t="s">
        <v>206</v>
      </c>
      <c r="G215" s="62" t="s">
        <v>101</v>
      </c>
      <c r="H215" s="62" t="s">
        <v>101</v>
      </c>
      <c r="I215" s="62" t="s">
        <v>101</v>
      </c>
      <c r="J215" s="62">
        <v>2015</v>
      </c>
      <c r="K215" s="62">
        <v>10</v>
      </c>
      <c r="L215" s="61">
        <v>0</v>
      </c>
      <c r="M215" s="62">
        <v>0</v>
      </c>
      <c r="N215" s="62" t="s">
        <v>100</v>
      </c>
      <c r="O215" s="62" t="s">
        <v>101</v>
      </c>
      <c r="Q215" s="23" t="s">
        <v>912</v>
      </c>
      <c r="S215" s="61"/>
      <c r="T215" s="61"/>
      <c r="U215" s="61"/>
      <c r="V215" s="61">
        <v>-2.0873235600000002</v>
      </c>
      <c r="W215" s="61">
        <v>106.1073224</v>
      </c>
      <c r="X215" s="63"/>
      <c r="Y215" s="63"/>
      <c r="Z215" s="61"/>
      <c r="AA215" s="63"/>
      <c r="AB215" s="63"/>
      <c r="AC215" s="64">
        <f t="shared" si="16"/>
        <v>0</v>
      </c>
      <c r="AD215" s="64">
        <f t="shared" si="17"/>
        <v>0</v>
      </c>
    </row>
    <row r="216" spans="1:30" s="62" customFormat="1" ht="12.5">
      <c r="A216" s="66">
        <v>211</v>
      </c>
      <c r="B216" s="61" t="s">
        <v>604</v>
      </c>
      <c r="C216" s="62" t="s">
        <v>93</v>
      </c>
      <c r="D216" s="61" t="s">
        <v>116</v>
      </c>
      <c r="E216" s="61" t="s">
        <v>144</v>
      </c>
      <c r="F216" s="62" t="s">
        <v>605</v>
      </c>
      <c r="G216" s="62" t="s">
        <v>606</v>
      </c>
      <c r="H216" s="62" t="s">
        <v>524</v>
      </c>
      <c r="I216" s="62" t="s">
        <v>99</v>
      </c>
      <c r="J216" s="62">
        <v>2018</v>
      </c>
      <c r="K216" s="62">
        <v>103</v>
      </c>
      <c r="L216" s="61">
        <v>46</v>
      </c>
      <c r="M216" s="62">
        <v>46</v>
      </c>
      <c r="N216" s="62" t="s">
        <v>100</v>
      </c>
      <c r="O216" s="62" t="s">
        <v>101</v>
      </c>
      <c r="Q216" s="23" t="s">
        <v>912</v>
      </c>
      <c r="R216" s="23" t="s">
        <v>915</v>
      </c>
      <c r="S216" s="61"/>
      <c r="T216" s="61"/>
      <c r="U216" s="61"/>
      <c r="V216" s="61">
        <v>-2.080676</v>
      </c>
      <c r="W216" s="61">
        <v>106.124278</v>
      </c>
      <c r="X216" s="63"/>
      <c r="Y216" s="63"/>
      <c r="Z216" s="61"/>
      <c r="AA216" s="63"/>
      <c r="AB216" s="63"/>
      <c r="AC216" s="64">
        <f t="shared" si="16"/>
        <v>0.44660194174757284</v>
      </c>
      <c r="AD216" s="64">
        <f t="shared" si="17"/>
        <v>1</v>
      </c>
    </row>
    <row r="217" spans="1:30" s="62" customFormat="1" ht="12.5">
      <c r="A217" s="66">
        <v>212</v>
      </c>
      <c r="B217" s="61" t="s">
        <v>607</v>
      </c>
      <c r="C217" s="62" t="s">
        <v>222</v>
      </c>
      <c r="D217" s="61" t="s">
        <v>94</v>
      </c>
      <c r="E217" s="61" t="s">
        <v>103</v>
      </c>
      <c r="F217" s="62" t="s">
        <v>108</v>
      </c>
      <c r="G217" s="62" t="s">
        <v>410</v>
      </c>
      <c r="H217" s="62" t="s">
        <v>411</v>
      </c>
      <c r="I217" s="62" t="s">
        <v>101</v>
      </c>
      <c r="J217" s="62">
        <v>2020</v>
      </c>
      <c r="K217" s="62">
        <v>32</v>
      </c>
      <c r="L217" s="61">
        <v>32</v>
      </c>
      <c r="M217" s="62">
        <v>32</v>
      </c>
      <c r="N217" s="62" t="s">
        <v>100</v>
      </c>
      <c r="O217" s="62" t="s">
        <v>101</v>
      </c>
      <c r="Q217" s="23" t="s">
        <v>912</v>
      </c>
      <c r="R217" s="23" t="s">
        <v>915</v>
      </c>
      <c r="S217" s="61"/>
      <c r="T217" s="61"/>
      <c r="U217" s="61"/>
      <c r="V217" s="61">
        <v>-2.1250148000000002</v>
      </c>
      <c r="W217" s="61">
        <v>106.07380209999999</v>
      </c>
      <c r="X217" s="63"/>
      <c r="Y217" s="63"/>
      <c r="Z217" s="61"/>
      <c r="AA217" s="63"/>
      <c r="AB217" s="63"/>
      <c r="AC217" s="64">
        <f t="shared" si="16"/>
        <v>1</v>
      </c>
      <c r="AD217" s="64">
        <f t="shared" si="17"/>
        <v>1</v>
      </c>
    </row>
    <row r="218" spans="1:30" s="62" customFormat="1" ht="12.5">
      <c r="A218" s="66">
        <v>213</v>
      </c>
      <c r="B218" s="61" t="s">
        <v>608</v>
      </c>
      <c r="C218" s="62" t="s">
        <v>93</v>
      </c>
      <c r="D218" s="61" t="s">
        <v>116</v>
      </c>
      <c r="E218" s="61" t="s">
        <v>317</v>
      </c>
      <c r="F218" s="62" t="s">
        <v>609</v>
      </c>
      <c r="G218" s="62" t="s">
        <v>610</v>
      </c>
      <c r="H218" s="62" t="s">
        <v>611</v>
      </c>
      <c r="I218" s="62" t="s">
        <v>101</v>
      </c>
      <c r="J218" s="62">
        <v>2018</v>
      </c>
      <c r="K218" s="62">
        <v>40</v>
      </c>
      <c r="L218" s="61">
        <v>40</v>
      </c>
      <c r="M218" s="62">
        <v>40</v>
      </c>
      <c r="N218" s="62" t="s">
        <v>100</v>
      </c>
      <c r="O218" s="62" t="s">
        <v>101</v>
      </c>
      <c r="Q218" s="62" t="s">
        <v>914</v>
      </c>
      <c r="S218" s="61"/>
      <c r="T218" s="61"/>
      <c r="U218" s="61"/>
      <c r="V218" s="61">
        <v>-2.0951469999999999</v>
      </c>
      <c r="W218" s="61">
        <v>106.108746</v>
      </c>
      <c r="X218" s="63"/>
      <c r="Y218" s="63"/>
      <c r="Z218" s="61"/>
      <c r="AA218" s="63"/>
      <c r="AB218" s="63"/>
      <c r="AC218" s="64">
        <f t="shared" si="16"/>
        <v>1</v>
      </c>
      <c r="AD218" s="64">
        <f t="shared" si="17"/>
        <v>1</v>
      </c>
    </row>
    <row r="219" spans="1:30" s="62" customFormat="1" ht="12.5">
      <c r="A219" s="66">
        <v>214</v>
      </c>
      <c r="B219" s="61" t="s">
        <v>612</v>
      </c>
      <c r="C219" s="62" t="s">
        <v>93</v>
      </c>
      <c r="D219" s="61" t="s">
        <v>116</v>
      </c>
      <c r="E219" s="61" t="s">
        <v>317</v>
      </c>
      <c r="F219" s="62" t="s">
        <v>609</v>
      </c>
      <c r="G219" s="62" t="s">
        <v>610</v>
      </c>
      <c r="H219" s="62" t="s">
        <v>611</v>
      </c>
      <c r="I219" s="62" t="s">
        <v>101</v>
      </c>
      <c r="J219" s="62">
        <v>2019</v>
      </c>
      <c r="K219" s="62">
        <v>8</v>
      </c>
      <c r="L219" s="61">
        <v>8</v>
      </c>
      <c r="M219" s="62">
        <v>8</v>
      </c>
      <c r="N219" s="62" t="s">
        <v>100</v>
      </c>
      <c r="O219" s="62" t="s">
        <v>101</v>
      </c>
      <c r="Q219" s="23" t="s">
        <v>912</v>
      </c>
      <c r="S219" s="61"/>
      <c r="T219" s="61"/>
      <c r="U219" s="61"/>
      <c r="V219" s="61">
        <v>-2.0951469999999999</v>
      </c>
      <c r="W219" s="61">
        <v>106.108746</v>
      </c>
      <c r="X219" s="63"/>
      <c r="Y219" s="63"/>
      <c r="Z219" s="61"/>
      <c r="AA219" s="63"/>
      <c r="AB219" s="63"/>
      <c r="AC219" s="64">
        <f t="shared" si="16"/>
        <v>1</v>
      </c>
      <c r="AD219" s="64">
        <f t="shared" si="17"/>
        <v>1</v>
      </c>
    </row>
    <row r="220" spans="1:30" s="62" customFormat="1" ht="12.5">
      <c r="A220" s="66">
        <v>215</v>
      </c>
      <c r="B220" s="61" t="s">
        <v>613</v>
      </c>
      <c r="C220" s="62" t="s">
        <v>143</v>
      </c>
      <c r="D220" s="61" t="s">
        <v>135</v>
      </c>
      <c r="E220" s="61" t="s">
        <v>136</v>
      </c>
      <c r="F220" s="62" t="s">
        <v>614</v>
      </c>
      <c r="G220" s="62" t="s">
        <v>615</v>
      </c>
      <c r="H220" s="62" t="s">
        <v>616</v>
      </c>
      <c r="I220" s="62" t="s">
        <v>140</v>
      </c>
      <c r="J220" s="62">
        <v>2018</v>
      </c>
      <c r="K220" s="62">
        <v>101</v>
      </c>
      <c r="L220" s="61">
        <v>98</v>
      </c>
      <c r="M220" s="62">
        <v>98</v>
      </c>
      <c r="N220" s="62" t="s">
        <v>100</v>
      </c>
      <c r="O220" s="62" t="s">
        <v>101</v>
      </c>
      <c r="Q220" s="23" t="s">
        <v>912</v>
      </c>
      <c r="S220" s="61"/>
      <c r="T220" s="61"/>
      <c r="U220" s="61"/>
      <c r="V220" s="61">
        <v>-2.1433472</v>
      </c>
      <c r="W220" s="61">
        <v>106.1389238</v>
      </c>
      <c r="X220" s="63"/>
      <c r="Y220" s="63"/>
      <c r="Z220" s="61"/>
      <c r="AA220" s="63"/>
      <c r="AB220" s="63"/>
      <c r="AC220" s="64">
        <f t="shared" si="16"/>
        <v>0.97029702970297027</v>
      </c>
      <c r="AD220" s="64">
        <f t="shared" si="17"/>
        <v>1</v>
      </c>
    </row>
    <row r="221" spans="1:30" s="62" customFormat="1" ht="12.5">
      <c r="A221" s="66">
        <v>216</v>
      </c>
      <c r="B221" s="61" t="s">
        <v>617</v>
      </c>
      <c r="C221" s="62" t="s">
        <v>93</v>
      </c>
      <c r="D221" s="61" t="s">
        <v>135</v>
      </c>
      <c r="E221" s="61" t="s">
        <v>253</v>
      </c>
      <c r="F221" s="62" t="s">
        <v>308</v>
      </c>
      <c r="G221" s="62" t="s">
        <v>618</v>
      </c>
      <c r="H221" s="62" t="s">
        <v>616</v>
      </c>
      <c r="I221" s="62" t="s">
        <v>140</v>
      </c>
      <c r="J221" s="62">
        <v>2024</v>
      </c>
      <c r="K221" s="62">
        <v>160</v>
      </c>
      <c r="L221" s="61">
        <v>37</v>
      </c>
      <c r="M221" s="62">
        <v>0</v>
      </c>
      <c r="N221" s="62" t="s">
        <v>100</v>
      </c>
      <c r="O221" s="62" t="s">
        <v>101</v>
      </c>
      <c r="Q221" s="23" t="s">
        <v>912</v>
      </c>
      <c r="R221" s="23" t="s">
        <v>915</v>
      </c>
      <c r="S221" s="61"/>
      <c r="T221" s="61"/>
      <c r="U221" s="61"/>
      <c r="V221" s="61">
        <v>-2.1330502</v>
      </c>
      <c r="W221" s="61">
        <v>106.14794019999999</v>
      </c>
      <c r="X221" s="63"/>
      <c r="Y221" s="63"/>
      <c r="Z221" s="61"/>
      <c r="AA221" s="63"/>
      <c r="AB221" s="63"/>
      <c r="AC221" s="64">
        <f t="shared" si="16"/>
        <v>0.23125000000000001</v>
      </c>
      <c r="AD221" s="64">
        <f t="shared" si="17"/>
        <v>0</v>
      </c>
    </row>
    <row r="222" spans="1:30" s="62" customFormat="1" ht="12.5">
      <c r="A222" s="66">
        <v>217</v>
      </c>
      <c r="B222" s="61" t="s">
        <v>619</v>
      </c>
      <c r="C222" s="62" t="s">
        <v>93</v>
      </c>
      <c r="D222" s="61" t="s">
        <v>135</v>
      </c>
      <c r="E222" s="61" t="s">
        <v>136</v>
      </c>
      <c r="F222" s="62" t="s">
        <v>308</v>
      </c>
      <c r="G222" s="62" t="s">
        <v>618</v>
      </c>
      <c r="H222" s="62" t="s">
        <v>616</v>
      </c>
      <c r="I222" s="62" t="s">
        <v>140</v>
      </c>
      <c r="J222" s="62">
        <v>2024</v>
      </c>
      <c r="K222" s="62">
        <v>139</v>
      </c>
      <c r="L222" s="61">
        <v>0</v>
      </c>
      <c r="M222" s="62">
        <v>0</v>
      </c>
      <c r="N222" s="62" t="s">
        <v>100</v>
      </c>
      <c r="O222" s="62" t="s">
        <v>101</v>
      </c>
      <c r="Q222" s="23" t="s">
        <v>912</v>
      </c>
      <c r="S222" s="61"/>
      <c r="T222" s="61"/>
      <c r="U222" s="61"/>
      <c r="V222" s="61">
        <v>-2.1330502</v>
      </c>
      <c r="W222" s="61">
        <v>106.14794019999999</v>
      </c>
      <c r="X222" s="63"/>
      <c r="Y222" s="63"/>
      <c r="Z222" s="61"/>
      <c r="AA222" s="63"/>
      <c r="AB222" s="63"/>
      <c r="AC222" s="64">
        <f t="shared" si="16"/>
        <v>0</v>
      </c>
      <c r="AD222" s="64">
        <f t="shared" si="17"/>
        <v>0</v>
      </c>
    </row>
    <row r="223" spans="1:30" s="62" customFormat="1" ht="12.5">
      <c r="A223" s="66">
        <v>218</v>
      </c>
      <c r="B223" s="61" t="s">
        <v>620</v>
      </c>
      <c r="C223" s="62" t="s">
        <v>93</v>
      </c>
      <c r="D223" s="61" t="s">
        <v>135</v>
      </c>
      <c r="E223" s="61" t="s">
        <v>136</v>
      </c>
      <c r="F223" s="62" t="s">
        <v>308</v>
      </c>
      <c r="G223" s="62" t="s">
        <v>618</v>
      </c>
      <c r="H223" s="62" t="s">
        <v>616</v>
      </c>
      <c r="I223" s="62" t="s">
        <v>140</v>
      </c>
      <c r="J223" s="62">
        <v>2024</v>
      </c>
      <c r="K223" s="62">
        <v>155</v>
      </c>
      <c r="L223" s="61">
        <v>0</v>
      </c>
      <c r="M223" s="62">
        <v>0</v>
      </c>
      <c r="N223" s="62" t="s">
        <v>100</v>
      </c>
      <c r="O223" s="62" t="s">
        <v>101</v>
      </c>
      <c r="Q223" s="23" t="s">
        <v>912</v>
      </c>
      <c r="S223" s="61"/>
      <c r="T223" s="61"/>
      <c r="U223" s="61"/>
      <c r="V223" s="61">
        <v>-2.1330502</v>
      </c>
      <c r="W223" s="61">
        <v>106.14794019999999</v>
      </c>
      <c r="X223" s="63"/>
      <c r="Y223" s="63"/>
      <c r="Z223" s="61"/>
      <c r="AA223" s="63"/>
      <c r="AB223" s="63"/>
      <c r="AC223" s="64">
        <f t="shared" si="16"/>
        <v>0</v>
      </c>
      <c r="AD223" s="64">
        <f t="shared" si="17"/>
        <v>0</v>
      </c>
    </row>
    <row r="224" spans="1:30" s="62" customFormat="1" ht="12.5">
      <c r="A224" s="66">
        <v>219</v>
      </c>
      <c r="B224" s="61" t="s">
        <v>621</v>
      </c>
      <c r="C224" s="62" t="s">
        <v>93</v>
      </c>
      <c r="D224" s="61" t="s">
        <v>135</v>
      </c>
      <c r="E224" s="61" t="s">
        <v>136</v>
      </c>
      <c r="F224" s="62" t="s">
        <v>308</v>
      </c>
      <c r="G224" s="62" t="s">
        <v>618</v>
      </c>
      <c r="H224" s="62" t="s">
        <v>616</v>
      </c>
      <c r="I224" s="62" t="s">
        <v>140</v>
      </c>
      <c r="J224" s="62">
        <v>2024</v>
      </c>
      <c r="K224" s="62">
        <v>154</v>
      </c>
      <c r="L224" s="61">
        <v>0</v>
      </c>
      <c r="M224" s="62">
        <v>0</v>
      </c>
      <c r="N224" s="62" t="s">
        <v>100</v>
      </c>
      <c r="O224" s="62" t="s">
        <v>101</v>
      </c>
      <c r="Q224" s="23" t="s">
        <v>912</v>
      </c>
      <c r="S224" s="61"/>
      <c r="T224" s="61"/>
      <c r="U224" s="61"/>
      <c r="V224" s="61">
        <v>-2.1330502</v>
      </c>
      <c r="W224" s="61">
        <v>106.14794019999999</v>
      </c>
      <c r="X224" s="63"/>
      <c r="Y224" s="63"/>
      <c r="Z224" s="61"/>
      <c r="AA224" s="63"/>
      <c r="AB224" s="63"/>
      <c r="AC224" s="64">
        <f t="shared" si="16"/>
        <v>0</v>
      </c>
      <c r="AD224" s="64">
        <f t="shared" si="17"/>
        <v>0</v>
      </c>
    </row>
    <row r="225" spans="1:30" s="62" customFormat="1" ht="12.5">
      <c r="A225" s="66">
        <v>220</v>
      </c>
      <c r="B225" s="61" t="s">
        <v>622</v>
      </c>
      <c r="C225" s="62" t="s">
        <v>93</v>
      </c>
      <c r="D225" s="61" t="s">
        <v>116</v>
      </c>
      <c r="E225" s="61" t="s">
        <v>144</v>
      </c>
      <c r="F225" s="62" t="s">
        <v>540</v>
      </c>
      <c r="G225" s="62" t="s">
        <v>623</v>
      </c>
      <c r="H225" s="62" t="s">
        <v>624</v>
      </c>
      <c r="I225" s="62" t="s">
        <v>101</v>
      </c>
      <c r="J225" s="62">
        <v>2019</v>
      </c>
      <c r="K225" s="62">
        <v>44</v>
      </c>
      <c r="L225" s="61">
        <v>0</v>
      </c>
      <c r="M225" s="62">
        <v>0</v>
      </c>
      <c r="N225" s="62" t="s">
        <v>100</v>
      </c>
      <c r="O225" s="62" t="s">
        <v>101</v>
      </c>
      <c r="Q225" s="23" t="s">
        <v>912</v>
      </c>
      <c r="S225" s="61"/>
      <c r="T225" s="61"/>
      <c r="U225" s="61"/>
      <c r="V225" s="61"/>
      <c r="W225" s="61"/>
      <c r="X225" s="63"/>
      <c r="Y225" s="63"/>
      <c r="Z225" s="61"/>
      <c r="AA225" s="63"/>
      <c r="AB225" s="63"/>
      <c r="AC225" s="64">
        <f t="shared" si="16"/>
        <v>0</v>
      </c>
      <c r="AD225" s="64">
        <f t="shared" si="17"/>
        <v>0</v>
      </c>
    </row>
    <row r="226" spans="1:30" s="62" customFormat="1" ht="12.5">
      <c r="A226" s="66">
        <v>221</v>
      </c>
      <c r="B226" s="61" t="s">
        <v>625</v>
      </c>
      <c r="C226" s="62" t="s">
        <v>93</v>
      </c>
      <c r="D226" s="61" t="s">
        <v>135</v>
      </c>
      <c r="E226" s="61" t="s">
        <v>253</v>
      </c>
      <c r="F226" s="62" t="s">
        <v>471</v>
      </c>
      <c r="G226" s="62" t="s">
        <v>101</v>
      </c>
      <c r="H226" s="62" t="s">
        <v>101</v>
      </c>
      <c r="I226" s="62" t="s">
        <v>101</v>
      </c>
      <c r="J226" s="62">
        <v>2016</v>
      </c>
      <c r="K226" s="62">
        <v>20</v>
      </c>
      <c r="L226" s="61">
        <v>20</v>
      </c>
      <c r="M226" s="62">
        <v>20</v>
      </c>
      <c r="N226" s="62" t="s">
        <v>100</v>
      </c>
      <c r="O226" s="62" t="s">
        <v>101</v>
      </c>
      <c r="Q226" s="23" t="s">
        <v>912</v>
      </c>
      <c r="R226" s="23" t="s">
        <v>915</v>
      </c>
      <c r="S226" s="61"/>
      <c r="T226" s="61"/>
      <c r="U226" s="61"/>
      <c r="V226" s="61"/>
      <c r="W226" s="61"/>
      <c r="X226" s="63"/>
      <c r="Y226" s="63"/>
      <c r="Z226" s="61"/>
      <c r="AA226" s="63"/>
      <c r="AB226" s="63"/>
      <c r="AC226" s="64">
        <f t="shared" si="16"/>
        <v>1</v>
      </c>
      <c r="AD226" s="64">
        <f t="shared" si="17"/>
        <v>1</v>
      </c>
    </row>
    <row r="227" spans="1:30" s="62" customFormat="1" ht="12.5">
      <c r="A227" s="66">
        <v>222</v>
      </c>
      <c r="B227" s="61" t="s">
        <v>626</v>
      </c>
      <c r="C227" s="62" t="s">
        <v>93</v>
      </c>
      <c r="D227" s="61" t="s">
        <v>135</v>
      </c>
      <c r="E227" s="61" t="s">
        <v>174</v>
      </c>
      <c r="F227" s="62" t="s">
        <v>465</v>
      </c>
      <c r="G227" s="62" t="s">
        <v>627</v>
      </c>
      <c r="H227" s="62" t="s">
        <v>628</v>
      </c>
      <c r="I227" s="62" t="s">
        <v>165</v>
      </c>
      <c r="J227" s="62">
        <v>2019</v>
      </c>
      <c r="K227" s="62">
        <v>57</v>
      </c>
      <c r="L227" s="61">
        <v>55</v>
      </c>
      <c r="M227" s="62">
        <v>55</v>
      </c>
      <c r="N227" s="62" t="s">
        <v>100</v>
      </c>
      <c r="O227" s="62" t="s">
        <v>101</v>
      </c>
      <c r="Q227" s="23" t="s">
        <v>912</v>
      </c>
      <c r="S227" s="61"/>
      <c r="T227" s="61"/>
      <c r="U227" s="61"/>
      <c r="V227" s="61">
        <v>-2.1381644999999998</v>
      </c>
      <c r="W227" s="61">
        <v>106.15515670000001</v>
      </c>
      <c r="X227" s="63"/>
      <c r="Y227" s="63"/>
      <c r="Z227" s="61"/>
      <c r="AA227" s="63"/>
      <c r="AB227" s="63"/>
      <c r="AC227" s="64">
        <f t="shared" si="16"/>
        <v>0.96491228070175439</v>
      </c>
      <c r="AD227" s="64">
        <f t="shared" si="17"/>
        <v>1</v>
      </c>
    </row>
    <row r="228" spans="1:30" s="62" customFormat="1" ht="12.5">
      <c r="A228" s="66">
        <v>223</v>
      </c>
      <c r="B228" s="61" t="s">
        <v>629</v>
      </c>
      <c r="C228" s="62" t="s">
        <v>222</v>
      </c>
      <c r="D228" s="61" t="s">
        <v>135</v>
      </c>
      <c r="E228" s="61" t="s">
        <v>253</v>
      </c>
      <c r="F228" s="62" t="s">
        <v>630</v>
      </c>
      <c r="G228" s="62" t="s">
        <v>631</v>
      </c>
      <c r="H228" s="62" t="s">
        <v>101</v>
      </c>
      <c r="I228" s="62" t="s">
        <v>101</v>
      </c>
      <c r="J228" s="62">
        <v>2015</v>
      </c>
      <c r="K228" s="62">
        <v>88</v>
      </c>
      <c r="L228" s="61">
        <v>22</v>
      </c>
      <c r="M228" s="62">
        <v>22</v>
      </c>
      <c r="N228" s="62" t="s">
        <v>100</v>
      </c>
      <c r="O228" s="62" t="s">
        <v>101</v>
      </c>
      <c r="Q228" s="62" t="s">
        <v>914</v>
      </c>
      <c r="S228" s="61"/>
      <c r="T228" s="61"/>
      <c r="U228" s="61"/>
      <c r="V228" s="61">
        <v>-2.1346430999999999</v>
      </c>
      <c r="W228" s="61">
        <v>106.1342334</v>
      </c>
      <c r="X228" s="63"/>
      <c r="Y228" s="63"/>
      <c r="Z228" s="61"/>
      <c r="AA228" s="63"/>
      <c r="AB228" s="63"/>
      <c r="AC228" s="64">
        <f t="shared" si="16"/>
        <v>0.25</v>
      </c>
      <c r="AD228" s="64">
        <f t="shared" si="17"/>
        <v>1</v>
      </c>
    </row>
    <row r="229" spans="1:30" s="62" customFormat="1" ht="12.5">
      <c r="A229" s="66">
        <v>224</v>
      </c>
      <c r="B229" s="61" t="s">
        <v>632</v>
      </c>
      <c r="C229" s="62" t="s">
        <v>222</v>
      </c>
      <c r="D229" s="61" t="s">
        <v>135</v>
      </c>
      <c r="E229" s="61" t="s">
        <v>450</v>
      </c>
      <c r="F229" s="62" t="s">
        <v>633</v>
      </c>
      <c r="G229" s="62" t="s">
        <v>631</v>
      </c>
      <c r="H229" s="62" t="s">
        <v>101</v>
      </c>
      <c r="I229" s="62" t="s">
        <v>101</v>
      </c>
      <c r="J229" s="62">
        <v>2016</v>
      </c>
      <c r="K229" s="62">
        <v>92</v>
      </c>
      <c r="L229" s="61">
        <v>9</v>
      </c>
      <c r="M229" s="62">
        <v>9</v>
      </c>
      <c r="N229" s="62" t="s">
        <v>100</v>
      </c>
      <c r="O229" s="62" t="s">
        <v>101</v>
      </c>
      <c r="Q229" s="62" t="s">
        <v>914</v>
      </c>
      <c r="S229" s="61"/>
      <c r="T229" s="61"/>
      <c r="U229" s="61"/>
      <c r="V229" s="61">
        <v>-2.1351254000000002</v>
      </c>
      <c r="W229" s="61">
        <v>106.1331278</v>
      </c>
      <c r="X229" s="63"/>
      <c r="Y229" s="63"/>
      <c r="Z229" s="61"/>
      <c r="AA229" s="63"/>
      <c r="AB229" s="63"/>
      <c r="AC229" s="64">
        <f t="shared" si="16"/>
        <v>9.7826086956521743E-2</v>
      </c>
      <c r="AD229" s="64">
        <f t="shared" si="17"/>
        <v>1</v>
      </c>
    </row>
    <row r="230" spans="1:30" s="62" customFormat="1" ht="12.5">
      <c r="A230" s="66">
        <v>225</v>
      </c>
      <c r="B230" s="61" t="s">
        <v>634</v>
      </c>
      <c r="C230" s="62" t="s">
        <v>93</v>
      </c>
      <c r="D230" s="61" t="s">
        <v>94</v>
      </c>
      <c r="E230" s="61" t="s">
        <v>103</v>
      </c>
      <c r="F230" s="62" t="s">
        <v>635</v>
      </c>
      <c r="G230" s="62" t="s">
        <v>636</v>
      </c>
      <c r="H230" s="62" t="s">
        <v>637</v>
      </c>
      <c r="I230" s="62" t="s">
        <v>165</v>
      </c>
      <c r="J230" s="62">
        <v>2017</v>
      </c>
      <c r="K230" s="62">
        <v>43</v>
      </c>
      <c r="L230" s="61">
        <v>43</v>
      </c>
      <c r="M230" s="62">
        <v>43</v>
      </c>
      <c r="N230" s="62" t="s">
        <v>105</v>
      </c>
      <c r="O230" s="62">
        <v>2021</v>
      </c>
      <c r="Q230" s="23" t="s">
        <v>912</v>
      </c>
      <c r="R230" s="62" t="s">
        <v>920</v>
      </c>
      <c r="S230" s="61"/>
      <c r="T230" s="61"/>
      <c r="U230" s="61"/>
      <c r="V230" s="61">
        <v>-2.1201880000000002</v>
      </c>
      <c r="W230" s="61">
        <v>106.07431099999999</v>
      </c>
      <c r="X230" s="63"/>
      <c r="Y230" s="63"/>
      <c r="Z230" s="61"/>
      <c r="AA230" s="63"/>
      <c r="AB230" s="63"/>
      <c r="AC230" s="64">
        <f t="shared" si="16"/>
        <v>1</v>
      </c>
      <c r="AD230" s="64">
        <f t="shared" si="17"/>
        <v>1</v>
      </c>
    </row>
    <row r="231" spans="1:30" s="62" customFormat="1" ht="12.5">
      <c r="A231" s="66">
        <v>226</v>
      </c>
      <c r="B231" s="61" t="s">
        <v>638</v>
      </c>
      <c r="C231" s="62" t="s">
        <v>93</v>
      </c>
      <c r="D231" s="61" t="s">
        <v>94</v>
      </c>
      <c r="E231" s="61" t="s">
        <v>95</v>
      </c>
      <c r="F231" s="62" t="s">
        <v>104</v>
      </c>
      <c r="G231" s="62" t="s">
        <v>636</v>
      </c>
      <c r="H231" s="62" t="s">
        <v>637</v>
      </c>
      <c r="I231" s="62" t="s">
        <v>165</v>
      </c>
      <c r="J231" s="62">
        <v>2017</v>
      </c>
      <c r="K231" s="62">
        <v>30</v>
      </c>
      <c r="L231" s="61">
        <v>30</v>
      </c>
      <c r="M231" s="62">
        <v>29</v>
      </c>
      <c r="N231" s="62" t="s">
        <v>105</v>
      </c>
      <c r="O231" s="62">
        <v>2021</v>
      </c>
      <c r="Q231" s="23" t="s">
        <v>912</v>
      </c>
      <c r="R231" s="62" t="s">
        <v>920</v>
      </c>
      <c r="S231" s="61"/>
      <c r="T231" s="61"/>
      <c r="U231" s="61"/>
      <c r="V231" s="61">
        <v>-2.1146593</v>
      </c>
      <c r="W231" s="61">
        <v>106.0722858</v>
      </c>
      <c r="X231" s="63"/>
      <c r="Y231" s="63"/>
      <c r="Z231" s="61"/>
      <c r="AA231" s="63"/>
      <c r="AB231" s="63"/>
      <c r="AC231" s="64">
        <f t="shared" si="16"/>
        <v>1</v>
      </c>
      <c r="AD231" s="64">
        <f t="shared" si="17"/>
        <v>0.96666666666666667</v>
      </c>
    </row>
    <row r="232" spans="1:30" s="62" customFormat="1" ht="12.5">
      <c r="A232" s="66">
        <v>227</v>
      </c>
      <c r="B232" s="61" t="s">
        <v>639</v>
      </c>
      <c r="C232" s="62" t="s">
        <v>93</v>
      </c>
      <c r="D232" s="61" t="s">
        <v>94</v>
      </c>
      <c r="E232" s="61" t="s">
        <v>95</v>
      </c>
      <c r="F232" s="62" t="s">
        <v>640</v>
      </c>
      <c r="G232" s="62" t="s">
        <v>641</v>
      </c>
      <c r="H232" s="62" t="s">
        <v>637</v>
      </c>
      <c r="I232" s="62" t="s">
        <v>165</v>
      </c>
      <c r="J232" s="62">
        <v>2017</v>
      </c>
      <c r="K232" s="62">
        <v>123</v>
      </c>
      <c r="L232" s="61">
        <v>123</v>
      </c>
      <c r="M232" s="62">
        <v>123</v>
      </c>
      <c r="N232" s="62" t="s">
        <v>105</v>
      </c>
      <c r="O232" s="62">
        <v>2021</v>
      </c>
      <c r="Q232" s="23" t="s">
        <v>912</v>
      </c>
      <c r="S232" s="61"/>
      <c r="T232" s="61"/>
      <c r="U232" s="61"/>
      <c r="V232" s="61">
        <v>-2.1018940000000002</v>
      </c>
      <c r="W232" s="61">
        <v>106.081547</v>
      </c>
      <c r="X232" s="63"/>
      <c r="Y232" s="63"/>
      <c r="Z232" s="61"/>
      <c r="AA232" s="63"/>
      <c r="AB232" s="63"/>
      <c r="AC232" s="64">
        <f t="shared" si="16"/>
        <v>1</v>
      </c>
      <c r="AD232" s="64">
        <f t="shared" si="17"/>
        <v>1</v>
      </c>
    </row>
    <row r="233" spans="1:30" s="62" customFormat="1" ht="12.5">
      <c r="A233" s="66">
        <v>228</v>
      </c>
      <c r="B233" s="61" t="s">
        <v>642</v>
      </c>
      <c r="C233" s="62" t="s">
        <v>93</v>
      </c>
      <c r="D233" s="61" t="s">
        <v>116</v>
      </c>
      <c r="E233" s="61" t="s">
        <v>126</v>
      </c>
      <c r="F233" s="62" t="s">
        <v>360</v>
      </c>
      <c r="G233" s="62" t="s">
        <v>641</v>
      </c>
      <c r="H233" s="62" t="s">
        <v>637</v>
      </c>
      <c r="I233" s="62" t="s">
        <v>165</v>
      </c>
      <c r="J233" s="62">
        <v>2018</v>
      </c>
      <c r="K233" s="62">
        <v>110</v>
      </c>
      <c r="L233" s="61">
        <v>110</v>
      </c>
      <c r="M233" s="62">
        <v>103</v>
      </c>
      <c r="N233" s="62" t="s">
        <v>105</v>
      </c>
      <c r="O233" s="62">
        <v>2021</v>
      </c>
      <c r="Q233" s="23" t="s">
        <v>912</v>
      </c>
      <c r="R233" s="62" t="s">
        <v>919</v>
      </c>
      <c r="S233" s="61"/>
      <c r="T233" s="61"/>
      <c r="U233" s="61"/>
      <c r="V233" s="61">
        <v>-2.0981193999999999</v>
      </c>
      <c r="W233" s="61">
        <v>106.0837946</v>
      </c>
      <c r="X233" s="63"/>
      <c r="Y233" s="63"/>
      <c r="Z233" s="61"/>
      <c r="AA233" s="63"/>
      <c r="AB233" s="63"/>
      <c r="AC233" s="64">
        <f t="shared" si="16"/>
        <v>1</v>
      </c>
      <c r="AD233" s="64">
        <f t="shared" si="17"/>
        <v>0.9363636363636364</v>
      </c>
    </row>
    <row r="234" spans="1:30" s="62" customFormat="1" ht="12.5">
      <c r="A234" s="66">
        <v>229</v>
      </c>
      <c r="B234" s="61" t="s">
        <v>643</v>
      </c>
      <c r="C234" s="62" t="s">
        <v>93</v>
      </c>
      <c r="D234" s="61" t="s">
        <v>116</v>
      </c>
      <c r="E234" s="61" t="s">
        <v>126</v>
      </c>
      <c r="F234" s="62" t="s">
        <v>644</v>
      </c>
      <c r="G234" s="62" t="s">
        <v>641</v>
      </c>
      <c r="H234" s="62" t="s">
        <v>637</v>
      </c>
      <c r="I234" s="62" t="s">
        <v>165</v>
      </c>
      <c r="J234" s="62">
        <v>2018</v>
      </c>
      <c r="K234" s="62">
        <v>44</v>
      </c>
      <c r="L234" s="61">
        <v>44</v>
      </c>
      <c r="M234" s="62">
        <v>44</v>
      </c>
      <c r="N234" s="62" t="s">
        <v>105</v>
      </c>
      <c r="O234" s="62">
        <v>2021</v>
      </c>
      <c r="Q234" s="62" t="s">
        <v>914</v>
      </c>
      <c r="S234" s="61"/>
      <c r="T234" s="61"/>
      <c r="U234" s="61"/>
      <c r="V234" s="61">
        <v>-2.0944850000000002</v>
      </c>
      <c r="W234" s="61">
        <v>106.09107</v>
      </c>
      <c r="X234" s="63"/>
      <c r="Y234" s="63"/>
      <c r="Z234" s="61"/>
      <c r="AA234" s="63"/>
      <c r="AB234" s="63"/>
      <c r="AC234" s="64">
        <f t="shared" si="16"/>
        <v>1</v>
      </c>
      <c r="AD234" s="64">
        <f t="shared" si="17"/>
        <v>1</v>
      </c>
    </row>
    <row r="235" spans="1:30" s="62" customFormat="1" ht="12.5">
      <c r="A235" s="66">
        <v>230</v>
      </c>
      <c r="B235" s="61" t="s">
        <v>645</v>
      </c>
      <c r="C235" s="62" t="s">
        <v>93</v>
      </c>
      <c r="D235" s="61" t="s">
        <v>94</v>
      </c>
      <c r="E235" s="61" t="s">
        <v>95</v>
      </c>
      <c r="F235" s="62" t="s">
        <v>111</v>
      </c>
      <c r="G235" s="62" t="s">
        <v>646</v>
      </c>
      <c r="H235" s="62" t="s">
        <v>637</v>
      </c>
      <c r="I235" s="62" t="s">
        <v>165</v>
      </c>
      <c r="J235" s="62">
        <v>2018</v>
      </c>
      <c r="K235" s="62">
        <v>70</v>
      </c>
      <c r="L235" s="61">
        <v>70</v>
      </c>
      <c r="M235" s="62">
        <v>70</v>
      </c>
      <c r="N235" s="62" t="s">
        <v>105</v>
      </c>
      <c r="O235" s="62">
        <v>2022</v>
      </c>
      <c r="Q235" s="23" t="s">
        <v>912</v>
      </c>
      <c r="R235" s="62" t="s">
        <v>920</v>
      </c>
      <c r="S235" s="61"/>
      <c r="T235" s="61"/>
      <c r="U235" s="61"/>
      <c r="V235" s="61">
        <v>-2.0975541999999998</v>
      </c>
      <c r="W235" s="61">
        <v>106.0794709</v>
      </c>
      <c r="X235" s="63"/>
      <c r="Y235" s="63"/>
      <c r="Z235" s="61"/>
      <c r="AA235" s="63"/>
      <c r="AB235" s="63"/>
      <c r="AC235" s="64">
        <f t="shared" si="16"/>
        <v>1</v>
      </c>
      <c r="AD235" s="64">
        <f t="shared" si="17"/>
        <v>1</v>
      </c>
    </row>
    <row r="236" spans="1:30" s="62" customFormat="1" ht="12.5">
      <c r="A236" s="66">
        <v>231</v>
      </c>
      <c r="B236" s="61" t="s">
        <v>647</v>
      </c>
      <c r="C236" s="62" t="s">
        <v>93</v>
      </c>
      <c r="D236" s="61" t="s">
        <v>94</v>
      </c>
      <c r="E236" s="61" t="s">
        <v>95</v>
      </c>
      <c r="F236" s="62" t="s">
        <v>118</v>
      </c>
      <c r="G236" s="62" t="s">
        <v>646</v>
      </c>
      <c r="H236" s="62" t="s">
        <v>637</v>
      </c>
      <c r="I236" s="62" t="s">
        <v>165</v>
      </c>
      <c r="J236" s="62">
        <v>2020</v>
      </c>
      <c r="K236" s="62">
        <v>40</v>
      </c>
      <c r="L236" s="61">
        <v>40</v>
      </c>
      <c r="M236" s="62">
        <v>40</v>
      </c>
      <c r="N236" s="62" t="s">
        <v>105</v>
      </c>
      <c r="O236" s="62">
        <v>2022</v>
      </c>
      <c r="Q236" s="23" t="s">
        <v>912</v>
      </c>
      <c r="R236" s="62" t="s">
        <v>920</v>
      </c>
      <c r="S236" s="61"/>
      <c r="T236" s="61"/>
      <c r="U236" s="61"/>
      <c r="V236" s="61">
        <v>-2.0942904000000002</v>
      </c>
      <c r="W236" s="61">
        <v>106.0779465</v>
      </c>
      <c r="X236" s="63"/>
      <c r="Y236" s="63"/>
      <c r="Z236" s="61"/>
      <c r="AA236" s="63"/>
      <c r="AB236" s="63"/>
      <c r="AC236" s="64">
        <f t="shared" si="16"/>
        <v>1</v>
      </c>
      <c r="AD236" s="64">
        <f t="shared" si="17"/>
        <v>1</v>
      </c>
    </row>
    <row r="237" spans="1:30" s="62" customFormat="1" ht="12.5">
      <c r="A237" s="66">
        <v>232</v>
      </c>
      <c r="B237" s="61" t="s">
        <v>648</v>
      </c>
      <c r="C237" s="62" t="s">
        <v>93</v>
      </c>
      <c r="D237" s="61" t="s">
        <v>116</v>
      </c>
      <c r="E237" s="61" t="s">
        <v>126</v>
      </c>
      <c r="F237" s="62" t="s">
        <v>360</v>
      </c>
      <c r="G237" s="62" t="s">
        <v>641</v>
      </c>
      <c r="H237" s="62" t="s">
        <v>637</v>
      </c>
      <c r="I237" s="62" t="s">
        <v>165</v>
      </c>
      <c r="J237" s="62">
        <v>2021</v>
      </c>
      <c r="K237" s="62">
        <v>58</v>
      </c>
      <c r="L237" s="61">
        <v>58</v>
      </c>
      <c r="M237" s="62">
        <v>58</v>
      </c>
      <c r="N237" s="62" t="s">
        <v>100</v>
      </c>
      <c r="O237" s="62" t="s">
        <v>101</v>
      </c>
      <c r="Q237" s="23" t="s">
        <v>912</v>
      </c>
      <c r="S237" s="61"/>
      <c r="T237" s="61"/>
      <c r="U237" s="61"/>
      <c r="V237" s="61">
        <v>-2.095885</v>
      </c>
      <c r="W237" s="61">
        <v>106.084112</v>
      </c>
      <c r="X237" s="63"/>
      <c r="Y237" s="63"/>
      <c r="Z237" s="61"/>
      <c r="AA237" s="63"/>
      <c r="AB237" s="63"/>
      <c r="AC237" s="64">
        <f t="shared" si="16"/>
        <v>1</v>
      </c>
      <c r="AD237" s="64">
        <f t="shared" si="17"/>
        <v>1</v>
      </c>
    </row>
    <row r="238" spans="1:30" s="62" customFormat="1" ht="12.5">
      <c r="A238" s="66">
        <v>233</v>
      </c>
      <c r="B238" s="61" t="s">
        <v>649</v>
      </c>
      <c r="C238" s="62" t="s">
        <v>93</v>
      </c>
      <c r="D238" s="61" t="s">
        <v>94</v>
      </c>
      <c r="E238" s="61" t="s">
        <v>103</v>
      </c>
      <c r="F238" s="62" t="s">
        <v>650</v>
      </c>
      <c r="G238" s="62" t="s">
        <v>646</v>
      </c>
      <c r="H238" s="62" t="s">
        <v>651</v>
      </c>
      <c r="I238" s="62" t="s">
        <v>165</v>
      </c>
      <c r="J238" s="62">
        <v>2024</v>
      </c>
      <c r="K238" s="62">
        <v>42</v>
      </c>
      <c r="L238" s="61">
        <v>1</v>
      </c>
      <c r="M238" s="62">
        <v>0</v>
      </c>
      <c r="N238" s="62" t="s">
        <v>100</v>
      </c>
      <c r="O238" s="62" t="s">
        <v>101</v>
      </c>
      <c r="Q238" s="23" t="s">
        <v>912</v>
      </c>
      <c r="R238" s="23" t="s">
        <v>915</v>
      </c>
      <c r="S238" s="61"/>
      <c r="T238" s="61"/>
      <c r="U238" s="61"/>
      <c r="V238" s="61">
        <v>-2.1235791000000002</v>
      </c>
      <c r="W238" s="61">
        <v>106.0763937</v>
      </c>
      <c r="X238" s="63"/>
      <c r="Y238" s="63"/>
      <c r="Z238" s="61"/>
      <c r="AA238" s="63"/>
      <c r="AB238" s="63"/>
      <c r="AC238" s="64">
        <f t="shared" si="16"/>
        <v>2.3809523809523808E-2</v>
      </c>
      <c r="AD238" s="64">
        <f t="shared" si="17"/>
        <v>0</v>
      </c>
    </row>
    <row r="239" spans="1:30" s="62" customFormat="1" ht="12.5">
      <c r="A239" s="66">
        <v>234</v>
      </c>
      <c r="B239" s="61" t="s">
        <v>652</v>
      </c>
      <c r="C239" s="62" t="s">
        <v>93</v>
      </c>
      <c r="D239" s="61" t="s">
        <v>116</v>
      </c>
      <c r="E239" s="61" t="s">
        <v>144</v>
      </c>
      <c r="F239" s="62" t="s">
        <v>260</v>
      </c>
      <c r="G239" s="62" t="s">
        <v>516</v>
      </c>
      <c r="H239" s="62" t="s">
        <v>524</v>
      </c>
      <c r="I239" s="62" t="s">
        <v>99</v>
      </c>
      <c r="J239" s="62">
        <v>2015</v>
      </c>
      <c r="K239" s="62">
        <v>103</v>
      </c>
      <c r="L239" s="61">
        <v>74</v>
      </c>
      <c r="M239" s="62">
        <v>74</v>
      </c>
      <c r="N239" s="62" t="s">
        <v>100</v>
      </c>
      <c r="O239" s="62" t="s">
        <v>101</v>
      </c>
      <c r="Q239" s="23" t="s">
        <v>912</v>
      </c>
      <c r="R239" s="23" t="s">
        <v>915</v>
      </c>
      <c r="S239" s="61"/>
      <c r="T239" s="61"/>
      <c r="U239" s="61"/>
      <c r="V239" s="61">
        <v>-2.078166</v>
      </c>
      <c r="W239" s="61">
        <v>106.12220499999999</v>
      </c>
      <c r="X239" s="63"/>
      <c r="Y239" s="63"/>
      <c r="Z239" s="61"/>
      <c r="AA239" s="63"/>
      <c r="AB239" s="63"/>
      <c r="AC239" s="64">
        <f t="shared" si="16"/>
        <v>0.71844660194174759</v>
      </c>
      <c r="AD239" s="64">
        <f t="shared" si="17"/>
        <v>1</v>
      </c>
    </row>
    <row r="240" spans="1:30" s="62" customFormat="1" ht="12.5">
      <c r="A240" s="66">
        <v>235</v>
      </c>
      <c r="B240" s="61" t="s">
        <v>653</v>
      </c>
      <c r="C240" s="62" t="s">
        <v>93</v>
      </c>
      <c r="D240" s="61" t="s">
        <v>135</v>
      </c>
      <c r="E240" s="61" t="s">
        <v>136</v>
      </c>
      <c r="F240" s="62" t="s">
        <v>654</v>
      </c>
      <c r="G240" s="62" t="s">
        <v>655</v>
      </c>
      <c r="H240" s="62" t="s">
        <v>656</v>
      </c>
      <c r="I240" s="62" t="s">
        <v>101</v>
      </c>
      <c r="J240" s="62">
        <v>2021</v>
      </c>
      <c r="K240" s="62">
        <v>115</v>
      </c>
      <c r="L240" s="61">
        <v>10</v>
      </c>
      <c r="M240" s="62">
        <v>0</v>
      </c>
      <c r="N240" s="62" t="s">
        <v>100</v>
      </c>
      <c r="O240" s="62" t="s">
        <v>101</v>
      </c>
      <c r="Q240" s="23" t="s">
        <v>912</v>
      </c>
      <c r="R240" s="23" t="s">
        <v>915</v>
      </c>
      <c r="S240" s="61"/>
      <c r="T240" s="61"/>
      <c r="U240" s="61"/>
      <c r="V240" s="61">
        <v>-2.1486339999999999</v>
      </c>
      <c r="W240" s="61">
        <v>106.145662</v>
      </c>
      <c r="X240" s="63"/>
      <c r="Y240" s="63"/>
      <c r="Z240" s="61"/>
      <c r="AA240" s="63"/>
      <c r="AB240" s="63"/>
      <c r="AC240" s="64">
        <f t="shared" si="16"/>
        <v>8.6956521739130432E-2</v>
      </c>
      <c r="AD240" s="64">
        <f t="shared" si="17"/>
        <v>0</v>
      </c>
    </row>
    <row r="241" spans="1:30" s="62" customFormat="1" ht="12.5">
      <c r="A241" s="66">
        <v>236</v>
      </c>
      <c r="B241" s="61" t="s">
        <v>657</v>
      </c>
      <c r="C241" s="62" t="s">
        <v>93</v>
      </c>
      <c r="D241" s="61" t="s">
        <v>135</v>
      </c>
      <c r="E241" s="61" t="s">
        <v>174</v>
      </c>
      <c r="F241" s="62" t="s">
        <v>471</v>
      </c>
      <c r="G241" s="62" t="s">
        <v>658</v>
      </c>
      <c r="H241" s="62" t="s">
        <v>659</v>
      </c>
      <c r="I241" s="62" t="s">
        <v>140</v>
      </c>
      <c r="J241" s="62">
        <v>2019</v>
      </c>
      <c r="K241" s="62">
        <v>161</v>
      </c>
      <c r="L241" s="61">
        <v>103</v>
      </c>
      <c r="M241" s="62">
        <v>103</v>
      </c>
      <c r="N241" s="62" t="s">
        <v>100</v>
      </c>
      <c r="O241" s="62" t="s">
        <v>101</v>
      </c>
      <c r="Q241" s="23" t="s">
        <v>912</v>
      </c>
      <c r="S241" s="61"/>
      <c r="T241" s="61"/>
      <c r="U241" s="61"/>
      <c r="V241" s="61">
        <v>-2.1294618000000001</v>
      </c>
      <c r="W241" s="61">
        <v>106.16116599999999</v>
      </c>
      <c r="X241" s="63"/>
      <c r="Y241" s="63"/>
      <c r="Z241" s="61"/>
      <c r="AA241" s="63"/>
      <c r="AB241" s="63"/>
      <c r="AC241" s="64">
        <f t="shared" si="16"/>
        <v>0.63975155279503104</v>
      </c>
      <c r="AD241" s="64">
        <f t="shared" si="17"/>
        <v>1</v>
      </c>
    </row>
    <row r="242" spans="1:30" s="62" customFormat="1" ht="12.5">
      <c r="A242" s="66">
        <v>237</v>
      </c>
      <c r="B242" s="61" t="s">
        <v>660</v>
      </c>
      <c r="C242" s="62" t="s">
        <v>93</v>
      </c>
      <c r="D242" s="61" t="s">
        <v>356</v>
      </c>
      <c r="E242" s="61" t="s">
        <v>357</v>
      </c>
      <c r="F242" s="62" t="s">
        <v>661</v>
      </c>
      <c r="G242" s="62" t="s">
        <v>662</v>
      </c>
      <c r="H242" s="62" t="s">
        <v>663</v>
      </c>
      <c r="I242" s="62" t="s">
        <v>99</v>
      </c>
      <c r="J242" s="62">
        <v>2017</v>
      </c>
      <c r="K242" s="62">
        <v>140</v>
      </c>
      <c r="L242" s="61">
        <v>140</v>
      </c>
      <c r="M242" s="62">
        <v>140</v>
      </c>
      <c r="N242" s="62" t="s">
        <v>100</v>
      </c>
      <c r="O242" s="62" t="s">
        <v>101</v>
      </c>
      <c r="Q242" s="23" t="s">
        <v>912</v>
      </c>
      <c r="S242" s="61"/>
      <c r="T242" s="61"/>
      <c r="U242" s="61"/>
      <c r="V242" s="61">
        <v>-2.150156</v>
      </c>
      <c r="W242" s="61">
        <v>106.10794970000001</v>
      </c>
      <c r="X242" s="63"/>
      <c r="Y242" s="63"/>
      <c r="Z242" s="61"/>
      <c r="AA242" s="63"/>
      <c r="AB242" s="63"/>
      <c r="AC242" s="64">
        <f t="shared" si="16"/>
        <v>1</v>
      </c>
      <c r="AD242" s="64">
        <f t="shared" si="17"/>
        <v>1</v>
      </c>
    </row>
    <row r="243" spans="1:30" s="62" customFormat="1" ht="12.5">
      <c r="A243" s="66">
        <v>238</v>
      </c>
      <c r="B243" s="61" t="s">
        <v>664</v>
      </c>
      <c r="C243" s="62" t="s">
        <v>93</v>
      </c>
      <c r="D243" s="61" t="s">
        <v>356</v>
      </c>
      <c r="E243" s="61" t="s">
        <v>357</v>
      </c>
      <c r="F243" s="62" t="s">
        <v>665</v>
      </c>
      <c r="G243" s="62" t="s">
        <v>662</v>
      </c>
      <c r="H243" s="62" t="s">
        <v>663</v>
      </c>
      <c r="I243" s="62" t="s">
        <v>99</v>
      </c>
      <c r="J243" s="62">
        <v>2017</v>
      </c>
      <c r="K243" s="62">
        <v>15</v>
      </c>
      <c r="L243" s="61">
        <v>15</v>
      </c>
      <c r="M243" s="62">
        <v>6</v>
      </c>
      <c r="N243" s="62" t="s">
        <v>100</v>
      </c>
      <c r="O243" s="62" t="s">
        <v>101</v>
      </c>
      <c r="Q243" s="23" t="s">
        <v>912</v>
      </c>
      <c r="R243" s="23" t="s">
        <v>915</v>
      </c>
      <c r="S243" s="61"/>
      <c r="T243" s="61"/>
      <c r="U243" s="61"/>
      <c r="V243" s="61">
        <v>-2.1502162</v>
      </c>
      <c r="W243" s="61">
        <v>106.1080668</v>
      </c>
      <c r="X243" s="63"/>
      <c r="Y243" s="63"/>
      <c r="Z243" s="61"/>
      <c r="AA243" s="63"/>
      <c r="AB243" s="63"/>
      <c r="AC243" s="64">
        <f t="shared" si="16"/>
        <v>1</v>
      </c>
      <c r="AD243" s="64">
        <f t="shared" si="17"/>
        <v>0.4</v>
      </c>
    </row>
    <row r="244" spans="1:30" s="62" customFormat="1" ht="12.5">
      <c r="A244" s="66">
        <v>239</v>
      </c>
      <c r="B244" s="61" t="s">
        <v>666</v>
      </c>
      <c r="C244" s="62" t="s">
        <v>93</v>
      </c>
      <c r="D244" s="61" t="s">
        <v>356</v>
      </c>
      <c r="E244" s="61" t="s">
        <v>395</v>
      </c>
      <c r="F244" s="62" t="s">
        <v>667</v>
      </c>
      <c r="G244" s="62" t="s">
        <v>662</v>
      </c>
      <c r="H244" s="62" t="s">
        <v>663</v>
      </c>
      <c r="I244" s="62" t="s">
        <v>99</v>
      </c>
      <c r="J244" s="62">
        <v>2018</v>
      </c>
      <c r="K244" s="62">
        <v>20</v>
      </c>
      <c r="L244" s="61">
        <v>20</v>
      </c>
      <c r="M244" s="62">
        <v>4</v>
      </c>
      <c r="N244" s="62" t="s">
        <v>100</v>
      </c>
      <c r="O244" s="62" t="s">
        <v>101</v>
      </c>
      <c r="Q244" s="23" t="s">
        <v>912</v>
      </c>
      <c r="R244" s="23" t="s">
        <v>915</v>
      </c>
      <c r="S244" s="61"/>
      <c r="T244" s="61"/>
      <c r="U244" s="61"/>
      <c r="V244" s="61">
        <v>-2.1475719999999998</v>
      </c>
      <c r="W244" s="61">
        <v>106.12103399999999</v>
      </c>
      <c r="X244" s="63"/>
      <c r="Y244" s="63"/>
      <c r="Z244" s="61"/>
      <c r="AA244" s="63"/>
      <c r="AB244" s="63"/>
      <c r="AC244" s="64">
        <f t="shared" si="16"/>
        <v>1</v>
      </c>
      <c r="AD244" s="64">
        <f t="shared" si="17"/>
        <v>0.2</v>
      </c>
    </row>
    <row r="245" spans="1:30" s="62" customFormat="1" ht="12.5">
      <c r="A245" s="66">
        <v>240</v>
      </c>
      <c r="B245" s="61" t="s">
        <v>668</v>
      </c>
      <c r="C245" s="62" t="s">
        <v>93</v>
      </c>
      <c r="D245" s="61" t="s">
        <v>356</v>
      </c>
      <c r="E245" s="61" t="s">
        <v>357</v>
      </c>
      <c r="F245" s="62" t="s">
        <v>669</v>
      </c>
      <c r="G245" s="62" t="s">
        <v>662</v>
      </c>
      <c r="H245" s="62" t="s">
        <v>663</v>
      </c>
      <c r="I245" s="62" t="s">
        <v>99</v>
      </c>
      <c r="J245" s="62">
        <v>2018</v>
      </c>
      <c r="K245" s="62">
        <v>54</v>
      </c>
      <c r="L245" s="61">
        <v>31</v>
      </c>
      <c r="M245" s="62">
        <v>15</v>
      </c>
      <c r="N245" s="62" t="s">
        <v>100</v>
      </c>
      <c r="O245" s="62" t="s">
        <v>101</v>
      </c>
      <c r="Q245" s="23" t="s">
        <v>912</v>
      </c>
      <c r="R245" s="23" t="s">
        <v>915</v>
      </c>
      <c r="S245" s="61"/>
      <c r="T245" s="61"/>
      <c r="U245" s="61"/>
      <c r="V245" s="61">
        <v>-2.1529470000000002</v>
      </c>
      <c r="W245" s="61">
        <v>106.109098</v>
      </c>
      <c r="X245" s="63"/>
      <c r="Y245" s="63"/>
      <c r="Z245" s="61"/>
      <c r="AA245" s="63"/>
      <c r="AB245" s="63"/>
      <c r="AC245" s="64">
        <f t="shared" si="16"/>
        <v>0.57407407407407407</v>
      </c>
      <c r="AD245" s="64">
        <f t="shared" si="17"/>
        <v>0.4838709677419355</v>
      </c>
    </row>
    <row r="246" spans="1:30" s="62" customFormat="1" ht="12.5">
      <c r="A246" s="66">
        <v>241</v>
      </c>
      <c r="B246" s="61" t="s">
        <v>670</v>
      </c>
      <c r="C246" s="62" t="s">
        <v>93</v>
      </c>
      <c r="D246" s="61" t="s">
        <v>116</v>
      </c>
      <c r="E246" s="61" t="s">
        <v>144</v>
      </c>
      <c r="F246" s="62" t="s">
        <v>671</v>
      </c>
      <c r="G246" s="62" t="s">
        <v>101</v>
      </c>
      <c r="H246" s="62" t="s">
        <v>229</v>
      </c>
      <c r="I246" s="62" t="s">
        <v>121</v>
      </c>
      <c r="J246" s="62">
        <v>2015</v>
      </c>
      <c r="K246" s="62">
        <v>124</v>
      </c>
      <c r="L246" s="61">
        <v>124</v>
      </c>
      <c r="M246" s="62">
        <v>124</v>
      </c>
      <c r="N246" s="62" t="s">
        <v>100</v>
      </c>
      <c r="O246" s="62" t="s">
        <v>101</v>
      </c>
      <c r="Q246" s="23" t="s">
        <v>912</v>
      </c>
      <c r="S246" s="61"/>
      <c r="T246" s="61"/>
      <c r="U246" s="61"/>
      <c r="V246" s="61">
        <v>-2.0908703499999999</v>
      </c>
      <c r="W246" s="61">
        <v>106.10865029999999</v>
      </c>
      <c r="X246" s="63"/>
      <c r="Y246" s="63"/>
      <c r="Z246" s="61"/>
      <c r="AA246" s="63"/>
      <c r="AB246" s="63"/>
      <c r="AC246" s="64">
        <f t="shared" si="16"/>
        <v>1</v>
      </c>
      <c r="AD246" s="64">
        <f t="shared" si="17"/>
        <v>1</v>
      </c>
    </row>
    <row r="247" spans="1:30" s="62" customFormat="1" ht="12.5">
      <c r="A247" s="66">
        <v>242</v>
      </c>
      <c r="B247" s="61" t="s">
        <v>672</v>
      </c>
      <c r="C247" s="62" t="s">
        <v>93</v>
      </c>
      <c r="D247" s="61" t="s">
        <v>94</v>
      </c>
      <c r="E247" s="61" t="s">
        <v>103</v>
      </c>
      <c r="F247" s="62" t="s">
        <v>673</v>
      </c>
      <c r="G247" s="62" t="s">
        <v>674</v>
      </c>
      <c r="H247" s="62" t="s">
        <v>675</v>
      </c>
      <c r="I247" s="62" t="s">
        <v>101</v>
      </c>
      <c r="J247" s="62">
        <v>2017</v>
      </c>
      <c r="K247" s="62">
        <v>42</v>
      </c>
      <c r="L247" s="61">
        <v>37</v>
      </c>
      <c r="M247" s="62">
        <v>37</v>
      </c>
      <c r="N247" s="62" t="s">
        <v>100</v>
      </c>
      <c r="O247" s="62" t="s">
        <v>101</v>
      </c>
      <c r="Q247" s="23" t="s">
        <v>912</v>
      </c>
      <c r="R247" s="23" t="s">
        <v>915</v>
      </c>
      <c r="S247" s="61"/>
      <c r="T247" s="61"/>
      <c r="U247" s="61"/>
      <c r="V247" s="61">
        <v>-2.1266164000000001</v>
      </c>
      <c r="W247" s="61">
        <v>106.08298000000001</v>
      </c>
      <c r="X247" s="63"/>
      <c r="Y247" s="63"/>
      <c r="Z247" s="61"/>
      <c r="AA247" s="63"/>
      <c r="AB247" s="63"/>
      <c r="AC247" s="64">
        <f t="shared" si="16"/>
        <v>0.88095238095238093</v>
      </c>
      <c r="AD247" s="64">
        <f t="shared" si="17"/>
        <v>1</v>
      </c>
    </row>
    <row r="248" spans="1:30" s="62" customFormat="1" ht="12.5">
      <c r="A248" s="66">
        <v>243</v>
      </c>
      <c r="B248" s="61" t="s">
        <v>676</v>
      </c>
      <c r="C248" s="62" t="s">
        <v>93</v>
      </c>
      <c r="D248" s="61" t="s">
        <v>94</v>
      </c>
      <c r="E248" s="61" t="s">
        <v>95</v>
      </c>
      <c r="F248" s="62" t="s">
        <v>111</v>
      </c>
      <c r="G248" s="62" t="s">
        <v>101</v>
      </c>
      <c r="H248" s="62" t="s">
        <v>101</v>
      </c>
      <c r="I248" s="62" t="s">
        <v>101</v>
      </c>
      <c r="J248" s="62">
        <v>2017</v>
      </c>
      <c r="K248" s="62">
        <v>14</v>
      </c>
      <c r="L248" s="61">
        <v>14</v>
      </c>
      <c r="M248" s="62">
        <v>14</v>
      </c>
      <c r="N248" s="62" t="s">
        <v>100</v>
      </c>
      <c r="O248" s="62" t="s">
        <v>101</v>
      </c>
      <c r="Q248" s="23" t="s">
        <v>912</v>
      </c>
      <c r="R248" s="23" t="s">
        <v>915</v>
      </c>
      <c r="S248" s="61"/>
      <c r="T248" s="61"/>
      <c r="U248" s="61"/>
      <c r="V248" s="61">
        <v>-2.0969370000000001</v>
      </c>
      <c r="W248" s="61">
        <v>106.07986</v>
      </c>
      <c r="X248" s="63"/>
      <c r="Y248" s="63"/>
      <c r="Z248" s="61"/>
      <c r="AA248" s="63"/>
      <c r="AB248" s="63"/>
      <c r="AC248" s="64">
        <f t="shared" si="16"/>
        <v>1</v>
      </c>
      <c r="AD248" s="64">
        <f t="shared" si="17"/>
        <v>1</v>
      </c>
    </row>
    <row r="249" spans="1:30" s="62" customFormat="1" ht="12.5">
      <c r="A249" s="66">
        <v>244</v>
      </c>
      <c r="B249" s="61" t="s">
        <v>677</v>
      </c>
      <c r="C249" s="62" t="s">
        <v>93</v>
      </c>
      <c r="D249" s="61" t="s">
        <v>94</v>
      </c>
      <c r="E249" s="61" t="s">
        <v>95</v>
      </c>
      <c r="F249" s="62" t="s">
        <v>678</v>
      </c>
      <c r="G249" s="62" t="s">
        <v>679</v>
      </c>
      <c r="H249" s="62" t="s">
        <v>680</v>
      </c>
      <c r="I249" s="62" t="s">
        <v>99</v>
      </c>
      <c r="J249" s="62">
        <v>2021</v>
      </c>
      <c r="K249" s="62">
        <v>40</v>
      </c>
      <c r="L249" s="61">
        <v>26</v>
      </c>
      <c r="M249" s="62">
        <v>26</v>
      </c>
      <c r="N249" s="62" t="s">
        <v>100</v>
      </c>
      <c r="O249" s="62" t="s">
        <v>101</v>
      </c>
      <c r="Q249" s="23" t="s">
        <v>912</v>
      </c>
      <c r="S249" s="61"/>
      <c r="T249" s="11" t="s">
        <v>913</v>
      </c>
      <c r="U249" s="61"/>
      <c r="V249" s="61">
        <v>-2.09375</v>
      </c>
      <c r="W249" s="61">
        <v>106.07987799999999</v>
      </c>
      <c r="X249" s="63"/>
      <c r="Y249" s="63"/>
      <c r="Z249" s="61"/>
      <c r="AA249" s="63"/>
      <c r="AB249" s="63"/>
      <c r="AC249" s="64">
        <f t="shared" si="16"/>
        <v>0.65</v>
      </c>
      <c r="AD249" s="64">
        <f t="shared" si="17"/>
        <v>1</v>
      </c>
    </row>
    <row r="250" spans="1:30" s="62" customFormat="1" ht="12.5">
      <c r="A250" s="66">
        <v>245</v>
      </c>
      <c r="B250" s="61" t="s">
        <v>681</v>
      </c>
      <c r="C250" s="62" t="s">
        <v>93</v>
      </c>
      <c r="D250" s="61" t="s">
        <v>94</v>
      </c>
      <c r="E250" s="61" t="s">
        <v>103</v>
      </c>
      <c r="F250" s="62" t="s">
        <v>108</v>
      </c>
      <c r="G250" s="62" t="s">
        <v>456</v>
      </c>
      <c r="H250" s="62" t="s">
        <v>457</v>
      </c>
      <c r="I250" s="62" t="s">
        <v>247</v>
      </c>
      <c r="J250" s="62">
        <v>2019</v>
      </c>
      <c r="K250" s="62">
        <v>93</v>
      </c>
      <c r="L250" s="61">
        <v>61</v>
      </c>
      <c r="M250" s="62">
        <v>59</v>
      </c>
      <c r="N250" s="62" t="s">
        <v>105</v>
      </c>
      <c r="O250" s="62">
        <v>2025</v>
      </c>
      <c r="Q250" s="23" t="s">
        <v>912</v>
      </c>
      <c r="S250" s="61"/>
      <c r="T250" s="61"/>
      <c r="U250" s="61"/>
      <c r="V250" s="61">
        <v>-2.1240772300000001</v>
      </c>
      <c r="W250" s="61">
        <v>106.0698871</v>
      </c>
      <c r="X250" s="63"/>
      <c r="Y250" s="63"/>
      <c r="Z250" s="61"/>
      <c r="AA250" s="63"/>
      <c r="AB250" s="63"/>
      <c r="AC250" s="64">
        <f t="shared" si="16"/>
        <v>0.65591397849462363</v>
      </c>
      <c r="AD250" s="64">
        <f t="shared" si="17"/>
        <v>0.96721311475409832</v>
      </c>
    </row>
    <row r="251" spans="1:30" s="62" customFormat="1" ht="12.5">
      <c r="A251" s="66">
        <v>246</v>
      </c>
      <c r="B251" s="61" t="s">
        <v>682</v>
      </c>
      <c r="C251" s="62" t="s">
        <v>93</v>
      </c>
      <c r="D251" s="61" t="s">
        <v>116</v>
      </c>
      <c r="E251" s="61" t="s">
        <v>144</v>
      </c>
      <c r="F251" s="62" t="s">
        <v>683</v>
      </c>
      <c r="G251" s="62" t="s">
        <v>119</v>
      </c>
      <c r="H251" s="62" t="s">
        <v>120</v>
      </c>
      <c r="I251" s="62" t="s">
        <v>101</v>
      </c>
      <c r="J251" s="62">
        <v>2018</v>
      </c>
      <c r="K251" s="62">
        <v>74</v>
      </c>
      <c r="L251" s="61">
        <v>74</v>
      </c>
      <c r="M251" s="62">
        <v>74</v>
      </c>
      <c r="N251" s="62" t="s">
        <v>100</v>
      </c>
      <c r="O251" s="62" t="s">
        <v>101</v>
      </c>
      <c r="Q251" s="23" t="s">
        <v>912</v>
      </c>
      <c r="R251" s="23" t="s">
        <v>915</v>
      </c>
      <c r="S251" s="61"/>
      <c r="T251" s="11" t="s">
        <v>913</v>
      </c>
      <c r="U251" s="61"/>
      <c r="V251" s="61">
        <v>-2.0777771</v>
      </c>
      <c r="W251" s="61">
        <v>106.1188729</v>
      </c>
      <c r="X251" s="63"/>
      <c r="Y251" s="63"/>
      <c r="Z251" s="61"/>
      <c r="AA251" s="63"/>
      <c r="AB251" s="63"/>
      <c r="AC251" s="64">
        <f t="shared" si="16"/>
        <v>1</v>
      </c>
      <c r="AD251" s="64">
        <f t="shared" si="17"/>
        <v>1</v>
      </c>
    </row>
    <row r="252" spans="1:30" s="62" customFormat="1" ht="12.5">
      <c r="A252" s="66">
        <v>247</v>
      </c>
      <c r="B252" s="61" t="s">
        <v>684</v>
      </c>
      <c r="C252" s="62" t="s">
        <v>222</v>
      </c>
      <c r="D252" s="61" t="s">
        <v>356</v>
      </c>
      <c r="E252" s="61" t="s">
        <v>357</v>
      </c>
      <c r="F252" s="62" t="s">
        <v>685</v>
      </c>
      <c r="G252" s="62" t="s">
        <v>101</v>
      </c>
      <c r="H252" s="62" t="s">
        <v>686</v>
      </c>
      <c r="I252" s="62" t="s">
        <v>101</v>
      </c>
      <c r="J252" s="62" t="s">
        <v>101</v>
      </c>
      <c r="K252" s="62">
        <v>0</v>
      </c>
      <c r="L252" s="61">
        <v>0</v>
      </c>
      <c r="M252" s="62">
        <v>0</v>
      </c>
      <c r="N252" s="62" t="s">
        <v>100</v>
      </c>
      <c r="O252" s="62" t="s">
        <v>101</v>
      </c>
      <c r="Q252" s="62" t="s">
        <v>914</v>
      </c>
      <c r="S252" s="61"/>
      <c r="T252" s="61"/>
      <c r="U252" s="61"/>
      <c r="V252" s="61">
        <v>-2.1464112000000002</v>
      </c>
      <c r="W252" s="61">
        <v>106.11293240000001</v>
      </c>
      <c r="X252" s="63"/>
      <c r="Y252" s="63"/>
      <c r="Z252" s="61"/>
      <c r="AA252" s="63"/>
      <c r="AB252" s="63"/>
      <c r="AC252" s="64">
        <f t="shared" si="16"/>
        <v>0</v>
      </c>
      <c r="AD252" s="64">
        <f t="shared" si="17"/>
        <v>0</v>
      </c>
    </row>
    <row r="253" spans="1:30" s="62" customFormat="1" ht="12.5">
      <c r="A253" s="66">
        <v>248</v>
      </c>
      <c r="B253" s="61" t="s">
        <v>687</v>
      </c>
      <c r="C253" s="62" t="s">
        <v>93</v>
      </c>
      <c r="D253" s="61" t="s">
        <v>94</v>
      </c>
      <c r="E253" s="61" t="s">
        <v>95</v>
      </c>
      <c r="F253" s="62" t="s">
        <v>157</v>
      </c>
      <c r="G253" s="62" t="s">
        <v>688</v>
      </c>
      <c r="H253" s="62" t="s">
        <v>611</v>
      </c>
      <c r="I253" s="62" t="s">
        <v>218</v>
      </c>
      <c r="J253" s="62">
        <v>2017</v>
      </c>
      <c r="K253" s="62">
        <v>43</v>
      </c>
      <c r="L253" s="61">
        <v>22</v>
      </c>
      <c r="M253" s="62">
        <v>22</v>
      </c>
      <c r="N253" s="62" t="s">
        <v>100</v>
      </c>
      <c r="O253" s="62" t="s">
        <v>101</v>
      </c>
      <c r="Q253" s="23" t="s">
        <v>912</v>
      </c>
      <c r="R253" s="23" t="s">
        <v>915</v>
      </c>
      <c r="S253" s="61"/>
      <c r="T253" s="61"/>
      <c r="U253" s="61"/>
      <c r="V253" s="61">
        <v>-2.1051739999999999</v>
      </c>
      <c r="W253" s="61">
        <v>106.06204700000001</v>
      </c>
      <c r="X253" s="63"/>
      <c r="Y253" s="63"/>
      <c r="Z253" s="61"/>
      <c r="AA253" s="63"/>
      <c r="AB253" s="63"/>
      <c r="AC253" s="64">
        <f t="shared" si="16"/>
        <v>0.51162790697674421</v>
      </c>
      <c r="AD253" s="64">
        <f t="shared" si="17"/>
        <v>1</v>
      </c>
    </row>
    <row r="254" spans="1:30" s="62" customFormat="1" ht="12.5">
      <c r="A254" s="66">
        <v>249</v>
      </c>
      <c r="B254" s="61" t="s">
        <v>689</v>
      </c>
      <c r="C254" s="62" t="s">
        <v>93</v>
      </c>
      <c r="D254" s="61" t="s">
        <v>94</v>
      </c>
      <c r="E254" s="61" t="s">
        <v>95</v>
      </c>
      <c r="F254" s="62" t="s">
        <v>111</v>
      </c>
      <c r="G254" s="62" t="s">
        <v>688</v>
      </c>
      <c r="H254" s="62" t="s">
        <v>611</v>
      </c>
      <c r="I254" s="62" t="s">
        <v>218</v>
      </c>
      <c r="J254" s="62">
        <v>2017</v>
      </c>
      <c r="K254" s="62">
        <v>37</v>
      </c>
      <c r="L254" s="61">
        <v>37</v>
      </c>
      <c r="M254" s="62">
        <v>37</v>
      </c>
      <c r="N254" s="62" t="s">
        <v>100</v>
      </c>
      <c r="O254" s="62" t="s">
        <v>101</v>
      </c>
      <c r="Q254" s="23" t="s">
        <v>912</v>
      </c>
      <c r="S254" s="61"/>
      <c r="T254" s="61"/>
      <c r="U254" s="61"/>
      <c r="V254" s="61">
        <v>-2.098738</v>
      </c>
      <c r="W254" s="61">
        <v>106.080535</v>
      </c>
      <c r="X254" s="63"/>
      <c r="Y254" s="63"/>
      <c r="Z254" s="61"/>
      <c r="AA254" s="63"/>
      <c r="AB254" s="63"/>
      <c r="AC254" s="64">
        <f t="shared" si="16"/>
        <v>1</v>
      </c>
      <c r="AD254" s="64">
        <f t="shared" si="17"/>
        <v>1</v>
      </c>
    </row>
    <row r="255" spans="1:30" s="62" customFormat="1" ht="12.5">
      <c r="A255" s="66">
        <v>250</v>
      </c>
      <c r="B255" s="61" t="s">
        <v>690</v>
      </c>
      <c r="C255" s="62" t="s">
        <v>93</v>
      </c>
      <c r="D255" s="61" t="s">
        <v>116</v>
      </c>
      <c r="E255" s="61" t="s">
        <v>317</v>
      </c>
      <c r="F255" s="62" t="s">
        <v>691</v>
      </c>
      <c r="G255" s="62" t="s">
        <v>688</v>
      </c>
      <c r="H255" s="62" t="s">
        <v>611</v>
      </c>
      <c r="I255" s="62" t="s">
        <v>218</v>
      </c>
      <c r="J255" s="62">
        <v>2017</v>
      </c>
      <c r="K255" s="62">
        <v>20</v>
      </c>
      <c r="L255" s="61">
        <v>12</v>
      </c>
      <c r="M255" s="62">
        <v>12</v>
      </c>
      <c r="N255" s="62" t="s">
        <v>100</v>
      </c>
      <c r="O255" s="62" t="s">
        <v>101</v>
      </c>
      <c r="Q255" s="23" t="s">
        <v>912</v>
      </c>
      <c r="S255" s="61"/>
      <c r="T255" s="61"/>
      <c r="U255" s="61"/>
      <c r="V255" s="61">
        <v>-2.0909575</v>
      </c>
      <c r="W255" s="61">
        <v>106.120243</v>
      </c>
      <c r="X255" s="63"/>
      <c r="Y255" s="63"/>
      <c r="Z255" s="61"/>
      <c r="AA255" s="63"/>
      <c r="AB255" s="63"/>
      <c r="AC255" s="64">
        <f t="shared" si="16"/>
        <v>0.6</v>
      </c>
      <c r="AD255" s="64">
        <f t="shared" si="17"/>
        <v>1</v>
      </c>
    </row>
    <row r="256" spans="1:30" s="62" customFormat="1" ht="12.5">
      <c r="A256" s="66">
        <v>251</v>
      </c>
      <c r="B256" s="61" t="s">
        <v>692</v>
      </c>
      <c r="C256" s="62" t="s">
        <v>93</v>
      </c>
      <c r="D256" s="61" t="s">
        <v>116</v>
      </c>
      <c r="E256" s="61" t="s">
        <v>144</v>
      </c>
      <c r="F256" s="62" t="s">
        <v>260</v>
      </c>
      <c r="G256" s="62" t="s">
        <v>101</v>
      </c>
      <c r="H256" s="62" t="s">
        <v>101</v>
      </c>
      <c r="I256" s="62" t="s">
        <v>101</v>
      </c>
      <c r="J256" s="62">
        <v>2008</v>
      </c>
      <c r="K256" s="62">
        <v>102</v>
      </c>
      <c r="L256" s="61">
        <v>102</v>
      </c>
      <c r="M256" s="62">
        <v>102</v>
      </c>
      <c r="N256" s="62" t="s">
        <v>100</v>
      </c>
      <c r="O256" s="62" t="s">
        <v>101</v>
      </c>
      <c r="Q256" s="23" t="s">
        <v>912</v>
      </c>
      <c r="S256" s="61" t="s">
        <v>916</v>
      </c>
      <c r="T256" s="61"/>
      <c r="U256" s="61"/>
      <c r="V256" s="61">
        <v>-2.076136</v>
      </c>
      <c r="W256" s="61">
        <v>106.1255896</v>
      </c>
      <c r="X256" s="63"/>
      <c r="Y256" s="63"/>
      <c r="Z256" s="61"/>
      <c r="AA256" s="63"/>
      <c r="AB256" s="63"/>
      <c r="AC256" s="64">
        <f t="shared" si="16"/>
        <v>1</v>
      </c>
      <c r="AD256" s="64">
        <f t="shared" si="17"/>
        <v>1</v>
      </c>
    </row>
    <row r="257" spans="1:30" s="62" customFormat="1" ht="12.5">
      <c r="A257" s="66">
        <v>252</v>
      </c>
      <c r="B257" s="61" t="s">
        <v>693</v>
      </c>
      <c r="C257" s="62" t="s">
        <v>93</v>
      </c>
      <c r="D257" s="61" t="s">
        <v>135</v>
      </c>
      <c r="E257" s="61" t="s">
        <v>253</v>
      </c>
      <c r="F257" s="62" t="s">
        <v>694</v>
      </c>
      <c r="G257" s="62" t="s">
        <v>695</v>
      </c>
      <c r="H257" s="62" t="s">
        <v>696</v>
      </c>
      <c r="I257" s="62" t="s">
        <v>101</v>
      </c>
      <c r="J257" s="62">
        <v>2025</v>
      </c>
      <c r="K257" s="62">
        <v>47</v>
      </c>
      <c r="L257" s="61">
        <v>0</v>
      </c>
      <c r="M257" s="62">
        <v>0</v>
      </c>
      <c r="N257" s="62" t="s">
        <v>100</v>
      </c>
      <c r="O257" s="62" t="s">
        <v>101</v>
      </c>
      <c r="Q257" s="23" t="s">
        <v>912</v>
      </c>
      <c r="S257" s="61"/>
      <c r="T257" s="61"/>
      <c r="U257" s="61"/>
      <c r="V257" s="61"/>
      <c r="W257" s="61"/>
      <c r="X257" s="63"/>
      <c r="Y257" s="63"/>
      <c r="Z257" s="61"/>
      <c r="AA257" s="63"/>
      <c r="AB257" s="63"/>
      <c r="AC257" s="64">
        <f t="shared" si="16"/>
        <v>0</v>
      </c>
      <c r="AD257" s="64">
        <f t="shared" si="17"/>
        <v>0</v>
      </c>
    </row>
    <row r="258" spans="1:30" s="62" customFormat="1" ht="12.5">
      <c r="A258" s="66">
        <v>253</v>
      </c>
      <c r="B258" s="61" t="s">
        <v>697</v>
      </c>
      <c r="C258" s="62" t="s">
        <v>93</v>
      </c>
      <c r="D258" s="61" t="s">
        <v>152</v>
      </c>
      <c r="E258" s="61" t="s">
        <v>264</v>
      </c>
      <c r="F258" s="62" t="s">
        <v>698</v>
      </c>
      <c r="G258" s="62" t="s">
        <v>101</v>
      </c>
      <c r="H258" s="62" t="s">
        <v>101</v>
      </c>
      <c r="I258" s="62" t="s">
        <v>165</v>
      </c>
      <c r="J258" s="62">
        <v>2016</v>
      </c>
      <c r="K258" s="62">
        <v>0</v>
      </c>
      <c r="L258" s="61">
        <v>23</v>
      </c>
      <c r="M258" s="62">
        <v>23</v>
      </c>
      <c r="N258" s="62" t="s">
        <v>100</v>
      </c>
      <c r="O258" s="62" t="s">
        <v>101</v>
      </c>
      <c r="Q258" s="23" t="s">
        <v>912</v>
      </c>
      <c r="S258" s="61"/>
      <c r="T258" s="61"/>
      <c r="U258" s="61"/>
      <c r="V258" s="61">
        <v>-2.0918006</v>
      </c>
      <c r="W258" s="61">
        <v>106.12090499999999</v>
      </c>
      <c r="X258" s="63"/>
      <c r="Y258" s="63"/>
      <c r="Z258" s="61"/>
      <c r="AA258" s="63"/>
      <c r="AB258" s="63"/>
      <c r="AC258" s="64">
        <f t="shared" si="16"/>
        <v>0</v>
      </c>
      <c r="AD258" s="64">
        <f t="shared" si="17"/>
        <v>1</v>
      </c>
    </row>
    <row r="259" spans="1:30" s="62" customFormat="1" ht="12.5">
      <c r="A259" s="66">
        <v>254</v>
      </c>
      <c r="B259" s="61" t="s">
        <v>699</v>
      </c>
      <c r="C259" s="62" t="s">
        <v>93</v>
      </c>
      <c r="D259" s="61" t="s">
        <v>152</v>
      </c>
      <c r="E259" s="61" t="s">
        <v>264</v>
      </c>
      <c r="F259" s="62" t="s">
        <v>698</v>
      </c>
      <c r="G259" s="62" t="s">
        <v>700</v>
      </c>
      <c r="H259" s="62" t="s">
        <v>701</v>
      </c>
      <c r="I259" s="62" t="s">
        <v>165</v>
      </c>
      <c r="J259" s="62">
        <v>2017</v>
      </c>
      <c r="K259" s="62">
        <v>135</v>
      </c>
      <c r="L259" s="61">
        <v>135</v>
      </c>
      <c r="M259" s="62">
        <v>135</v>
      </c>
      <c r="N259" s="62" t="s">
        <v>100</v>
      </c>
      <c r="O259" s="62" t="s">
        <v>101</v>
      </c>
      <c r="Q259" s="23" t="s">
        <v>912</v>
      </c>
      <c r="S259" s="61"/>
      <c r="T259" s="61"/>
      <c r="U259" s="61"/>
      <c r="V259" s="61">
        <v>-2.0912660000000001</v>
      </c>
      <c r="W259" s="61">
        <v>106.120482</v>
      </c>
      <c r="X259" s="63"/>
      <c r="Y259" s="63"/>
      <c r="Z259" s="61"/>
      <c r="AA259" s="63"/>
      <c r="AB259" s="63"/>
      <c r="AC259" s="64">
        <f t="shared" si="16"/>
        <v>1</v>
      </c>
      <c r="AD259" s="64">
        <f t="shared" si="17"/>
        <v>1</v>
      </c>
    </row>
    <row r="260" spans="1:30" s="62" customFormat="1" ht="12.5">
      <c r="A260" s="66">
        <v>255</v>
      </c>
      <c r="B260" s="61" t="s">
        <v>702</v>
      </c>
      <c r="C260" s="62" t="s">
        <v>93</v>
      </c>
      <c r="D260" s="61" t="s">
        <v>135</v>
      </c>
      <c r="E260" s="61" t="s">
        <v>174</v>
      </c>
      <c r="F260" s="62" t="s">
        <v>215</v>
      </c>
      <c r="G260" s="62" t="s">
        <v>703</v>
      </c>
      <c r="H260" s="62" t="s">
        <v>704</v>
      </c>
      <c r="I260" s="62" t="s">
        <v>165</v>
      </c>
      <c r="J260" s="62">
        <v>2018</v>
      </c>
      <c r="K260" s="62">
        <v>87</v>
      </c>
      <c r="L260" s="61">
        <v>87</v>
      </c>
      <c r="M260" s="62">
        <v>87</v>
      </c>
      <c r="N260" s="62" t="s">
        <v>100</v>
      </c>
      <c r="O260" s="62" t="s">
        <v>101</v>
      </c>
      <c r="Q260" s="23" t="s">
        <v>912</v>
      </c>
      <c r="S260" s="61"/>
      <c r="T260" s="61"/>
      <c r="U260" s="61"/>
      <c r="V260" s="61">
        <v>-2.1379876000000002</v>
      </c>
      <c r="W260" s="61">
        <v>106.168387</v>
      </c>
      <c r="X260" s="63"/>
      <c r="Y260" s="63"/>
      <c r="Z260" s="61"/>
      <c r="AA260" s="63"/>
      <c r="AB260" s="63"/>
      <c r="AC260" s="64">
        <f t="shared" si="16"/>
        <v>1</v>
      </c>
      <c r="AD260" s="64">
        <f t="shared" si="17"/>
        <v>1</v>
      </c>
    </row>
    <row r="261" spans="1:30" s="62" customFormat="1" ht="12.5">
      <c r="A261" s="66">
        <v>256</v>
      </c>
      <c r="B261" s="61" t="s">
        <v>705</v>
      </c>
      <c r="C261" s="62" t="s">
        <v>93</v>
      </c>
      <c r="D261" s="61" t="s">
        <v>135</v>
      </c>
      <c r="E261" s="61" t="s">
        <v>174</v>
      </c>
      <c r="F261" s="62" t="s">
        <v>430</v>
      </c>
      <c r="G261" s="62" t="s">
        <v>706</v>
      </c>
      <c r="H261" s="62" t="s">
        <v>704</v>
      </c>
      <c r="I261" s="62" t="s">
        <v>165</v>
      </c>
      <c r="J261" s="62">
        <v>2020</v>
      </c>
      <c r="K261" s="62">
        <v>90</v>
      </c>
      <c r="L261" s="61">
        <v>78</v>
      </c>
      <c r="M261" s="62">
        <v>67</v>
      </c>
      <c r="N261" s="62" t="s">
        <v>100</v>
      </c>
      <c r="O261" s="62" t="s">
        <v>101</v>
      </c>
      <c r="Q261" s="23" t="s">
        <v>912</v>
      </c>
      <c r="S261" s="61"/>
      <c r="T261" s="61"/>
      <c r="U261" s="61"/>
      <c r="V261" s="61">
        <v>-2.1226579000000001</v>
      </c>
      <c r="W261" s="61">
        <v>106.1613675</v>
      </c>
      <c r="X261" s="63"/>
      <c r="Y261" s="63"/>
      <c r="Z261" s="61"/>
      <c r="AA261" s="63"/>
      <c r="AB261" s="63"/>
      <c r="AC261" s="64">
        <f t="shared" si="16"/>
        <v>0.8666666666666667</v>
      </c>
      <c r="AD261" s="64">
        <f t="shared" si="17"/>
        <v>0.85897435897435892</v>
      </c>
    </row>
    <row r="262" spans="1:30" s="62" customFormat="1" ht="12.5">
      <c r="A262" s="66">
        <v>257</v>
      </c>
      <c r="B262" s="61" t="s">
        <v>707</v>
      </c>
      <c r="C262" s="62" t="s">
        <v>93</v>
      </c>
      <c r="D262" s="61" t="s">
        <v>135</v>
      </c>
      <c r="E262" s="61" t="s">
        <v>174</v>
      </c>
      <c r="F262" s="62" t="s">
        <v>215</v>
      </c>
      <c r="G262" s="62" t="s">
        <v>706</v>
      </c>
      <c r="H262" s="62" t="s">
        <v>704</v>
      </c>
      <c r="I262" s="62" t="s">
        <v>165</v>
      </c>
      <c r="J262" s="62">
        <v>2020</v>
      </c>
      <c r="K262" s="62">
        <v>103</v>
      </c>
      <c r="L262" s="61">
        <v>98</v>
      </c>
      <c r="M262" s="62">
        <v>75</v>
      </c>
      <c r="N262" s="62" t="s">
        <v>100</v>
      </c>
      <c r="O262" s="62" t="s">
        <v>101</v>
      </c>
      <c r="Q262" s="23" t="s">
        <v>912</v>
      </c>
      <c r="S262" s="61"/>
      <c r="T262" s="61"/>
      <c r="U262" s="61"/>
      <c r="V262" s="61">
        <v>-2.1379977000000001</v>
      </c>
      <c r="W262" s="61">
        <v>106.17180449999999</v>
      </c>
      <c r="X262" s="63"/>
      <c r="Y262" s="63"/>
      <c r="Z262" s="61"/>
      <c r="AA262" s="63"/>
      <c r="AB262" s="63"/>
      <c r="AC262" s="64">
        <f t="shared" si="16"/>
        <v>0.95145631067961167</v>
      </c>
      <c r="AD262" s="64">
        <f t="shared" si="17"/>
        <v>0.76530612244897955</v>
      </c>
    </row>
    <row r="263" spans="1:30" s="62" customFormat="1" ht="12.5">
      <c r="A263" s="66">
        <v>258</v>
      </c>
      <c r="B263" s="61" t="s">
        <v>708</v>
      </c>
      <c r="C263" s="62" t="s">
        <v>93</v>
      </c>
      <c r="D263" s="61" t="s">
        <v>94</v>
      </c>
      <c r="E263" s="61" t="s">
        <v>95</v>
      </c>
      <c r="F263" s="62" t="s">
        <v>157</v>
      </c>
      <c r="G263" s="62" t="s">
        <v>706</v>
      </c>
      <c r="H263" s="62" t="s">
        <v>709</v>
      </c>
      <c r="I263" s="62" t="s">
        <v>165</v>
      </c>
      <c r="J263" s="62">
        <v>2023</v>
      </c>
      <c r="K263" s="62">
        <v>49</v>
      </c>
      <c r="L263" s="61">
        <v>49</v>
      </c>
      <c r="M263" s="62">
        <v>49</v>
      </c>
      <c r="N263" s="62" t="s">
        <v>100</v>
      </c>
      <c r="O263" s="62" t="s">
        <v>101</v>
      </c>
      <c r="Q263" s="23" t="s">
        <v>912</v>
      </c>
      <c r="S263" s="61"/>
      <c r="T263" s="61"/>
      <c r="U263" s="61"/>
      <c r="V263" s="61">
        <v>-2.1036215</v>
      </c>
      <c r="W263" s="61">
        <v>106.0576501</v>
      </c>
      <c r="X263" s="63"/>
      <c r="Y263" s="63"/>
      <c r="Z263" s="61"/>
      <c r="AA263" s="63"/>
      <c r="AB263" s="63"/>
      <c r="AC263" s="64">
        <f t="shared" si="16"/>
        <v>1</v>
      </c>
      <c r="AD263" s="64">
        <f t="shared" si="17"/>
        <v>1</v>
      </c>
    </row>
    <row r="264" spans="1:30" s="62" customFormat="1" ht="12.5">
      <c r="A264" s="66">
        <v>259</v>
      </c>
      <c r="B264" s="61" t="s">
        <v>710</v>
      </c>
      <c r="C264" s="62" t="s">
        <v>93</v>
      </c>
      <c r="D264" s="61" t="s">
        <v>152</v>
      </c>
      <c r="E264" s="61" t="s">
        <v>264</v>
      </c>
      <c r="F264" s="62" t="s">
        <v>698</v>
      </c>
      <c r="G264" s="62" t="s">
        <v>706</v>
      </c>
      <c r="H264" s="62" t="s">
        <v>711</v>
      </c>
      <c r="I264" s="62" t="s">
        <v>165</v>
      </c>
      <c r="J264" s="62">
        <v>2023</v>
      </c>
      <c r="K264" s="62">
        <v>72</v>
      </c>
      <c r="L264" s="61">
        <v>72</v>
      </c>
      <c r="M264" s="62">
        <v>72</v>
      </c>
      <c r="N264" s="62" t="s">
        <v>100</v>
      </c>
      <c r="O264" s="62" t="s">
        <v>101</v>
      </c>
      <c r="Q264" s="23" t="s">
        <v>912</v>
      </c>
      <c r="S264" s="61"/>
      <c r="T264" s="61"/>
      <c r="U264" s="61"/>
      <c r="V264" s="61">
        <v>-2.092371</v>
      </c>
      <c r="W264" s="61">
        <v>106.12151299999999</v>
      </c>
      <c r="X264" s="63"/>
      <c r="Y264" s="63"/>
      <c r="Z264" s="61"/>
      <c r="AA264" s="63"/>
      <c r="AB264" s="63"/>
      <c r="AC264" s="64">
        <f t="shared" si="16"/>
        <v>1</v>
      </c>
      <c r="AD264" s="64">
        <f t="shared" si="17"/>
        <v>1</v>
      </c>
    </row>
    <row r="265" spans="1:30" s="62" customFormat="1" ht="12.5">
      <c r="A265" s="66">
        <v>260</v>
      </c>
      <c r="B265" s="61" t="s">
        <v>712</v>
      </c>
      <c r="C265" s="62" t="s">
        <v>93</v>
      </c>
      <c r="D265" s="61" t="s">
        <v>152</v>
      </c>
      <c r="E265" s="61" t="s">
        <v>264</v>
      </c>
      <c r="F265" s="62" t="s">
        <v>698</v>
      </c>
      <c r="G265" s="62" t="s">
        <v>706</v>
      </c>
      <c r="H265" s="62" t="s">
        <v>711</v>
      </c>
      <c r="I265" s="62" t="s">
        <v>165</v>
      </c>
      <c r="J265" s="62">
        <v>2023</v>
      </c>
      <c r="K265" s="62">
        <v>124</v>
      </c>
      <c r="L265" s="61">
        <v>81</v>
      </c>
      <c r="M265" s="62">
        <v>0</v>
      </c>
      <c r="N265" s="62" t="s">
        <v>100</v>
      </c>
      <c r="O265" s="62" t="s">
        <v>101</v>
      </c>
      <c r="Q265" s="23" t="s">
        <v>912</v>
      </c>
      <c r="S265" s="61"/>
      <c r="T265" s="61"/>
      <c r="U265" s="61"/>
      <c r="V265" s="61">
        <v>-2.0902560000000001</v>
      </c>
      <c r="W265" s="61">
        <v>106.12343199999999</v>
      </c>
      <c r="X265" s="63"/>
      <c r="Y265" s="63"/>
      <c r="Z265" s="61"/>
      <c r="AA265" s="63"/>
      <c r="AB265" s="63"/>
      <c r="AC265" s="64">
        <f t="shared" si="16"/>
        <v>0.65322580645161288</v>
      </c>
      <c r="AD265" s="64">
        <f t="shared" si="17"/>
        <v>0</v>
      </c>
    </row>
    <row r="266" spans="1:30" s="62" customFormat="1" ht="12.5">
      <c r="A266" s="66">
        <v>261</v>
      </c>
      <c r="B266" s="61" t="s">
        <v>713</v>
      </c>
      <c r="C266" s="62" t="s">
        <v>93</v>
      </c>
      <c r="D266" s="61" t="s">
        <v>135</v>
      </c>
      <c r="E266" s="61" t="s">
        <v>148</v>
      </c>
      <c r="F266" s="62" t="s">
        <v>633</v>
      </c>
      <c r="G266" s="62" t="s">
        <v>706</v>
      </c>
      <c r="H266" s="62" t="s">
        <v>711</v>
      </c>
      <c r="I266" s="62" t="s">
        <v>165</v>
      </c>
      <c r="J266" s="62">
        <v>2023</v>
      </c>
      <c r="K266" s="62">
        <v>114</v>
      </c>
      <c r="L266" s="61">
        <v>79</v>
      </c>
      <c r="M266" s="62">
        <v>45</v>
      </c>
      <c r="N266" s="62" t="s">
        <v>100</v>
      </c>
      <c r="O266" s="62" t="s">
        <v>101</v>
      </c>
      <c r="Q266" s="23" t="s">
        <v>912</v>
      </c>
      <c r="S266" s="61"/>
      <c r="T266" s="61"/>
      <c r="U266" s="61"/>
      <c r="V266" s="61">
        <v>-2.1461264999999998</v>
      </c>
      <c r="W266" s="61">
        <v>106.16679739999999</v>
      </c>
      <c r="X266" s="63"/>
      <c r="Y266" s="63"/>
      <c r="Z266" s="61"/>
      <c r="AA266" s="63"/>
      <c r="AB266" s="63"/>
      <c r="AC266" s="64">
        <f t="shared" si="16"/>
        <v>0.69298245614035092</v>
      </c>
      <c r="AD266" s="64">
        <f t="shared" si="17"/>
        <v>0.569620253164557</v>
      </c>
    </row>
    <row r="267" spans="1:30" s="62" customFormat="1" ht="12.5">
      <c r="A267" s="66">
        <v>262</v>
      </c>
      <c r="B267" s="61" t="s">
        <v>714</v>
      </c>
      <c r="C267" s="62" t="s">
        <v>93</v>
      </c>
      <c r="D267" s="61" t="s">
        <v>94</v>
      </c>
      <c r="E267" s="61" t="s">
        <v>95</v>
      </c>
      <c r="F267" s="62" t="s">
        <v>157</v>
      </c>
      <c r="G267" s="62" t="s">
        <v>706</v>
      </c>
      <c r="H267" s="62" t="s">
        <v>101</v>
      </c>
      <c r="I267" s="62" t="s">
        <v>101</v>
      </c>
      <c r="J267" s="62">
        <v>2024</v>
      </c>
      <c r="K267" s="62">
        <v>128</v>
      </c>
      <c r="L267" s="61">
        <v>0</v>
      </c>
      <c r="M267" s="62">
        <v>0</v>
      </c>
      <c r="N267" s="62" t="s">
        <v>100</v>
      </c>
      <c r="O267" s="62" t="s">
        <v>101</v>
      </c>
      <c r="Q267" s="23" t="s">
        <v>912</v>
      </c>
      <c r="S267" s="61"/>
      <c r="T267" s="61"/>
      <c r="U267" s="61"/>
      <c r="V267" s="61">
        <v>-2.1040605000000001</v>
      </c>
      <c r="W267" s="61">
        <v>106.05412440000001</v>
      </c>
      <c r="X267" s="63"/>
      <c r="Y267" s="63"/>
      <c r="Z267" s="61"/>
      <c r="AA267" s="63"/>
      <c r="AB267" s="63"/>
      <c r="AC267" s="64">
        <f t="shared" si="16"/>
        <v>0</v>
      </c>
      <c r="AD267" s="64">
        <f t="shared" si="17"/>
        <v>0</v>
      </c>
    </row>
    <row r="268" spans="1:30" s="62" customFormat="1" ht="12.5">
      <c r="A268" s="66">
        <v>263</v>
      </c>
      <c r="B268" s="61" t="s">
        <v>715</v>
      </c>
      <c r="C268" s="62" t="s">
        <v>93</v>
      </c>
      <c r="D268" s="61" t="s">
        <v>94</v>
      </c>
      <c r="E268" s="61" t="s">
        <v>95</v>
      </c>
      <c r="F268" s="62" t="s">
        <v>716</v>
      </c>
      <c r="G268" s="62" t="s">
        <v>717</v>
      </c>
      <c r="H268" s="62" t="s">
        <v>718</v>
      </c>
      <c r="I268" s="62" t="s">
        <v>101</v>
      </c>
      <c r="J268" s="62">
        <v>2017</v>
      </c>
      <c r="K268" s="62">
        <v>75</v>
      </c>
      <c r="L268" s="61">
        <v>75</v>
      </c>
      <c r="M268" s="62">
        <v>75</v>
      </c>
      <c r="N268" s="62" t="s">
        <v>100</v>
      </c>
      <c r="O268" s="62" t="s">
        <v>101</v>
      </c>
      <c r="Q268" s="23" t="s">
        <v>912</v>
      </c>
      <c r="S268" s="61"/>
      <c r="T268" s="61"/>
      <c r="U268" s="61"/>
      <c r="V268" s="61">
        <v>-2.0974035999999998</v>
      </c>
      <c r="W268" s="61">
        <v>106.08062150000001</v>
      </c>
      <c r="X268" s="63"/>
      <c r="Y268" s="63"/>
      <c r="Z268" s="61"/>
      <c r="AA268" s="63"/>
      <c r="AB268" s="63"/>
      <c r="AC268" s="64">
        <f t="shared" si="16"/>
        <v>1</v>
      </c>
      <c r="AD268" s="64">
        <f t="shared" si="17"/>
        <v>1</v>
      </c>
    </row>
    <row r="269" spans="1:30" s="62" customFormat="1" ht="12.5">
      <c r="A269" s="66">
        <v>264</v>
      </c>
      <c r="B269" s="61" t="s">
        <v>719</v>
      </c>
      <c r="C269" s="62" t="s">
        <v>93</v>
      </c>
      <c r="D269" s="61" t="s">
        <v>94</v>
      </c>
      <c r="E269" s="61" t="s">
        <v>95</v>
      </c>
      <c r="F269" s="62" t="s">
        <v>716</v>
      </c>
      <c r="G269" s="62" t="s">
        <v>717</v>
      </c>
      <c r="H269" s="62" t="s">
        <v>718</v>
      </c>
      <c r="I269" s="62" t="s">
        <v>101</v>
      </c>
      <c r="J269" s="62">
        <v>2018</v>
      </c>
      <c r="K269" s="62">
        <v>17</v>
      </c>
      <c r="L269" s="61">
        <v>17</v>
      </c>
      <c r="M269" s="62">
        <v>17</v>
      </c>
      <c r="N269" s="62" t="s">
        <v>100</v>
      </c>
      <c r="O269" s="62" t="s">
        <v>101</v>
      </c>
      <c r="Q269" s="23" t="s">
        <v>912</v>
      </c>
      <c r="S269" s="61"/>
      <c r="T269" s="61"/>
      <c r="U269" s="61"/>
      <c r="V269" s="61">
        <v>-2.0972580000000001</v>
      </c>
      <c r="W269" s="61">
        <v>106.08021100000001</v>
      </c>
      <c r="X269" s="63"/>
      <c r="Y269" s="63"/>
      <c r="Z269" s="61"/>
      <c r="AA269" s="63"/>
      <c r="AB269" s="63"/>
      <c r="AC269" s="64">
        <f t="shared" si="16"/>
        <v>1</v>
      </c>
      <c r="AD269" s="64">
        <f t="shared" si="17"/>
        <v>1</v>
      </c>
    </row>
    <row r="270" spans="1:30" s="62" customFormat="1" ht="12.5">
      <c r="A270" s="66">
        <v>265</v>
      </c>
      <c r="B270" s="61" t="s">
        <v>720</v>
      </c>
      <c r="C270" s="62" t="s">
        <v>93</v>
      </c>
      <c r="D270" s="61" t="s">
        <v>135</v>
      </c>
      <c r="E270" s="61" t="s">
        <v>253</v>
      </c>
      <c r="F270" s="62" t="s">
        <v>471</v>
      </c>
      <c r="G270" s="62" t="s">
        <v>721</v>
      </c>
      <c r="H270" s="62" t="s">
        <v>722</v>
      </c>
      <c r="I270" s="62" t="s">
        <v>140</v>
      </c>
      <c r="J270" s="62">
        <v>2021</v>
      </c>
      <c r="K270" s="62">
        <v>176</v>
      </c>
      <c r="L270" s="61">
        <v>149</v>
      </c>
      <c r="M270" s="62">
        <v>32</v>
      </c>
      <c r="N270" s="62" t="s">
        <v>100</v>
      </c>
      <c r="O270" s="62" t="s">
        <v>101</v>
      </c>
      <c r="Q270" s="23" t="s">
        <v>912</v>
      </c>
      <c r="S270" s="61"/>
      <c r="T270" s="61"/>
      <c r="U270" s="61"/>
      <c r="V270" s="61">
        <v>-2.135602</v>
      </c>
      <c r="W270" s="61">
        <v>106.15954600000001</v>
      </c>
      <c r="X270" s="63"/>
      <c r="Y270" s="63"/>
      <c r="Z270" s="61"/>
      <c r="AA270" s="63"/>
      <c r="AB270" s="63"/>
      <c r="AC270" s="64">
        <f t="shared" si="16"/>
        <v>0.84659090909090906</v>
      </c>
      <c r="AD270" s="64">
        <f t="shared" si="17"/>
        <v>0.21476510067114093</v>
      </c>
    </row>
    <row r="271" spans="1:30" s="62" customFormat="1" ht="12.5">
      <c r="A271" s="66">
        <v>266</v>
      </c>
      <c r="B271" s="61" t="s">
        <v>723</v>
      </c>
      <c r="C271" s="62" t="s">
        <v>222</v>
      </c>
      <c r="D271" s="61" t="s">
        <v>152</v>
      </c>
      <c r="E271" s="61" t="s">
        <v>264</v>
      </c>
      <c r="F271" s="62" t="s">
        <v>691</v>
      </c>
      <c r="G271" s="62" t="s">
        <v>101</v>
      </c>
      <c r="H271" s="62" t="s">
        <v>724</v>
      </c>
      <c r="I271" s="62" t="s">
        <v>101</v>
      </c>
      <c r="J271" s="62">
        <v>2009</v>
      </c>
      <c r="K271" s="62">
        <v>0</v>
      </c>
      <c r="L271" s="61">
        <v>0</v>
      </c>
      <c r="M271" s="62">
        <v>0</v>
      </c>
      <c r="N271" s="62" t="s">
        <v>100</v>
      </c>
      <c r="O271" s="62" t="s">
        <v>101</v>
      </c>
      <c r="Q271" s="23" t="s">
        <v>912</v>
      </c>
      <c r="S271" s="61"/>
      <c r="T271" s="61"/>
      <c r="U271" s="61"/>
      <c r="V271" s="61">
        <v>-2.0898496</v>
      </c>
      <c r="W271" s="61">
        <v>106.119711</v>
      </c>
      <c r="X271" s="63"/>
      <c r="Y271" s="63"/>
      <c r="Z271" s="61"/>
      <c r="AA271" s="63"/>
      <c r="AB271" s="63"/>
      <c r="AC271" s="64">
        <f t="shared" si="16"/>
        <v>0</v>
      </c>
      <c r="AD271" s="64">
        <f t="shared" si="17"/>
        <v>0</v>
      </c>
    </row>
    <row r="272" spans="1:30" s="62" customFormat="1" ht="12.5">
      <c r="A272" s="66">
        <v>267</v>
      </c>
      <c r="B272" s="61" t="s">
        <v>725</v>
      </c>
      <c r="C272" s="62" t="s">
        <v>93</v>
      </c>
      <c r="D272" s="61" t="s">
        <v>94</v>
      </c>
      <c r="E272" s="61" t="s">
        <v>103</v>
      </c>
      <c r="F272" s="62" t="s">
        <v>576</v>
      </c>
      <c r="G272" s="62" t="s">
        <v>726</v>
      </c>
      <c r="H272" s="62" t="s">
        <v>727</v>
      </c>
      <c r="I272" s="62" t="s">
        <v>101</v>
      </c>
      <c r="J272" s="62">
        <v>2017</v>
      </c>
      <c r="K272" s="62">
        <v>52</v>
      </c>
      <c r="L272" s="61">
        <v>12</v>
      </c>
      <c r="M272" s="62">
        <v>12</v>
      </c>
      <c r="N272" s="62" t="s">
        <v>100</v>
      </c>
      <c r="O272" s="62" t="s">
        <v>101</v>
      </c>
      <c r="Q272" s="23" t="s">
        <v>912</v>
      </c>
      <c r="R272" s="62" t="s">
        <v>915</v>
      </c>
      <c r="S272" s="61"/>
      <c r="T272" s="61"/>
      <c r="U272" s="61"/>
      <c r="V272" s="61">
        <v>-2.1179367</v>
      </c>
      <c r="W272" s="61">
        <v>106.0683732</v>
      </c>
      <c r="X272" s="63"/>
      <c r="Y272" s="63"/>
      <c r="Z272" s="61"/>
      <c r="AA272" s="63"/>
      <c r="AB272" s="63"/>
      <c r="AC272" s="64">
        <f t="shared" si="16"/>
        <v>0.23076923076923078</v>
      </c>
      <c r="AD272" s="64">
        <f t="shared" si="17"/>
        <v>1</v>
      </c>
    </row>
    <row r="273" spans="1:30" s="62" customFormat="1" ht="12.5">
      <c r="A273" s="66">
        <v>268</v>
      </c>
      <c r="B273" s="61" t="s">
        <v>728</v>
      </c>
      <c r="C273" s="62" t="s">
        <v>222</v>
      </c>
      <c r="D273" s="61" t="s">
        <v>116</v>
      </c>
      <c r="E273" s="61" t="s">
        <v>144</v>
      </c>
      <c r="F273" s="62" t="s">
        <v>515</v>
      </c>
      <c r="G273" s="62" t="s">
        <v>516</v>
      </c>
      <c r="H273" s="62" t="s">
        <v>524</v>
      </c>
      <c r="I273" s="62" t="s">
        <v>99</v>
      </c>
      <c r="J273" s="62" t="s">
        <v>488</v>
      </c>
      <c r="K273" s="62">
        <v>46</v>
      </c>
      <c r="L273" s="61">
        <v>46</v>
      </c>
      <c r="M273" s="62">
        <v>35</v>
      </c>
      <c r="N273" s="62" t="s">
        <v>100</v>
      </c>
      <c r="O273" s="62" t="s">
        <v>101</v>
      </c>
      <c r="Q273" s="23" t="s">
        <v>912</v>
      </c>
      <c r="S273" s="61"/>
      <c r="T273" s="61"/>
      <c r="U273" s="61"/>
      <c r="V273" s="61">
        <v>-2.0884529999999999</v>
      </c>
      <c r="W273" s="61">
        <v>106.114867</v>
      </c>
      <c r="X273" s="63"/>
      <c r="Y273" s="63"/>
      <c r="Z273" s="61"/>
      <c r="AA273" s="63"/>
      <c r="AB273" s="63"/>
      <c r="AC273" s="64">
        <f t="shared" si="16"/>
        <v>1</v>
      </c>
      <c r="AD273" s="64">
        <f t="shared" si="17"/>
        <v>0.76086956521739135</v>
      </c>
    </row>
    <row r="274" spans="1:30" s="62" customFormat="1" ht="12.5">
      <c r="A274" s="66">
        <v>269</v>
      </c>
      <c r="B274" s="61" t="s">
        <v>729</v>
      </c>
      <c r="C274" s="62" t="s">
        <v>222</v>
      </c>
      <c r="D274" s="61" t="s">
        <v>135</v>
      </c>
      <c r="E274" s="61" t="s">
        <v>450</v>
      </c>
      <c r="F274" s="62" t="s">
        <v>730</v>
      </c>
      <c r="G274" s="62" t="s">
        <v>101</v>
      </c>
      <c r="H274" s="62" t="s">
        <v>731</v>
      </c>
      <c r="I274" s="62" t="s">
        <v>101</v>
      </c>
      <c r="J274" s="62">
        <v>2013</v>
      </c>
      <c r="K274" s="62">
        <v>12</v>
      </c>
      <c r="L274" s="61">
        <v>12</v>
      </c>
      <c r="M274" s="62">
        <v>12</v>
      </c>
      <c r="N274" s="62" t="s">
        <v>100</v>
      </c>
      <c r="O274" s="62" t="s">
        <v>101</v>
      </c>
      <c r="Q274" s="23" t="s">
        <v>912</v>
      </c>
      <c r="S274" s="61"/>
      <c r="T274" s="61"/>
      <c r="U274" s="61"/>
      <c r="V274" s="61">
        <v>-2.1372475999999998</v>
      </c>
      <c r="W274" s="61">
        <v>106.128725</v>
      </c>
      <c r="X274" s="63"/>
      <c r="Y274" s="63"/>
      <c r="Z274" s="61"/>
      <c r="AA274" s="63"/>
      <c r="AB274" s="63"/>
      <c r="AC274" s="64">
        <f t="shared" si="16"/>
        <v>1</v>
      </c>
      <c r="AD274" s="64">
        <f t="shared" si="17"/>
        <v>1</v>
      </c>
    </row>
    <row r="275" spans="1:30" s="62" customFormat="1" ht="12.5">
      <c r="A275" s="66">
        <v>270</v>
      </c>
      <c r="B275" s="61" t="s">
        <v>732</v>
      </c>
      <c r="C275" s="62" t="s">
        <v>222</v>
      </c>
      <c r="D275" s="61" t="s">
        <v>135</v>
      </c>
      <c r="E275" s="61" t="s">
        <v>450</v>
      </c>
      <c r="F275" s="62" t="s">
        <v>733</v>
      </c>
      <c r="G275" s="62" t="s">
        <v>101</v>
      </c>
      <c r="H275" s="62" t="s">
        <v>731</v>
      </c>
      <c r="I275" s="62" t="s">
        <v>101</v>
      </c>
      <c r="J275" s="62">
        <v>2015</v>
      </c>
      <c r="K275" s="62">
        <v>0</v>
      </c>
      <c r="L275" s="61">
        <v>0</v>
      </c>
      <c r="M275" s="62">
        <v>0</v>
      </c>
      <c r="N275" s="62" t="s">
        <v>100</v>
      </c>
      <c r="O275" s="62" t="s">
        <v>101</v>
      </c>
      <c r="Q275" s="23" t="s">
        <v>912</v>
      </c>
      <c r="S275" s="61"/>
      <c r="T275" s="61"/>
      <c r="U275" s="61"/>
      <c r="V275" s="61">
        <v>-2.1329259999999999</v>
      </c>
      <c r="W275" s="61">
        <v>106.13212729999999</v>
      </c>
      <c r="X275" s="63"/>
      <c r="Y275" s="63"/>
      <c r="Z275" s="61"/>
      <c r="AA275" s="63"/>
      <c r="AB275" s="63"/>
      <c r="AC275" s="64">
        <f t="shared" si="16"/>
        <v>0</v>
      </c>
      <c r="AD275" s="64">
        <f t="shared" si="17"/>
        <v>0</v>
      </c>
    </row>
    <row r="276" spans="1:30" s="62" customFormat="1" ht="12.5">
      <c r="A276" s="66">
        <v>271</v>
      </c>
      <c r="B276" s="61" t="s">
        <v>734</v>
      </c>
      <c r="C276" s="62" t="s">
        <v>222</v>
      </c>
      <c r="D276" s="61" t="s">
        <v>356</v>
      </c>
      <c r="E276" s="61" t="s">
        <v>357</v>
      </c>
      <c r="F276" s="62" t="s">
        <v>735</v>
      </c>
      <c r="G276" s="62" t="s">
        <v>101</v>
      </c>
      <c r="H276" s="62" t="s">
        <v>101</v>
      </c>
      <c r="I276" s="62" t="s">
        <v>101</v>
      </c>
      <c r="J276" s="62">
        <v>2014</v>
      </c>
      <c r="K276" s="62">
        <v>0</v>
      </c>
      <c r="L276" s="61">
        <v>8</v>
      </c>
      <c r="M276" s="62">
        <v>3</v>
      </c>
      <c r="N276" s="62" t="s">
        <v>100</v>
      </c>
      <c r="O276" s="62" t="s">
        <v>101</v>
      </c>
      <c r="Q276" s="62" t="s">
        <v>914</v>
      </c>
      <c r="S276" s="61"/>
      <c r="T276" s="61"/>
      <c r="U276" s="61"/>
      <c r="V276" s="61">
        <v>-2.1501418000000001</v>
      </c>
      <c r="W276" s="61">
        <v>106.1112349</v>
      </c>
      <c r="X276" s="63"/>
      <c r="Y276" s="63"/>
      <c r="Z276" s="61"/>
      <c r="AA276" s="63"/>
      <c r="AB276" s="63"/>
      <c r="AC276" s="64">
        <f t="shared" si="16"/>
        <v>0</v>
      </c>
      <c r="AD276" s="64">
        <f t="shared" si="17"/>
        <v>0.375</v>
      </c>
    </row>
    <row r="277" spans="1:30" s="62" customFormat="1" ht="12.5">
      <c r="A277" s="66">
        <v>272</v>
      </c>
      <c r="B277" s="61" t="s">
        <v>736</v>
      </c>
      <c r="C277" s="62" t="s">
        <v>93</v>
      </c>
      <c r="D277" s="61" t="s">
        <v>135</v>
      </c>
      <c r="E277" s="61" t="s">
        <v>174</v>
      </c>
      <c r="F277" s="62" t="s">
        <v>737</v>
      </c>
      <c r="G277" s="62" t="s">
        <v>163</v>
      </c>
      <c r="H277" s="62" t="s">
        <v>738</v>
      </c>
      <c r="I277" s="62" t="s">
        <v>165</v>
      </c>
      <c r="J277" s="62">
        <v>2018</v>
      </c>
      <c r="K277" s="62">
        <v>75</v>
      </c>
      <c r="L277" s="61">
        <v>72</v>
      </c>
      <c r="M277" s="62">
        <v>72</v>
      </c>
      <c r="N277" s="62" t="s">
        <v>105</v>
      </c>
      <c r="O277" s="62">
        <v>2022</v>
      </c>
      <c r="Q277" s="23" t="s">
        <v>912</v>
      </c>
      <c r="R277" s="62" t="s">
        <v>920</v>
      </c>
      <c r="S277" s="61"/>
      <c r="T277" s="11" t="s">
        <v>913</v>
      </c>
      <c r="U277" s="61"/>
      <c r="V277" s="61"/>
      <c r="W277" s="61"/>
      <c r="X277" s="63"/>
      <c r="Y277" s="63"/>
      <c r="Z277" s="61"/>
      <c r="AA277" s="63"/>
      <c r="AB277" s="63"/>
      <c r="AC277" s="64">
        <f t="shared" ref="AC277:AC340" si="18">IF(A277="","",IFERROR(L277/K277,0))</f>
        <v>0.96</v>
      </c>
      <c r="AD277" s="64">
        <f t="shared" ref="AD277:AD340" si="19">IF(A277="","",IFERROR(M277/L277,0))</f>
        <v>1</v>
      </c>
    </row>
    <row r="278" spans="1:30" s="62" customFormat="1" ht="12.5">
      <c r="A278" s="66">
        <v>273</v>
      </c>
      <c r="B278" s="61" t="s">
        <v>739</v>
      </c>
      <c r="C278" s="62" t="s">
        <v>93</v>
      </c>
      <c r="D278" s="61" t="s">
        <v>135</v>
      </c>
      <c r="E278" s="61" t="s">
        <v>174</v>
      </c>
      <c r="F278" s="62" t="s">
        <v>377</v>
      </c>
      <c r="G278" s="62" t="s">
        <v>740</v>
      </c>
      <c r="H278" s="62" t="s">
        <v>741</v>
      </c>
      <c r="I278" s="62" t="s">
        <v>218</v>
      </c>
      <c r="J278" s="62">
        <v>2019</v>
      </c>
      <c r="K278" s="62">
        <v>38</v>
      </c>
      <c r="L278" s="61">
        <v>38</v>
      </c>
      <c r="M278" s="62">
        <v>38</v>
      </c>
      <c r="N278" s="62" t="s">
        <v>100</v>
      </c>
      <c r="O278" s="62" t="s">
        <v>101</v>
      </c>
      <c r="Q278" s="23" t="s">
        <v>912</v>
      </c>
      <c r="S278" s="61"/>
      <c r="T278" s="61"/>
      <c r="U278" s="61"/>
      <c r="V278" s="61"/>
      <c r="W278" s="61"/>
      <c r="X278" s="63"/>
      <c r="Y278" s="63"/>
      <c r="Z278" s="61"/>
      <c r="AA278" s="63"/>
      <c r="AB278" s="63"/>
      <c r="AC278" s="64">
        <f t="shared" si="18"/>
        <v>1</v>
      </c>
      <c r="AD278" s="64">
        <f t="shared" si="19"/>
        <v>1</v>
      </c>
    </row>
    <row r="279" spans="1:30" s="62" customFormat="1" ht="12.5">
      <c r="A279" s="66">
        <v>274</v>
      </c>
      <c r="B279" s="61" t="s">
        <v>742</v>
      </c>
      <c r="C279" s="62" t="s">
        <v>93</v>
      </c>
      <c r="D279" s="61" t="s">
        <v>135</v>
      </c>
      <c r="E279" s="61" t="s">
        <v>174</v>
      </c>
      <c r="F279" s="62" t="s">
        <v>377</v>
      </c>
      <c r="G279" s="62" t="s">
        <v>743</v>
      </c>
      <c r="H279" s="62" t="s">
        <v>744</v>
      </c>
      <c r="I279" s="62" t="s">
        <v>218</v>
      </c>
      <c r="J279" s="62">
        <v>2020</v>
      </c>
      <c r="K279" s="62">
        <v>62</v>
      </c>
      <c r="L279" s="61">
        <v>57</v>
      </c>
      <c r="M279" s="62">
        <v>57</v>
      </c>
      <c r="N279" s="62" t="s">
        <v>100</v>
      </c>
      <c r="O279" s="62" t="s">
        <v>101</v>
      </c>
      <c r="Q279" s="23" t="s">
        <v>912</v>
      </c>
      <c r="S279" s="61"/>
      <c r="T279" s="61"/>
      <c r="U279" s="61"/>
      <c r="V279" s="61">
        <v>-2.1318961000000001</v>
      </c>
      <c r="W279" s="61">
        <v>106.15831729999999</v>
      </c>
      <c r="X279" s="63"/>
      <c r="Y279" s="63"/>
      <c r="Z279" s="61"/>
      <c r="AA279" s="63"/>
      <c r="AB279" s="63"/>
      <c r="AC279" s="64">
        <f t="shared" si="18"/>
        <v>0.91935483870967738</v>
      </c>
      <c r="AD279" s="64">
        <f t="shared" si="19"/>
        <v>1</v>
      </c>
    </row>
    <row r="280" spans="1:30" s="62" customFormat="1" ht="12.5">
      <c r="A280" s="66">
        <v>275</v>
      </c>
      <c r="B280" s="61" t="s">
        <v>745</v>
      </c>
      <c r="C280" s="62" t="s">
        <v>93</v>
      </c>
      <c r="D280" s="61" t="s">
        <v>135</v>
      </c>
      <c r="E280" s="61" t="s">
        <v>136</v>
      </c>
      <c r="F280" s="62" t="s">
        <v>101</v>
      </c>
      <c r="G280" s="62" t="s">
        <v>101</v>
      </c>
      <c r="H280" s="62" t="s">
        <v>101</v>
      </c>
      <c r="I280" s="62" t="s">
        <v>101</v>
      </c>
      <c r="J280" s="62">
        <v>2017</v>
      </c>
      <c r="K280" s="62">
        <v>0</v>
      </c>
      <c r="L280" s="61">
        <v>0</v>
      </c>
      <c r="M280" s="62">
        <v>0</v>
      </c>
      <c r="N280" s="62" t="s">
        <v>100</v>
      </c>
      <c r="O280" s="62" t="s">
        <v>101</v>
      </c>
      <c r="Q280" s="23" t="s">
        <v>912</v>
      </c>
      <c r="S280" s="61"/>
      <c r="T280" s="61"/>
      <c r="U280" s="61"/>
      <c r="V280" s="61"/>
      <c r="W280" s="61"/>
      <c r="X280" s="63"/>
      <c r="Y280" s="63"/>
      <c r="Z280" s="61"/>
      <c r="AA280" s="63"/>
      <c r="AB280" s="63"/>
      <c r="AC280" s="64">
        <f t="shared" si="18"/>
        <v>0</v>
      </c>
      <c r="AD280" s="64">
        <f t="shared" si="19"/>
        <v>0</v>
      </c>
    </row>
    <row r="281" spans="1:30" s="62" customFormat="1" ht="12.5">
      <c r="A281" s="66">
        <v>276</v>
      </c>
      <c r="B281" s="61" t="s">
        <v>746</v>
      </c>
      <c r="C281" s="62" t="s">
        <v>93</v>
      </c>
      <c r="D281" s="61" t="s">
        <v>94</v>
      </c>
      <c r="E281" s="61" t="s">
        <v>95</v>
      </c>
      <c r="F281" s="62" t="s">
        <v>446</v>
      </c>
      <c r="G281" s="62" t="s">
        <v>747</v>
      </c>
      <c r="H281" s="62" t="s">
        <v>748</v>
      </c>
      <c r="I281" s="62" t="s">
        <v>165</v>
      </c>
      <c r="J281" s="62">
        <v>2024</v>
      </c>
      <c r="K281" s="62">
        <v>36</v>
      </c>
      <c r="L281" s="61">
        <v>8</v>
      </c>
      <c r="M281" s="62">
        <v>0</v>
      </c>
      <c r="N281" s="62" t="s">
        <v>100</v>
      </c>
      <c r="O281" s="62" t="s">
        <v>101</v>
      </c>
      <c r="Q281" s="23" t="s">
        <v>912</v>
      </c>
      <c r="R281" s="23" t="s">
        <v>915</v>
      </c>
      <c r="S281" s="61"/>
      <c r="T281" s="61"/>
      <c r="U281" s="61"/>
      <c r="V281" s="61">
        <v>-2.1021866</v>
      </c>
      <c r="W281" s="61">
        <v>106.05145090000001</v>
      </c>
      <c r="X281" s="63"/>
      <c r="Y281" s="63"/>
      <c r="Z281" s="61"/>
      <c r="AA281" s="63"/>
      <c r="AB281" s="63"/>
      <c r="AC281" s="64">
        <f t="shared" si="18"/>
        <v>0.22222222222222221</v>
      </c>
      <c r="AD281" s="64">
        <f t="shared" si="19"/>
        <v>0</v>
      </c>
    </row>
    <row r="282" spans="1:30" s="62" customFormat="1" ht="12.5">
      <c r="A282" s="66">
        <v>277</v>
      </c>
      <c r="B282" s="61" t="s">
        <v>749</v>
      </c>
      <c r="C282" s="62" t="s">
        <v>93</v>
      </c>
      <c r="D282" s="61" t="s">
        <v>116</v>
      </c>
      <c r="E282" s="61" t="s">
        <v>126</v>
      </c>
      <c r="F282" s="62" t="s">
        <v>133</v>
      </c>
      <c r="G282" s="62" t="s">
        <v>750</v>
      </c>
      <c r="H282" s="62" t="s">
        <v>751</v>
      </c>
      <c r="I282" s="62" t="s">
        <v>101</v>
      </c>
      <c r="J282" s="62">
        <v>2015</v>
      </c>
      <c r="K282" s="62">
        <v>51</v>
      </c>
      <c r="L282" s="61">
        <v>23</v>
      </c>
      <c r="M282" s="62">
        <v>15</v>
      </c>
      <c r="N282" s="62" t="s">
        <v>100</v>
      </c>
      <c r="O282" s="62" t="s">
        <v>101</v>
      </c>
      <c r="Q282" s="23" t="s">
        <v>912</v>
      </c>
      <c r="R282" s="23" t="s">
        <v>915</v>
      </c>
      <c r="S282" s="61"/>
      <c r="T282" s="61"/>
      <c r="U282" s="61"/>
      <c r="V282" s="61">
        <v>-2.0845900999999998</v>
      </c>
      <c r="W282" s="61">
        <v>106.0979296</v>
      </c>
      <c r="X282" s="63"/>
      <c r="Y282" s="63"/>
      <c r="Z282" s="61"/>
      <c r="AA282" s="63"/>
      <c r="AB282" s="63"/>
      <c r="AC282" s="64">
        <f t="shared" si="18"/>
        <v>0.45098039215686275</v>
      </c>
      <c r="AD282" s="64">
        <f t="shared" si="19"/>
        <v>0.65217391304347827</v>
      </c>
    </row>
    <row r="283" spans="1:30" s="62" customFormat="1" ht="12.5">
      <c r="A283" s="66">
        <v>278</v>
      </c>
      <c r="B283" s="61" t="s">
        <v>752</v>
      </c>
      <c r="C283" s="62" t="s">
        <v>93</v>
      </c>
      <c r="D283" s="61" t="s">
        <v>135</v>
      </c>
      <c r="E283" s="61" t="s">
        <v>253</v>
      </c>
      <c r="F283" s="62" t="s">
        <v>753</v>
      </c>
      <c r="G283" s="62" t="s">
        <v>754</v>
      </c>
      <c r="H283" s="62" t="s">
        <v>101</v>
      </c>
      <c r="I283" s="62" t="s">
        <v>101</v>
      </c>
      <c r="J283" s="62">
        <v>2023</v>
      </c>
      <c r="K283" s="62">
        <v>42</v>
      </c>
      <c r="L283" s="61">
        <v>1</v>
      </c>
      <c r="M283" s="62">
        <v>0</v>
      </c>
      <c r="N283" s="62" t="s">
        <v>100</v>
      </c>
      <c r="O283" s="62" t="s">
        <v>101</v>
      </c>
      <c r="Q283" s="23" t="s">
        <v>912</v>
      </c>
      <c r="S283" s="61"/>
      <c r="T283" s="61"/>
      <c r="U283" s="61"/>
      <c r="V283" s="61">
        <v>-2.1377009999999999</v>
      </c>
      <c r="W283" s="61">
        <v>106.1489993</v>
      </c>
      <c r="X283" s="63"/>
      <c r="Y283" s="63"/>
      <c r="Z283" s="61"/>
      <c r="AA283" s="63"/>
      <c r="AB283" s="63"/>
      <c r="AC283" s="64">
        <f t="shared" si="18"/>
        <v>2.3809523809523808E-2</v>
      </c>
      <c r="AD283" s="64">
        <f t="shared" si="19"/>
        <v>0</v>
      </c>
    </row>
    <row r="284" spans="1:30" s="62" customFormat="1" ht="12.5">
      <c r="A284" s="66">
        <v>279</v>
      </c>
      <c r="B284" s="61" t="s">
        <v>755</v>
      </c>
      <c r="C284" s="62" t="s">
        <v>93</v>
      </c>
      <c r="D284" s="61" t="s">
        <v>356</v>
      </c>
      <c r="E284" s="61" t="s">
        <v>357</v>
      </c>
      <c r="F284" s="62" t="s">
        <v>490</v>
      </c>
      <c r="G284" s="62" t="s">
        <v>101</v>
      </c>
      <c r="H284" s="62" t="s">
        <v>101</v>
      </c>
      <c r="I284" s="62" t="s">
        <v>101</v>
      </c>
      <c r="J284" s="62">
        <v>2015</v>
      </c>
      <c r="K284" s="62">
        <v>22</v>
      </c>
      <c r="L284" s="61">
        <v>22</v>
      </c>
      <c r="M284" s="62">
        <v>22</v>
      </c>
      <c r="N284" s="62" t="s">
        <v>100</v>
      </c>
      <c r="O284" s="62" t="s">
        <v>101</v>
      </c>
      <c r="Q284" s="23" t="s">
        <v>912</v>
      </c>
      <c r="S284" s="61"/>
      <c r="T284" s="61"/>
      <c r="U284" s="61"/>
      <c r="V284" s="61">
        <v>-2.1519857</v>
      </c>
      <c r="W284" s="61">
        <v>106.1057045</v>
      </c>
      <c r="X284" s="63"/>
      <c r="Y284" s="63"/>
      <c r="Z284" s="61"/>
      <c r="AA284" s="63"/>
      <c r="AB284" s="63"/>
      <c r="AC284" s="64">
        <f t="shared" si="18"/>
        <v>1</v>
      </c>
      <c r="AD284" s="64">
        <f t="shared" si="19"/>
        <v>1</v>
      </c>
    </row>
    <row r="285" spans="1:30" s="62" customFormat="1" ht="12.5">
      <c r="A285" s="66">
        <v>280</v>
      </c>
      <c r="B285" s="61" t="s">
        <v>756</v>
      </c>
      <c r="C285" s="62" t="s">
        <v>93</v>
      </c>
      <c r="D285" s="61" t="s">
        <v>356</v>
      </c>
      <c r="E285" s="61" t="s">
        <v>357</v>
      </c>
      <c r="F285" s="62" t="s">
        <v>757</v>
      </c>
      <c r="G285" s="62" t="s">
        <v>101</v>
      </c>
      <c r="H285" s="62" t="s">
        <v>101</v>
      </c>
      <c r="I285" s="62" t="s">
        <v>101</v>
      </c>
      <c r="J285" s="62">
        <v>2016</v>
      </c>
      <c r="K285" s="62">
        <v>11</v>
      </c>
      <c r="L285" s="61">
        <v>11</v>
      </c>
      <c r="M285" s="62">
        <v>11</v>
      </c>
      <c r="N285" s="62" t="s">
        <v>100</v>
      </c>
      <c r="O285" s="62" t="s">
        <v>101</v>
      </c>
      <c r="Q285" s="23" t="s">
        <v>912</v>
      </c>
      <c r="R285" s="23" t="s">
        <v>915</v>
      </c>
      <c r="S285" s="61"/>
      <c r="T285" s="61"/>
      <c r="U285" s="61"/>
      <c r="V285" s="61">
        <v>-2.1526169999999998</v>
      </c>
      <c r="W285" s="61">
        <v>106.104927</v>
      </c>
      <c r="X285" s="63"/>
      <c r="Y285" s="63"/>
      <c r="Z285" s="61"/>
      <c r="AA285" s="63"/>
      <c r="AB285" s="63"/>
      <c r="AC285" s="64">
        <f t="shared" si="18"/>
        <v>1</v>
      </c>
      <c r="AD285" s="64">
        <f t="shared" si="19"/>
        <v>1</v>
      </c>
    </row>
    <row r="286" spans="1:30" s="62" customFormat="1" ht="12.5">
      <c r="A286" s="66">
        <v>281</v>
      </c>
      <c r="B286" s="61" t="s">
        <v>758</v>
      </c>
      <c r="C286" s="62" t="s">
        <v>93</v>
      </c>
      <c r="D286" s="61" t="s">
        <v>94</v>
      </c>
      <c r="E286" s="61" t="s">
        <v>103</v>
      </c>
      <c r="F286" s="62" t="s">
        <v>294</v>
      </c>
      <c r="G286" s="62" t="s">
        <v>406</v>
      </c>
      <c r="H286" s="62" t="s">
        <v>407</v>
      </c>
      <c r="I286" s="62" t="s">
        <v>165</v>
      </c>
      <c r="J286" s="62">
        <v>2017</v>
      </c>
      <c r="K286" s="62">
        <v>21</v>
      </c>
      <c r="L286" s="61">
        <v>21</v>
      </c>
      <c r="M286" s="62">
        <v>21</v>
      </c>
      <c r="N286" s="62" t="s">
        <v>105</v>
      </c>
      <c r="O286" s="62">
        <v>2023</v>
      </c>
      <c r="Q286" s="23" t="s">
        <v>912</v>
      </c>
      <c r="S286" s="61"/>
      <c r="T286" s="61"/>
      <c r="U286" s="61"/>
      <c r="V286" s="61">
        <v>-2.117489</v>
      </c>
      <c r="W286" s="61">
        <v>106.077459</v>
      </c>
      <c r="X286" s="63"/>
      <c r="Y286" s="63"/>
      <c r="Z286" s="61"/>
      <c r="AA286" s="63"/>
      <c r="AB286" s="63"/>
      <c r="AC286" s="64">
        <f t="shared" si="18"/>
        <v>1</v>
      </c>
      <c r="AD286" s="64">
        <f t="shared" si="19"/>
        <v>1</v>
      </c>
    </row>
    <row r="287" spans="1:30" s="62" customFormat="1" ht="12.5">
      <c r="A287" s="66">
        <v>282</v>
      </c>
      <c r="B287" s="61" t="s">
        <v>759</v>
      </c>
      <c r="C287" s="62" t="s">
        <v>93</v>
      </c>
      <c r="D287" s="61" t="s">
        <v>116</v>
      </c>
      <c r="E287" s="61" t="s">
        <v>126</v>
      </c>
      <c r="F287" s="62" t="s">
        <v>760</v>
      </c>
      <c r="G287" s="62" t="s">
        <v>406</v>
      </c>
      <c r="H287" s="62" t="s">
        <v>407</v>
      </c>
      <c r="I287" s="62" t="s">
        <v>165</v>
      </c>
      <c r="J287" s="62">
        <v>2019</v>
      </c>
      <c r="K287" s="62">
        <v>43</v>
      </c>
      <c r="L287" s="61">
        <v>23</v>
      </c>
      <c r="M287" s="62">
        <v>18</v>
      </c>
      <c r="N287" s="62" t="s">
        <v>100</v>
      </c>
      <c r="O287" s="62" t="s">
        <v>101</v>
      </c>
      <c r="Q287" s="23" t="s">
        <v>912</v>
      </c>
      <c r="S287" s="61"/>
      <c r="T287" s="61"/>
      <c r="U287" s="61"/>
      <c r="V287" s="61">
        <v>-2.0969530000000001</v>
      </c>
      <c r="W287" s="61">
        <v>106.087341</v>
      </c>
      <c r="X287" s="63"/>
      <c r="Y287" s="63"/>
      <c r="Z287" s="61"/>
      <c r="AA287" s="63"/>
      <c r="AB287" s="63"/>
      <c r="AC287" s="64">
        <f t="shared" si="18"/>
        <v>0.53488372093023251</v>
      </c>
      <c r="AD287" s="64">
        <f t="shared" si="19"/>
        <v>0.78260869565217395</v>
      </c>
    </row>
    <row r="288" spans="1:30" s="62" customFormat="1" ht="12.5">
      <c r="A288" s="66">
        <v>283</v>
      </c>
      <c r="B288" s="61" t="s">
        <v>761</v>
      </c>
      <c r="C288" s="62" t="s">
        <v>93</v>
      </c>
      <c r="D288" s="61" t="s">
        <v>116</v>
      </c>
      <c r="E288" s="61" t="s">
        <v>317</v>
      </c>
      <c r="F288" s="62" t="s">
        <v>762</v>
      </c>
      <c r="G288" s="62" t="s">
        <v>763</v>
      </c>
      <c r="H288" s="62" t="s">
        <v>764</v>
      </c>
      <c r="I288" s="62" t="s">
        <v>165</v>
      </c>
      <c r="J288" s="62">
        <v>2017</v>
      </c>
      <c r="K288" s="62">
        <v>15</v>
      </c>
      <c r="L288" s="61">
        <v>15</v>
      </c>
      <c r="M288" s="62">
        <v>14</v>
      </c>
      <c r="N288" s="62" t="s">
        <v>105</v>
      </c>
      <c r="O288" s="62">
        <v>2022</v>
      </c>
      <c r="Q288" s="23" t="s">
        <v>912</v>
      </c>
      <c r="R288" s="62" t="s">
        <v>918</v>
      </c>
      <c r="S288" s="61"/>
      <c r="T288" s="61"/>
      <c r="U288" s="61"/>
      <c r="V288" s="61">
        <v>-2.0940059999999998</v>
      </c>
      <c r="W288" s="61">
        <v>106.105633</v>
      </c>
      <c r="X288" s="63"/>
      <c r="Y288" s="63"/>
      <c r="Z288" s="61"/>
      <c r="AA288" s="63"/>
      <c r="AB288" s="63"/>
      <c r="AC288" s="64">
        <f t="shared" si="18"/>
        <v>1</v>
      </c>
      <c r="AD288" s="64">
        <f t="shared" si="19"/>
        <v>0.93333333333333335</v>
      </c>
    </row>
    <row r="289" spans="1:30" s="62" customFormat="1" ht="12.5">
      <c r="A289" s="66">
        <v>284</v>
      </c>
      <c r="B289" s="61" t="s">
        <v>765</v>
      </c>
      <c r="C289" s="62" t="s">
        <v>93</v>
      </c>
      <c r="D289" s="61" t="s">
        <v>116</v>
      </c>
      <c r="E289" s="61" t="s">
        <v>317</v>
      </c>
      <c r="F289" s="62" t="s">
        <v>766</v>
      </c>
      <c r="G289" s="62" t="s">
        <v>767</v>
      </c>
      <c r="H289" s="62" t="s">
        <v>764</v>
      </c>
      <c r="I289" s="62" t="s">
        <v>165</v>
      </c>
      <c r="J289" s="62">
        <v>2017</v>
      </c>
      <c r="K289" s="62">
        <v>40</v>
      </c>
      <c r="L289" s="61">
        <v>40</v>
      </c>
      <c r="M289" s="62">
        <v>40</v>
      </c>
      <c r="N289" s="62" t="s">
        <v>105</v>
      </c>
      <c r="O289" s="62">
        <v>2022</v>
      </c>
      <c r="Q289" s="23" t="s">
        <v>912</v>
      </c>
      <c r="R289" s="62" t="s">
        <v>920</v>
      </c>
      <c r="S289" s="61"/>
      <c r="T289" s="61"/>
      <c r="U289" s="61"/>
      <c r="V289" s="61">
        <v>-2.0972919999999999</v>
      </c>
      <c r="W289" s="61">
        <v>106.10591599999999</v>
      </c>
      <c r="X289" s="63"/>
      <c r="Y289" s="63"/>
      <c r="Z289" s="61"/>
      <c r="AA289" s="63"/>
      <c r="AB289" s="63"/>
      <c r="AC289" s="64">
        <f t="shared" si="18"/>
        <v>1</v>
      </c>
      <c r="AD289" s="64">
        <f t="shared" si="19"/>
        <v>1</v>
      </c>
    </row>
    <row r="290" spans="1:30" s="62" customFormat="1" ht="12.5">
      <c r="A290" s="66">
        <v>285</v>
      </c>
      <c r="B290" s="61" t="s">
        <v>768</v>
      </c>
      <c r="C290" s="62" t="s">
        <v>93</v>
      </c>
      <c r="D290" s="61" t="s">
        <v>116</v>
      </c>
      <c r="E290" s="61" t="s">
        <v>317</v>
      </c>
      <c r="F290" s="62" t="s">
        <v>766</v>
      </c>
      <c r="G290" s="62" t="s">
        <v>763</v>
      </c>
      <c r="H290" s="62" t="s">
        <v>764</v>
      </c>
      <c r="I290" s="62" t="s">
        <v>165</v>
      </c>
      <c r="J290" s="62">
        <v>2017</v>
      </c>
      <c r="K290" s="62">
        <v>34</v>
      </c>
      <c r="L290" s="61">
        <v>33</v>
      </c>
      <c r="M290" s="62">
        <v>32</v>
      </c>
      <c r="N290" s="62" t="s">
        <v>105</v>
      </c>
      <c r="O290" s="62">
        <v>2022</v>
      </c>
      <c r="Q290" s="23" t="s">
        <v>912</v>
      </c>
      <c r="R290" s="62" t="s">
        <v>920</v>
      </c>
      <c r="S290" s="61"/>
      <c r="T290" s="61"/>
      <c r="U290" s="61"/>
      <c r="V290" s="61">
        <v>-2.0940059999999998</v>
      </c>
      <c r="W290" s="61">
        <v>106.105633</v>
      </c>
      <c r="X290" s="63"/>
      <c r="Y290" s="63"/>
      <c r="Z290" s="61"/>
      <c r="AA290" s="63"/>
      <c r="AB290" s="63"/>
      <c r="AC290" s="64">
        <f t="shared" si="18"/>
        <v>0.97058823529411764</v>
      </c>
      <c r="AD290" s="64">
        <f t="shared" si="19"/>
        <v>0.96969696969696972</v>
      </c>
    </row>
    <row r="291" spans="1:30" s="62" customFormat="1" ht="12.5">
      <c r="A291" s="66">
        <v>286</v>
      </c>
      <c r="B291" s="61" t="s">
        <v>769</v>
      </c>
      <c r="C291" s="62" t="s">
        <v>93</v>
      </c>
      <c r="D291" s="61" t="s">
        <v>116</v>
      </c>
      <c r="E291" s="61" t="s">
        <v>317</v>
      </c>
      <c r="F291" s="62" t="s">
        <v>766</v>
      </c>
      <c r="G291" s="62" t="s">
        <v>763</v>
      </c>
      <c r="H291" s="62" t="s">
        <v>764</v>
      </c>
      <c r="I291" s="62" t="s">
        <v>165</v>
      </c>
      <c r="J291" s="62">
        <v>2017</v>
      </c>
      <c r="K291" s="62">
        <v>50</v>
      </c>
      <c r="L291" s="61">
        <v>50</v>
      </c>
      <c r="M291" s="62">
        <v>42</v>
      </c>
      <c r="N291" s="62" t="s">
        <v>105</v>
      </c>
      <c r="O291" s="62">
        <v>2022</v>
      </c>
      <c r="Q291" s="23" t="s">
        <v>912</v>
      </c>
      <c r="R291" s="62" t="s">
        <v>920</v>
      </c>
      <c r="S291" s="61"/>
      <c r="T291" s="61"/>
      <c r="U291" s="61"/>
      <c r="V291" s="61">
        <v>-2.0929440000000001</v>
      </c>
      <c r="W291" s="61">
        <v>106.109611</v>
      </c>
      <c r="X291" s="63"/>
      <c r="Y291" s="63"/>
      <c r="Z291" s="61"/>
      <c r="AA291" s="63"/>
      <c r="AB291" s="63"/>
      <c r="AC291" s="64">
        <f t="shared" si="18"/>
        <v>1</v>
      </c>
      <c r="AD291" s="64">
        <f t="shared" si="19"/>
        <v>0.84</v>
      </c>
    </row>
    <row r="292" spans="1:30" s="62" customFormat="1" ht="12.5">
      <c r="A292" s="66">
        <v>287</v>
      </c>
      <c r="B292" s="61" t="s">
        <v>770</v>
      </c>
      <c r="C292" s="62" t="s">
        <v>93</v>
      </c>
      <c r="D292" s="61" t="s">
        <v>116</v>
      </c>
      <c r="E292" s="61" t="s">
        <v>317</v>
      </c>
      <c r="F292" s="62" t="s">
        <v>771</v>
      </c>
      <c r="G292" s="62" t="s">
        <v>763</v>
      </c>
      <c r="H292" s="62" t="s">
        <v>764</v>
      </c>
      <c r="I292" s="62" t="s">
        <v>165</v>
      </c>
      <c r="J292" s="62">
        <v>2017</v>
      </c>
      <c r="K292" s="62">
        <v>26</v>
      </c>
      <c r="L292" s="61">
        <v>26</v>
      </c>
      <c r="M292" s="62">
        <v>24</v>
      </c>
      <c r="N292" s="62" t="s">
        <v>105</v>
      </c>
      <c r="O292" s="62">
        <v>2022</v>
      </c>
      <c r="Q292" s="23" t="s">
        <v>912</v>
      </c>
      <c r="R292" s="62" t="s">
        <v>918</v>
      </c>
      <c r="S292" s="61"/>
      <c r="T292" s="61"/>
      <c r="U292" s="61"/>
      <c r="V292" s="61">
        <v>-2.0958761250000002</v>
      </c>
      <c r="W292" s="61">
        <v>106.113303</v>
      </c>
      <c r="X292" s="63"/>
      <c r="Y292" s="63"/>
      <c r="Z292" s="61"/>
      <c r="AA292" s="63"/>
      <c r="AB292" s="63"/>
      <c r="AC292" s="64">
        <f t="shared" si="18"/>
        <v>1</v>
      </c>
      <c r="AD292" s="64">
        <f t="shared" si="19"/>
        <v>0.92307692307692313</v>
      </c>
    </row>
    <row r="293" spans="1:30" s="62" customFormat="1" ht="12.5">
      <c r="A293" s="66">
        <v>288</v>
      </c>
      <c r="B293" s="61" t="s">
        <v>772</v>
      </c>
      <c r="C293" s="62" t="s">
        <v>93</v>
      </c>
      <c r="D293" s="61" t="s">
        <v>116</v>
      </c>
      <c r="E293" s="61" t="s">
        <v>117</v>
      </c>
      <c r="F293" s="62" t="s">
        <v>773</v>
      </c>
      <c r="G293" s="62" t="s">
        <v>763</v>
      </c>
      <c r="H293" s="62" t="s">
        <v>764</v>
      </c>
      <c r="I293" s="62" t="s">
        <v>165</v>
      </c>
      <c r="J293" s="62">
        <v>2018</v>
      </c>
      <c r="K293" s="62">
        <v>55</v>
      </c>
      <c r="L293" s="61">
        <v>55</v>
      </c>
      <c r="M293" s="62">
        <v>54</v>
      </c>
      <c r="N293" s="62" t="s">
        <v>105</v>
      </c>
      <c r="O293" s="62">
        <v>2022</v>
      </c>
      <c r="Q293" s="62" t="s">
        <v>914</v>
      </c>
      <c r="R293" s="62" t="s">
        <v>918</v>
      </c>
      <c r="S293" s="61"/>
      <c r="T293" s="61"/>
      <c r="U293" s="61"/>
      <c r="V293" s="61">
        <v>-2.1036250000000001</v>
      </c>
      <c r="W293" s="61">
        <v>106.104417</v>
      </c>
      <c r="X293" s="63"/>
      <c r="Y293" s="63"/>
      <c r="Z293" s="61"/>
      <c r="AA293" s="63"/>
      <c r="AB293" s="63"/>
      <c r="AC293" s="64">
        <f t="shared" si="18"/>
        <v>1</v>
      </c>
      <c r="AD293" s="64">
        <f t="shared" si="19"/>
        <v>0.98181818181818181</v>
      </c>
    </row>
    <row r="294" spans="1:30" s="62" customFormat="1" ht="12.5">
      <c r="A294" s="66">
        <v>289</v>
      </c>
      <c r="B294" s="61" t="s">
        <v>774</v>
      </c>
      <c r="C294" s="62" t="s">
        <v>93</v>
      </c>
      <c r="D294" s="61" t="s">
        <v>94</v>
      </c>
      <c r="E294" s="61" t="s">
        <v>188</v>
      </c>
      <c r="F294" s="62" t="s">
        <v>775</v>
      </c>
      <c r="G294" s="62" t="s">
        <v>763</v>
      </c>
      <c r="H294" s="62" t="s">
        <v>764</v>
      </c>
      <c r="I294" s="62" t="s">
        <v>165</v>
      </c>
      <c r="J294" s="62">
        <v>2018</v>
      </c>
      <c r="K294" s="62">
        <v>37</v>
      </c>
      <c r="L294" s="61">
        <v>37</v>
      </c>
      <c r="M294" s="62">
        <v>37</v>
      </c>
      <c r="N294" s="62" t="s">
        <v>105</v>
      </c>
      <c r="O294" s="62">
        <v>2022</v>
      </c>
      <c r="Q294" s="23" t="s">
        <v>912</v>
      </c>
      <c r="R294" s="62" t="s">
        <v>920</v>
      </c>
      <c r="S294" s="61"/>
      <c r="T294" s="61"/>
      <c r="U294" s="61"/>
      <c r="V294" s="61">
        <v>-2.1039151</v>
      </c>
      <c r="W294" s="61">
        <v>106.0908293</v>
      </c>
      <c r="X294" s="63"/>
      <c r="Y294" s="63"/>
      <c r="Z294" s="61"/>
      <c r="AA294" s="63"/>
      <c r="AB294" s="63"/>
      <c r="AC294" s="64">
        <f t="shared" si="18"/>
        <v>1</v>
      </c>
      <c r="AD294" s="64">
        <f t="shared" si="19"/>
        <v>1</v>
      </c>
    </row>
    <row r="295" spans="1:30" s="62" customFormat="1" ht="12.5">
      <c r="A295" s="66">
        <v>290</v>
      </c>
      <c r="B295" s="61" t="s">
        <v>776</v>
      </c>
      <c r="C295" s="62" t="s">
        <v>93</v>
      </c>
      <c r="D295" s="61" t="s">
        <v>94</v>
      </c>
      <c r="E295" s="61" t="s">
        <v>235</v>
      </c>
      <c r="F295" s="62" t="s">
        <v>236</v>
      </c>
      <c r="G295" s="62" t="s">
        <v>763</v>
      </c>
      <c r="H295" s="62" t="s">
        <v>764</v>
      </c>
      <c r="I295" s="62" t="s">
        <v>165</v>
      </c>
      <c r="J295" s="62">
        <v>2018</v>
      </c>
      <c r="K295" s="62">
        <v>20</v>
      </c>
      <c r="L295" s="61">
        <v>20</v>
      </c>
      <c r="M295" s="62">
        <v>20</v>
      </c>
      <c r="N295" s="62" t="s">
        <v>105</v>
      </c>
      <c r="O295" s="62">
        <v>2022</v>
      </c>
      <c r="Q295" s="23" t="s">
        <v>912</v>
      </c>
      <c r="R295" s="62" t="s">
        <v>920</v>
      </c>
      <c r="S295" s="61"/>
      <c r="T295" s="61"/>
      <c r="U295" s="61"/>
      <c r="V295" s="61">
        <v>-2.1048110000000002</v>
      </c>
      <c r="W295" s="61">
        <v>106.088823</v>
      </c>
      <c r="X295" s="63"/>
      <c r="Y295" s="63"/>
      <c r="Z295" s="61"/>
      <c r="AA295" s="63"/>
      <c r="AB295" s="63"/>
      <c r="AC295" s="64">
        <f t="shared" si="18"/>
        <v>1</v>
      </c>
      <c r="AD295" s="64">
        <f t="shared" si="19"/>
        <v>1</v>
      </c>
    </row>
    <row r="296" spans="1:30" s="62" customFormat="1" ht="12.5">
      <c r="A296" s="66">
        <v>291</v>
      </c>
      <c r="B296" s="61" t="s">
        <v>777</v>
      </c>
      <c r="C296" s="62" t="s">
        <v>93</v>
      </c>
      <c r="D296" s="61" t="s">
        <v>116</v>
      </c>
      <c r="E296" s="61" t="s">
        <v>117</v>
      </c>
      <c r="F296" s="62" t="s">
        <v>778</v>
      </c>
      <c r="G296" s="62" t="s">
        <v>763</v>
      </c>
      <c r="H296" s="62" t="s">
        <v>764</v>
      </c>
      <c r="I296" s="62" t="s">
        <v>165</v>
      </c>
      <c r="J296" s="62">
        <v>2018</v>
      </c>
      <c r="K296" s="62">
        <v>39</v>
      </c>
      <c r="L296" s="61">
        <v>35</v>
      </c>
      <c r="M296" s="62">
        <v>34</v>
      </c>
      <c r="N296" s="62" t="s">
        <v>105</v>
      </c>
      <c r="O296" s="62">
        <v>2022</v>
      </c>
      <c r="Q296" s="62" t="s">
        <v>914</v>
      </c>
      <c r="R296" s="62" t="s">
        <v>919</v>
      </c>
      <c r="S296" s="61"/>
      <c r="T296" s="61"/>
      <c r="U296" s="61"/>
      <c r="V296" s="61">
        <v>-2.1032679999999999</v>
      </c>
      <c r="W296" s="61">
        <v>106.102847</v>
      </c>
      <c r="X296" s="63"/>
      <c r="Y296" s="63"/>
      <c r="Z296" s="61"/>
      <c r="AA296" s="63"/>
      <c r="AB296" s="63"/>
      <c r="AC296" s="64">
        <f t="shared" si="18"/>
        <v>0.89743589743589747</v>
      </c>
      <c r="AD296" s="64">
        <f t="shared" si="19"/>
        <v>0.97142857142857142</v>
      </c>
    </row>
    <row r="297" spans="1:30" s="62" customFormat="1" ht="12.5">
      <c r="A297" s="66">
        <v>292</v>
      </c>
      <c r="B297" s="61" t="s">
        <v>779</v>
      </c>
      <c r="C297" s="62" t="s">
        <v>93</v>
      </c>
      <c r="D297" s="61" t="s">
        <v>94</v>
      </c>
      <c r="E297" s="61" t="s">
        <v>103</v>
      </c>
      <c r="F297" s="62" t="s">
        <v>108</v>
      </c>
      <c r="G297" s="62" t="s">
        <v>763</v>
      </c>
      <c r="H297" s="62" t="s">
        <v>764</v>
      </c>
      <c r="I297" s="62" t="s">
        <v>165</v>
      </c>
      <c r="J297" s="62">
        <v>2018</v>
      </c>
      <c r="K297" s="62">
        <v>35</v>
      </c>
      <c r="L297" s="61">
        <v>35</v>
      </c>
      <c r="M297" s="62">
        <v>35</v>
      </c>
      <c r="N297" s="62" t="s">
        <v>100</v>
      </c>
      <c r="O297" s="62" t="s">
        <v>101</v>
      </c>
      <c r="Q297" s="23" t="s">
        <v>912</v>
      </c>
      <c r="S297" s="61"/>
      <c r="T297" s="61"/>
      <c r="U297" s="61"/>
      <c r="V297" s="61">
        <v>-2.1212407999999998</v>
      </c>
      <c r="W297" s="61">
        <v>106.07339570000001</v>
      </c>
      <c r="X297" s="63"/>
      <c r="Y297" s="63"/>
      <c r="Z297" s="61"/>
      <c r="AA297" s="63"/>
      <c r="AB297" s="63"/>
      <c r="AC297" s="64">
        <f t="shared" si="18"/>
        <v>1</v>
      </c>
      <c r="AD297" s="64">
        <f t="shared" si="19"/>
        <v>1</v>
      </c>
    </row>
    <row r="298" spans="1:30" s="62" customFormat="1" ht="12.5">
      <c r="A298" s="66">
        <v>293</v>
      </c>
      <c r="B298" s="61" t="s">
        <v>780</v>
      </c>
      <c r="C298" s="62" t="s">
        <v>93</v>
      </c>
      <c r="D298" s="61" t="s">
        <v>116</v>
      </c>
      <c r="E298" s="61" t="s">
        <v>126</v>
      </c>
      <c r="F298" s="62" t="s">
        <v>536</v>
      </c>
      <c r="G298" s="62" t="s">
        <v>763</v>
      </c>
      <c r="H298" s="62" t="s">
        <v>764</v>
      </c>
      <c r="I298" s="62" t="s">
        <v>165</v>
      </c>
      <c r="J298" s="62">
        <v>2019</v>
      </c>
      <c r="K298" s="62">
        <v>39</v>
      </c>
      <c r="L298" s="61">
        <v>39</v>
      </c>
      <c r="M298" s="62">
        <v>31</v>
      </c>
      <c r="N298" s="62" t="s">
        <v>100</v>
      </c>
      <c r="O298" s="62" t="s">
        <v>101</v>
      </c>
      <c r="Q298" s="23" t="s">
        <v>912</v>
      </c>
      <c r="R298" s="23" t="s">
        <v>915</v>
      </c>
      <c r="S298" s="61"/>
      <c r="T298" s="61"/>
      <c r="U298" s="61"/>
      <c r="V298" s="61">
        <v>-2.0921159999999999</v>
      </c>
      <c r="W298" s="61">
        <v>106.092775</v>
      </c>
      <c r="X298" s="63"/>
      <c r="Y298" s="63"/>
      <c r="Z298" s="61"/>
      <c r="AA298" s="63"/>
      <c r="AB298" s="63"/>
      <c r="AC298" s="64">
        <f t="shared" si="18"/>
        <v>1</v>
      </c>
      <c r="AD298" s="64">
        <f t="shared" si="19"/>
        <v>0.79487179487179482</v>
      </c>
    </row>
    <row r="299" spans="1:30" s="62" customFormat="1" ht="12.5">
      <c r="A299" s="66">
        <v>294</v>
      </c>
      <c r="B299" s="61" t="s">
        <v>781</v>
      </c>
      <c r="C299" s="62" t="s">
        <v>93</v>
      </c>
      <c r="D299" s="61" t="s">
        <v>94</v>
      </c>
      <c r="E299" s="61" t="s">
        <v>95</v>
      </c>
      <c r="F299" s="62" t="s">
        <v>782</v>
      </c>
      <c r="G299" s="62" t="s">
        <v>763</v>
      </c>
      <c r="H299" s="62" t="s">
        <v>764</v>
      </c>
      <c r="I299" s="62" t="s">
        <v>165</v>
      </c>
      <c r="J299" s="62">
        <v>2019</v>
      </c>
      <c r="K299" s="62">
        <v>39</v>
      </c>
      <c r="L299" s="61">
        <v>36</v>
      </c>
      <c r="M299" s="62">
        <v>36</v>
      </c>
      <c r="N299" s="62" t="s">
        <v>100</v>
      </c>
      <c r="O299" s="62" t="s">
        <v>101</v>
      </c>
      <c r="Q299" s="23" t="s">
        <v>912</v>
      </c>
      <c r="S299" s="61"/>
      <c r="T299" s="61"/>
      <c r="U299" s="61"/>
      <c r="V299" s="61">
        <v>-2.109334</v>
      </c>
      <c r="W299" s="61">
        <v>106.08140899999999</v>
      </c>
      <c r="X299" s="63"/>
      <c r="Y299" s="63"/>
      <c r="Z299" s="61"/>
      <c r="AA299" s="63"/>
      <c r="AB299" s="63"/>
      <c r="AC299" s="64">
        <f t="shared" si="18"/>
        <v>0.92307692307692313</v>
      </c>
      <c r="AD299" s="64">
        <f t="shared" si="19"/>
        <v>1</v>
      </c>
    </row>
    <row r="300" spans="1:30" s="62" customFormat="1" ht="12.5">
      <c r="A300" s="66">
        <v>295</v>
      </c>
      <c r="B300" s="61" t="s">
        <v>783</v>
      </c>
      <c r="C300" s="62" t="s">
        <v>93</v>
      </c>
      <c r="D300" s="61" t="s">
        <v>116</v>
      </c>
      <c r="E300" s="61" t="s">
        <v>126</v>
      </c>
      <c r="F300" s="62" t="s">
        <v>129</v>
      </c>
      <c r="G300" s="62" t="s">
        <v>784</v>
      </c>
      <c r="H300" s="62" t="s">
        <v>569</v>
      </c>
      <c r="I300" s="62" t="s">
        <v>165</v>
      </c>
      <c r="J300" s="62">
        <v>2021</v>
      </c>
      <c r="K300" s="62">
        <v>34</v>
      </c>
      <c r="L300" s="61">
        <v>34</v>
      </c>
      <c r="M300" s="62">
        <v>34</v>
      </c>
      <c r="N300" s="62" t="s">
        <v>100</v>
      </c>
      <c r="O300" s="62" t="s">
        <v>101</v>
      </c>
      <c r="Q300" s="23" t="s">
        <v>912</v>
      </c>
      <c r="R300" s="23" t="s">
        <v>915</v>
      </c>
      <c r="S300" s="61"/>
      <c r="T300" s="61"/>
      <c r="U300" s="61"/>
      <c r="V300" s="61"/>
      <c r="W300" s="61"/>
      <c r="X300" s="63"/>
      <c r="Y300" s="63"/>
      <c r="Z300" s="61"/>
      <c r="AA300" s="63"/>
      <c r="AB300" s="63"/>
      <c r="AC300" s="64">
        <f t="shared" si="18"/>
        <v>1</v>
      </c>
      <c r="AD300" s="64">
        <f t="shared" si="19"/>
        <v>1</v>
      </c>
    </row>
    <row r="301" spans="1:30" s="62" customFormat="1" ht="12.5">
      <c r="A301" s="66">
        <v>296</v>
      </c>
      <c r="B301" s="61" t="s">
        <v>785</v>
      </c>
      <c r="C301" s="62" t="s">
        <v>93</v>
      </c>
      <c r="D301" s="61" t="s">
        <v>94</v>
      </c>
      <c r="E301" s="61" t="s">
        <v>95</v>
      </c>
      <c r="F301" s="62" t="s">
        <v>782</v>
      </c>
      <c r="G301" s="62" t="s">
        <v>784</v>
      </c>
      <c r="H301" s="62" t="s">
        <v>786</v>
      </c>
      <c r="I301" s="62" t="s">
        <v>165</v>
      </c>
      <c r="J301" s="62">
        <v>2022</v>
      </c>
      <c r="K301" s="62">
        <v>58</v>
      </c>
      <c r="L301" s="61">
        <v>58</v>
      </c>
      <c r="M301" s="62">
        <v>0</v>
      </c>
      <c r="N301" s="62" t="s">
        <v>100</v>
      </c>
      <c r="O301" s="62" t="s">
        <v>101</v>
      </c>
      <c r="Q301" s="23" t="s">
        <v>912</v>
      </c>
      <c r="S301" s="61"/>
      <c r="T301" s="61"/>
      <c r="U301" s="61"/>
      <c r="V301" s="61">
        <v>-2.1086290000000001</v>
      </c>
      <c r="W301" s="61">
        <v>106.080664</v>
      </c>
      <c r="X301" s="63"/>
      <c r="Y301" s="63"/>
      <c r="Z301" s="61"/>
      <c r="AA301" s="63"/>
      <c r="AB301" s="63"/>
      <c r="AC301" s="64">
        <f t="shared" si="18"/>
        <v>1</v>
      </c>
      <c r="AD301" s="64">
        <f t="shared" si="19"/>
        <v>0</v>
      </c>
    </row>
    <row r="302" spans="1:30" s="62" customFormat="1" ht="12.5">
      <c r="A302" s="66">
        <v>297</v>
      </c>
      <c r="B302" s="61" t="s">
        <v>787</v>
      </c>
      <c r="C302" s="62" t="s">
        <v>93</v>
      </c>
      <c r="D302" s="61" t="s">
        <v>116</v>
      </c>
      <c r="E302" s="61" t="s">
        <v>117</v>
      </c>
      <c r="F302" s="62" t="s">
        <v>788</v>
      </c>
      <c r="G302" s="62" t="s">
        <v>784</v>
      </c>
      <c r="H302" s="62" t="s">
        <v>569</v>
      </c>
      <c r="I302" s="62" t="s">
        <v>165</v>
      </c>
      <c r="J302" s="62">
        <v>2022</v>
      </c>
      <c r="K302" s="62">
        <v>36</v>
      </c>
      <c r="L302" s="61">
        <v>33</v>
      </c>
      <c r="M302" s="62">
        <v>33</v>
      </c>
      <c r="N302" s="62" t="s">
        <v>100</v>
      </c>
      <c r="O302" s="62" t="s">
        <v>101</v>
      </c>
      <c r="Q302" s="23" t="s">
        <v>912</v>
      </c>
      <c r="S302" s="61"/>
      <c r="T302" s="61"/>
      <c r="U302" s="61"/>
      <c r="V302" s="61">
        <v>-2.1061350000000001</v>
      </c>
      <c r="W302" s="61">
        <v>106.102529</v>
      </c>
      <c r="X302" s="63"/>
      <c r="Y302" s="63"/>
      <c r="Z302" s="61"/>
      <c r="AA302" s="63"/>
      <c r="AB302" s="63"/>
      <c r="AC302" s="64">
        <f t="shared" si="18"/>
        <v>0.91666666666666663</v>
      </c>
      <c r="AD302" s="64">
        <f t="shared" si="19"/>
        <v>1</v>
      </c>
    </row>
    <row r="303" spans="1:30" s="62" customFormat="1" ht="12.5">
      <c r="A303" s="66">
        <v>298</v>
      </c>
      <c r="B303" s="61" t="s">
        <v>789</v>
      </c>
      <c r="C303" s="62" t="s">
        <v>93</v>
      </c>
      <c r="D303" s="61" t="s">
        <v>94</v>
      </c>
      <c r="E303" s="61" t="s">
        <v>95</v>
      </c>
      <c r="F303" s="62" t="s">
        <v>157</v>
      </c>
      <c r="G303" s="62" t="s">
        <v>784</v>
      </c>
      <c r="H303" s="62" t="s">
        <v>786</v>
      </c>
      <c r="I303" s="62" t="s">
        <v>165</v>
      </c>
      <c r="J303" s="62">
        <v>2023</v>
      </c>
      <c r="K303" s="62">
        <v>35</v>
      </c>
      <c r="L303" s="61">
        <v>29</v>
      </c>
      <c r="M303" s="62">
        <v>0</v>
      </c>
      <c r="N303" s="62" t="s">
        <v>100</v>
      </c>
      <c r="O303" s="62" t="s">
        <v>101</v>
      </c>
      <c r="Q303" s="23" t="s">
        <v>912</v>
      </c>
      <c r="R303" s="23" t="s">
        <v>915</v>
      </c>
      <c r="S303" s="61"/>
      <c r="T303" s="61"/>
      <c r="U303" s="61"/>
      <c r="V303" s="61">
        <v>-2.1097893000000001</v>
      </c>
      <c r="W303" s="61">
        <v>106.0797096</v>
      </c>
      <c r="X303" s="63"/>
      <c r="Y303" s="63"/>
      <c r="Z303" s="61"/>
      <c r="AA303" s="63"/>
      <c r="AB303" s="63"/>
      <c r="AC303" s="64">
        <f t="shared" si="18"/>
        <v>0.82857142857142863</v>
      </c>
      <c r="AD303" s="64">
        <f t="shared" si="19"/>
        <v>0</v>
      </c>
    </row>
    <row r="304" spans="1:30" s="62" customFormat="1" ht="12.5">
      <c r="A304" s="66">
        <v>299</v>
      </c>
      <c r="B304" s="61" t="s">
        <v>790</v>
      </c>
      <c r="C304" s="62" t="s">
        <v>93</v>
      </c>
      <c r="D304" s="61" t="s">
        <v>116</v>
      </c>
      <c r="E304" s="61" t="s">
        <v>116</v>
      </c>
      <c r="F304" s="62" t="s">
        <v>791</v>
      </c>
      <c r="G304" s="62" t="s">
        <v>784</v>
      </c>
      <c r="H304" s="62" t="s">
        <v>786</v>
      </c>
      <c r="I304" s="62" t="s">
        <v>165</v>
      </c>
      <c r="J304" s="62">
        <v>2024</v>
      </c>
      <c r="K304" s="62">
        <v>62</v>
      </c>
      <c r="L304" s="61">
        <v>0</v>
      </c>
      <c r="M304" s="62">
        <v>0</v>
      </c>
      <c r="N304" s="62" t="s">
        <v>100</v>
      </c>
      <c r="O304" s="62" t="s">
        <v>101</v>
      </c>
      <c r="Q304" s="23" t="s">
        <v>912</v>
      </c>
      <c r="S304" s="61"/>
      <c r="T304" s="61"/>
      <c r="U304" s="61"/>
      <c r="V304" s="61">
        <v>-2.10541</v>
      </c>
      <c r="W304" s="61">
        <v>106.107096</v>
      </c>
      <c r="X304" s="63"/>
      <c r="Y304" s="63"/>
      <c r="Z304" s="61"/>
      <c r="AA304" s="63"/>
      <c r="AB304" s="63"/>
      <c r="AC304" s="64">
        <f t="shared" si="18"/>
        <v>0</v>
      </c>
      <c r="AD304" s="64">
        <f t="shared" si="19"/>
        <v>0</v>
      </c>
    </row>
    <row r="305" spans="1:30" s="62" customFormat="1" ht="12.5">
      <c r="A305" s="66">
        <v>300</v>
      </c>
      <c r="B305" s="61" t="s">
        <v>792</v>
      </c>
      <c r="C305" s="62" t="s">
        <v>93</v>
      </c>
      <c r="D305" s="61" t="s">
        <v>94</v>
      </c>
      <c r="E305" s="61" t="s">
        <v>188</v>
      </c>
      <c r="F305" s="62" t="s">
        <v>118</v>
      </c>
      <c r="G305" s="62" t="s">
        <v>784</v>
      </c>
      <c r="H305" s="62" t="s">
        <v>569</v>
      </c>
      <c r="I305" s="62" t="s">
        <v>165</v>
      </c>
      <c r="J305" s="62">
        <v>2019</v>
      </c>
      <c r="K305" s="62">
        <v>115</v>
      </c>
      <c r="L305" s="61">
        <v>115</v>
      </c>
      <c r="M305" s="62">
        <v>115</v>
      </c>
      <c r="N305" s="62" t="s">
        <v>100</v>
      </c>
      <c r="O305" s="62" t="s">
        <v>101</v>
      </c>
      <c r="Q305" s="23" t="s">
        <v>912</v>
      </c>
      <c r="S305" s="61"/>
      <c r="T305" s="61"/>
      <c r="U305" s="61"/>
      <c r="V305" s="61">
        <v>-2.1040869999999998</v>
      </c>
      <c r="W305" s="61">
        <v>106.09254199999999</v>
      </c>
      <c r="X305" s="63"/>
      <c r="Y305" s="63"/>
      <c r="Z305" s="61"/>
      <c r="AA305" s="63"/>
      <c r="AB305" s="63"/>
      <c r="AC305" s="64">
        <f t="shared" si="18"/>
        <v>1</v>
      </c>
      <c r="AD305" s="64">
        <f t="shared" si="19"/>
        <v>1</v>
      </c>
    </row>
    <row r="306" spans="1:30" s="62" customFormat="1" ht="12.5">
      <c r="A306" s="66">
        <v>301</v>
      </c>
      <c r="B306" s="61" t="s">
        <v>793</v>
      </c>
      <c r="C306" s="62" t="s">
        <v>93</v>
      </c>
      <c r="D306" s="61" t="s">
        <v>94</v>
      </c>
      <c r="E306" s="61" t="s">
        <v>188</v>
      </c>
      <c r="F306" s="62" t="s">
        <v>118</v>
      </c>
      <c r="G306" s="62" t="s">
        <v>784</v>
      </c>
      <c r="H306" s="62" t="s">
        <v>569</v>
      </c>
      <c r="I306" s="62" t="s">
        <v>165</v>
      </c>
      <c r="J306" s="62">
        <v>2019</v>
      </c>
      <c r="K306" s="62">
        <v>83</v>
      </c>
      <c r="L306" s="61">
        <v>63</v>
      </c>
      <c r="M306" s="62">
        <v>45</v>
      </c>
      <c r="N306" s="62" t="s">
        <v>100</v>
      </c>
      <c r="O306" s="62" t="s">
        <v>101</v>
      </c>
      <c r="Q306" s="23" t="s">
        <v>912</v>
      </c>
      <c r="S306" s="61"/>
      <c r="T306" s="61"/>
      <c r="U306" s="61"/>
      <c r="V306" s="61">
        <v>-2.1046480000000001</v>
      </c>
      <c r="W306" s="61">
        <v>106.093439</v>
      </c>
      <c r="X306" s="63"/>
      <c r="Y306" s="63"/>
      <c r="Z306" s="61"/>
      <c r="AA306" s="63"/>
      <c r="AB306" s="63"/>
      <c r="AC306" s="64">
        <f t="shared" si="18"/>
        <v>0.75903614457831325</v>
      </c>
      <c r="AD306" s="64">
        <f t="shared" si="19"/>
        <v>0.7142857142857143</v>
      </c>
    </row>
    <row r="307" spans="1:30" s="62" customFormat="1" ht="12.5">
      <c r="A307" s="66">
        <v>302</v>
      </c>
      <c r="B307" s="61" t="s">
        <v>794</v>
      </c>
      <c r="C307" s="62" t="s">
        <v>222</v>
      </c>
      <c r="D307" s="61" t="s">
        <v>135</v>
      </c>
      <c r="E307" s="61" t="s">
        <v>253</v>
      </c>
      <c r="F307" s="62" t="s">
        <v>795</v>
      </c>
      <c r="G307" s="62" t="s">
        <v>101</v>
      </c>
      <c r="H307" s="62" t="s">
        <v>101</v>
      </c>
      <c r="I307" s="62" t="s">
        <v>101</v>
      </c>
      <c r="J307" s="62" t="s">
        <v>101</v>
      </c>
      <c r="K307" s="62">
        <v>90</v>
      </c>
      <c r="L307" s="61">
        <v>0</v>
      </c>
      <c r="M307" s="62">
        <v>0</v>
      </c>
      <c r="N307" s="62" t="s">
        <v>100</v>
      </c>
      <c r="O307" s="62" t="s">
        <v>101</v>
      </c>
      <c r="Q307" s="62" t="s">
        <v>914</v>
      </c>
      <c r="S307" s="61"/>
      <c r="T307" s="61"/>
      <c r="U307" s="61"/>
      <c r="V307" s="61"/>
      <c r="W307" s="61"/>
      <c r="X307" s="63"/>
      <c r="Y307" s="63"/>
      <c r="Z307" s="61"/>
      <c r="AA307" s="63"/>
      <c r="AB307" s="63"/>
      <c r="AC307" s="64">
        <f t="shared" si="18"/>
        <v>0</v>
      </c>
      <c r="AD307" s="64">
        <f t="shared" si="19"/>
        <v>0</v>
      </c>
    </row>
    <row r="308" spans="1:30" s="62" customFormat="1" ht="12.5">
      <c r="A308" s="66">
        <v>303</v>
      </c>
      <c r="B308" s="61" t="s">
        <v>796</v>
      </c>
      <c r="C308" s="62" t="s">
        <v>93</v>
      </c>
      <c r="D308" s="61" t="s">
        <v>94</v>
      </c>
      <c r="E308" s="61" t="s">
        <v>95</v>
      </c>
      <c r="F308" s="62" t="s">
        <v>446</v>
      </c>
      <c r="G308" s="62" t="s">
        <v>797</v>
      </c>
      <c r="H308" s="62" t="s">
        <v>798</v>
      </c>
      <c r="I308" s="62" t="s">
        <v>140</v>
      </c>
      <c r="J308" s="62">
        <v>2015</v>
      </c>
      <c r="K308" s="62">
        <v>75</v>
      </c>
      <c r="L308" s="61">
        <v>27</v>
      </c>
      <c r="M308" s="62">
        <v>27</v>
      </c>
      <c r="N308" s="62" t="s">
        <v>100</v>
      </c>
      <c r="O308" s="62" t="s">
        <v>101</v>
      </c>
      <c r="Q308" s="23" t="s">
        <v>912</v>
      </c>
      <c r="R308" s="23" t="s">
        <v>915</v>
      </c>
      <c r="S308" s="61"/>
      <c r="T308" s="61"/>
      <c r="U308" s="61"/>
      <c r="V308" s="61"/>
      <c r="W308" s="61"/>
      <c r="X308" s="63"/>
      <c r="Y308" s="63"/>
      <c r="Z308" s="61"/>
      <c r="AA308" s="63"/>
      <c r="AB308" s="63"/>
      <c r="AC308" s="64">
        <f t="shared" si="18"/>
        <v>0.36</v>
      </c>
      <c r="AD308" s="64">
        <f t="shared" si="19"/>
        <v>1</v>
      </c>
    </row>
    <row r="309" spans="1:30" s="62" customFormat="1" ht="12.5">
      <c r="A309" s="66">
        <v>304</v>
      </c>
      <c r="B309" s="61" t="s">
        <v>799</v>
      </c>
      <c r="C309" s="62" t="s">
        <v>93</v>
      </c>
      <c r="D309" s="61" t="s">
        <v>94</v>
      </c>
      <c r="E309" s="61" t="s">
        <v>235</v>
      </c>
      <c r="F309" s="62" t="s">
        <v>236</v>
      </c>
      <c r="G309" s="62" t="s">
        <v>797</v>
      </c>
      <c r="H309" s="62" t="s">
        <v>798</v>
      </c>
      <c r="I309" s="62" t="s">
        <v>140</v>
      </c>
      <c r="J309" s="62">
        <v>2018</v>
      </c>
      <c r="K309" s="62">
        <v>45</v>
      </c>
      <c r="L309" s="61">
        <v>43</v>
      </c>
      <c r="M309" s="62">
        <v>43</v>
      </c>
      <c r="N309" s="62" t="s">
        <v>100</v>
      </c>
      <c r="O309" s="62" t="s">
        <v>101</v>
      </c>
      <c r="Q309" s="23" t="s">
        <v>912</v>
      </c>
      <c r="S309" s="61"/>
      <c r="T309" s="61"/>
      <c r="U309" s="61"/>
      <c r="V309" s="61">
        <v>-2.1097419999999998</v>
      </c>
      <c r="W309" s="61">
        <v>106.090282</v>
      </c>
      <c r="X309" s="63"/>
      <c r="Y309" s="63"/>
      <c r="Z309" s="61"/>
      <c r="AA309" s="63"/>
      <c r="AB309" s="63"/>
      <c r="AC309" s="64">
        <f t="shared" si="18"/>
        <v>0.9555555555555556</v>
      </c>
      <c r="AD309" s="64">
        <f t="shared" si="19"/>
        <v>1</v>
      </c>
    </row>
    <row r="310" spans="1:30" s="62" customFormat="1" ht="12.5">
      <c r="A310" s="66">
        <v>305</v>
      </c>
      <c r="B310" s="61" t="s">
        <v>800</v>
      </c>
      <c r="C310" s="62" t="s">
        <v>93</v>
      </c>
      <c r="D310" s="61" t="s">
        <v>94</v>
      </c>
      <c r="E310" s="61" t="s">
        <v>188</v>
      </c>
      <c r="F310" s="62" t="s">
        <v>236</v>
      </c>
      <c r="G310" s="62" t="s">
        <v>801</v>
      </c>
      <c r="H310" s="62" t="s">
        <v>798</v>
      </c>
      <c r="I310" s="62" t="s">
        <v>140</v>
      </c>
      <c r="J310" s="62">
        <v>2018</v>
      </c>
      <c r="K310" s="62">
        <v>58</v>
      </c>
      <c r="L310" s="61">
        <v>0</v>
      </c>
      <c r="M310" s="62">
        <v>0</v>
      </c>
      <c r="N310" s="62" t="s">
        <v>100</v>
      </c>
      <c r="O310" s="62" t="s">
        <v>101</v>
      </c>
      <c r="Q310" s="23" t="s">
        <v>912</v>
      </c>
      <c r="S310" s="61"/>
      <c r="T310" s="61"/>
      <c r="U310" s="61"/>
      <c r="V310" s="61">
        <v>-2.1087570000000002</v>
      </c>
      <c r="W310" s="61">
        <v>106.08998630000001</v>
      </c>
      <c r="X310" s="63"/>
      <c r="Y310" s="63"/>
      <c r="Z310" s="61"/>
      <c r="AA310" s="63"/>
      <c r="AB310" s="63"/>
      <c r="AC310" s="64">
        <f t="shared" si="18"/>
        <v>0</v>
      </c>
      <c r="AD310" s="64">
        <f t="shared" si="19"/>
        <v>0</v>
      </c>
    </row>
    <row r="311" spans="1:30" s="62" customFormat="1" ht="12.5">
      <c r="A311" s="66">
        <v>306</v>
      </c>
      <c r="B311" s="61" t="s">
        <v>802</v>
      </c>
      <c r="C311" s="62" t="s">
        <v>93</v>
      </c>
      <c r="D311" s="61" t="s">
        <v>135</v>
      </c>
      <c r="E311" s="61" t="s">
        <v>253</v>
      </c>
      <c r="F311" s="62" t="s">
        <v>505</v>
      </c>
      <c r="G311" s="62" t="s">
        <v>803</v>
      </c>
      <c r="H311" s="62" t="s">
        <v>804</v>
      </c>
      <c r="I311" s="62" t="s">
        <v>140</v>
      </c>
      <c r="J311" s="62">
        <v>2021</v>
      </c>
      <c r="K311" s="62">
        <v>35</v>
      </c>
      <c r="L311" s="61">
        <v>7</v>
      </c>
      <c r="M311" s="62">
        <v>7</v>
      </c>
      <c r="N311" s="62" t="s">
        <v>100</v>
      </c>
      <c r="O311" s="62" t="s">
        <v>101</v>
      </c>
      <c r="Q311" s="23" t="s">
        <v>912</v>
      </c>
      <c r="R311" s="23" t="s">
        <v>915</v>
      </c>
      <c r="S311" s="61"/>
      <c r="T311" s="61"/>
      <c r="U311" s="61"/>
      <c r="V311" s="61">
        <v>-2.1579456000000001</v>
      </c>
      <c r="W311" s="61">
        <v>106.1530825</v>
      </c>
      <c r="X311" s="63"/>
      <c r="Y311" s="63"/>
      <c r="Z311" s="61"/>
      <c r="AA311" s="63"/>
      <c r="AB311" s="63"/>
      <c r="AC311" s="64">
        <f t="shared" si="18"/>
        <v>0.2</v>
      </c>
      <c r="AD311" s="64">
        <f t="shared" si="19"/>
        <v>1</v>
      </c>
    </row>
    <row r="312" spans="1:30" s="62" customFormat="1" ht="12.5">
      <c r="A312" s="66">
        <v>307</v>
      </c>
      <c r="B312" s="61" t="s">
        <v>805</v>
      </c>
      <c r="C312" s="62" t="s">
        <v>93</v>
      </c>
      <c r="D312" s="61" t="s">
        <v>116</v>
      </c>
      <c r="E312" s="61" t="s">
        <v>126</v>
      </c>
      <c r="F312" s="62" t="s">
        <v>522</v>
      </c>
      <c r="G312" s="62" t="s">
        <v>806</v>
      </c>
      <c r="H312" s="62" t="s">
        <v>388</v>
      </c>
      <c r="I312" s="62" t="s">
        <v>101</v>
      </c>
      <c r="J312" s="62">
        <v>2017</v>
      </c>
      <c r="K312" s="62">
        <v>38</v>
      </c>
      <c r="L312" s="61">
        <v>29</v>
      </c>
      <c r="M312" s="62">
        <v>29</v>
      </c>
      <c r="N312" s="62" t="s">
        <v>100</v>
      </c>
      <c r="O312" s="62" t="s">
        <v>101</v>
      </c>
      <c r="Q312" s="23" t="s">
        <v>912</v>
      </c>
      <c r="S312" s="61"/>
      <c r="T312" s="61"/>
      <c r="U312" s="61"/>
      <c r="V312" s="61"/>
      <c r="W312" s="61"/>
      <c r="X312" s="63"/>
      <c r="Y312" s="63"/>
      <c r="Z312" s="61"/>
      <c r="AA312" s="63"/>
      <c r="AB312" s="63"/>
      <c r="AC312" s="64">
        <f t="shared" si="18"/>
        <v>0.76315789473684215</v>
      </c>
      <c r="AD312" s="64">
        <f t="shared" si="19"/>
        <v>1</v>
      </c>
    </row>
    <row r="313" spans="1:30" s="62" customFormat="1" ht="12.5">
      <c r="A313" s="66">
        <v>308</v>
      </c>
      <c r="B313" s="61" t="s">
        <v>807</v>
      </c>
      <c r="C313" s="62" t="s">
        <v>93</v>
      </c>
      <c r="D313" s="61" t="s">
        <v>94</v>
      </c>
      <c r="E313" s="61" t="s">
        <v>95</v>
      </c>
      <c r="F313" s="62" t="s">
        <v>118</v>
      </c>
      <c r="G313" s="62" t="s">
        <v>406</v>
      </c>
      <c r="H313" s="62" t="s">
        <v>407</v>
      </c>
      <c r="I313" s="62" t="s">
        <v>165</v>
      </c>
      <c r="J313" s="62">
        <v>2017</v>
      </c>
      <c r="K313" s="62">
        <v>100</v>
      </c>
      <c r="L313" s="61">
        <v>98</v>
      </c>
      <c r="M313" s="62">
        <v>98</v>
      </c>
      <c r="N313" s="62" t="s">
        <v>100</v>
      </c>
      <c r="O313" s="62" t="s">
        <v>101</v>
      </c>
      <c r="Q313" s="23" t="s">
        <v>912</v>
      </c>
      <c r="R313" s="23" t="s">
        <v>915</v>
      </c>
      <c r="S313" s="61"/>
      <c r="T313" s="61"/>
      <c r="U313" s="61"/>
      <c r="V313" s="61">
        <v>-2.1049924</v>
      </c>
      <c r="W313" s="61">
        <v>106.0809118</v>
      </c>
      <c r="X313" s="63"/>
      <c r="Y313" s="63"/>
      <c r="Z313" s="61"/>
      <c r="AA313" s="63"/>
      <c r="AB313" s="63"/>
      <c r="AC313" s="64">
        <f t="shared" si="18"/>
        <v>0.98</v>
      </c>
      <c r="AD313" s="64">
        <f t="shared" si="19"/>
        <v>1</v>
      </c>
    </row>
    <row r="314" spans="1:30" s="62" customFormat="1" ht="12.5">
      <c r="A314" s="66">
        <v>309</v>
      </c>
      <c r="B314" s="61" t="s">
        <v>808</v>
      </c>
      <c r="C314" s="62" t="s">
        <v>93</v>
      </c>
      <c r="D314" s="61" t="s">
        <v>356</v>
      </c>
      <c r="E314" s="61" t="s">
        <v>357</v>
      </c>
      <c r="F314" s="62" t="s">
        <v>809</v>
      </c>
      <c r="G314" s="62" t="s">
        <v>101</v>
      </c>
      <c r="H314" s="62" t="s">
        <v>101</v>
      </c>
      <c r="I314" s="62" t="s">
        <v>101</v>
      </c>
      <c r="J314" s="62">
        <v>2016</v>
      </c>
      <c r="K314" s="62">
        <v>45</v>
      </c>
      <c r="L314" s="61">
        <v>45</v>
      </c>
      <c r="M314" s="62">
        <v>45</v>
      </c>
      <c r="N314" s="62" t="s">
        <v>100</v>
      </c>
      <c r="O314" s="62" t="s">
        <v>101</v>
      </c>
      <c r="Q314" s="23" t="s">
        <v>912</v>
      </c>
      <c r="R314" s="23" t="s">
        <v>915</v>
      </c>
      <c r="S314" s="61"/>
      <c r="T314" s="61"/>
      <c r="U314" s="61"/>
      <c r="V314" s="61"/>
      <c r="W314" s="61"/>
      <c r="X314" s="63"/>
      <c r="Y314" s="63"/>
      <c r="Z314" s="61"/>
      <c r="AA314" s="63"/>
      <c r="AB314" s="63"/>
      <c r="AC314" s="64">
        <f t="shared" si="18"/>
        <v>1</v>
      </c>
      <c r="AD314" s="64">
        <f t="shared" si="19"/>
        <v>1</v>
      </c>
    </row>
    <row r="315" spans="1:30" s="62" customFormat="1" ht="12.5">
      <c r="A315" s="66">
        <v>310</v>
      </c>
      <c r="B315" s="61" t="s">
        <v>810</v>
      </c>
      <c r="C315" s="62" t="s">
        <v>93</v>
      </c>
      <c r="D315" s="61" t="s">
        <v>356</v>
      </c>
      <c r="E315" s="61" t="s">
        <v>357</v>
      </c>
      <c r="F315" s="62" t="s">
        <v>811</v>
      </c>
      <c r="G315" s="62" t="s">
        <v>101</v>
      </c>
      <c r="H315" s="62" t="s">
        <v>101</v>
      </c>
      <c r="I315" s="62" t="s">
        <v>101</v>
      </c>
      <c r="J315" s="62" t="s">
        <v>101</v>
      </c>
      <c r="K315" s="62">
        <v>18</v>
      </c>
      <c r="L315" s="61">
        <v>18</v>
      </c>
      <c r="M315" s="62">
        <v>18</v>
      </c>
      <c r="N315" s="62" t="s">
        <v>100</v>
      </c>
      <c r="O315" s="62" t="s">
        <v>101</v>
      </c>
      <c r="Q315" s="23" t="s">
        <v>912</v>
      </c>
      <c r="S315" s="61"/>
      <c r="T315" s="61"/>
      <c r="U315" s="61"/>
      <c r="V315" s="61">
        <v>-2.1483458</v>
      </c>
      <c r="W315" s="61">
        <v>106.1082993</v>
      </c>
      <c r="X315" s="63"/>
      <c r="Y315" s="63"/>
      <c r="Z315" s="61"/>
      <c r="AA315" s="63"/>
      <c r="AB315" s="63"/>
      <c r="AC315" s="64">
        <f t="shared" si="18"/>
        <v>1</v>
      </c>
      <c r="AD315" s="64">
        <f t="shared" si="19"/>
        <v>1</v>
      </c>
    </row>
    <row r="316" spans="1:30" s="62" customFormat="1" ht="12.5">
      <c r="A316" s="66">
        <v>311</v>
      </c>
      <c r="B316" s="61" t="s">
        <v>812</v>
      </c>
      <c r="C316" s="62" t="s">
        <v>93</v>
      </c>
      <c r="D316" s="61" t="s">
        <v>94</v>
      </c>
      <c r="E316" s="61" t="s">
        <v>95</v>
      </c>
      <c r="F316" s="62" t="s">
        <v>813</v>
      </c>
      <c r="G316" s="62" t="s">
        <v>814</v>
      </c>
      <c r="H316" s="62" t="s">
        <v>815</v>
      </c>
      <c r="I316" s="62" t="s">
        <v>140</v>
      </c>
      <c r="J316" s="62">
        <v>2017</v>
      </c>
      <c r="K316" s="62">
        <v>101</v>
      </c>
      <c r="L316" s="61">
        <v>93</v>
      </c>
      <c r="M316" s="62">
        <v>92</v>
      </c>
      <c r="N316" s="62" t="s">
        <v>105</v>
      </c>
      <c r="O316" s="62">
        <v>2022</v>
      </c>
      <c r="Q316" s="23" t="s">
        <v>912</v>
      </c>
      <c r="S316" s="61"/>
      <c r="T316" s="61" t="s">
        <v>913</v>
      </c>
      <c r="U316" s="61"/>
      <c r="V316" s="61">
        <v>-2.1053109000000001</v>
      </c>
      <c r="W316" s="61">
        <v>106.0879218</v>
      </c>
      <c r="X316" s="63"/>
      <c r="Y316" s="63"/>
      <c r="Z316" s="61"/>
      <c r="AA316" s="63"/>
      <c r="AB316" s="63"/>
      <c r="AC316" s="64">
        <f t="shared" si="18"/>
        <v>0.92079207920792083</v>
      </c>
      <c r="AD316" s="64">
        <f t="shared" si="19"/>
        <v>0.989247311827957</v>
      </c>
    </row>
    <row r="317" spans="1:30" s="62" customFormat="1" ht="12.5">
      <c r="A317" s="66">
        <v>312</v>
      </c>
      <c r="B317" s="61" t="s">
        <v>816</v>
      </c>
      <c r="C317" s="62" t="s">
        <v>93</v>
      </c>
      <c r="D317" s="61" t="s">
        <v>94</v>
      </c>
      <c r="E317" s="61" t="s">
        <v>95</v>
      </c>
      <c r="F317" s="62" t="s">
        <v>817</v>
      </c>
      <c r="G317" s="62" t="s">
        <v>406</v>
      </c>
      <c r="H317" s="62" t="s">
        <v>407</v>
      </c>
      <c r="I317" s="62" t="s">
        <v>165</v>
      </c>
      <c r="J317" s="62">
        <v>2016</v>
      </c>
      <c r="K317" s="62">
        <v>36</v>
      </c>
      <c r="L317" s="61">
        <v>36</v>
      </c>
      <c r="M317" s="62">
        <v>34</v>
      </c>
      <c r="N317" s="62" t="s">
        <v>105</v>
      </c>
      <c r="O317" s="62">
        <v>2023</v>
      </c>
      <c r="Q317" s="23" t="s">
        <v>912</v>
      </c>
      <c r="S317" s="61"/>
      <c r="T317" s="61"/>
      <c r="U317" s="61"/>
      <c r="V317" s="61">
        <v>-2.1001536000000001</v>
      </c>
      <c r="W317" s="61">
        <v>106.08345679999999</v>
      </c>
      <c r="X317" s="63"/>
      <c r="Y317" s="63"/>
      <c r="Z317" s="61"/>
      <c r="AA317" s="63"/>
      <c r="AB317" s="63"/>
      <c r="AC317" s="64">
        <f t="shared" si="18"/>
        <v>1</v>
      </c>
      <c r="AD317" s="64">
        <f t="shared" si="19"/>
        <v>0.94444444444444442</v>
      </c>
    </row>
    <row r="318" spans="1:30" s="62" customFormat="1" ht="12.5">
      <c r="A318" s="66">
        <v>313</v>
      </c>
      <c r="B318" s="61" t="s">
        <v>818</v>
      </c>
      <c r="C318" s="62" t="s">
        <v>93</v>
      </c>
      <c r="D318" s="61" t="s">
        <v>94</v>
      </c>
      <c r="E318" s="61" t="s">
        <v>95</v>
      </c>
      <c r="F318" s="62" t="s">
        <v>556</v>
      </c>
      <c r="G318" s="62" t="s">
        <v>406</v>
      </c>
      <c r="H318" s="62" t="s">
        <v>407</v>
      </c>
      <c r="I318" s="62" t="s">
        <v>165</v>
      </c>
      <c r="J318" s="62">
        <v>2015</v>
      </c>
      <c r="K318" s="62">
        <v>22</v>
      </c>
      <c r="L318" s="61">
        <v>17</v>
      </c>
      <c r="M318" s="62">
        <v>17</v>
      </c>
      <c r="N318" s="62" t="s">
        <v>105</v>
      </c>
      <c r="O318" s="62">
        <v>2023</v>
      </c>
      <c r="Q318" s="23" t="s">
        <v>912</v>
      </c>
      <c r="S318" s="61"/>
      <c r="T318" s="61"/>
      <c r="U318" s="61"/>
      <c r="V318" s="61">
        <v>-2.1023559999999999</v>
      </c>
      <c r="W318" s="61">
        <v>106.083191</v>
      </c>
      <c r="X318" s="63"/>
      <c r="Y318" s="63"/>
      <c r="Z318" s="61"/>
      <c r="AA318" s="63"/>
      <c r="AB318" s="63"/>
      <c r="AC318" s="64">
        <f t="shared" si="18"/>
        <v>0.77272727272727271</v>
      </c>
      <c r="AD318" s="64">
        <f t="shared" si="19"/>
        <v>1</v>
      </c>
    </row>
    <row r="319" spans="1:30" s="62" customFormat="1" ht="12.5">
      <c r="A319" s="66">
        <v>314</v>
      </c>
      <c r="B319" s="61" t="s">
        <v>819</v>
      </c>
      <c r="C319" s="62" t="s">
        <v>222</v>
      </c>
      <c r="D319" s="61" t="s">
        <v>135</v>
      </c>
      <c r="E319" s="61" t="s">
        <v>174</v>
      </c>
      <c r="F319" s="62" t="s">
        <v>215</v>
      </c>
      <c r="G319" s="62" t="s">
        <v>820</v>
      </c>
      <c r="H319" s="62" t="s">
        <v>821</v>
      </c>
      <c r="I319" s="62" t="s">
        <v>140</v>
      </c>
      <c r="J319" s="62" t="s">
        <v>101</v>
      </c>
      <c r="K319" s="62">
        <v>378</v>
      </c>
      <c r="L319" s="61">
        <v>257</v>
      </c>
      <c r="M319" s="62">
        <v>174</v>
      </c>
      <c r="N319" s="62" t="s">
        <v>105</v>
      </c>
      <c r="O319" s="62">
        <v>2020</v>
      </c>
      <c r="Q319" s="62" t="s">
        <v>914</v>
      </c>
      <c r="R319" s="62" t="s">
        <v>919</v>
      </c>
      <c r="S319" s="61"/>
      <c r="T319" s="61"/>
      <c r="U319" s="61"/>
      <c r="V319" s="61"/>
      <c r="W319" s="61"/>
      <c r="X319" s="63"/>
      <c r="Y319" s="63"/>
      <c r="Z319" s="61"/>
      <c r="AA319" s="63"/>
      <c r="AB319" s="63"/>
      <c r="AC319" s="64">
        <f t="shared" si="18"/>
        <v>0.67989417989417988</v>
      </c>
      <c r="AD319" s="64">
        <f t="shared" si="19"/>
        <v>0.67704280155642027</v>
      </c>
    </row>
    <row r="320" spans="1:30" s="62" customFormat="1" ht="12.5">
      <c r="A320" s="66">
        <v>315</v>
      </c>
      <c r="B320" s="61" t="s">
        <v>822</v>
      </c>
      <c r="C320" s="62" t="s">
        <v>93</v>
      </c>
      <c r="D320" s="61" t="s">
        <v>135</v>
      </c>
      <c r="E320" s="61" t="s">
        <v>174</v>
      </c>
      <c r="F320" s="62" t="s">
        <v>823</v>
      </c>
      <c r="G320" s="62" t="s">
        <v>824</v>
      </c>
      <c r="H320" s="62" t="s">
        <v>825</v>
      </c>
      <c r="I320" s="62" t="s">
        <v>140</v>
      </c>
      <c r="J320" s="62">
        <v>2023</v>
      </c>
      <c r="K320" s="62">
        <v>111</v>
      </c>
      <c r="L320" s="61">
        <v>33</v>
      </c>
      <c r="M320" s="62">
        <v>0</v>
      </c>
      <c r="N320" s="62" t="s">
        <v>100</v>
      </c>
      <c r="O320" s="62" t="s">
        <v>101</v>
      </c>
      <c r="Q320" s="23" t="s">
        <v>912</v>
      </c>
      <c r="R320" s="62" t="s">
        <v>915</v>
      </c>
      <c r="S320" s="61"/>
      <c r="T320" s="61"/>
      <c r="U320" s="61"/>
      <c r="V320" s="61">
        <v>-2.1357955</v>
      </c>
      <c r="W320" s="61">
        <v>106.157904</v>
      </c>
      <c r="X320" s="63"/>
      <c r="Y320" s="63"/>
      <c r="Z320" s="61"/>
      <c r="AA320" s="63"/>
      <c r="AB320" s="63"/>
      <c r="AC320" s="64">
        <f t="shared" si="18"/>
        <v>0.29729729729729731</v>
      </c>
      <c r="AD320" s="64">
        <f t="shared" si="19"/>
        <v>0</v>
      </c>
    </row>
    <row r="321" spans="1:30" s="62" customFormat="1" ht="12.5">
      <c r="A321" s="66">
        <v>316</v>
      </c>
      <c r="B321" s="61" t="s">
        <v>826</v>
      </c>
      <c r="C321" s="62" t="s">
        <v>222</v>
      </c>
      <c r="D321" s="61" t="s">
        <v>135</v>
      </c>
      <c r="E321" s="61" t="s">
        <v>174</v>
      </c>
      <c r="F321" s="62" t="s">
        <v>827</v>
      </c>
      <c r="G321" s="62" t="s">
        <v>820</v>
      </c>
      <c r="H321" s="62" t="s">
        <v>821</v>
      </c>
      <c r="I321" s="62" t="s">
        <v>140</v>
      </c>
      <c r="J321" s="62" t="s">
        <v>101</v>
      </c>
      <c r="K321" s="62">
        <v>313</v>
      </c>
      <c r="L321" s="61">
        <v>112</v>
      </c>
      <c r="M321" s="62">
        <v>70</v>
      </c>
      <c r="N321" s="62" t="s">
        <v>105</v>
      </c>
      <c r="O321" s="62">
        <v>2020</v>
      </c>
      <c r="Q321" s="62" t="s">
        <v>914</v>
      </c>
      <c r="R321" s="62" t="s">
        <v>919</v>
      </c>
      <c r="S321" s="61"/>
      <c r="T321" s="61"/>
      <c r="U321" s="61"/>
      <c r="V321" s="61">
        <v>-2.1391578999999998</v>
      </c>
      <c r="W321" s="61">
        <v>106.162323</v>
      </c>
      <c r="X321" s="63"/>
      <c r="Y321" s="63"/>
      <c r="Z321" s="61"/>
      <c r="AA321" s="63"/>
      <c r="AB321" s="63"/>
      <c r="AC321" s="64">
        <f t="shared" si="18"/>
        <v>0.35782747603833864</v>
      </c>
      <c r="AD321" s="64">
        <f t="shared" si="19"/>
        <v>0.625</v>
      </c>
    </row>
    <row r="322" spans="1:30" s="62" customFormat="1" ht="12.5">
      <c r="A322" s="66">
        <v>317</v>
      </c>
      <c r="B322" s="61" t="s">
        <v>828</v>
      </c>
      <c r="C322" s="62" t="s">
        <v>222</v>
      </c>
      <c r="D322" s="61" t="s">
        <v>135</v>
      </c>
      <c r="E322" s="61" t="s">
        <v>148</v>
      </c>
      <c r="F322" s="62" t="s">
        <v>633</v>
      </c>
      <c r="G322" s="62" t="s">
        <v>820</v>
      </c>
      <c r="H322" s="62" t="s">
        <v>821</v>
      </c>
      <c r="I322" s="62" t="s">
        <v>140</v>
      </c>
      <c r="J322" s="62" t="s">
        <v>101</v>
      </c>
      <c r="K322" s="62">
        <v>200</v>
      </c>
      <c r="L322" s="61">
        <v>200</v>
      </c>
      <c r="M322" s="62">
        <v>200</v>
      </c>
      <c r="N322" s="62" t="s">
        <v>100</v>
      </c>
      <c r="O322" s="62" t="s">
        <v>101</v>
      </c>
      <c r="Q322" s="62" t="s">
        <v>914</v>
      </c>
      <c r="S322" s="61"/>
      <c r="T322" s="61"/>
      <c r="U322" s="61"/>
      <c r="V322" s="61"/>
      <c r="W322" s="61"/>
      <c r="X322" s="63"/>
      <c r="Y322" s="63"/>
      <c r="Z322" s="61"/>
      <c r="AA322" s="63"/>
      <c r="AB322" s="63"/>
      <c r="AC322" s="64">
        <f t="shared" si="18"/>
        <v>1</v>
      </c>
      <c r="AD322" s="64">
        <f t="shared" si="19"/>
        <v>1</v>
      </c>
    </row>
    <row r="323" spans="1:30" s="62" customFormat="1" ht="12.5">
      <c r="A323" s="66">
        <v>318</v>
      </c>
      <c r="B323" s="61" t="s">
        <v>829</v>
      </c>
      <c r="C323" s="62" t="s">
        <v>93</v>
      </c>
      <c r="D323" s="61" t="s">
        <v>135</v>
      </c>
      <c r="E323" s="61" t="s">
        <v>148</v>
      </c>
      <c r="F323" s="62" t="s">
        <v>633</v>
      </c>
      <c r="G323" s="62" t="s">
        <v>820</v>
      </c>
      <c r="H323" s="62" t="s">
        <v>821</v>
      </c>
      <c r="I323" s="62" t="s">
        <v>140</v>
      </c>
      <c r="J323" s="62">
        <v>2016</v>
      </c>
      <c r="K323" s="62">
        <v>59</v>
      </c>
      <c r="L323" s="61">
        <v>59</v>
      </c>
      <c r="M323" s="62">
        <v>57</v>
      </c>
      <c r="N323" s="62" t="s">
        <v>105</v>
      </c>
      <c r="O323" s="62">
        <v>2020</v>
      </c>
      <c r="Q323" s="23" t="s">
        <v>912</v>
      </c>
      <c r="R323" s="62" t="s">
        <v>915</v>
      </c>
      <c r="S323" s="61"/>
      <c r="T323" s="61"/>
      <c r="U323" s="61"/>
      <c r="V323" s="61"/>
      <c r="W323" s="61"/>
      <c r="X323" s="63"/>
      <c r="Y323" s="63"/>
      <c r="Z323" s="61"/>
      <c r="AA323" s="63"/>
      <c r="AB323" s="63"/>
      <c r="AC323" s="64">
        <f t="shared" si="18"/>
        <v>1</v>
      </c>
      <c r="AD323" s="64">
        <f t="shared" si="19"/>
        <v>0.96610169491525422</v>
      </c>
    </row>
    <row r="324" spans="1:30" s="62" customFormat="1" ht="12.5">
      <c r="A324" s="66">
        <v>319</v>
      </c>
      <c r="B324" s="61" t="s">
        <v>830</v>
      </c>
      <c r="C324" s="62" t="s">
        <v>93</v>
      </c>
      <c r="D324" s="61" t="s">
        <v>135</v>
      </c>
      <c r="E324" s="61" t="s">
        <v>253</v>
      </c>
      <c r="F324" s="62" t="s">
        <v>827</v>
      </c>
      <c r="G324" s="62" t="s">
        <v>820</v>
      </c>
      <c r="H324" s="62" t="s">
        <v>821</v>
      </c>
      <c r="I324" s="62" t="s">
        <v>140</v>
      </c>
      <c r="J324" s="62">
        <v>2019</v>
      </c>
      <c r="K324" s="62">
        <v>305</v>
      </c>
      <c r="L324" s="61">
        <v>305</v>
      </c>
      <c r="M324" s="62">
        <v>26</v>
      </c>
      <c r="N324" s="62" t="s">
        <v>100</v>
      </c>
      <c r="O324" s="62" t="s">
        <v>101</v>
      </c>
      <c r="Q324" s="23" t="s">
        <v>912</v>
      </c>
      <c r="R324" s="62" t="s">
        <v>915</v>
      </c>
      <c r="S324" s="61"/>
      <c r="T324" s="61"/>
      <c r="U324" s="61"/>
      <c r="V324" s="61"/>
      <c r="W324" s="61"/>
      <c r="X324" s="63"/>
      <c r="Y324" s="63"/>
      <c r="Z324" s="61"/>
      <c r="AA324" s="63"/>
      <c r="AB324" s="63"/>
      <c r="AC324" s="64">
        <f t="shared" si="18"/>
        <v>1</v>
      </c>
      <c r="AD324" s="64">
        <f t="shared" si="19"/>
        <v>8.5245901639344257E-2</v>
      </c>
    </row>
    <row r="325" spans="1:30" s="62" customFormat="1" ht="12.5">
      <c r="A325" s="66">
        <v>320</v>
      </c>
      <c r="B325" s="61" t="s">
        <v>831</v>
      </c>
      <c r="C325" s="62" t="s">
        <v>93</v>
      </c>
      <c r="D325" s="61" t="s">
        <v>116</v>
      </c>
      <c r="E325" s="61" t="s">
        <v>144</v>
      </c>
      <c r="F325" s="62" t="s">
        <v>260</v>
      </c>
      <c r="G325" s="62" t="s">
        <v>832</v>
      </c>
      <c r="H325" s="62" t="s">
        <v>833</v>
      </c>
      <c r="I325" s="62" t="s">
        <v>834</v>
      </c>
      <c r="J325" s="62">
        <v>2020</v>
      </c>
      <c r="K325" s="62">
        <v>68</v>
      </c>
      <c r="L325" s="61">
        <v>61</v>
      </c>
      <c r="M325" s="62">
        <v>12</v>
      </c>
      <c r="N325" s="62" t="s">
        <v>100</v>
      </c>
      <c r="O325" s="62" t="s">
        <v>101</v>
      </c>
      <c r="Q325" s="23" t="s">
        <v>912</v>
      </c>
      <c r="R325" s="23" t="s">
        <v>915</v>
      </c>
      <c r="S325" s="61"/>
      <c r="T325" s="61"/>
      <c r="U325" s="61"/>
      <c r="V325" s="61">
        <v>-2.0771199999999999</v>
      </c>
      <c r="W325" s="61">
        <v>106.1209532</v>
      </c>
      <c r="X325" s="63"/>
      <c r="Y325" s="63"/>
      <c r="Z325" s="61"/>
      <c r="AA325" s="63"/>
      <c r="AB325" s="63"/>
      <c r="AC325" s="64">
        <f t="shared" si="18"/>
        <v>0.8970588235294118</v>
      </c>
      <c r="AD325" s="64">
        <f t="shared" si="19"/>
        <v>0.19672131147540983</v>
      </c>
    </row>
    <row r="326" spans="1:30" s="62" customFormat="1" ht="12.5">
      <c r="A326" s="66">
        <v>321</v>
      </c>
      <c r="B326" s="61" t="s">
        <v>835</v>
      </c>
      <c r="C326" s="62" t="s">
        <v>93</v>
      </c>
      <c r="D326" s="61" t="s">
        <v>116</v>
      </c>
      <c r="E326" s="61" t="s">
        <v>144</v>
      </c>
      <c r="F326" s="62" t="s">
        <v>836</v>
      </c>
      <c r="G326" s="62" t="s">
        <v>832</v>
      </c>
      <c r="H326" s="62" t="s">
        <v>833</v>
      </c>
      <c r="I326" s="62" t="s">
        <v>834</v>
      </c>
      <c r="J326" s="62">
        <v>2023</v>
      </c>
      <c r="K326" s="62">
        <v>25</v>
      </c>
      <c r="L326" s="61">
        <v>6</v>
      </c>
      <c r="M326" s="62">
        <v>0</v>
      </c>
      <c r="N326" s="62" t="s">
        <v>100</v>
      </c>
      <c r="O326" s="62" t="s">
        <v>101</v>
      </c>
      <c r="Q326" s="23" t="s">
        <v>912</v>
      </c>
      <c r="R326" s="23" t="s">
        <v>915</v>
      </c>
      <c r="S326" s="61"/>
      <c r="T326" s="61"/>
      <c r="U326" s="61"/>
      <c r="V326" s="61">
        <v>-2.075809</v>
      </c>
      <c r="W326" s="61">
        <v>106.1217353</v>
      </c>
      <c r="X326" s="63"/>
      <c r="Y326" s="63"/>
      <c r="Z326" s="61"/>
      <c r="AA326" s="63"/>
      <c r="AB326" s="63"/>
      <c r="AC326" s="64">
        <f t="shared" si="18"/>
        <v>0.24</v>
      </c>
      <c r="AD326" s="64">
        <f t="shared" si="19"/>
        <v>0</v>
      </c>
    </row>
    <row r="327" spans="1:30" s="62" customFormat="1" ht="12.5">
      <c r="A327" s="66">
        <v>322</v>
      </c>
      <c r="B327" s="61" t="s">
        <v>837</v>
      </c>
      <c r="C327" s="62" t="s">
        <v>93</v>
      </c>
      <c r="D327" s="61" t="s">
        <v>135</v>
      </c>
      <c r="E327" s="61" t="s">
        <v>253</v>
      </c>
      <c r="F327" s="62" t="s">
        <v>471</v>
      </c>
      <c r="G327" s="62" t="s">
        <v>212</v>
      </c>
      <c r="H327" s="62" t="s">
        <v>101</v>
      </c>
      <c r="I327" s="62" t="s">
        <v>101</v>
      </c>
      <c r="J327" s="62">
        <v>2014</v>
      </c>
      <c r="K327" s="62">
        <v>0</v>
      </c>
      <c r="L327" s="61">
        <v>0</v>
      </c>
      <c r="M327" s="62">
        <v>0</v>
      </c>
      <c r="N327" s="62" t="s">
        <v>100</v>
      </c>
      <c r="O327" s="62" t="s">
        <v>101</v>
      </c>
      <c r="Q327" s="23" t="s">
        <v>912</v>
      </c>
      <c r="S327" s="61"/>
      <c r="T327" s="61"/>
      <c r="U327" s="61"/>
      <c r="V327" s="61"/>
      <c r="W327" s="61"/>
      <c r="X327" s="63"/>
      <c r="Y327" s="63"/>
      <c r="Z327" s="61"/>
      <c r="AA327" s="63"/>
      <c r="AB327" s="63"/>
      <c r="AC327" s="64">
        <f t="shared" si="18"/>
        <v>0</v>
      </c>
      <c r="AD327" s="64">
        <f t="shared" si="19"/>
        <v>0</v>
      </c>
    </row>
    <row r="328" spans="1:30" s="62" customFormat="1" ht="12.5">
      <c r="A328" s="66">
        <v>323</v>
      </c>
      <c r="B328" s="61" t="s">
        <v>838</v>
      </c>
      <c r="C328" s="62" t="s">
        <v>93</v>
      </c>
      <c r="D328" s="61" t="s">
        <v>116</v>
      </c>
      <c r="E328" s="61" t="s">
        <v>144</v>
      </c>
      <c r="F328" s="62" t="s">
        <v>839</v>
      </c>
      <c r="G328" s="62" t="s">
        <v>840</v>
      </c>
      <c r="H328" s="62" t="s">
        <v>841</v>
      </c>
      <c r="I328" s="62" t="s">
        <v>165</v>
      </c>
      <c r="J328" s="62">
        <v>2017</v>
      </c>
      <c r="K328" s="62">
        <v>18</v>
      </c>
      <c r="L328" s="61">
        <v>18</v>
      </c>
      <c r="M328" s="62">
        <v>18</v>
      </c>
      <c r="N328" s="62" t="s">
        <v>100</v>
      </c>
      <c r="O328" s="62" t="s">
        <v>101</v>
      </c>
      <c r="Q328" s="23" t="s">
        <v>912</v>
      </c>
      <c r="R328" s="23" t="s">
        <v>915</v>
      </c>
      <c r="S328" s="61"/>
      <c r="T328" s="61"/>
      <c r="U328" s="61"/>
      <c r="V328" s="61">
        <v>-2.080425</v>
      </c>
      <c r="W328" s="61">
        <v>106.12715</v>
      </c>
      <c r="X328" s="63"/>
      <c r="Y328" s="63"/>
      <c r="Z328" s="61"/>
      <c r="AA328" s="63"/>
      <c r="AB328" s="63"/>
      <c r="AC328" s="64">
        <f t="shared" si="18"/>
        <v>1</v>
      </c>
      <c r="AD328" s="64">
        <f t="shared" si="19"/>
        <v>1</v>
      </c>
    </row>
    <row r="329" spans="1:30" s="62" customFormat="1" ht="12.5">
      <c r="A329" s="66">
        <v>324</v>
      </c>
      <c r="B329" s="61" t="s">
        <v>842</v>
      </c>
      <c r="C329" s="62" t="s">
        <v>93</v>
      </c>
      <c r="D329" s="61" t="s">
        <v>116</v>
      </c>
      <c r="E329" s="61" t="s">
        <v>144</v>
      </c>
      <c r="F329" s="62" t="s">
        <v>101</v>
      </c>
      <c r="G329" s="62" t="s">
        <v>840</v>
      </c>
      <c r="H329" s="62" t="s">
        <v>101</v>
      </c>
      <c r="I329" s="62" t="s">
        <v>165</v>
      </c>
      <c r="J329" s="62" t="s">
        <v>101</v>
      </c>
      <c r="K329" s="62">
        <v>0</v>
      </c>
      <c r="L329" s="61">
        <v>0</v>
      </c>
      <c r="M329" s="62">
        <v>0</v>
      </c>
      <c r="N329" s="62" t="s">
        <v>100</v>
      </c>
      <c r="O329" s="62" t="s">
        <v>101</v>
      </c>
      <c r="Q329" s="23" t="s">
        <v>912</v>
      </c>
      <c r="S329" s="61"/>
      <c r="T329" s="61"/>
      <c r="U329" s="61"/>
      <c r="V329" s="61">
        <v>-2.0804089000000001</v>
      </c>
      <c r="W329" s="61">
        <v>106.1274526</v>
      </c>
      <c r="X329" s="63"/>
      <c r="Y329" s="63"/>
      <c r="Z329" s="61"/>
      <c r="AA329" s="63"/>
      <c r="AB329" s="63"/>
      <c r="AC329" s="64">
        <f t="shared" si="18"/>
        <v>0</v>
      </c>
      <c r="AD329" s="64">
        <f t="shared" si="19"/>
        <v>0</v>
      </c>
    </row>
    <row r="330" spans="1:30" s="62" customFormat="1" ht="12.5">
      <c r="A330" s="66">
        <v>325</v>
      </c>
      <c r="B330" s="61" t="s">
        <v>843</v>
      </c>
      <c r="C330" s="62" t="s">
        <v>93</v>
      </c>
      <c r="D330" s="61" t="s">
        <v>116</v>
      </c>
      <c r="E330" s="61" t="s">
        <v>144</v>
      </c>
      <c r="F330" s="62" t="s">
        <v>844</v>
      </c>
      <c r="G330" s="62" t="s">
        <v>840</v>
      </c>
      <c r="H330" s="62" t="s">
        <v>845</v>
      </c>
      <c r="I330" s="62" t="s">
        <v>165</v>
      </c>
      <c r="J330" s="62">
        <v>2018</v>
      </c>
      <c r="K330" s="62">
        <v>47</v>
      </c>
      <c r="L330" s="61">
        <v>24</v>
      </c>
      <c r="M330" s="62">
        <v>24</v>
      </c>
      <c r="N330" s="62" t="s">
        <v>100</v>
      </c>
      <c r="O330" s="62" t="s">
        <v>101</v>
      </c>
      <c r="Q330" s="23" t="s">
        <v>912</v>
      </c>
      <c r="R330" s="23" t="s">
        <v>915</v>
      </c>
      <c r="S330" s="61"/>
      <c r="T330" s="61"/>
      <c r="U330" s="61"/>
      <c r="V330" s="61">
        <v>-2.0781331999999999</v>
      </c>
      <c r="W330" s="61">
        <v>106.12577349999999</v>
      </c>
      <c r="X330" s="63"/>
      <c r="Y330" s="63"/>
      <c r="Z330" s="61"/>
      <c r="AA330" s="63"/>
      <c r="AB330" s="63"/>
      <c r="AC330" s="64">
        <f t="shared" si="18"/>
        <v>0.51063829787234039</v>
      </c>
      <c r="AD330" s="64">
        <f t="shared" si="19"/>
        <v>1</v>
      </c>
    </row>
    <row r="331" spans="1:30" s="62" customFormat="1" ht="12.5">
      <c r="A331" s="66">
        <v>326</v>
      </c>
      <c r="B331" s="61" t="s">
        <v>846</v>
      </c>
      <c r="C331" s="62" t="s">
        <v>222</v>
      </c>
      <c r="D331" s="61" t="s">
        <v>116</v>
      </c>
      <c r="E331" s="61" t="s">
        <v>317</v>
      </c>
      <c r="F331" s="62" t="s">
        <v>847</v>
      </c>
      <c r="G331" s="62" t="s">
        <v>848</v>
      </c>
      <c r="H331" s="62" t="s">
        <v>849</v>
      </c>
      <c r="I331" s="62" t="s">
        <v>140</v>
      </c>
      <c r="J331" s="62" t="s">
        <v>101</v>
      </c>
      <c r="K331" s="62">
        <v>468</v>
      </c>
      <c r="L331" s="61">
        <v>468</v>
      </c>
      <c r="M331" s="62">
        <v>468</v>
      </c>
      <c r="N331" s="62" t="s">
        <v>100</v>
      </c>
      <c r="O331" s="62" t="s">
        <v>101</v>
      </c>
      <c r="Q331" s="62" t="s">
        <v>914</v>
      </c>
      <c r="S331" s="61"/>
      <c r="T331" s="61"/>
      <c r="U331" s="61"/>
      <c r="V331" s="61">
        <v>-2.0850230000000001</v>
      </c>
      <c r="W331" s="61">
        <v>106.10572999999999</v>
      </c>
      <c r="X331" s="63"/>
      <c r="Y331" s="63"/>
      <c r="Z331" s="61"/>
      <c r="AA331" s="63"/>
      <c r="AB331" s="63"/>
      <c r="AC331" s="64">
        <f t="shared" si="18"/>
        <v>1</v>
      </c>
      <c r="AD331" s="64">
        <f t="shared" si="19"/>
        <v>1</v>
      </c>
    </row>
    <row r="332" spans="1:30" s="62" customFormat="1" ht="12.5">
      <c r="A332" s="66">
        <v>327</v>
      </c>
      <c r="B332" s="61" t="s">
        <v>850</v>
      </c>
      <c r="C332" s="62" t="s">
        <v>93</v>
      </c>
      <c r="D332" s="61" t="s">
        <v>135</v>
      </c>
      <c r="E332" s="61" t="s">
        <v>174</v>
      </c>
      <c r="F332" s="62" t="s">
        <v>851</v>
      </c>
      <c r="G332" s="62" t="s">
        <v>852</v>
      </c>
      <c r="H332" s="62" t="s">
        <v>628</v>
      </c>
      <c r="I332" s="62" t="s">
        <v>121</v>
      </c>
      <c r="J332" s="62">
        <v>2019</v>
      </c>
      <c r="K332" s="62">
        <v>63</v>
      </c>
      <c r="L332" s="61">
        <v>59</v>
      </c>
      <c r="M332" s="62">
        <v>59</v>
      </c>
      <c r="N332" s="62" t="s">
        <v>100</v>
      </c>
      <c r="O332" s="62" t="s">
        <v>101</v>
      </c>
      <c r="Q332" s="62" t="s">
        <v>914</v>
      </c>
      <c r="S332" s="61"/>
      <c r="T332" s="61"/>
      <c r="U332" s="61"/>
      <c r="V332" s="61">
        <v>-2.128768</v>
      </c>
      <c r="W332" s="61">
        <v>106.160301</v>
      </c>
      <c r="X332" s="63"/>
      <c r="Y332" s="63"/>
      <c r="Z332" s="61"/>
      <c r="AA332" s="63"/>
      <c r="AB332" s="63"/>
      <c r="AC332" s="64">
        <f t="shared" si="18"/>
        <v>0.93650793650793651</v>
      </c>
      <c r="AD332" s="64">
        <f t="shared" si="19"/>
        <v>1</v>
      </c>
    </row>
    <row r="333" spans="1:30" s="62" customFormat="1" ht="12.5">
      <c r="A333" s="66">
        <v>328</v>
      </c>
      <c r="B333" s="61" t="s">
        <v>853</v>
      </c>
      <c r="C333" s="62" t="s">
        <v>93</v>
      </c>
      <c r="D333" s="61" t="s">
        <v>356</v>
      </c>
      <c r="E333" s="61" t="s">
        <v>357</v>
      </c>
      <c r="F333" s="62" t="s">
        <v>685</v>
      </c>
      <c r="G333" s="62" t="s">
        <v>101</v>
      </c>
      <c r="H333" s="62" t="s">
        <v>854</v>
      </c>
      <c r="I333" s="62" t="s">
        <v>101</v>
      </c>
      <c r="J333" s="62">
        <v>2015</v>
      </c>
      <c r="K333" s="62">
        <v>78</v>
      </c>
      <c r="L333" s="61">
        <v>78</v>
      </c>
      <c r="M333" s="62">
        <v>76</v>
      </c>
      <c r="N333" s="62" t="s">
        <v>100</v>
      </c>
      <c r="O333" s="62" t="s">
        <v>101</v>
      </c>
      <c r="Q333" s="23" t="s">
        <v>912</v>
      </c>
      <c r="S333" s="61"/>
      <c r="T333" s="61"/>
      <c r="U333" s="61"/>
      <c r="V333" s="61">
        <v>-2.1533030000000002</v>
      </c>
      <c r="W333" s="61">
        <v>106.107823</v>
      </c>
      <c r="X333" s="63"/>
      <c r="Y333" s="63"/>
      <c r="Z333" s="61"/>
      <c r="AA333" s="63"/>
      <c r="AB333" s="63"/>
      <c r="AC333" s="64">
        <f t="shared" si="18"/>
        <v>1</v>
      </c>
      <c r="AD333" s="64">
        <f t="shared" si="19"/>
        <v>0.97435897435897434</v>
      </c>
    </row>
    <row r="334" spans="1:30" s="62" customFormat="1" ht="12.5">
      <c r="A334" s="66">
        <v>329</v>
      </c>
      <c r="B334" s="61" t="s">
        <v>855</v>
      </c>
      <c r="C334" s="62" t="s">
        <v>93</v>
      </c>
      <c r="D334" s="61" t="s">
        <v>116</v>
      </c>
      <c r="E334" s="61" t="s">
        <v>144</v>
      </c>
      <c r="F334" s="62" t="s">
        <v>133</v>
      </c>
      <c r="G334" s="62" t="s">
        <v>856</v>
      </c>
      <c r="H334" s="62" t="s">
        <v>857</v>
      </c>
      <c r="I334" s="62" t="s">
        <v>99</v>
      </c>
      <c r="J334" s="62">
        <v>2015</v>
      </c>
      <c r="K334" s="62">
        <v>44</v>
      </c>
      <c r="L334" s="61">
        <v>44</v>
      </c>
      <c r="M334" s="62">
        <v>44</v>
      </c>
      <c r="N334" s="62" t="s">
        <v>100</v>
      </c>
      <c r="O334" s="62" t="s">
        <v>101</v>
      </c>
      <c r="Q334" s="23" t="s">
        <v>912</v>
      </c>
      <c r="S334" s="61"/>
      <c r="T334" s="61"/>
      <c r="U334" s="61"/>
      <c r="V334" s="61">
        <v>-2.0866501</v>
      </c>
      <c r="W334" s="61">
        <v>106.09902460000001</v>
      </c>
      <c r="X334" s="63"/>
      <c r="Y334" s="63"/>
      <c r="Z334" s="61"/>
      <c r="AA334" s="63"/>
      <c r="AB334" s="63"/>
      <c r="AC334" s="64">
        <f t="shared" si="18"/>
        <v>1</v>
      </c>
      <c r="AD334" s="64">
        <f t="shared" si="19"/>
        <v>1</v>
      </c>
    </row>
    <row r="335" spans="1:30" s="62" customFormat="1" ht="12.5">
      <c r="A335" s="66">
        <v>330</v>
      </c>
      <c r="B335" s="61" t="s">
        <v>858</v>
      </c>
      <c r="C335" s="62" t="s">
        <v>93</v>
      </c>
      <c r="D335" s="61" t="s">
        <v>116</v>
      </c>
      <c r="E335" s="61" t="s">
        <v>126</v>
      </c>
      <c r="F335" s="62" t="s">
        <v>536</v>
      </c>
      <c r="G335" s="62" t="s">
        <v>856</v>
      </c>
      <c r="H335" s="62" t="s">
        <v>857</v>
      </c>
      <c r="I335" s="62" t="s">
        <v>99</v>
      </c>
      <c r="J335" s="62">
        <v>2019</v>
      </c>
      <c r="K335" s="62">
        <v>39</v>
      </c>
      <c r="L335" s="61">
        <v>39</v>
      </c>
      <c r="M335" s="62">
        <v>39</v>
      </c>
      <c r="N335" s="62" t="s">
        <v>100</v>
      </c>
      <c r="O335" s="62" t="s">
        <v>101</v>
      </c>
      <c r="Q335" s="23" t="s">
        <v>912</v>
      </c>
      <c r="S335" s="61"/>
      <c r="T335" s="61"/>
      <c r="U335" s="61"/>
      <c r="V335" s="61">
        <v>-2.0910150000000001</v>
      </c>
      <c r="W335" s="61">
        <v>106.092673</v>
      </c>
      <c r="X335" s="63"/>
      <c r="Y335" s="63"/>
      <c r="Z335" s="61"/>
      <c r="AA335" s="63"/>
      <c r="AB335" s="63"/>
      <c r="AC335" s="64">
        <f t="shared" si="18"/>
        <v>1</v>
      </c>
      <c r="AD335" s="64">
        <f t="shared" si="19"/>
        <v>1</v>
      </c>
    </row>
    <row r="336" spans="1:30" s="62" customFormat="1" ht="12.5">
      <c r="A336" s="66">
        <v>331</v>
      </c>
      <c r="B336" s="61" t="s">
        <v>859</v>
      </c>
      <c r="C336" s="62" t="s">
        <v>93</v>
      </c>
      <c r="D336" s="61" t="s">
        <v>94</v>
      </c>
      <c r="E336" s="61" t="s">
        <v>95</v>
      </c>
      <c r="F336" s="62" t="s">
        <v>360</v>
      </c>
      <c r="G336" s="62" t="s">
        <v>856</v>
      </c>
      <c r="H336" s="62" t="s">
        <v>857</v>
      </c>
      <c r="I336" s="62" t="s">
        <v>99</v>
      </c>
      <c r="J336" s="62">
        <v>2018</v>
      </c>
      <c r="K336" s="62">
        <v>12</v>
      </c>
      <c r="L336" s="61">
        <v>12</v>
      </c>
      <c r="M336" s="62">
        <v>12</v>
      </c>
      <c r="N336" s="62" t="s">
        <v>100</v>
      </c>
      <c r="O336" s="62" t="s">
        <v>101</v>
      </c>
      <c r="Q336" s="23" t="s">
        <v>912</v>
      </c>
      <c r="S336" s="61"/>
      <c r="T336" s="61"/>
      <c r="U336" s="61"/>
      <c r="V336" s="61"/>
      <c r="W336" s="61"/>
      <c r="X336" s="63"/>
      <c r="Y336" s="63"/>
      <c r="Z336" s="61"/>
      <c r="AA336" s="63"/>
      <c r="AB336" s="63"/>
      <c r="AC336" s="64">
        <f t="shared" si="18"/>
        <v>1</v>
      </c>
      <c r="AD336" s="64">
        <f t="shared" si="19"/>
        <v>1</v>
      </c>
    </row>
    <row r="337" spans="1:30" s="62" customFormat="1" ht="12.5">
      <c r="A337" s="66">
        <v>332</v>
      </c>
      <c r="B337" s="61" t="s">
        <v>860</v>
      </c>
      <c r="C337" s="62" t="s">
        <v>93</v>
      </c>
      <c r="D337" s="61" t="s">
        <v>135</v>
      </c>
      <c r="E337" s="61" t="s">
        <v>174</v>
      </c>
      <c r="F337" s="62" t="s">
        <v>215</v>
      </c>
      <c r="G337" s="62" t="s">
        <v>856</v>
      </c>
      <c r="H337" s="62" t="s">
        <v>857</v>
      </c>
      <c r="I337" s="62" t="s">
        <v>99</v>
      </c>
      <c r="J337" s="62">
        <v>2017</v>
      </c>
      <c r="K337" s="62">
        <v>21</v>
      </c>
      <c r="L337" s="61">
        <v>21</v>
      </c>
      <c r="M337" s="62">
        <v>21</v>
      </c>
      <c r="N337" s="62" t="s">
        <v>100</v>
      </c>
      <c r="O337" s="62" t="s">
        <v>101</v>
      </c>
      <c r="Q337" s="23" t="s">
        <v>912</v>
      </c>
      <c r="S337" s="61"/>
      <c r="T337" s="61"/>
      <c r="U337" s="61"/>
      <c r="V337" s="61">
        <v>-2.1389182999999998</v>
      </c>
      <c r="W337" s="61">
        <v>106.16784389999999</v>
      </c>
      <c r="X337" s="63"/>
      <c r="Y337" s="63"/>
      <c r="Z337" s="61"/>
      <c r="AA337" s="63"/>
      <c r="AB337" s="63"/>
      <c r="AC337" s="64">
        <f t="shared" si="18"/>
        <v>1</v>
      </c>
      <c r="AD337" s="64">
        <f t="shared" si="19"/>
        <v>1</v>
      </c>
    </row>
    <row r="338" spans="1:30" s="62" customFormat="1" ht="12.5">
      <c r="A338" s="66">
        <v>333</v>
      </c>
      <c r="B338" s="61" t="s">
        <v>861</v>
      </c>
      <c r="C338" s="62" t="s">
        <v>143</v>
      </c>
      <c r="D338" s="61" t="s">
        <v>862</v>
      </c>
      <c r="E338" s="61" t="s">
        <v>863</v>
      </c>
      <c r="F338" s="62" t="s">
        <v>864</v>
      </c>
      <c r="G338" s="62" t="s">
        <v>865</v>
      </c>
      <c r="H338" s="62" t="s">
        <v>866</v>
      </c>
      <c r="I338" s="62" t="s">
        <v>140</v>
      </c>
      <c r="J338" s="62">
        <v>2021</v>
      </c>
      <c r="K338" s="62">
        <v>50</v>
      </c>
      <c r="L338" s="61">
        <v>50</v>
      </c>
      <c r="M338" s="62">
        <v>50</v>
      </c>
      <c r="N338" s="62" t="s">
        <v>100</v>
      </c>
      <c r="O338" s="62" t="s">
        <v>101</v>
      </c>
      <c r="Q338" s="23" t="s">
        <v>912</v>
      </c>
      <c r="S338" s="61"/>
      <c r="T338" s="61"/>
      <c r="U338" s="61"/>
      <c r="V338" s="61">
        <v>-2.1468946</v>
      </c>
      <c r="W338" s="61">
        <v>106.0942438</v>
      </c>
      <c r="X338" s="63"/>
      <c r="Y338" s="63"/>
      <c r="Z338" s="61"/>
      <c r="AA338" s="63"/>
      <c r="AB338" s="63"/>
      <c r="AC338" s="64">
        <f t="shared" si="18"/>
        <v>1</v>
      </c>
      <c r="AD338" s="64">
        <f t="shared" si="19"/>
        <v>1</v>
      </c>
    </row>
    <row r="339" spans="1:30" s="62" customFormat="1" ht="12.5">
      <c r="A339" s="66">
        <v>334</v>
      </c>
      <c r="B339" s="61" t="s">
        <v>867</v>
      </c>
      <c r="C339" s="62" t="s">
        <v>93</v>
      </c>
      <c r="D339" s="61" t="s">
        <v>135</v>
      </c>
      <c r="E339" s="61" t="s">
        <v>341</v>
      </c>
      <c r="F339" s="62" t="s">
        <v>342</v>
      </c>
      <c r="G339" s="62" t="s">
        <v>865</v>
      </c>
      <c r="H339" s="62" t="s">
        <v>866</v>
      </c>
      <c r="I339" s="62" t="s">
        <v>140</v>
      </c>
      <c r="J339" s="62">
        <v>2023</v>
      </c>
      <c r="K339" s="62">
        <v>170</v>
      </c>
      <c r="L339" s="61">
        <v>102</v>
      </c>
      <c r="M339" s="62">
        <v>102</v>
      </c>
      <c r="N339" s="62" t="s">
        <v>100</v>
      </c>
      <c r="O339" s="62" t="s">
        <v>101</v>
      </c>
      <c r="Q339" s="23" t="s">
        <v>912</v>
      </c>
      <c r="R339" s="62" t="s">
        <v>915</v>
      </c>
      <c r="S339" s="61"/>
      <c r="T339" s="61"/>
      <c r="U339" s="61"/>
      <c r="V339" s="61">
        <v>-2.1261269999999999</v>
      </c>
      <c r="W339" s="61">
        <v>106.14223749999999</v>
      </c>
      <c r="X339" s="63"/>
      <c r="Y339" s="63"/>
      <c r="Z339" s="61"/>
      <c r="AA339" s="63"/>
      <c r="AB339" s="63"/>
      <c r="AC339" s="64">
        <f t="shared" si="18"/>
        <v>0.6</v>
      </c>
      <c r="AD339" s="64">
        <f t="shared" si="19"/>
        <v>1</v>
      </c>
    </row>
    <row r="340" spans="1:30" s="62" customFormat="1" ht="12.5">
      <c r="A340" s="66">
        <v>335</v>
      </c>
      <c r="B340" s="61" t="s">
        <v>868</v>
      </c>
      <c r="C340" s="62" t="s">
        <v>93</v>
      </c>
      <c r="D340" s="61" t="s">
        <v>94</v>
      </c>
      <c r="E340" s="61" t="s">
        <v>95</v>
      </c>
      <c r="F340" s="62" t="s">
        <v>101</v>
      </c>
      <c r="G340" s="62" t="s">
        <v>101</v>
      </c>
      <c r="H340" s="62" t="s">
        <v>101</v>
      </c>
      <c r="I340" s="62" t="s">
        <v>101</v>
      </c>
      <c r="J340" s="62">
        <v>2018</v>
      </c>
      <c r="K340" s="62">
        <v>33</v>
      </c>
      <c r="L340" s="61">
        <v>33</v>
      </c>
      <c r="M340" s="62">
        <v>33</v>
      </c>
      <c r="N340" s="62" t="s">
        <v>100</v>
      </c>
      <c r="O340" s="62" t="s">
        <v>101</v>
      </c>
      <c r="Q340" s="23" t="s">
        <v>912</v>
      </c>
      <c r="R340" s="23" t="s">
        <v>915</v>
      </c>
      <c r="S340" s="61"/>
      <c r="T340" s="61"/>
      <c r="U340" s="61"/>
      <c r="V340" s="61">
        <v>-2.1123416000000002</v>
      </c>
      <c r="W340" s="61">
        <v>106.06992219999999</v>
      </c>
      <c r="X340" s="63"/>
      <c r="Y340" s="63"/>
      <c r="Z340" s="61"/>
      <c r="AA340" s="63"/>
      <c r="AB340" s="63"/>
      <c r="AC340" s="64">
        <f t="shared" si="18"/>
        <v>1</v>
      </c>
      <c r="AD340" s="64">
        <f t="shared" si="19"/>
        <v>1</v>
      </c>
    </row>
    <row r="341" spans="1:30" s="62" customFormat="1" ht="12.5">
      <c r="A341" s="66">
        <v>336</v>
      </c>
      <c r="B341" s="61" t="s">
        <v>869</v>
      </c>
      <c r="C341" s="62" t="s">
        <v>93</v>
      </c>
      <c r="D341" s="61" t="s">
        <v>152</v>
      </c>
      <c r="E341" s="61" t="s">
        <v>870</v>
      </c>
      <c r="F341" s="62" t="s">
        <v>871</v>
      </c>
      <c r="G341" s="62" t="s">
        <v>537</v>
      </c>
      <c r="H341" s="62" t="s">
        <v>872</v>
      </c>
      <c r="I341" s="62" t="s">
        <v>218</v>
      </c>
      <c r="J341" s="62">
        <v>2020</v>
      </c>
      <c r="K341" s="62">
        <v>62</v>
      </c>
      <c r="L341" s="61">
        <v>27</v>
      </c>
      <c r="M341" s="62">
        <v>27</v>
      </c>
      <c r="N341" s="62" t="s">
        <v>100</v>
      </c>
      <c r="O341" s="62" t="s">
        <v>101</v>
      </c>
      <c r="Q341" s="23" t="s">
        <v>912</v>
      </c>
      <c r="R341" s="23" t="s">
        <v>915</v>
      </c>
      <c r="S341" s="61"/>
      <c r="T341" s="61"/>
      <c r="U341" s="61"/>
      <c r="V341" s="61">
        <v>-2.1102194000000001</v>
      </c>
      <c r="W341" s="61">
        <v>106.123358</v>
      </c>
      <c r="X341" s="63"/>
      <c r="Y341" s="63"/>
      <c r="Z341" s="61"/>
      <c r="AA341" s="63"/>
      <c r="AB341" s="63"/>
      <c r="AC341" s="64">
        <f t="shared" ref="AC341:AC351" si="20">IF(A341="","",IFERROR(L341/K341,0))</f>
        <v>0.43548387096774194</v>
      </c>
      <c r="AD341" s="64">
        <f t="shared" ref="AD341:AD351" si="21">IF(A341="","",IFERROR(M341/L341,0))</f>
        <v>1</v>
      </c>
    </row>
    <row r="342" spans="1:30" s="62" customFormat="1" ht="12.5">
      <c r="A342" s="66">
        <v>337</v>
      </c>
      <c r="B342" s="61" t="s">
        <v>873</v>
      </c>
      <c r="C342" s="62" t="s">
        <v>93</v>
      </c>
      <c r="D342" s="61" t="s">
        <v>116</v>
      </c>
      <c r="E342" s="61" t="s">
        <v>144</v>
      </c>
      <c r="F342" s="62" t="s">
        <v>874</v>
      </c>
      <c r="G342" s="62" t="s">
        <v>875</v>
      </c>
      <c r="H342" s="62" t="s">
        <v>101</v>
      </c>
      <c r="I342" s="62" t="s">
        <v>247</v>
      </c>
      <c r="J342" s="62">
        <v>2017</v>
      </c>
      <c r="K342" s="62">
        <v>43</v>
      </c>
      <c r="L342" s="61">
        <v>40</v>
      </c>
      <c r="M342" s="62">
        <v>34</v>
      </c>
      <c r="N342" s="62" t="s">
        <v>100</v>
      </c>
      <c r="O342" s="62" t="s">
        <v>101</v>
      </c>
      <c r="Q342" s="23" t="s">
        <v>912</v>
      </c>
      <c r="R342" s="23" t="s">
        <v>915</v>
      </c>
      <c r="S342" s="61"/>
      <c r="T342" s="61"/>
      <c r="U342" s="61"/>
      <c r="V342" s="61">
        <v>-2.0877240000000001</v>
      </c>
      <c r="W342" s="61">
        <v>106.104771</v>
      </c>
      <c r="X342" s="63"/>
      <c r="Y342" s="63"/>
      <c r="Z342" s="61"/>
      <c r="AA342" s="63"/>
      <c r="AB342" s="63"/>
      <c r="AC342" s="64">
        <f t="shared" si="20"/>
        <v>0.93023255813953487</v>
      </c>
      <c r="AD342" s="64">
        <f t="shared" si="21"/>
        <v>0.85</v>
      </c>
    </row>
    <row r="343" spans="1:30" s="62" customFormat="1" ht="12.5">
      <c r="A343" s="66">
        <v>338</v>
      </c>
      <c r="B343" s="61" t="s">
        <v>876</v>
      </c>
      <c r="C343" s="62" t="s">
        <v>93</v>
      </c>
      <c r="D343" s="61" t="s">
        <v>94</v>
      </c>
      <c r="E343" s="61" t="s">
        <v>95</v>
      </c>
      <c r="F343" s="62" t="s">
        <v>877</v>
      </c>
      <c r="G343" s="62" t="s">
        <v>878</v>
      </c>
      <c r="H343" s="62" t="s">
        <v>709</v>
      </c>
      <c r="I343" s="62" t="s">
        <v>165</v>
      </c>
      <c r="J343" s="62">
        <v>2019</v>
      </c>
      <c r="K343" s="62">
        <v>44</v>
      </c>
      <c r="L343" s="61">
        <v>44</v>
      </c>
      <c r="M343" s="62">
        <v>44</v>
      </c>
      <c r="N343" s="62" t="s">
        <v>100</v>
      </c>
      <c r="O343" s="62" t="s">
        <v>101</v>
      </c>
      <c r="Q343" s="23" t="s">
        <v>912</v>
      </c>
      <c r="S343" s="61"/>
      <c r="T343" s="61"/>
      <c r="U343" s="61"/>
      <c r="V343" s="61">
        <v>-2.1144664</v>
      </c>
      <c r="W343" s="61">
        <v>106.07396660000001</v>
      </c>
      <c r="X343" s="63"/>
      <c r="Y343" s="63"/>
      <c r="Z343" s="61"/>
      <c r="AA343" s="63"/>
      <c r="AB343" s="63"/>
      <c r="AC343" s="64">
        <f t="shared" si="20"/>
        <v>1</v>
      </c>
      <c r="AD343" s="64">
        <f t="shared" si="21"/>
        <v>1</v>
      </c>
    </row>
    <row r="344" spans="1:30" s="62" customFormat="1" ht="12.5">
      <c r="A344" s="66">
        <v>339</v>
      </c>
      <c r="B344" s="61" t="s">
        <v>879</v>
      </c>
      <c r="C344" s="62" t="s">
        <v>93</v>
      </c>
      <c r="D344" s="61" t="s">
        <v>152</v>
      </c>
      <c r="E344" s="61" t="s">
        <v>264</v>
      </c>
      <c r="F344" s="62" t="s">
        <v>880</v>
      </c>
      <c r="G344" s="62" t="s">
        <v>881</v>
      </c>
      <c r="H344" s="62" t="s">
        <v>882</v>
      </c>
      <c r="I344" s="62" t="s">
        <v>247</v>
      </c>
      <c r="J344" s="62">
        <v>2017</v>
      </c>
      <c r="K344" s="62">
        <v>48</v>
      </c>
      <c r="L344" s="61">
        <v>42</v>
      </c>
      <c r="M344" s="62">
        <v>33</v>
      </c>
      <c r="N344" s="62" t="s">
        <v>100</v>
      </c>
      <c r="O344" s="62" t="s">
        <v>101</v>
      </c>
      <c r="Q344" s="23" t="s">
        <v>912</v>
      </c>
      <c r="R344" s="23" t="s">
        <v>915</v>
      </c>
      <c r="S344" s="61"/>
      <c r="T344" s="61"/>
      <c r="U344" s="61"/>
      <c r="V344" s="61">
        <v>-2.0870636999999999</v>
      </c>
      <c r="W344" s="61">
        <v>106.12246279999999</v>
      </c>
      <c r="X344" s="63"/>
      <c r="Y344" s="63"/>
      <c r="Z344" s="61"/>
      <c r="AA344" s="63"/>
      <c r="AB344" s="63"/>
      <c r="AC344" s="64">
        <f t="shared" si="20"/>
        <v>0.875</v>
      </c>
      <c r="AD344" s="64">
        <f t="shared" si="21"/>
        <v>0.7857142857142857</v>
      </c>
    </row>
    <row r="345" spans="1:30" s="62" customFormat="1" ht="12.5">
      <c r="A345" s="66">
        <v>340</v>
      </c>
      <c r="B345" s="61" t="s">
        <v>883</v>
      </c>
      <c r="C345" s="62" t="s">
        <v>93</v>
      </c>
      <c r="D345" s="61" t="s">
        <v>116</v>
      </c>
      <c r="E345" s="61" t="s">
        <v>144</v>
      </c>
      <c r="F345" s="62" t="s">
        <v>884</v>
      </c>
      <c r="G345" s="62" t="s">
        <v>207</v>
      </c>
      <c r="H345" s="62" t="s">
        <v>208</v>
      </c>
      <c r="I345" s="62" t="s">
        <v>121</v>
      </c>
      <c r="J345" s="62">
        <v>2016</v>
      </c>
      <c r="K345" s="62">
        <v>56</v>
      </c>
      <c r="L345" s="61">
        <v>56</v>
      </c>
      <c r="M345" s="62">
        <v>56</v>
      </c>
      <c r="N345" s="62" t="s">
        <v>100</v>
      </c>
      <c r="O345" s="62" t="s">
        <v>101</v>
      </c>
      <c r="Q345" s="23" t="s">
        <v>912</v>
      </c>
      <c r="S345" s="61"/>
      <c r="T345" s="61"/>
      <c r="U345" s="61"/>
      <c r="V345" s="61">
        <v>-2.0997509999999999</v>
      </c>
      <c r="W345" s="61">
        <v>106.108549</v>
      </c>
      <c r="X345" s="63"/>
      <c r="Y345" s="63"/>
      <c r="Z345" s="61"/>
      <c r="AA345" s="63"/>
      <c r="AB345" s="63"/>
      <c r="AC345" s="64">
        <f t="shared" si="20"/>
        <v>1</v>
      </c>
      <c r="AD345" s="64">
        <f t="shared" si="21"/>
        <v>1</v>
      </c>
    </row>
    <row r="346" spans="1:30" s="62" customFormat="1" ht="12.5">
      <c r="A346" s="66">
        <v>341</v>
      </c>
      <c r="B346" s="61" t="s">
        <v>885</v>
      </c>
      <c r="C346" s="62" t="s">
        <v>93</v>
      </c>
      <c r="D346" s="61" t="s">
        <v>116</v>
      </c>
      <c r="E346" s="61" t="s">
        <v>126</v>
      </c>
      <c r="F346" s="62" t="s">
        <v>886</v>
      </c>
      <c r="G346" s="62" t="s">
        <v>887</v>
      </c>
      <c r="H346" s="62" t="s">
        <v>888</v>
      </c>
      <c r="I346" s="62" t="s">
        <v>101</v>
      </c>
      <c r="J346" s="62">
        <v>2023</v>
      </c>
      <c r="K346" s="62">
        <v>77</v>
      </c>
      <c r="L346" s="61">
        <v>29</v>
      </c>
      <c r="M346" s="62">
        <v>24</v>
      </c>
      <c r="N346" s="62" t="s">
        <v>100</v>
      </c>
      <c r="O346" s="62" t="s">
        <v>101</v>
      </c>
      <c r="Q346" s="23" t="s">
        <v>912</v>
      </c>
      <c r="R346" s="23" t="s">
        <v>915</v>
      </c>
      <c r="S346" s="61"/>
      <c r="T346" s="61"/>
      <c r="U346" s="61"/>
      <c r="V346" s="61">
        <v>-2.0913586999999998</v>
      </c>
      <c r="W346" s="61">
        <v>106.0929603</v>
      </c>
      <c r="X346" s="63"/>
      <c r="Y346" s="63"/>
      <c r="Z346" s="61"/>
      <c r="AA346" s="63"/>
      <c r="AB346" s="63"/>
      <c r="AC346" s="64">
        <f t="shared" si="20"/>
        <v>0.37662337662337664</v>
      </c>
      <c r="AD346" s="64">
        <f t="shared" si="21"/>
        <v>0.82758620689655171</v>
      </c>
    </row>
    <row r="347" spans="1:30" s="62" customFormat="1" ht="12.5">
      <c r="A347" s="66">
        <v>342</v>
      </c>
      <c r="B347" s="61" t="s">
        <v>889</v>
      </c>
      <c r="C347" s="62" t="s">
        <v>222</v>
      </c>
      <c r="D347" s="61" t="s">
        <v>862</v>
      </c>
      <c r="E347" s="61" t="s">
        <v>890</v>
      </c>
      <c r="F347" s="62" t="s">
        <v>891</v>
      </c>
      <c r="G347" s="62" t="s">
        <v>101</v>
      </c>
      <c r="H347" s="62" t="s">
        <v>101</v>
      </c>
      <c r="I347" s="62" t="s">
        <v>101</v>
      </c>
      <c r="J347" s="62" t="s">
        <v>101</v>
      </c>
      <c r="K347" s="62">
        <v>0</v>
      </c>
      <c r="L347" s="61">
        <v>0</v>
      </c>
      <c r="M347" s="62">
        <v>0</v>
      </c>
      <c r="N347" s="62" t="s">
        <v>100</v>
      </c>
      <c r="O347" s="62" t="s">
        <v>101</v>
      </c>
      <c r="Q347" s="23" t="s">
        <v>912</v>
      </c>
      <c r="S347" s="61"/>
      <c r="T347" s="61"/>
      <c r="U347" s="61"/>
      <c r="V347" s="61">
        <v>-2.1322789200000001</v>
      </c>
      <c r="W347" s="61">
        <v>106.0984273</v>
      </c>
      <c r="X347" s="63"/>
      <c r="Y347" s="63"/>
      <c r="Z347" s="61"/>
      <c r="AA347" s="63"/>
      <c r="AB347" s="63"/>
      <c r="AC347" s="64">
        <f t="shared" si="20"/>
        <v>0</v>
      </c>
      <c r="AD347" s="64">
        <f t="shared" si="21"/>
        <v>0</v>
      </c>
    </row>
    <row r="348" spans="1:30" s="62" customFormat="1" ht="12.5">
      <c r="A348" s="66">
        <v>343</v>
      </c>
      <c r="B348" s="61" t="s">
        <v>892</v>
      </c>
      <c r="C348" s="62" t="s">
        <v>93</v>
      </c>
      <c r="D348" s="61" t="s">
        <v>116</v>
      </c>
      <c r="E348" s="61" t="s">
        <v>144</v>
      </c>
      <c r="F348" s="62" t="s">
        <v>260</v>
      </c>
      <c r="G348" s="62" t="s">
        <v>893</v>
      </c>
      <c r="H348" s="62" t="s">
        <v>894</v>
      </c>
      <c r="I348" s="62" t="s">
        <v>101</v>
      </c>
      <c r="J348" s="62">
        <v>2018</v>
      </c>
      <c r="K348" s="62">
        <v>128</v>
      </c>
      <c r="L348" s="61">
        <v>128</v>
      </c>
      <c r="M348" s="62">
        <v>128</v>
      </c>
      <c r="N348" s="62" t="s">
        <v>100</v>
      </c>
      <c r="O348" s="62" t="s">
        <v>101</v>
      </c>
      <c r="Q348" s="23" t="s">
        <v>912</v>
      </c>
      <c r="S348" s="61"/>
      <c r="T348" s="61"/>
      <c r="U348" s="61"/>
      <c r="V348" s="61">
        <v>-2.0771069999999998</v>
      </c>
      <c r="W348" s="61">
        <v>106.115712</v>
      </c>
      <c r="X348" s="63"/>
      <c r="Y348" s="63"/>
      <c r="Z348" s="61"/>
      <c r="AA348" s="63"/>
      <c r="AB348" s="63"/>
      <c r="AC348" s="64">
        <f t="shared" si="20"/>
        <v>1</v>
      </c>
      <c r="AD348" s="64">
        <f t="shared" si="21"/>
        <v>1</v>
      </c>
    </row>
    <row r="349" spans="1:30" s="62" customFormat="1" ht="12.5">
      <c r="A349" s="66">
        <v>344</v>
      </c>
      <c r="B349" s="61" t="s">
        <v>895</v>
      </c>
      <c r="C349" s="62" t="s">
        <v>93</v>
      </c>
      <c r="D349" s="61" t="s">
        <v>116</v>
      </c>
      <c r="E349" s="61" t="s">
        <v>144</v>
      </c>
      <c r="F349" s="62" t="s">
        <v>260</v>
      </c>
      <c r="G349" s="62" t="s">
        <v>893</v>
      </c>
      <c r="H349" s="62" t="s">
        <v>894</v>
      </c>
      <c r="I349" s="62" t="s">
        <v>101</v>
      </c>
      <c r="J349" s="62">
        <v>2018</v>
      </c>
      <c r="K349" s="62">
        <v>116</v>
      </c>
      <c r="L349" s="61">
        <v>59</v>
      </c>
      <c r="M349" s="62">
        <v>59</v>
      </c>
      <c r="N349" s="62" t="s">
        <v>100</v>
      </c>
      <c r="O349" s="62" t="s">
        <v>101</v>
      </c>
      <c r="Q349" s="23" t="s">
        <v>912</v>
      </c>
      <c r="S349" s="61"/>
      <c r="T349" s="61"/>
      <c r="U349" s="61"/>
      <c r="V349" s="61">
        <v>-2.0771069999999998</v>
      </c>
      <c r="W349" s="61">
        <v>106.115712</v>
      </c>
      <c r="X349" s="63"/>
      <c r="Y349" s="63"/>
      <c r="Z349" s="61"/>
      <c r="AA349" s="63"/>
      <c r="AB349" s="63"/>
      <c r="AC349" s="64">
        <f t="shared" si="20"/>
        <v>0.50862068965517238</v>
      </c>
      <c r="AD349" s="64">
        <f t="shared" si="21"/>
        <v>1</v>
      </c>
    </row>
    <row r="350" spans="1:30" s="62" customFormat="1" ht="12.5">
      <c r="A350" s="66">
        <v>345</v>
      </c>
      <c r="B350" s="61" t="s">
        <v>896</v>
      </c>
      <c r="C350" s="62" t="s">
        <v>93</v>
      </c>
      <c r="D350" s="61" t="s">
        <v>116</v>
      </c>
      <c r="E350" s="61" t="s">
        <v>144</v>
      </c>
      <c r="F350" s="62" t="s">
        <v>260</v>
      </c>
      <c r="G350" s="62" t="s">
        <v>893</v>
      </c>
      <c r="H350" s="62" t="s">
        <v>894</v>
      </c>
      <c r="I350" s="62" t="s">
        <v>101</v>
      </c>
      <c r="J350" s="62">
        <v>2019</v>
      </c>
      <c r="K350" s="62">
        <v>105</v>
      </c>
      <c r="L350" s="61">
        <v>9</v>
      </c>
      <c r="M350" s="62">
        <v>9</v>
      </c>
      <c r="N350" s="62" t="s">
        <v>100</v>
      </c>
      <c r="O350" s="62" t="s">
        <v>101</v>
      </c>
      <c r="Q350" s="23" t="s">
        <v>912</v>
      </c>
      <c r="S350" s="61"/>
      <c r="T350" s="61"/>
      <c r="U350" s="61"/>
      <c r="V350" s="61">
        <v>-2.0771069999999998</v>
      </c>
      <c r="W350" s="61">
        <v>106.115712</v>
      </c>
      <c r="X350" s="63"/>
      <c r="Y350" s="63"/>
      <c r="Z350" s="61"/>
      <c r="AA350" s="63"/>
      <c r="AB350" s="63"/>
      <c r="AC350" s="64">
        <f t="shared" si="20"/>
        <v>8.5714285714285715E-2</v>
      </c>
      <c r="AD350" s="64">
        <f t="shared" si="21"/>
        <v>1</v>
      </c>
    </row>
    <row r="351" spans="1:30" s="62" customFormat="1" ht="12.5">
      <c r="A351" s="66">
        <v>346</v>
      </c>
      <c r="B351" s="61" t="s">
        <v>897</v>
      </c>
      <c r="C351" s="62" t="s">
        <v>93</v>
      </c>
      <c r="D351" s="61" t="s">
        <v>116</v>
      </c>
      <c r="E351" s="61" t="s">
        <v>144</v>
      </c>
      <c r="F351" s="62" t="s">
        <v>898</v>
      </c>
      <c r="G351" s="62" t="s">
        <v>893</v>
      </c>
      <c r="H351" s="62" t="s">
        <v>894</v>
      </c>
      <c r="I351" s="62" t="s">
        <v>101</v>
      </c>
      <c r="J351" s="62">
        <v>2019</v>
      </c>
      <c r="K351" s="62">
        <v>43</v>
      </c>
      <c r="L351" s="61">
        <v>0</v>
      </c>
      <c r="M351" s="62">
        <v>0</v>
      </c>
      <c r="N351" s="62" t="s">
        <v>100</v>
      </c>
      <c r="O351" s="62" t="s">
        <v>101</v>
      </c>
      <c r="Q351" s="23" t="s">
        <v>912</v>
      </c>
      <c r="S351" s="61"/>
      <c r="T351" s="61"/>
      <c r="U351" s="61"/>
      <c r="V351" s="61">
        <v>-2.0771069999999998</v>
      </c>
      <c r="W351" s="61">
        <v>106.115712</v>
      </c>
      <c r="X351" s="63"/>
      <c r="Y351" s="63"/>
      <c r="Z351" s="61"/>
      <c r="AA351" s="63"/>
      <c r="AB351" s="63"/>
      <c r="AC351" s="64">
        <f t="shared" si="20"/>
        <v>0</v>
      </c>
      <c r="AD351" s="64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70" t="s">
        <v>33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7.399999999999999" customHeight="1">
      <c r="A2" s="72" t="s">
        <v>34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3" spans="1:11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70" t="s">
        <v>42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7.399999999999999" customHeight="1">
      <c r="A2" s="72" t="s">
        <v>43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3" spans="1:11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70" t="s">
        <v>49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</row>
    <row r="2" spans="1:20" ht="17.399999999999999" customHeight="1">
      <c r="A2" s="72" t="s">
        <v>50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</row>
    <row r="3" spans="1:20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activeCell="C4" sqref="C1:H104857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70" t="s">
        <v>64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7.399999999999999" customHeight="1">
      <c r="A2" s="72" t="s">
        <v>65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tabSelected="1" workbookViewId="0">
      <selection activeCell="E18" sqref="E18"/>
    </sheetView>
  </sheetViews>
  <sheetFormatPr defaultRowHeight="14"/>
  <cols>
    <col min="1" max="1" width="18" customWidth="1"/>
    <col min="2" max="2" width="28" customWidth="1"/>
    <col min="3" max="3" width="12" style="79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70" t="s">
        <v>74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7.399999999999999" customHeight="1">
      <c r="A2" s="72" t="s">
        <v>75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</row>
    <row r="3" spans="1:12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</row>
    <row r="5" spans="1:12" ht="28" customHeight="1">
      <c r="A5" s="1" t="s">
        <v>76</v>
      </c>
      <c r="B5" s="2" t="s">
        <v>67</v>
      </c>
      <c r="C5" s="75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76">
        <v>2026</v>
      </c>
      <c r="D6" s="10" t="s">
        <v>921</v>
      </c>
      <c r="E6" s="49"/>
      <c r="F6" s="49">
        <v>15850000</v>
      </c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77"/>
      <c r="D7" s="11" t="s">
        <v>922</v>
      </c>
      <c r="E7" s="50"/>
      <c r="F7" s="50">
        <v>13675000</v>
      </c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77"/>
      <c r="D8" s="11" t="s">
        <v>923</v>
      </c>
      <c r="E8" s="50"/>
      <c r="F8" s="50">
        <v>24950000</v>
      </c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77"/>
      <c r="D9" s="11" t="s">
        <v>924</v>
      </c>
      <c r="E9" s="50"/>
      <c r="F9" s="50">
        <v>32950000</v>
      </c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77"/>
      <c r="D10" s="11" t="s">
        <v>925</v>
      </c>
      <c r="E10" s="50"/>
      <c r="F10" s="50">
        <v>32950000</v>
      </c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77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77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77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77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77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77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77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77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77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77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77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77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77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77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77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77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77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77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77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77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77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77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77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77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77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77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77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77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77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77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77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77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77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77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77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77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77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77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77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77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77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77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77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77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77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77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77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77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77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77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77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77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77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77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77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77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77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77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77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77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77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77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77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77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77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77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77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77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77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77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77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77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77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77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77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77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77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77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77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77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77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77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77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77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77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77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77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77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77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77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77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77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77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77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78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activeCell="G13" sqref="G13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70" t="s">
        <v>82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7.399999999999999" customHeight="1">
      <c r="A2" s="72" t="s">
        <v>83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2026-07-13T07:33:32Z</dcterms:modified>
</cp:coreProperties>
</file>