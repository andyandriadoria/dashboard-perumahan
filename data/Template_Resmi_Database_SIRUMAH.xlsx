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E1C3446A-B8D0-43BE-A2CE-47B43492BD3C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" i="7" l="1"/>
  <c r="AA7" i="7"/>
  <c r="AB7" i="7"/>
  <c r="Z8" i="7"/>
  <c r="AA8" i="7"/>
  <c r="AB8" i="7"/>
  <c r="Z9" i="7"/>
  <c r="AB9" i="7" s="1"/>
  <c r="AA9" i="7"/>
  <c r="Z10" i="7"/>
  <c r="AB10" i="7" s="1"/>
  <c r="AA10" i="7"/>
  <c r="Z11" i="7"/>
  <c r="AA11" i="7"/>
  <c r="AB11" i="7"/>
  <c r="Z12" i="7"/>
  <c r="AA12" i="7"/>
  <c r="AB12" i="7"/>
  <c r="AS12" i="7" s="1"/>
  <c r="AT12" i="7" s="1"/>
  <c r="Z13" i="7"/>
  <c r="AB13" i="7" s="1"/>
  <c r="AS13" i="7" s="1"/>
  <c r="AT13" i="7" s="1"/>
  <c r="AA13" i="7"/>
  <c r="Z14" i="7"/>
  <c r="AA14" i="7"/>
  <c r="AB14" i="7"/>
  <c r="Z15" i="7"/>
  <c r="AA15" i="7"/>
  <c r="AB15" i="7" s="1"/>
  <c r="Z16" i="7"/>
  <c r="AB16" i="7" s="1"/>
  <c r="AA16" i="7"/>
  <c r="Z17" i="7"/>
  <c r="AA17" i="7"/>
  <c r="AB17" i="7"/>
  <c r="Z18" i="7"/>
  <c r="AA18" i="7"/>
  <c r="AB18" i="7"/>
  <c r="Z19" i="7"/>
  <c r="AA19" i="7"/>
  <c r="AB19" i="7"/>
  <c r="Z20" i="7"/>
  <c r="AB20" i="7" s="1"/>
  <c r="AA20" i="7"/>
  <c r="Z21" i="7"/>
  <c r="AA21" i="7"/>
  <c r="AB21" i="7"/>
  <c r="Z22" i="7"/>
  <c r="AA22" i="7"/>
  <c r="AB22" i="7"/>
  <c r="Z23" i="7"/>
  <c r="AA23" i="7"/>
  <c r="AB23" i="7"/>
  <c r="Z24" i="7"/>
  <c r="AA24" i="7"/>
  <c r="AB24" i="7"/>
  <c r="Z25" i="7"/>
  <c r="AA25" i="7"/>
  <c r="AB25" i="7"/>
  <c r="Z26" i="7"/>
  <c r="AA26" i="7"/>
  <c r="AB26" i="7"/>
  <c r="Z27" i="7"/>
  <c r="AA27" i="7"/>
  <c r="AB27" i="7"/>
  <c r="AS27" i="7" s="1"/>
  <c r="AT27" i="7" s="1"/>
  <c r="Z28" i="7"/>
  <c r="AA28" i="7"/>
  <c r="AB28" i="7"/>
  <c r="AS28" i="7" s="1"/>
  <c r="AT28" i="7" s="1"/>
  <c r="Z29" i="7"/>
  <c r="AB29" i="7" s="1"/>
  <c r="AA29" i="7"/>
  <c r="Z30" i="7"/>
  <c r="AB30" i="7" s="1"/>
  <c r="AA30" i="7"/>
  <c r="Z31" i="7"/>
  <c r="AA31" i="7"/>
  <c r="AB31" i="7"/>
  <c r="Z32" i="7"/>
  <c r="AA32" i="7"/>
  <c r="AB32" i="7"/>
  <c r="AS32" i="7" s="1"/>
  <c r="AT32" i="7" s="1"/>
  <c r="Z33" i="7"/>
  <c r="AB33" i="7" s="1"/>
  <c r="AS33" i="7" s="1"/>
  <c r="AT33" i="7" s="1"/>
  <c r="AA33" i="7"/>
  <c r="Z34" i="7"/>
  <c r="AA34" i="7"/>
  <c r="AB34" i="7"/>
  <c r="Z35" i="7"/>
  <c r="AA35" i="7"/>
  <c r="AB35" i="7"/>
  <c r="Z36" i="7"/>
  <c r="AB36" i="7" s="1"/>
  <c r="AA36" i="7"/>
  <c r="Z37" i="7"/>
  <c r="AA37" i="7"/>
  <c r="AB37" i="7"/>
  <c r="Z38" i="7"/>
  <c r="AA38" i="7"/>
  <c r="AB38" i="7"/>
  <c r="AS38" i="7" s="1"/>
  <c r="AT38" i="7" s="1"/>
  <c r="Z39" i="7"/>
  <c r="AA39" i="7"/>
  <c r="AB39" i="7"/>
  <c r="Z40" i="7"/>
  <c r="AB40" i="7" s="1"/>
  <c r="AA40" i="7"/>
  <c r="Z41" i="7"/>
  <c r="AA41" i="7"/>
  <c r="AB41" i="7"/>
  <c r="Z42" i="7"/>
  <c r="AA42" i="7"/>
  <c r="AB42" i="7"/>
  <c r="Z43" i="7"/>
  <c r="AA43" i="7"/>
  <c r="AB43" i="7"/>
  <c r="AS43" i="7" s="1"/>
  <c r="AT43" i="7" s="1"/>
  <c r="Z44" i="7"/>
  <c r="AA44" i="7"/>
  <c r="AB44" i="7"/>
  <c r="Z45" i="7"/>
  <c r="AA45" i="7"/>
  <c r="AB45" i="7"/>
  <c r="Z46" i="7"/>
  <c r="AA46" i="7"/>
  <c r="AB46" i="7"/>
  <c r="Z47" i="7"/>
  <c r="AA47" i="7"/>
  <c r="AB47" i="7"/>
  <c r="Z48" i="7"/>
  <c r="AA48" i="7"/>
  <c r="AB48" i="7"/>
  <c r="Z49" i="7"/>
  <c r="AB49" i="7" s="1"/>
  <c r="AA49" i="7"/>
  <c r="Z50" i="7"/>
  <c r="AB50" i="7" s="1"/>
  <c r="AA50" i="7"/>
  <c r="Z51" i="7"/>
  <c r="AA51" i="7"/>
  <c r="AB51" i="7"/>
  <c r="Z52" i="7"/>
  <c r="AA52" i="7"/>
  <c r="AB52" i="7"/>
  <c r="AS52" i="7" s="1"/>
  <c r="AT52" i="7" s="1"/>
  <c r="Z53" i="7"/>
  <c r="AB53" i="7" s="1"/>
  <c r="AS53" i="7" s="1"/>
  <c r="AT53" i="7" s="1"/>
  <c r="AA53" i="7"/>
  <c r="Z54" i="7"/>
  <c r="AA54" i="7"/>
  <c r="AB54" i="7"/>
  <c r="Z55" i="7"/>
  <c r="AA55" i="7"/>
  <c r="AB55" i="7"/>
  <c r="Z56" i="7"/>
  <c r="AB56" i="7" s="1"/>
  <c r="AA56" i="7"/>
  <c r="Z57" i="7"/>
  <c r="AA57" i="7"/>
  <c r="AB57" i="7"/>
  <c r="Z58" i="7"/>
  <c r="AA58" i="7"/>
  <c r="AB58" i="7"/>
  <c r="AS58" i="7" s="1"/>
  <c r="AT58" i="7" s="1"/>
  <c r="Z59" i="7"/>
  <c r="AA59" i="7"/>
  <c r="AB59" i="7"/>
  <c r="Z60" i="7"/>
  <c r="AB60" i="7" s="1"/>
  <c r="AA60" i="7"/>
  <c r="Z61" i="7"/>
  <c r="AA61" i="7"/>
  <c r="AB61" i="7"/>
  <c r="Z62" i="7"/>
  <c r="AA62" i="7"/>
  <c r="AB62" i="7"/>
  <c r="AS62" i="7" s="1"/>
  <c r="AT62" i="7" s="1"/>
  <c r="Z63" i="7"/>
  <c r="AA63" i="7"/>
  <c r="AB63" i="7"/>
  <c r="Z64" i="7"/>
  <c r="AA64" i="7"/>
  <c r="AB64" i="7"/>
  <c r="Z65" i="7"/>
  <c r="AA65" i="7"/>
  <c r="AB65" i="7"/>
  <c r="Z66" i="7"/>
  <c r="AA66" i="7"/>
  <c r="AB66" i="7" s="1"/>
  <c r="Z67" i="7"/>
  <c r="AA67" i="7"/>
  <c r="AB67" i="7"/>
  <c r="Z68" i="7"/>
  <c r="AA68" i="7"/>
  <c r="AB68" i="7"/>
  <c r="Z69" i="7"/>
  <c r="AB69" i="7" s="1"/>
  <c r="AA69" i="7"/>
  <c r="Z70" i="7"/>
  <c r="AB70" i="7" s="1"/>
  <c r="AA70" i="7"/>
  <c r="Z71" i="7"/>
  <c r="AA71" i="7"/>
  <c r="AB71" i="7"/>
  <c r="Z72" i="7"/>
  <c r="AA72" i="7"/>
  <c r="AB72" i="7"/>
  <c r="Z73" i="7"/>
  <c r="AB73" i="7" s="1"/>
  <c r="AS73" i="7" s="1"/>
  <c r="AT73" i="7" s="1"/>
  <c r="AA73" i="7"/>
  <c r="Z74" i="7"/>
  <c r="AA74" i="7"/>
  <c r="AB74" i="7"/>
  <c r="Z75" i="7"/>
  <c r="AA75" i="7"/>
  <c r="AB75" i="7"/>
  <c r="Z76" i="7"/>
  <c r="AB76" i="7" s="1"/>
  <c r="AA76" i="7"/>
  <c r="Z77" i="7"/>
  <c r="AA77" i="7"/>
  <c r="AB77" i="7"/>
  <c r="AS77" i="7" s="1"/>
  <c r="AT77" i="7" s="1"/>
  <c r="Z78" i="7"/>
  <c r="AA78" i="7"/>
  <c r="AB78" i="7"/>
  <c r="AS78" i="7" s="1"/>
  <c r="AT78" i="7" s="1"/>
  <c r="Z79" i="7"/>
  <c r="AA79" i="7"/>
  <c r="AB79" i="7"/>
  <c r="Z80" i="7"/>
  <c r="AB80" i="7" s="1"/>
  <c r="AA80" i="7"/>
  <c r="Z81" i="7"/>
  <c r="AA81" i="7"/>
  <c r="AB81" i="7"/>
  <c r="Z82" i="7"/>
  <c r="AA82" i="7"/>
  <c r="AB82" i="7"/>
  <c r="AS82" i="7" s="1"/>
  <c r="AT82" i="7" s="1"/>
  <c r="Z83" i="7"/>
  <c r="AA83" i="7"/>
  <c r="AB83" i="7"/>
  <c r="Z84" i="7"/>
  <c r="AA84" i="7"/>
  <c r="AB84" i="7"/>
  <c r="Z85" i="7"/>
  <c r="AA85" i="7"/>
  <c r="AB85" i="7"/>
  <c r="Z86" i="7"/>
  <c r="AA86" i="7"/>
  <c r="AB86" i="7"/>
  <c r="Z87" i="7"/>
  <c r="AA87" i="7"/>
  <c r="AB87" i="7"/>
  <c r="Z88" i="7"/>
  <c r="AA88" i="7"/>
  <c r="AB88" i="7"/>
  <c r="Z89" i="7"/>
  <c r="AB89" i="7" s="1"/>
  <c r="AA89" i="7"/>
  <c r="Z90" i="7"/>
  <c r="AB90" i="7" s="1"/>
  <c r="AA90" i="7"/>
  <c r="Z91" i="7"/>
  <c r="AA91" i="7"/>
  <c r="AB91" i="7"/>
  <c r="Z92" i="7"/>
  <c r="AA92" i="7"/>
  <c r="AB92" i="7"/>
  <c r="AS92" i="7" s="1"/>
  <c r="AT92" i="7" s="1"/>
  <c r="Z93" i="7"/>
  <c r="AB93" i="7" s="1"/>
  <c r="AS93" i="7" s="1"/>
  <c r="AT93" i="7" s="1"/>
  <c r="AA93" i="7"/>
  <c r="Z94" i="7"/>
  <c r="AA94" i="7"/>
  <c r="AB94" i="7"/>
  <c r="Z95" i="7"/>
  <c r="AA95" i="7"/>
  <c r="AB95" i="7"/>
  <c r="Z96" i="7"/>
  <c r="AB96" i="7" s="1"/>
  <c r="AA96" i="7"/>
  <c r="Z97" i="7"/>
  <c r="AA97" i="7"/>
  <c r="AB97" i="7"/>
  <c r="AS97" i="7" s="1"/>
  <c r="AT97" i="7" s="1"/>
  <c r="Z98" i="7"/>
  <c r="AA98" i="7"/>
  <c r="AB98" i="7"/>
  <c r="AS98" i="7" s="1"/>
  <c r="AT98" i="7" s="1"/>
  <c r="Z99" i="7"/>
  <c r="AA99" i="7"/>
  <c r="AB99" i="7"/>
  <c r="Z100" i="7"/>
  <c r="AB100" i="7" s="1"/>
  <c r="AA100" i="7"/>
  <c r="Z101" i="7"/>
  <c r="AA101" i="7"/>
  <c r="AB101" i="7"/>
  <c r="Z102" i="7"/>
  <c r="AA102" i="7"/>
  <c r="AB102" i="7"/>
  <c r="Z103" i="7"/>
  <c r="AA103" i="7"/>
  <c r="AB103" i="7"/>
  <c r="Z104" i="7"/>
  <c r="AA104" i="7"/>
  <c r="AB104" i="7"/>
  <c r="Z105" i="7"/>
  <c r="AA105" i="7"/>
  <c r="AB105" i="7"/>
  <c r="Z106" i="7"/>
  <c r="AA106" i="7"/>
  <c r="AB106" i="7"/>
  <c r="Z107" i="7"/>
  <c r="AA107" i="7"/>
  <c r="AB107" i="7"/>
  <c r="AS107" i="7" s="1"/>
  <c r="AT107" i="7" s="1"/>
  <c r="Z108" i="7"/>
  <c r="AA108" i="7"/>
  <c r="AB108" i="7"/>
  <c r="AS108" i="7" s="1"/>
  <c r="AT108" i="7" s="1"/>
  <c r="Z109" i="7"/>
  <c r="AB109" i="7" s="1"/>
  <c r="AA109" i="7"/>
  <c r="Z110" i="7"/>
  <c r="AB110" i="7" s="1"/>
  <c r="AA110" i="7"/>
  <c r="Z111" i="7"/>
  <c r="AA111" i="7"/>
  <c r="AB111" i="7"/>
  <c r="Z112" i="7"/>
  <c r="AA112" i="7"/>
  <c r="AB112" i="7"/>
  <c r="AS112" i="7" s="1"/>
  <c r="AT112" i="7" s="1"/>
  <c r="Z113" i="7"/>
  <c r="AB113" i="7" s="1"/>
  <c r="AS113" i="7" s="1"/>
  <c r="AT113" i="7" s="1"/>
  <c r="AA113" i="7"/>
  <c r="Z114" i="7"/>
  <c r="AA114" i="7"/>
  <c r="AB114" i="7"/>
  <c r="Z115" i="7"/>
  <c r="AA115" i="7"/>
  <c r="AB115" i="7"/>
  <c r="Z116" i="7"/>
  <c r="AB116" i="7" s="1"/>
  <c r="AA116" i="7"/>
  <c r="Z117" i="7"/>
  <c r="AA117" i="7"/>
  <c r="AB117" i="7"/>
  <c r="Z118" i="7"/>
  <c r="AA118" i="7"/>
  <c r="AB118" i="7"/>
  <c r="Z119" i="7"/>
  <c r="AA119" i="7"/>
  <c r="AB119" i="7"/>
  <c r="Z120" i="7"/>
  <c r="AB120" i="7" s="1"/>
  <c r="AA120" i="7"/>
  <c r="Z121" i="7"/>
  <c r="AA121" i="7"/>
  <c r="AB121" i="7"/>
  <c r="Z122" i="7"/>
  <c r="AA122" i="7"/>
  <c r="AB122" i="7"/>
  <c r="Z123" i="7"/>
  <c r="AA123" i="7"/>
  <c r="AB123" i="7"/>
  <c r="Z124" i="7"/>
  <c r="AA124" i="7"/>
  <c r="AB124" i="7"/>
  <c r="Z125" i="7"/>
  <c r="AA125" i="7"/>
  <c r="AB125" i="7"/>
  <c r="Z126" i="7"/>
  <c r="AA126" i="7"/>
  <c r="AB126" i="7"/>
  <c r="Z127" i="7"/>
  <c r="AA127" i="7"/>
  <c r="AB127" i="7"/>
  <c r="AS127" i="7" s="1"/>
  <c r="AT127" i="7" s="1"/>
  <c r="Z128" i="7"/>
  <c r="AA128" i="7"/>
  <c r="AB128" i="7"/>
  <c r="AS128" i="7" s="1"/>
  <c r="AT128" i="7" s="1"/>
  <c r="Z129" i="7"/>
  <c r="AB129" i="7" s="1"/>
  <c r="AA129" i="7"/>
  <c r="Z130" i="7"/>
  <c r="AA130" i="7"/>
  <c r="AB130" i="7" s="1"/>
  <c r="Z131" i="7"/>
  <c r="AA131" i="7"/>
  <c r="AB131" i="7"/>
  <c r="Z132" i="7"/>
  <c r="AA132" i="7"/>
  <c r="AB132" i="7"/>
  <c r="AS132" i="7" s="1"/>
  <c r="AT132" i="7" s="1"/>
  <c r="Z133" i="7"/>
  <c r="AB133" i="7" s="1"/>
  <c r="AS133" i="7" s="1"/>
  <c r="AT133" i="7" s="1"/>
  <c r="AA133" i="7"/>
  <c r="Z134" i="7"/>
  <c r="AA134" i="7"/>
  <c r="AB134" i="7"/>
  <c r="Z135" i="7"/>
  <c r="AA135" i="7"/>
  <c r="AB135" i="7"/>
  <c r="Z136" i="7"/>
  <c r="AB136" i="7" s="1"/>
  <c r="AA136" i="7"/>
  <c r="Z137" i="7"/>
  <c r="AA137" i="7"/>
  <c r="AB137" i="7"/>
  <c r="Z138" i="7"/>
  <c r="AA138" i="7"/>
  <c r="AB138" i="7"/>
  <c r="AS138" i="7" s="1"/>
  <c r="AT138" i="7" s="1"/>
  <c r="Z139" i="7"/>
  <c r="AA139" i="7"/>
  <c r="AB139" i="7"/>
  <c r="Z140" i="7"/>
  <c r="AB140" i="7" s="1"/>
  <c r="AA140" i="7"/>
  <c r="Z141" i="7"/>
  <c r="AA141" i="7"/>
  <c r="AB141" i="7"/>
  <c r="Z142" i="7"/>
  <c r="AA142" i="7"/>
  <c r="AB142" i="7"/>
  <c r="Z143" i="7"/>
  <c r="AA143" i="7"/>
  <c r="AB143" i="7"/>
  <c r="AS143" i="7" s="1"/>
  <c r="AT143" i="7" s="1"/>
  <c r="Z144" i="7"/>
  <c r="AA144" i="7"/>
  <c r="AB144" i="7"/>
  <c r="Z145" i="7"/>
  <c r="AA145" i="7"/>
  <c r="AB145" i="7"/>
  <c r="Z146" i="7"/>
  <c r="AA146" i="7"/>
  <c r="AB146" i="7"/>
  <c r="Z147" i="7"/>
  <c r="AA147" i="7"/>
  <c r="AB147" i="7"/>
  <c r="Z148" i="7"/>
  <c r="AA148" i="7"/>
  <c r="AB148" i="7"/>
  <c r="Z149" i="7"/>
  <c r="AB149" i="7" s="1"/>
  <c r="AA149" i="7"/>
  <c r="Z150" i="7"/>
  <c r="AA150" i="7"/>
  <c r="AB150" i="7" s="1"/>
  <c r="Z151" i="7"/>
  <c r="AA151" i="7"/>
  <c r="AB151" i="7"/>
  <c r="Z152" i="7"/>
  <c r="AA152" i="7"/>
  <c r="AB152" i="7"/>
  <c r="AS152" i="7" s="1"/>
  <c r="AT152" i="7" s="1"/>
  <c r="Z153" i="7"/>
  <c r="AB153" i="7" s="1"/>
  <c r="AS153" i="7" s="1"/>
  <c r="AT153" i="7" s="1"/>
  <c r="AA153" i="7"/>
  <c r="Z154" i="7"/>
  <c r="AA154" i="7"/>
  <c r="AB154" i="7"/>
  <c r="Z155" i="7"/>
  <c r="AA155" i="7"/>
  <c r="AB155" i="7"/>
  <c r="Z156" i="7"/>
  <c r="AB156" i="7" s="1"/>
  <c r="AA156" i="7"/>
  <c r="Z157" i="7"/>
  <c r="AA157" i="7"/>
  <c r="AB157" i="7"/>
  <c r="Z158" i="7"/>
  <c r="AA158" i="7"/>
  <c r="AB158" i="7"/>
  <c r="AS158" i="7" s="1"/>
  <c r="AT158" i="7" s="1"/>
  <c r="Z159" i="7"/>
  <c r="AA159" i="7"/>
  <c r="AB159" i="7"/>
  <c r="Z160" i="7"/>
  <c r="AB160" i="7" s="1"/>
  <c r="AA160" i="7"/>
  <c r="Z161" i="7"/>
  <c r="AA161" i="7"/>
  <c r="AB161" i="7"/>
  <c r="Z162" i="7"/>
  <c r="AA162" i="7"/>
  <c r="AB162" i="7"/>
  <c r="AS162" i="7" s="1"/>
  <c r="AT162" i="7" s="1"/>
  <c r="Z163" i="7"/>
  <c r="AA163" i="7"/>
  <c r="AB163" i="7"/>
  <c r="Z164" i="7"/>
  <c r="AA164" i="7"/>
  <c r="AB164" i="7"/>
  <c r="Z165" i="7"/>
  <c r="AA165" i="7"/>
  <c r="AB165" i="7"/>
  <c r="Z166" i="7"/>
  <c r="AA166" i="7"/>
  <c r="AB166" i="7"/>
  <c r="Z167" i="7"/>
  <c r="AA167" i="7"/>
  <c r="AB167" i="7"/>
  <c r="Z168" i="7"/>
  <c r="AA168" i="7"/>
  <c r="AB168" i="7"/>
  <c r="Z169" i="7"/>
  <c r="AB169" i="7" s="1"/>
  <c r="AA169" i="7"/>
  <c r="Z170" i="7"/>
  <c r="AA170" i="7"/>
  <c r="AB170" i="7" s="1"/>
  <c r="Z171" i="7"/>
  <c r="AA171" i="7"/>
  <c r="AB171" i="7"/>
  <c r="AQ10" i="7"/>
  <c r="AR10" i="7"/>
  <c r="AQ11" i="7"/>
  <c r="AR11" i="7"/>
  <c r="AS11" i="7" s="1"/>
  <c r="AT11" i="7" s="1"/>
  <c r="AQ12" i="7"/>
  <c r="AR12" i="7"/>
  <c r="AQ13" i="7"/>
  <c r="AR13" i="7"/>
  <c r="AO13" i="7" s="1"/>
  <c r="AQ14" i="7"/>
  <c r="AS14" i="7" s="1"/>
  <c r="AT14" i="7" s="1"/>
  <c r="AR14" i="7"/>
  <c r="AO14" i="7" s="1"/>
  <c r="AQ15" i="7"/>
  <c r="AR15" i="7"/>
  <c r="AO15" i="7" s="1"/>
  <c r="AQ16" i="7"/>
  <c r="AR16" i="7"/>
  <c r="AQ17" i="7"/>
  <c r="AR17" i="7"/>
  <c r="AO17" i="7" s="1"/>
  <c r="AS17" i="7"/>
  <c r="AT17" i="7" s="1"/>
  <c r="AQ18" i="7"/>
  <c r="AR18" i="7"/>
  <c r="AO18" i="7" s="1"/>
  <c r="AS18" i="7"/>
  <c r="AT18" i="7"/>
  <c r="AQ19" i="7"/>
  <c r="AR19" i="7"/>
  <c r="AO19" i="7" s="1"/>
  <c r="AQ20" i="7"/>
  <c r="AR20" i="7"/>
  <c r="AQ21" i="7"/>
  <c r="AR21" i="7"/>
  <c r="AS21" i="7" s="1"/>
  <c r="AT21" i="7" s="1"/>
  <c r="AQ22" i="7"/>
  <c r="AR22" i="7"/>
  <c r="AO22" i="7" s="1"/>
  <c r="AS22" i="7"/>
  <c r="AT22" i="7" s="1"/>
  <c r="AQ23" i="7"/>
  <c r="AR23" i="7"/>
  <c r="AO23" i="7" s="1"/>
  <c r="AS23" i="7"/>
  <c r="AT23" i="7" s="1"/>
  <c r="AQ24" i="7"/>
  <c r="AR24" i="7"/>
  <c r="AO24" i="7" s="1"/>
  <c r="AQ25" i="7"/>
  <c r="AR25" i="7"/>
  <c r="AQ26" i="7"/>
  <c r="AR26" i="7"/>
  <c r="AQ27" i="7"/>
  <c r="AR27" i="7"/>
  <c r="AQ28" i="7"/>
  <c r="AR28" i="7"/>
  <c r="AO28" i="7" s="1"/>
  <c r="AQ29" i="7"/>
  <c r="AR29" i="7"/>
  <c r="AQ30" i="7"/>
  <c r="AR30" i="7"/>
  <c r="AQ31" i="7"/>
  <c r="AR31" i="7"/>
  <c r="AQ32" i="7"/>
  <c r="AR32" i="7"/>
  <c r="AQ33" i="7"/>
  <c r="AR33" i="7"/>
  <c r="AO33" i="7" s="1"/>
  <c r="AQ34" i="7"/>
  <c r="AR34" i="7"/>
  <c r="AO34" i="7" s="1"/>
  <c r="AQ35" i="7"/>
  <c r="AR35" i="7"/>
  <c r="AO35" i="7" s="1"/>
  <c r="AQ36" i="7"/>
  <c r="AR36" i="7"/>
  <c r="AQ37" i="7"/>
  <c r="AR37" i="7"/>
  <c r="AO37" i="7" s="1"/>
  <c r="AS37" i="7"/>
  <c r="AT37" i="7" s="1"/>
  <c r="AQ38" i="7"/>
  <c r="AR38" i="7"/>
  <c r="AO38" i="7" s="1"/>
  <c r="AQ39" i="7"/>
  <c r="AR39" i="7"/>
  <c r="AO39" i="7" s="1"/>
  <c r="AQ40" i="7"/>
  <c r="AR40" i="7"/>
  <c r="AQ41" i="7"/>
  <c r="AR41" i="7"/>
  <c r="AS41" i="7" s="1"/>
  <c r="AT41" i="7" s="1"/>
  <c r="AQ42" i="7"/>
  <c r="AR42" i="7"/>
  <c r="AO42" i="7" s="1"/>
  <c r="AS42" i="7"/>
  <c r="AT42" i="7" s="1"/>
  <c r="AQ43" i="7"/>
  <c r="AR43" i="7"/>
  <c r="AO43" i="7" s="1"/>
  <c r="AQ44" i="7"/>
  <c r="AR44" i="7"/>
  <c r="AO44" i="7" s="1"/>
  <c r="AQ45" i="7"/>
  <c r="AR45" i="7"/>
  <c r="AQ46" i="7"/>
  <c r="AR46" i="7"/>
  <c r="AQ47" i="7"/>
  <c r="AR47" i="7"/>
  <c r="AS47" i="7"/>
  <c r="AT47" i="7" s="1"/>
  <c r="AQ48" i="7"/>
  <c r="AR48" i="7"/>
  <c r="AS48" i="7"/>
  <c r="AT48" i="7"/>
  <c r="AQ49" i="7"/>
  <c r="AR49" i="7"/>
  <c r="AO49" i="7" s="1"/>
  <c r="AQ50" i="7"/>
  <c r="AR50" i="7"/>
  <c r="AQ51" i="7"/>
  <c r="AR51" i="7"/>
  <c r="AQ52" i="7"/>
  <c r="AR52" i="7"/>
  <c r="AQ53" i="7"/>
  <c r="AR53" i="7"/>
  <c r="AO53" i="7" s="1"/>
  <c r="AQ54" i="7"/>
  <c r="AR54" i="7"/>
  <c r="AO54" i="7" s="1"/>
  <c r="AQ55" i="7"/>
  <c r="AR55" i="7"/>
  <c r="AO55" i="7" s="1"/>
  <c r="AQ56" i="7"/>
  <c r="AR56" i="7"/>
  <c r="AQ57" i="7"/>
  <c r="AR57" i="7"/>
  <c r="AO57" i="7" s="1"/>
  <c r="AS57" i="7"/>
  <c r="AT57" i="7" s="1"/>
  <c r="AQ58" i="7"/>
  <c r="AR58" i="7"/>
  <c r="AO58" i="7" s="1"/>
  <c r="AQ59" i="7"/>
  <c r="AR59" i="7"/>
  <c r="AO59" i="7" s="1"/>
  <c r="AQ60" i="7"/>
  <c r="AR60" i="7"/>
  <c r="AQ61" i="7"/>
  <c r="AR61" i="7"/>
  <c r="AQ62" i="7"/>
  <c r="AR62" i="7"/>
  <c r="AO62" i="7" s="1"/>
  <c r="AQ63" i="7"/>
  <c r="AR63" i="7"/>
  <c r="AO63" i="7" s="1"/>
  <c r="AS63" i="7"/>
  <c r="AT63" i="7"/>
  <c r="AQ64" i="7"/>
  <c r="AR64" i="7"/>
  <c r="AO64" i="7" s="1"/>
  <c r="AQ65" i="7"/>
  <c r="AS65" i="7" s="1"/>
  <c r="AT65" i="7" s="1"/>
  <c r="AR65" i="7"/>
  <c r="AQ66" i="7"/>
  <c r="AR66" i="7"/>
  <c r="AQ67" i="7"/>
  <c r="AR67" i="7"/>
  <c r="AS67" i="7"/>
  <c r="AT67" i="7" s="1"/>
  <c r="AQ68" i="7"/>
  <c r="AR68" i="7"/>
  <c r="AS68" i="7"/>
  <c r="AT68" i="7" s="1"/>
  <c r="AQ69" i="7"/>
  <c r="AR69" i="7"/>
  <c r="AO69" i="7" s="1"/>
  <c r="AQ70" i="7"/>
  <c r="AR70" i="7"/>
  <c r="AQ71" i="7"/>
  <c r="AR71" i="7"/>
  <c r="AS71" i="7" s="1"/>
  <c r="AT71" i="7" s="1"/>
  <c r="AQ72" i="7"/>
  <c r="AR72" i="7"/>
  <c r="AS72" i="7"/>
  <c r="AT72" i="7" s="1"/>
  <c r="AQ73" i="7"/>
  <c r="AR73" i="7"/>
  <c r="AO73" i="7" s="1"/>
  <c r="AQ74" i="7"/>
  <c r="AR74" i="7"/>
  <c r="AO74" i="7" s="1"/>
  <c r="AQ75" i="7"/>
  <c r="AR75" i="7"/>
  <c r="AO75" i="7" s="1"/>
  <c r="AQ76" i="7"/>
  <c r="AR76" i="7"/>
  <c r="AQ77" i="7"/>
  <c r="AR77" i="7"/>
  <c r="AO77" i="7" s="1"/>
  <c r="AQ78" i="7"/>
  <c r="AR78" i="7"/>
  <c r="AO78" i="7" s="1"/>
  <c r="AQ79" i="7"/>
  <c r="AR79" i="7"/>
  <c r="AO79" i="7" s="1"/>
  <c r="AQ80" i="7"/>
  <c r="AR80" i="7"/>
  <c r="AQ81" i="7"/>
  <c r="AR81" i="7"/>
  <c r="AQ82" i="7"/>
  <c r="AR82" i="7"/>
  <c r="AO82" i="7" s="1"/>
  <c r="AQ83" i="7"/>
  <c r="AR83" i="7"/>
  <c r="AO83" i="7" s="1"/>
  <c r="AS83" i="7"/>
  <c r="AT83" i="7"/>
  <c r="AQ84" i="7"/>
  <c r="AR84" i="7"/>
  <c r="AO84" i="7" s="1"/>
  <c r="AQ85" i="7"/>
  <c r="AR85" i="7"/>
  <c r="AQ86" i="7"/>
  <c r="AR86" i="7"/>
  <c r="AQ87" i="7"/>
  <c r="AR87" i="7"/>
  <c r="AS87" i="7"/>
  <c r="AT87" i="7" s="1"/>
  <c r="AQ88" i="7"/>
  <c r="AR88" i="7"/>
  <c r="AS88" i="7"/>
  <c r="AT88" i="7" s="1"/>
  <c r="AQ89" i="7"/>
  <c r="AR89" i="7"/>
  <c r="AO89" i="7" s="1"/>
  <c r="AQ90" i="7"/>
  <c r="AR90" i="7"/>
  <c r="AQ91" i="7"/>
  <c r="AR91" i="7"/>
  <c r="AQ92" i="7"/>
  <c r="AR92" i="7"/>
  <c r="AQ93" i="7"/>
  <c r="AR93" i="7"/>
  <c r="AO93" i="7" s="1"/>
  <c r="AQ94" i="7"/>
  <c r="AS94" i="7" s="1"/>
  <c r="AT94" i="7" s="1"/>
  <c r="AR94" i="7"/>
  <c r="AO94" i="7" s="1"/>
  <c r="AQ95" i="7"/>
  <c r="AS95" i="7" s="1"/>
  <c r="AT95" i="7" s="1"/>
  <c r="AR95" i="7"/>
  <c r="AO95" i="7" s="1"/>
  <c r="AQ96" i="7"/>
  <c r="AR96" i="7"/>
  <c r="AQ97" i="7"/>
  <c r="AR97" i="7"/>
  <c r="AO97" i="7" s="1"/>
  <c r="AQ98" i="7"/>
  <c r="AR98" i="7"/>
  <c r="AO98" i="7" s="1"/>
  <c r="AQ99" i="7"/>
  <c r="AR99" i="7"/>
  <c r="AO99" i="7" s="1"/>
  <c r="AQ100" i="7"/>
  <c r="AR100" i="7"/>
  <c r="AQ101" i="7"/>
  <c r="AR101" i="7"/>
  <c r="AS101" i="7" s="1"/>
  <c r="AT101" i="7" s="1"/>
  <c r="AQ102" i="7"/>
  <c r="AR102" i="7"/>
  <c r="AO102" i="7" s="1"/>
  <c r="AS102" i="7"/>
  <c r="AT102" i="7" s="1"/>
  <c r="AQ103" i="7"/>
  <c r="AR103" i="7"/>
  <c r="AO103" i="7" s="1"/>
  <c r="AS103" i="7"/>
  <c r="AT103" i="7"/>
  <c r="AQ104" i="7"/>
  <c r="AR104" i="7"/>
  <c r="AO104" i="7" s="1"/>
  <c r="AQ105" i="7"/>
  <c r="AR105" i="7"/>
  <c r="AQ106" i="7"/>
  <c r="AR106" i="7"/>
  <c r="AQ107" i="7"/>
  <c r="AR107" i="7"/>
  <c r="AQ108" i="7"/>
  <c r="AR108" i="7"/>
  <c r="AQ109" i="7"/>
  <c r="AR109" i="7"/>
  <c r="AO109" i="7" s="1"/>
  <c r="AQ110" i="7"/>
  <c r="AR110" i="7"/>
  <c r="AQ111" i="7"/>
  <c r="AS111" i="7" s="1"/>
  <c r="AT111" i="7" s="1"/>
  <c r="AR111" i="7"/>
  <c r="AQ112" i="7"/>
  <c r="AR112" i="7"/>
  <c r="AQ113" i="7"/>
  <c r="AR113" i="7"/>
  <c r="AO113" i="7" s="1"/>
  <c r="AQ114" i="7"/>
  <c r="AR114" i="7"/>
  <c r="AO114" i="7" s="1"/>
  <c r="AQ115" i="7"/>
  <c r="AR115" i="7"/>
  <c r="AO115" i="7" s="1"/>
  <c r="AQ116" i="7"/>
  <c r="AR116" i="7"/>
  <c r="AQ117" i="7"/>
  <c r="AR117" i="7"/>
  <c r="AO117" i="7" s="1"/>
  <c r="AS117" i="7"/>
  <c r="AT117" i="7" s="1"/>
  <c r="AQ118" i="7"/>
  <c r="AR118" i="7"/>
  <c r="AO118" i="7" s="1"/>
  <c r="AS118" i="7"/>
  <c r="AT118" i="7"/>
  <c r="AQ119" i="7"/>
  <c r="AR119" i="7"/>
  <c r="AO119" i="7" s="1"/>
  <c r="AQ120" i="7"/>
  <c r="AR120" i="7"/>
  <c r="AQ121" i="7"/>
  <c r="AR121" i="7"/>
  <c r="AS121" i="7" s="1"/>
  <c r="AT121" i="7" s="1"/>
  <c r="AQ122" i="7"/>
  <c r="AR122" i="7"/>
  <c r="AO122" i="7" s="1"/>
  <c r="AS122" i="7"/>
  <c r="AT122" i="7" s="1"/>
  <c r="AQ123" i="7"/>
  <c r="AR123" i="7"/>
  <c r="AO123" i="7" s="1"/>
  <c r="AS123" i="7"/>
  <c r="AT123" i="7" s="1"/>
  <c r="AQ124" i="7"/>
  <c r="AR124" i="7"/>
  <c r="AO124" i="7" s="1"/>
  <c r="AQ125" i="7"/>
  <c r="AR125" i="7"/>
  <c r="AQ126" i="7"/>
  <c r="AR126" i="7"/>
  <c r="AQ127" i="7"/>
  <c r="AR127" i="7"/>
  <c r="AQ128" i="7"/>
  <c r="AR128" i="7"/>
  <c r="AQ129" i="7"/>
  <c r="AR129" i="7"/>
  <c r="AO129" i="7" s="1"/>
  <c r="AQ130" i="7"/>
  <c r="AR130" i="7"/>
  <c r="AQ131" i="7"/>
  <c r="AR131" i="7"/>
  <c r="AQ132" i="7"/>
  <c r="AR132" i="7"/>
  <c r="AQ133" i="7"/>
  <c r="AR133" i="7"/>
  <c r="AO133" i="7" s="1"/>
  <c r="AQ134" i="7"/>
  <c r="AR134" i="7"/>
  <c r="AO134" i="7" s="1"/>
  <c r="AQ135" i="7"/>
  <c r="AR135" i="7"/>
  <c r="AO135" i="7" s="1"/>
  <c r="AQ136" i="7"/>
  <c r="AR136" i="7"/>
  <c r="AQ137" i="7"/>
  <c r="AR137" i="7"/>
  <c r="AO137" i="7" s="1"/>
  <c r="AS137" i="7"/>
  <c r="AT137" i="7" s="1"/>
  <c r="AQ138" i="7"/>
  <c r="AR138" i="7"/>
  <c r="AO138" i="7" s="1"/>
  <c r="AQ139" i="7"/>
  <c r="AR139" i="7"/>
  <c r="AO139" i="7" s="1"/>
  <c r="AQ140" i="7"/>
  <c r="AR140" i="7"/>
  <c r="AQ141" i="7"/>
  <c r="AS141" i="7" s="1"/>
  <c r="AT141" i="7" s="1"/>
  <c r="AR141" i="7"/>
  <c r="AO141" i="7" s="1"/>
  <c r="AQ142" i="7"/>
  <c r="AR142" i="7"/>
  <c r="AO142" i="7" s="1"/>
  <c r="AS142" i="7"/>
  <c r="AT142" i="7" s="1"/>
  <c r="AQ143" i="7"/>
  <c r="AR143" i="7"/>
  <c r="AO143" i="7" s="1"/>
  <c r="AQ144" i="7"/>
  <c r="AR144" i="7"/>
  <c r="AO144" i="7" s="1"/>
  <c r="AQ145" i="7"/>
  <c r="AR145" i="7"/>
  <c r="AQ146" i="7"/>
  <c r="AR146" i="7"/>
  <c r="AQ147" i="7"/>
  <c r="AR147" i="7"/>
  <c r="AS147" i="7"/>
  <c r="AT147" i="7" s="1"/>
  <c r="AQ148" i="7"/>
  <c r="AR148" i="7"/>
  <c r="AO148" i="7" s="1"/>
  <c r="AS148" i="7"/>
  <c r="AT148" i="7"/>
  <c r="AQ149" i="7"/>
  <c r="AR149" i="7"/>
  <c r="AO149" i="7" s="1"/>
  <c r="AQ150" i="7"/>
  <c r="AR150" i="7"/>
  <c r="AQ151" i="7"/>
  <c r="AR151" i="7"/>
  <c r="AQ152" i="7"/>
  <c r="AR152" i="7"/>
  <c r="AQ153" i="7"/>
  <c r="AR153" i="7"/>
  <c r="AO153" i="7" s="1"/>
  <c r="AQ154" i="7"/>
  <c r="AR154" i="7"/>
  <c r="AO154" i="7" s="1"/>
  <c r="AQ155" i="7"/>
  <c r="AR155" i="7"/>
  <c r="AO155" i="7" s="1"/>
  <c r="AQ156" i="7"/>
  <c r="AR156" i="7"/>
  <c r="AQ157" i="7"/>
  <c r="AR157" i="7"/>
  <c r="AO157" i="7" s="1"/>
  <c r="AS157" i="7"/>
  <c r="AT157" i="7" s="1"/>
  <c r="AQ158" i="7"/>
  <c r="AR158" i="7"/>
  <c r="AO158" i="7" s="1"/>
  <c r="AQ159" i="7"/>
  <c r="AR159" i="7"/>
  <c r="AO159" i="7" s="1"/>
  <c r="AQ160" i="7"/>
  <c r="AR160" i="7"/>
  <c r="AQ161" i="7"/>
  <c r="AS161" i="7" s="1"/>
  <c r="AT161" i="7" s="1"/>
  <c r="AR161" i="7"/>
  <c r="AO161" i="7" s="1"/>
  <c r="AQ162" i="7"/>
  <c r="AR162" i="7"/>
  <c r="AO162" i="7" s="1"/>
  <c r="AQ163" i="7"/>
  <c r="AR163" i="7"/>
  <c r="AO163" i="7" s="1"/>
  <c r="AS163" i="7"/>
  <c r="AT163" i="7" s="1"/>
  <c r="AQ164" i="7"/>
  <c r="AR164" i="7"/>
  <c r="AO164" i="7" s="1"/>
  <c r="AQ165" i="7"/>
  <c r="AS165" i="7" s="1"/>
  <c r="AT165" i="7" s="1"/>
  <c r="AR165" i="7"/>
  <c r="AQ166" i="7"/>
  <c r="AS166" i="7" s="1"/>
  <c r="AT166" i="7" s="1"/>
  <c r="AR166" i="7"/>
  <c r="AO166" i="7" s="1"/>
  <c r="AQ167" i="7"/>
  <c r="AR167" i="7"/>
  <c r="AS167" i="7"/>
  <c r="AT167" i="7" s="1"/>
  <c r="AQ168" i="7"/>
  <c r="AR168" i="7"/>
  <c r="AO168" i="7" s="1"/>
  <c r="AS168" i="7"/>
  <c r="AT168" i="7"/>
  <c r="AQ169" i="7"/>
  <c r="AR169" i="7"/>
  <c r="AQ170" i="7"/>
  <c r="AR170" i="7"/>
  <c r="AQ171" i="7"/>
  <c r="AR171" i="7"/>
  <c r="AQ7" i="7"/>
  <c r="AR7" i="7"/>
  <c r="AO7" i="7" s="1"/>
  <c r="AQ8" i="7"/>
  <c r="AR8" i="7"/>
  <c r="AO8" i="7" s="1"/>
  <c r="AS8" i="7"/>
  <c r="AT8" i="7" s="1"/>
  <c r="AQ9" i="7"/>
  <c r="AR9" i="7"/>
  <c r="AO10" i="7"/>
  <c r="AO11" i="7"/>
  <c r="AO12" i="7"/>
  <c r="AO16" i="7"/>
  <c r="AO20" i="7"/>
  <c r="AO25" i="7"/>
  <c r="AO26" i="7"/>
  <c r="AO27" i="7"/>
  <c r="AO29" i="7"/>
  <c r="AO30" i="7"/>
  <c r="AO31" i="7"/>
  <c r="AO32" i="7"/>
  <c r="AO36" i="7"/>
  <c r="AO40" i="7"/>
  <c r="AO45" i="7"/>
  <c r="AO46" i="7"/>
  <c r="AO47" i="7"/>
  <c r="AO48" i="7"/>
  <c r="AO50" i="7"/>
  <c r="AO51" i="7"/>
  <c r="AO52" i="7"/>
  <c r="AO56" i="7"/>
  <c r="AO60" i="7"/>
  <c r="AO65" i="7"/>
  <c r="AO66" i="7"/>
  <c r="AO67" i="7"/>
  <c r="AO68" i="7"/>
  <c r="AO70" i="7"/>
  <c r="AO71" i="7"/>
  <c r="AO72" i="7"/>
  <c r="AO76" i="7"/>
  <c r="AO80" i="7"/>
  <c r="AO85" i="7"/>
  <c r="AO86" i="7"/>
  <c r="AO87" i="7"/>
  <c r="AO88" i="7"/>
  <c r="AO90" i="7"/>
  <c r="AO91" i="7"/>
  <c r="AO92" i="7"/>
  <c r="AO96" i="7"/>
  <c r="AO100" i="7"/>
  <c r="AO105" i="7"/>
  <c r="AO106" i="7"/>
  <c r="AO107" i="7"/>
  <c r="AO108" i="7"/>
  <c r="AO110" i="7"/>
  <c r="AO111" i="7"/>
  <c r="AO112" i="7"/>
  <c r="AO116" i="7"/>
  <c r="AO120" i="7"/>
  <c r="AO125" i="7"/>
  <c r="AO126" i="7"/>
  <c r="AO127" i="7"/>
  <c r="AO128" i="7"/>
  <c r="AO130" i="7"/>
  <c r="AO131" i="7"/>
  <c r="AO132" i="7"/>
  <c r="AO136" i="7"/>
  <c r="AO140" i="7"/>
  <c r="AO145" i="7"/>
  <c r="AO146" i="7"/>
  <c r="AO147" i="7"/>
  <c r="AO150" i="7"/>
  <c r="AO151" i="7"/>
  <c r="AO152" i="7"/>
  <c r="AO156" i="7"/>
  <c r="AO160" i="7"/>
  <c r="AO165" i="7"/>
  <c r="AO167" i="7"/>
  <c r="AO169" i="7"/>
  <c r="AO170" i="7"/>
  <c r="AO171" i="7"/>
  <c r="AS140" i="7" l="1"/>
  <c r="AT140" i="7" s="1"/>
  <c r="AS124" i="7"/>
  <c r="AT124" i="7" s="1"/>
  <c r="AS116" i="7"/>
  <c r="AT116" i="7" s="1"/>
  <c r="AS70" i="7"/>
  <c r="AT70" i="7" s="1"/>
  <c r="AS16" i="7"/>
  <c r="AT16" i="7" s="1"/>
  <c r="AS80" i="7"/>
  <c r="AT80" i="7" s="1"/>
  <c r="AS110" i="7"/>
  <c r="AT110" i="7" s="1"/>
  <c r="AS25" i="7"/>
  <c r="AT25" i="7" s="1"/>
  <c r="AS86" i="7"/>
  <c r="AT86" i="7" s="1"/>
  <c r="AS40" i="7"/>
  <c r="AT40" i="7" s="1"/>
  <c r="AS171" i="7"/>
  <c r="AT171" i="7" s="1"/>
  <c r="AS155" i="7"/>
  <c r="AT155" i="7" s="1"/>
  <c r="AS55" i="7"/>
  <c r="AT55" i="7" s="1"/>
  <c r="AS24" i="7"/>
  <c r="AT24" i="7" s="1"/>
  <c r="AS170" i="7"/>
  <c r="AT170" i="7" s="1"/>
  <c r="AS85" i="7"/>
  <c r="AT85" i="7" s="1"/>
  <c r="AS31" i="7"/>
  <c r="AT31" i="7" s="1"/>
  <c r="AS131" i="7"/>
  <c r="AT131" i="7" s="1"/>
  <c r="AS100" i="7"/>
  <c r="AT100" i="7" s="1"/>
  <c r="AS46" i="7"/>
  <c r="AT46" i="7" s="1"/>
  <c r="AS146" i="7"/>
  <c r="AT146" i="7" s="1"/>
  <c r="AS115" i="7"/>
  <c r="AT115" i="7" s="1"/>
  <c r="AS61" i="7"/>
  <c r="AT61" i="7" s="1"/>
  <c r="AS15" i="7"/>
  <c r="AT15" i="7" s="1"/>
  <c r="AS45" i="7"/>
  <c r="AT45" i="7" s="1"/>
  <c r="AS125" i="7"/>
  <c r="AT125" i="7" s="1"/>
  <c r="AS36" i="7"/>
  <c r="AT36" i="7" s="1"/>
  <c r="AS96" i="7"/>
  <c r="AT96" i="7" s="1"/>
  <c r="AS50" i="7"/>
  <c r="AT50" i="7" s="1"/>
  <c r="AS10" i="7"/>
  <c r="AT10" i="7" s="1"/>
  <c r="AS156" i="7"/>
  <c r="AT156" i="7" s="1"/>
  <c r="AS30" i="7"/>
  <c r="AT30" i="7" s="1"/>
  <c r="AS145" i="7"/>
  <c r="AT145" i="7" s="1"/>
  <c r="AS60" i="7"/>
  <c r="AT60" i="7" s="1"/>
  <c r="AS90" i="7"/>
  <c r="AT90" i="7" s="1"/>
  <c r="AS150" i="7"/>
  <c r="AT150" i="7" s="1"/>
  <c r="AS26" i="7"/>
  <c r="AT26" i="7" s="1"/>
  <c r="AS126" i="7"/>
  <c r="AT126" i="7" s="1"/>
  <c r="AS76" i="7"/>
  <c r="AT76" i="7" s="1"/>
  <c r="AS160" i="7"/>
  <c r="AT160" i="7" s="1"/>
  <c r="AS106" i="7"/>
  <c r="AT106" i="7" s="1"/>
  <c r="AS105" i="7"/>
  <c r="AT105" i="7" s="1"/>
  <c r="AS51" i="7"/>
  <c r="AT51" i="7" s="1"/>
  <c r="AS79" i="7"/>
  <c r="AT79" i="7" s="1"/>
  <c r="AS56" i="7"/>
  <c r="AT56" i="7" s="1"/>
  <c r="AS130" i="7"/>
  <c r="AT130" i="7" s="1"/>
  <c r="AS91" i="7"/>
  <c r="AT91" i="7" s="1"/>
  <c r="AS75" i="7"/>
  <c r="AT75" i="7" s="1"/>
  <c r="AS136" i="7"/>
  <c r="AT136" i="7" s="1"/>
  <c r="AS74" i="7"/>
  <c r="AT74" i="7" s="1"/>
  <c r="AS151" i="7"/>
  <c r="AT151" i="7" s="1"/>
  <c r="AS120" i="7"/>
  <c r="AT120" i="7" s="1"/>
  <c r="AS66" i="7"/>
  <c r="AT66" i="7" s="1"/>
  <c r="AS20" i="7"/>
  <c r="AT20" i="7" s="1"/>
  <c r="AS9" i="7"/>
  <c r="AT9" i="7" s="1"/>
  <c r="AS135" i="7"/>
  <c r="AT135" i="7" s="1"/>
  <c r="AS81" i="7"/>
  <c r="AT81" i="7" s="1"/>
  <c r="AS35" i="7"/>
  <c r="AT35" i="7" s="1"/>
  <c r="AS109" i="7"/>
  <c r="AT109" i="7" s="1"/>
  <c r="AS54" i="7"/>
  <c r="AT54" i="7" s="1"/>
  <c r="AS84" i="7"/>
  <c r="AT84" i="7" s="1"/>
  <c r="AS29" i="7"/>
  <c r="AT29" i="7" s="1"/>
  <c r="AS44" i="7"/>
  <c r="AT44" i="7" s="1"/>
  <c r="AS159" i="7"/>
  <c r="AT159" i="7" s="1"/>
  <c r="AS59" i="7"/>
  <c r="AT59" i="7" s="1"/>
  <c r="AS119" i="7"/>
  <c r="AT119" i="7" s="1"/>
  <c r="AS19" i="7"/>
  <c r="AT19" i="7" s="1"/>
  <c r="AS134" i="7"/>
  <c r="AT134" i="7" s="1"/>
  <c r="AS34" i="7"/>
  <c r="AT34" i="7" s="1"/>
  <c r="AS139" i="7"/>
  <c r="AT139" i="7" s="1"/>
  <c r="AS154" i="7"/>
  <c r="AT154" i="7" s="1"/>
  <c r="AS69" i="7"/>
  <c r="AT69" i="7" s="1"/>
  <c r="AS149" i="7"/>
  <c r="AT149" i="7" s="1"/>
  <c r="AS49" i="7"/>
  <c r="AT49" i="7" s="1"/>
  <c r="AS169" i="7"/>
  <c r="AT169" i="7" s="1"/>
  <c r="AS99" i="7"/>
  <c r="AT99" i="7" s="1"/>
  <c r="AS114" i="7"/>
  <c r="AT114" i="7" s="1"/>
  <c r="AS129" i="7"/>
  <c r="AT129" i="7" s="1"/>
  <c r="AS144" i="7"/>
  <c r="AT144" i="7" s="1"/>
  <c r="AS89" i="7"/>
  <c r="AT89" i="7" s="1"/>
  <c r="AS104" i="7"/>
  <c r="AT104" i="7" s="1"/>
  <c r="AS164" i="7"/>
  <c r="AT164" i="7" s="1"/>
  <c r="AS64" i="7"/>
  <c r="AT64" i="7" s="1"/>
  <c r="AS39" i="7"/>
  <c r="AT39" i="7" s="1"/>
  <c r="AO121" i="7"/>
  <c r="AO101" i="7"/>
  <c r="AO81" i="7"/>
  <c r="AO61" i="7"/>
  <c r="AO41" i="7"/>
  <c r="AO21" i="7"/>
  <c r="AS7" i="7"/>
  <c r="AT7" i="7" s="1"/>
  <c r="AO9" i="7"/>
  <c r="AC143" i="1"/>
  <c r="AD143" i="1"/>
  <c r="AC144" i="1"/>
  <c r="AD144" i="1"/>
  <c r="AQ262" i="7" l="1"/>
  <c r="AQ198" i="7"/>
  <c r="AN171" i="7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N134" i="7"/>
  <c r="Y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N70" i="7"/>
  <c r="Y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6" i="7" l="1"/>
  <c r="AS6" i="7" s="1"/>
  <c r="AT6" i="7" s="1"/>
</calcChain>
</file>

<file path=xl/sharedStrings.xml><?xml version="1.0" encoding="utf-8"?>
<sst xmlns="http://schemas.openxmlformats.org/spreadsheetml/2006/main" count="12058" uniqueCount="1952">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</sst>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</cellXfs>
  <cellStyles count="1">
    <cellStyle name="Normal" xfId="0" builtinId="0"/>
  </cellStyles>
  <dxfs count="2"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workbookViewId="0">
      <pane xSplit="2" ySplit="3" topLeftCell="K154" activePane="bottomRight" state="frozen"/>
      <selection pane="topRight" activeCell="C1" sqref="C1"/>
      <selection pane="bottomLeft" activeCell="A4" sqref="A4"/>
      <selection pane="bottomRight" activeCell="R171" sqref="R171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7" customWidth="1"/>
    <col min="28" max="30" width="18" customWidth="1"/>
  </cols>
  <sheetData>
    <row r="1" spans="1:30" ht="23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9"/>
      <c r="AA1" s="89"/>
      <c r="AB1" s="89"/>
      <c r="AC1" s="89"/>
      <c r="AD1" s="89"/>
    </row>
    <row r="2" spans="1:30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89"/>
      <c r="AA2" s="89"/>
      <c r="AB2" s="89"/>
      <c r="AC2" s="89"/>
      <c r="AD2" s="89"/>
    </row>
    <row r="3" spans="1:30">
      <c r="A3" s="91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2"/>
      <c r="AA3" s="92"/>
      <c r="AB3" s="92"/>
      <c r="AC3" s="92"/>
      <c r="AD3" s="92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3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860</v>
      </c>
      <c r="AA6" s="84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860</v>
      </c>
      <c r="AA7" s="84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860</v>
      </c>
      <c r="AA8" s="84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85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85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85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85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85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85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85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85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85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98</v>
      </c>
      <c r="M18" s="17">
        <v>98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85"/>
      <c r="AB18" s="48"/>
      <c r="AC18">
        <f t="shared" si="0"/>
        <v>0.875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85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85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85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0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85"/>
      <c r="AB22" s="48"/>
      <c r="AC22">
        <f t="shared" si="0"/>
        <v>5.5555555555555552E-2</v>
      </c>
      <c r="AD22">
        <f t="shared" si="1"/>
        <v>0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85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85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85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85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85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85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85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85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85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85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85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85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113</v>
      </c>
      <c r="M35" s="17">
        <v>113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85"/>
      <c r="AB35" s="48"/>
      <c r="AC35">
        <f t="shared" si="0"/>
        <v>0.9576271186440678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85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85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85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85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85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85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85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85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85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85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85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85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85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85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85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85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1930</v>
      </c>
      <c r="C52" s="6" t="s">
        <v>34</v>
      </c>
      <c r="D52" s="11" t="s">
        <v>35</v>
      </c>
      <c r="E52" s="11" t="s">
        <v>136</v>
      </c>
      <c r="F52" s="6" t="s">
        <v>1931</v>
      </c>
      <c r="G52" s="6" t="s">
        <v>1932</v>
      </c>
      <c r="H52" s="17" t="s">
        <v>1933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85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85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85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85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85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85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85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85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85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85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85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85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85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85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85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85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85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85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85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85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85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85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85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85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85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85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85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85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85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85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85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85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85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85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85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85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85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85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85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1948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310</v>
      </c>
      <c r="H91" s="17" t="s">
        <v>311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85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85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85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85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85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85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85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85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85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85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85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85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85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85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85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85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289</v>
      </c>
      <c r="C107" s="6" t="s">
        <v>34</v>
      </c>
      <c r="D107" s="11" t="s">
        <v>81</v>
      </c>
      <c r="E107" s="11" t="s">
        <v>290</v>
      </c>
      <c r="F107" s="6" t="s">
        <v>291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6</v>
      </c>
      <c r="M107" s="17">
        <v>6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85"/>
      <c r="AB107" s="48"/>
      <c r="AC107">
        <f t="shared" si="4"/>
        <v>0.17647058823529413</v>
      </c>
      <c r="AD107">
        <f t="shared" si="5"/>
        <v>1</v>
      </c>
    </row>
    <row r="108" spans="1:30">
      <c r="A108" s="31">
        <v>103</v>
      </c>
      <c r="B108" s="11" t="s">
        <v>1925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85"/>
      <c r="AB108" s="78"/>
    </row>
    <row r="109" spans="1:30" ht="25">
      <c r="A109" s="32">
        <v>104</v>
      </c>
      <c r="B109" s="11" t="s">
        <v>292</v>
      </c>
      <c r="C109" s="6" t="s">
        <v>34</v>
      </c>
      <c r="D109" s="11" t="s">
        <v>81</v>
      </c>
      <c r="E109" s="11" t="s">
        <v>202</v>
      </c>
      <c r="F109" s="6" t="s">
        <v>293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85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294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295</v>
      </c>
      <c r="H110" s="17" t="s">
        <v>296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85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297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298</v>
      </c>
      <c r="H111" s="17" t="s">
        <v>299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85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300</v>
      </c>
      <c r="C112" s="6" t="s">
        <v>34</v>
      </c>
      <c r="D112" s="11" t="s">
        <v>35</v>
      </c>
      <c r="E112" s="11" t="s">
        <v>301</v>
      </c>
      <c r="F112" s="6" t="s">
        <v>302</v>
      </c>
      <c r="G112" s="6" t="s">
        <v>303</v>
      </c>
      <c r="H112" s="17" t="s">
        <v>299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85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304</v>
      </c>
      <c r="C113" s="6" t="s">
        <v>34</v>
      </c>
      <c r="D113" s="11" t="s">
        <v>305</v>
      </c>
      <c r="E113" s="11" t="s">
        <v>306</v>
      </c>
      <c r="F113" s="6" t="s">
        <v>307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85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308</v>
      </c>
      <c r="C114" s="6" t="s">
        <v>34</v>
      </c>
      <c r="D114" s="11" t="s">
        <v>60</v>
      </c>
      <c r="E114" s="11" t="s">
        <v>70</v>
      </c>
      <c r="F114" s="6" t="s">
        <v>309</v>
      </c>
      <c r="G114" s="6" t="s">
        <v>310</v>
      </c>
      <c r="H114" s="17" t="s">
        <v>311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85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1934</v>
      </c>
      <c r="C115" s="6" t="s">
        <v>34</v>
      </c>
      <c r="D115" s="11" t="s">
        <v>81</v>
      </c>
      <c r="E115" s="11" t="s">
        <v>122</v>
      </c>
      <c r="F115" s="6" t="s">
        <v>326</v>
      </c>
      <c r="G115" s="6" t="s">
        <v>1935</v>
      </c>
      <c r="H115" s="17" t="s">
        <v>311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85"/>
      <c r="AB115" s="78"/>
    </row>
    <row r="116" spans="1:30" ht="25">
      <c r="A116" s="31">
        <v>111</v>
      </c>
      <c r="B116" s="11" t="s">
        <v>312</v>
      </c>
      <c r="C116" s="6" t="s">
        <v>170</v>
      </c>
      <c r="D116" s="11" t="s">
        <v>99</v>
      </c>
      <c r="E116" s="11" t="s">
        <v>213</v>
      </c>
      <c r="F116" s="6" t="s">
        <v>313</v>
      </c>
      <c r="G116" s="6" t="s">
        <v>314</v>
      </c>
      <c r="H116" s="17" t="s">
        <v>315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85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312</v>
      </c>
      <c r="C117" s="6" t="s">
        <v>34</v>
      </c>
      <c r="D117" s="11" t="s">
        <v>99</v>
      </c>
      <c r="E117" s="11" t="s">
        <v>213</v>
      </c>
      <c r="F117" s="6" t="s">
        <v>313</v>
      </c>
      <c r="G117" s="6" t="s">
        <v>314</v>
      </c>
      <c r="H117" s="17" t="s">
        <v>315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85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316</v>
      </c>
      <c r="C118" s="6" t="s">
        <v>34</v>
      </c>
      <c r="D118" s="11" t="s">
        <v>35</v>
      </c>
      <c r="E118" s="11" t="s">
        <v>46</v>
      </c>
      <c r="F118" s="6" t="s">
        <v>317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85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318</v>
      </c>
      <c r="C119" s="6" t="s">
        <v>34</v>
      </c>
      <c r="D119" s="11" t="s">
        <v>35</v>
      </c>
      <c r="E119" s="11" t="s">
        <v>36</v>
      </c>
      <c r="F119" s="6" t="s">
        <v>319</v>
      </c>
      <c r="G119" s="6" t="s">
        <v>320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85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321</v>
      </c>
      <c r="C120" s="6" t="s">
        <v>34</v>
      </c>
      <c r="D120" s="11" t="s">
        <v>81</v>
      </c>
      <c r="E120" s="11" t="s">
        <v>202</v>
      </c>
      <c r="F120" s="6" t="s">
        <v>322</v>
      </c>
      <c r="G120" s="6" t="s">
        <v>323</v>
      </c>
      <c r="H120" s="17" t="s">
        <v>324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85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325</v>
      </c>
      <c r="C121" s="6" t="s">
        <v>34</v>
      </c>
      <c r="D121" s="11" t="s">
        <v>81</v>
      </c>
      <c r="E121" s="11" t="s">
        <v>202</v>
      </c>
      <c r="F121" s="6" t="s">
        <v>326</v>
      </c>
      <c r="G121" s="6" t="s">
        <v>323</v>
      </c>
      <c r="H121" s="17" t="s">
        <v>324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85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327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328</v>
      </c>
      <c r="H122" s="17" t="s">
        <v>329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85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330</v>
      </c>
      <c r="C123" s="6" t="s">
        <v>34</v>
      </c>
      <c r="D123" s="11" t="s">
        <v>35</v>
      </c>
      <c r="E123" s="11" t="s">
        <v>46</v>
      </c>
      <c r="F123" s="6" t="s">
        <v>331</v>
      </c>
      <c r="G123" s="6" t="s">
        <v>328</v>
      </c>
      <c r="H123" s="17" t="s">
        <v>329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85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332</v>
      </c>
      <c r="C124" s="6" t="s">
        <v>34</v>
      </c>
      <c r="D124" s="11" t="s">
        <v>35</v>
      </c>
      <c r="E124" s="11" t="s">
        <v>184</v>
      </c>
      <c r="F124" s="6" t="s">
        <v>333</v>
      </c>
      <c r="G124" s="6" t="s">
        <v>328</v>
      </c>
      <c r="H124" s="17" t="s">
        <v>329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85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334</v>
      </c>
      <c r="C125" s="6" t="s">
        <v>34</v>
      </c>
      <c r="D125" s="11" t="s">
        <v>35</v>
      </c>
      <c r="E125" s="11" t="s">
        <v>36</v>
      </c>
      <c r="F125" s="6" t="s">
        <v>335</v>
      </c>
      <c r="G125" s="6" t="s">
        <v>336</v>
      </c>
      <c r="H125" s="17" t="s">
        <v>337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85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338</v>
      </c>
      <c r="C126" s="6" t="s">
        <v>34</v>
      </c>
      <c r="D126" s="11" t="s">
        <v>35</v>
      </c>
      <c r="E126" s="11" t="s">
        <v>36</v>
      </c>
      <c r="F126" s="6" t="s">
        <v>339</v>
      </c>
      <c r="G126" s="6" t="s">
        <v>340</v>
      </c>
      <c r="H126" s="17" t="s">
        <v>337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85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341</v>
      </c>
      <c r="C127" s="6" t="s">
        <v>34</v>
      </c>
      <c r="D127" s="11" t="s">
        <v>35</v>
      </c>
      <c r="E127" s="11" t="s">
        <v>46</v>
      </c>
      <c r="F127" s="6" t="s">
        <v>342</v>
      </c>
      <c r="G127" s="6" t="s">
        <v>340</v>
      </c>
      <c r="H127" s="17" t="s">
        <v>337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85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343</v>
      </c>
      <c r="C128" s="6" t="s">
        <v>34</v>
      </c>
      <c r="D128" s="11" t="s">
        <v>305</v>
      </c>
      <c r="E128" s="11" t="s">
        <v>344</v>
      </c>
      <c r="F128" s="6" t="s">
        <v>345</v>
      </c>
      <c r="G128" s="6" t="s">
        <v>346</v>
      </c>
      <c r="H128" s="17" t="s">
        <v>347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85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348</v>
      </c>
      <c r="C129" s="6" t="s">
        <v>34</v>
      </c>
      <c r="D129" s="11" t="s">
        <v>35</v>
      </c>
      <c r="E129" s="11" t="s">
        <v>36</v>
      </c>
      <c r="F129" s="6" t="s">
        <v>349</v>
      </c>
      <c r="G129" s="6" t="s">
        <v>350</v>
      </c>
      <c r="H129" s="17" t="s">
        <v>351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85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352</v>
      </c>
      <c r="C130" s="6" t="s">
        <v>34</v>
      </c>
      <c r="D130" s="11" t="s">
        <v>35</v>
      </c>
      <c r="E130" s="11" t="s">
        <v>46</v>
      </c>
      <c r="F130" s="6" t="s">
        <v>353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85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354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355</v>
      </c>
      <c r="H131" s="17" t="s">
        <v>356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85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357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85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358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359</v>
      </c>
      <c r="H133" s="17" t="s">
        <v>360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85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361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359</v>
      </c>
      <c r="H134" s="17" t="s">
        <v>360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85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362</v>
      </c>
      <c r="C135" s="6" t="s">
        <v>34</v>
      </c>
      <c r="D135" s="11" t="s">
        <v>35</v>
      </c>
      <c r="E135" s="11" t="s">
        <v>46</v>
      </c>
      <c r="F135" s="6" t="s">
        <v>363</v>
      </c>
      <c r="G135" s="6" t="s">
        <v>359</v>
      </c>
      <c r="H135" s="17" t="s">
        <v>360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85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364</v>
      </c>
      <c r="C136" s="6" t="s">
        <v>34</v>
      </c>
      <c r="D136" s="11" t="s">
        <v>60</v>
      </c>
      <c r="E136" s="11" t="s">
        <v>67</v>
      </c>
      <c r="F136" s="6" t="s">
        <v>365</v>
      </c>
      <c r="G136" s="6" t="s">
        <v>366</v>
      </c>
      <c r="H136" s="17" t="s">
        <v>367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85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368</v>
      </c>
      <c r="C137" s="6" t="s">
        <v>34</v>
      </c>
      <c r="D137" s="11" t="s">
        <v>60</v>
      </c>
      <c r="E137" s="11" t="s">
        <v>369</v>
      </c>
      <c r="F137" s="6" t="s">
        <v>370</v>
      </c>
      <c r="G137" s="6" t="s">
        <v>366</v>
      </c>
      <c r="H137" s="17" t="s">
        <v>367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85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371</v>
      </c>
      <c r="C138" s="6" t="s">
        <v>34</v>
      </c>
      <c r="D138" s="11" t="s">
        <v>35</v>
      </c>
      <c r="E138" s="11" t="s">
        <v>36</v>
      </c>
      <c r="F138" s="6" t="s">
        <v>372</v>
      </c>
      <c r="G138" s="6" t="s">
        <v>373</v>
      </c>
      <c r="H138" s="17" t="s">
        <v>374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85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375</v>
      </c>
      <c r="C139" s="6" t="s">
        <v>34</v>
      </c>
      <c r="D139" s="11" t="s">
        <v>35</v>
      </c>
      <c r="E139" s="11" t="s">
        <v>36</v>
      </c>
      <c r="F139" s="6" t="s">
        <v>372</v>
      </c>
      <c r="G139" s="6" t="s">
        <v>373</v>
      </c>
      <c r="H139" s="17" t="s">
        <v>374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85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376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377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85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378</v>
      </c>
      <c r="C141" s="6" t="s">
        <v>170</v>
      </c>
      <c r="D141" s="11" t="s">
        <v>81</v>
      </c>
      <c r="E141" s="11" t="s">
        <v>122</v>
      </c>
      <c r="F141" s="6" t="s">
        <v>379</v>
      </c>
      <c r="G141" s="6" t="s">
        <v>380</v>
      </c>
      <c r="H141" s="17" t="s">
        <v>381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85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382</v>
      </c>
      <c r="C142" s="6" t="s">
        <v>170</v>
      </c>
      <c r="D142" s="11" t="s">
        <v>81</v>
      </c>
      <c r="E142" s="11" t="s">
        <v>122</v>
      </c>
      <c r="F142" s="6" t="s">
        <v>379</v>
      </c>
      <c r="G142" s="6" t="s">
        <v>380</v>
      </c>
      <c r="H142" s="17" t="s">
        <v>381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85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383</v>
      </c>
      <c r="C143" s="6" t="s">
        <v>34</v>
      </c>
      <c r="D143" s="11" t="s">
        <v>81</v>
      </c>
      <c r="E143" s="11" t="s">
        <v>202</v>
      </c>
      <c r="F143" s="6" t="s">
        <v>384</v>
      </c>
      <c r="G143" s="6" t="s">
        <v>385</v>
      </c>
      <c r="H143" s="17" t="s">
        <v>386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85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1926</v>
      </c>
      <c r="C144" s="6" t="s">
        <v>34</v>
      </c>
      <c r="D144" s="11" t="s">
        <v>81</v>
      </c>
      <c r="E144" s="11" t="s">
        <v>122</v>
      </c>
      <c r="F144" s="6" t="s">
        <v>1927</v>
      </c>
      <c r="G144" s="6" t="s">
        <v>1928</v>
      </c>
      <c r="H144" s="17" t="s">
        <v>1929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85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387</v>
      </c>
      <c r="C145" s="6" t="s">
        <v>34</v>
      </c>
      <c r="D145" s="11" t="s">
        <v>35</v>
      </c>
      <c r="E145" s="11" t="s">
        <v>36</v>
      </c>
      <c r="F145" s="6" t="s">
        <v>388</v>
      </c>
      <c r="G145" s="6" t="s">
        <v>389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85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390</v>
      </c>
      <c r="C146" s="6" t="s">
        <v>170</v>
      </c>
      <c r="D146" s="11" t="s">
        <v>60</v>
      </c>
      <c r="E146" s="11" t="s">
        <v>91</v>
      </c>
      <c r="F146" s="6" t="s">
        <v>391</v>
      </c>
      <c r="G146" s="6" t="s">
        <v>392</v>
      </c>
      <c r="H146" s="17" t="s">
        <v>393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85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394</v>
      </c>
      <c r="C147" s="6" t="s">
        <v>34</v>
      </c>
      <c r="D147" s="11" t="s">
        <v>35</v>
      </c>
      <c r="E147" s="11" t="s">
        <v>36</v>
      </c>
      <c r="F147" s="6" t="s">
        <v>395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85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396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85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397</v>
      </c>
      <c r="C149" s="6" t="s">
        <v>170</v>
      </c>
      <c r="D149" s="11" t="s">
        <v>60</v>
      </c>
      <c r="E149" s="11" t="s">
        <v>91</v>
      </c>
      <c r="F149" s="6" t="s">
        <v>391</v>
      </c>
      <c r="G149" s="6" t="s">
        <v>392</v>
      </c>
      <c r="H149" s="17" t="s">
        <v>393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85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1949</v>
      </c>
      <c r="C150" s="6" t="s">
        <v>1950</v>
      </c>
      <c r="D150" s="11" t="s">
        <v>60</v>
      </c>
      <c r="E150" s="11" t="s">
        <v>369</v>
      </c>
      <c r="F150" s="6" t="s">
        <v>1951</v>
      </c>
      <c r="G150" s="6" t="s">
        <v>478</v>
      </c>
      <c r="H150" s="17" t="s">
        <v>1938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85"/>
      <c r="AB150" s="78"/>
    </row>
    <row r="151" spans="1:30">
      <c r="A151" s="32">
        <v>146</v>
      </c>
      <c r="B151" s="11" t="s">
        <v>398</v>
      </c>
      <c r="C151" s="6" t="s">
        <v>170</v>
      </c>
      <c r="D151" s="11" t="s">
        <v>81</v>
      </c>
      <c r="E151" s="11" t="s">
        <v>399</v>
      </c>
      <c r="F151" s="6" t="s">
        <v>400</v>
      </c>
      <c r="G151" s="6" t="s">
        <v>401</v>
      </c>
      <c r="H151" s="17" t="s">
        <v>402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85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403</v>
      </c>
      <c r="C152" s="6" t="s">
        <v>34</v>
      </c>
      <c r="D152" s="11" t="s">
        <v>35</v>
      </c>
      <c r="E152" s="11" t="s">
        <v>46</v>
      </c>
      <c r="F152" s="6" t="s">
        <v>404</v>
      </c>
      <c r="G152" s="6" t="s">
        <v>405</v>
      </c>
      <c r="H152" s="17" t="s">
        <v>406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85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407</v>
      </c>
      <c r="C153" s="6" t="s">
        <v>34</v>
      </c>
      <c r="D153" s="11" t="s">
        <v>35</v>
      </c>
      <c r="E153" s="11" t="s">
        <v>46</v>
      </c>
      <c r="F153" s="6" t="s">
        <v>408</v>
      </c>
      <c r="G153" s="6" t="s">
        <v>409</v>
      </c>
      <c r="H153" s="17" t="s">
        <v>410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85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411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409</v>
      </c>
      <c r="H154" s="17" t="s">
        <v>410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85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412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409</v>
      </c>
      <c r="H155" s="17" t="s">
        <v>410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85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413</v>
      </c>
      <c r="C156" s="6" t="s">
        <v>34</v>
      </c>
      <c r="D156" s="11" t="s">
        <v>81</v>
      </c>
      <c r="E156" s="11" t="s">
        <v>202</v>
      </c>
      <c r="F156" s="6" t="s">
        <v>414</v>
      </c>
      <c r="G156" s="6" t="s">
        <v>415</v>
      </c>
      <c r="H156" s="17" t="s">
        <v>416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85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417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418</v>
      </c>
      <c r="H157" s="17" t="s">
        <v>416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85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419</v>
      </c>
      <c r="C158" s="6" t="s">
        <v>34</v>
      </c>
      <c r="D158" s="11" t="s">
        <v>81</v>
      </c>
      <c r="E158" s="11" t="s">
        <v>122</v>
      </c>
      <c r="F158" s="6" t="s">
        <v>420</v>
      </c>
      <c r="G158" s="6" t="s">
        <v>418</v>
      </c>
      <c r="H158" s="17" t="s">
        <v>416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85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421</v>
      </c>
      <c r="C159" s="6" t="s">
        <v>34</v>
      </c>
      <c r="D159" s="11" t="s">
        <v>81</v>
      </c>
      <c r="E159" s="11" t="s">
        <v>122</v>
      </c>
      <c r="F159" s="6" t="s">
        <v>420</v>
      </c>
      <c r="G159" s="6" t="s">
        <v>418</v>
      </c>
      <c r="H159" s="17" t="s">
        <v>416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85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422</v>
      </c>
      <c r="C160" s="6" t="s">
        <v>34</v>
      </c>
      <c r="D160" s="11" t="s">
        <v>35</v>
      </c>
      <c r="E160" s="11" t="s">
        <v>36</v>
      </c>
      <c r="F160" s="6" t="s">
        <v>388</v>
      </c>
      <c r="G160" s="6" t="s">
        <v>389</v>
      </c>
      <c r="H160" s="17" t="s">
        <v>423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85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424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425</v>
      </c>
      <c r="H161" s="17" t="s">
        <v>426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85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427</v>
      </c>
      <c r="C162" s="6" t="s">
        <v>34</v>
      </c>
      <c r="D162" s="11" t="s">
        <v>35</v>
      </c>
      <c r="E162" s="11" t="s">
        <v>36</v>
      </c>
      <c r="F162" s="6" t="s">
        <v>388</v>
      </c>
      <c r="G162" s="6" t="s">
        <v>389</v>
      </c>
      <c r="H162" s="17" t="s">
        <v>423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85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428</v>
      </c>
      <c r="C163" s="6" t="s">
        <v>34</v>
      </c>
      <c r="D163" s="11" t="s">
        <v>60</v>
      </c>
      <c r="E163" s="11" t="s">
        <v>266</v>
      </c>
      <c r="F163" s="6" t="s">
        <v>429</v>
      </c>
      <c r="G163" s="6" t="s">
        <v>430</v>
      </c>
      <c r="H163" s="17" t="s">
        <v>431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85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1936</v>
      </c>
      <c r="C164" s="6" t="s">
        <v>34</v>
      </c>
      <c r="D164" s="11" t="s">
        <v>35</v>
      </c>
      <c r="E164" s="11" t="s">
        <v>36</v>
      </c>
      <c r="F164" s="6" t="s">
        <v>388</v>
      </c>
      <c r="G164" s="6" t="s">
        <v>1937</v>
      </c>
      <c r="H164" s="17" t="s">
        <v>1938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85"/>
      <c r="AB164" s="78"/>
    </row>
    <row r="165" spans="1:30">
      <c r="A165" s="32">
        <v>160</v>
      </c>
      <c r="B165" s="11" t="s">
        <v>432</v>
      </c>
      <c r="C165" s="6" t="s">
        <v>34</v>
      </c>
      <c r="D165" s="11" t="s">
        <v>35</v>
      </c>
      <c r="E165" s="11" t="s">
        <v>36</v>
      </c>
      <c r="F165" s="6" t="s">
        <v>309</v>
      </c>
      <c r="G165" s="6" t="s">
        <v>433</v>
      </c>
      <c r="H165" s="17" t="s">
        <v>434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85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435</v>
      </c>
      <c r="C166" s="6" t="s">
        <v>170</v>
      </c>
      <c r="D166" s="11" t="s">
        <v>81</v>
      </c>
      <c r="E166" s="11" t="s">
        <v>82</v>
      </c>
      <c r="F166" s="6" t="s">
        <v>436</v>
      </c>
      <c r="G166" s="6" t="s">
        <v>42</v>
      </c>
      <c r="H166" s="17" t="s">
        <v>42</v>
      </c>
      <c r="I166" s="17" t="s">
        <v>42</v>
      </c>
      <c r="J166" s="6" t="s">
        <v>437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85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438</v>
      </c>
      <c r="C167" s="6" t="s">
        <v>34</v>
      </c>
      <c r="D167" s="11" t="s">
        <v>305</v>
      </c>
      <c r="E167" s="11" t="s">
        <v>306</v>
      </c>
      <c r="F167" s="6" t="s">
        <v>439</v>
      </c>
      <c r="G167" s="6" t="s">
        <v>440</v>
      </c>
      <c r="H167" s="17" t="s">
        <v>441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85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442</v>
      </c>
      <c r="C168" s="6" t="s">
        <v>34</v>
      </c>
      <c r="D168" s="11" t="s">
        <v>81</v>
      </c>
      <c r="E168" s="11" t="s">
        <v>202</v>
      </c>
      <c r="F168" s="6" t="s">
        <v>420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85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443</v>
      </c>
      <c r="C169" s="6" t="s">
        <v>34</v>
      </c>
      <c r="D169" s="11" t="s">
        <v>60</v>
      </c>
      <c r="E169" s="11" t="s">
        <v>266</v>
      </c>
      <c r="F169" s="6" t="s">
        <v>429</v>
      </c>
      <c r="G169" s="6" t="s">
        <v>444</v>
      </c>
      <c r="H169" s="17" t="s">
        <v>445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85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446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447</v>
      </c>
      <c r="H170" s="17" t="s">
        <v>445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85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448</v>
      </c>
      <c r="C171" s="6" t="s">
        <v>34</v>
      </c>
      <c r="D171" s="11" t="s">
        <v>35</v>
      </c>
      <c r="E171" s="11" t="s">
        <v>36</v>
      </c>
      <c r="F171" s="6" t="s">
        <v>449</v>
      </c>
      <c r="G171" s="6" t="s">
        <v>447</v>
      </c>
      <c r="H171" s="17" t="s">
        <v>445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85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450</v>
      </c>
      <c r="C172" s="6" t="s">
        <v>34</v>
      </c>
      <c r="D172" s="11" t="s">
        <v>60</v>
      </c>
      <c r="E172" s="11" t="s">
        <v>266</v>
      </c>
      <c r="F172" s="6" t="s">
        <v>429</v>
      </c>
      <c r="G172" s="6" t="s">
        <v>447</v>
      </c>
      <c r="H172" s="17" t="s">
        <v>445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85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451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452</v>
      </c>
      <c r="H173" s="17" t="s">
        <v>410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85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453</v>
      </c>
      <c r="C174" s="6" t="s">
        <v>34</v>
      </c>
      <c r="D174" s="11" t="s">
        <v>81</v>
      </c>
      <c r="E174" s="11" t="s">
        <v>202</v>
      </c>
      <c r="F174" s="6" t="s">
        <v>454</v>
      </c>
      <c r="G174" s="6" t="s">
        <v>455</v>
      </c>
      <c r="H174" s="17" t="s">
        <v>337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0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85"/>
      <c r="AB174" s="48"/>
      <c r="AC174">
        <f t="shared" si="14"/>
        <v>0.9555555555555556</v>
      </c>
      <c r="AD174">
        <f t="shared" si="15"/>
        <v>0</v>
      </c>
    </row>
    <row r="175" spans="1:30" ht="25">
      <c r="A175" s="32">
        <v>170</v>
      </c>
      <c r="B175" s="11" t="s">
        <v>456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457</v>
      </c>
      <c r="H175" s="17" t="s">
        <v>458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85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459</v>
      </c>
      <c r="C176" s="6" t="s">
        <v>34</v>
      </c>
      <c r="D176" s="11" t="s">
        <v>81</v>
      </c>
      <c r="E176" s="11" t="s">
        <v>202</v>
      </c>
      <c r="F176" s="6" t="s">
        <v>460</v>
      </c>
      <c r="G176" s="6" t="s">
        <v>461</v>
      </c>
      <c r="H176" s="17" t="s">
        <v>462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85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463</v>
      </c>
      <c r="C177" s="6" t="s">
        <v>34</v>
      </c>
      <c r="D177" s="11" t="s">
        <v>60</v>
      </c>
      <c r="E177" s="11" t="s">
        <v>91</v>
      </c>
      <c r="F177" s="6" t="s">
        <v>464</v>
      </c>
      <c r="G177" s="6" t="s">
        <v>465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85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466</v>
      </c>
      <c r="C178" s="6" t="s">
        <v>34</v>
      </c>
      <c r="D178" s="11" t="s">
        <v>60</v>
      </c>
      <c r="E178" s="11" t="s">
        <v>91</v>
      </c>
      <c r="F178" s="6" t="s">
        <v>467</v>
      </c>
      <c r="G178" s="6" t="s">
        <v>340</v>
      </c>
      <c r="H178" s="17" t="s">
        <v>337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85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468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469</v>
      </c>
      <c r="H179" s="17" t="s">
        <v>337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85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470</v>
      </c>
      <c r="C180" s="6" t="s">
        <v>34</v>
      </c>
      <c r="D180" s="11" t="s">
        <v>60</v>
      </c>
      <c r="E180" s="11" t="s">
        <v>91</v>
      </c>
      <c r="F180" s="6" t="s">
        <v>471</v>
      </c>
      <c r="G180" s="6" t="s">
        <v>469</v>
      </c>
      <c r="H180" s="17" t="s">
        <v>337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85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472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465</v>
      </c>
      <c r="H181" s="17" t="s">
        <v>473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85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474</v>
      </c>
      <c r="C182" s="6" t="s">
        <v>34</v>
      </c>
      <c r="D182" s="11" t="s">
        <v>60</v>
      </c>
      <c r="E182" s="11" t="s">
        <v>266</v>
      </c>
      <c r="F182" s="6" t="s">
        <v>475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85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476</v>
      </c>
      <c r="C183" s="6" t="s">
        <v>34</v>
      </c>
      <c r="D183" s="11" t="s">
        <v>60</v>
      </c>
      <c r="E183" s="11" t="s">
        <v>70</v>
      </c>
      <c r="F183" s="6" t="s">
        <v>477</v>
      </c>
      <c r="G183" s="6" t="s">
        <v>478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85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479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85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480</v>
      </c>
      <c r="C185" s="6" t="s">
        <v>34</v>
      </c>
      <c r="D185" s="11" t="s">
        <v>60</v>
      </c>
      <c r="E185" s="11" t="s">
        <v>266</v>
      </c>
      <c r="F185" s="6" t="s">
        <v>481</v>
      </c>
      <c r="G185" s="6" t="s">
        <v>482</v>
      </c>
      <c r="H185" s="17" t="s">
        <v>482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85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483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85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484</v>
      </c>
      <c r="C187" s="6" t="s">
        <v>34</v>
      </c>
      <c r="D187" s="11" t="s">
        <v>35</v>
      </c>
      <c r="E187" s="11" t="s">
        <v>36</v>
      </c>
      <c r="F187" s="6" t="s">
        <v>485</v>
      </c>
      <c r="G187" s="6" t="s">
        <v>486</v>
      </c>
      <c r="H187" s="17" t="s">
        <v>487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85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488</v>
      </c>
      <c r="C188" s="6" t="s">
        <v>34</v>
      </c>
      <c r="D188" s="11" t="s">
        <v>60</v>
      </c>
      <c r="E188" s="11" t="s">
        <v>91</v>
      </c>
      <c r="F188" s="6" t="s">
        <v>489</v>
      </c>
      <c r="G188" s="6" t="s">
        <v>490</v>
      </c>
      <c r="H188" s="17" t="s">
        <v>491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85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492</v>
      </c>
      <c r="C189" s="6" t="s">
        <v>34</v>
      </c>
      <c r="D189" s="11" t="s">
        <v>60</v>
      </c>
      <c r="E189" s="11" t="s">
        <v>91</v>
      </c>
      <c r="F189" s="6" t="s">
        <v>489</v>
      </c>
      <c r="G189" s="6" t="s">
        <v>490</v>
      </c>
      <c r="H189" s="17" t="s">
        <v>491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85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493</v>
      </c>
      <c r="C190" s="6" t="s">
        <v>34</v>
      </c>
      <c r="D190" s="11" t="s">
        <v>81</v>
      </c>
      <c r="E190" s="11" t="s">
        <v>399</v>
      </c>
      <c r="F190" s="6" t="s">
        <v>494</v>
      </c>
      <c r="G190" s="6" t="s">
        <v>490</v>
      </c>
      <c r="H190" s="17" t="s">
        <v>491</v>
      </c>
      <c r="I190" s="17" t="s">
        <v>86</v>
      </c>
      <c r="J190" s="6">
        <v>2022</v>
      </c>
      <c r="K190" s="17">
        <v>117</v>
      </c>
      <c r="L190" s="11">
        <v>0</v>
      </c>
      <c r="M190" s="17">
        <v>0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85"/>
      <c r="AB190" s="48"/>
      <c r="AC190">
        <f t="shared" si="14"/>
        <v>0</v>
      </c>
      <c r="AD190">
        <f t="shared" si="15"/>
        <v>0</v>
      </c>
    </row>
    <row r="191" spans="1:30">
      <c r="A191" s="32">
        <v>186</v>
      </c>
      <c r="B191" s="11" t="s">
        <v>495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490</v>
      </c>
      <c r="H191" s="17" t="s">
        <v>491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85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496</v>
      </c>
      <c r="C192" s="6" t="s">
        <v>34</v>
      </c>
      <c r="D192" s="11" t="s">
        <v>60</v>
      </c>
      <c r="E192" s="11" t="s">
        <v>70</v>
      </c>
      <c r="F192" s="6" t="s">
        <v>497</v>
      </c>
      <c r="G192" s="6" t="s">
        <v>490</v>
      </c>
      <c r="H192" s="17" t="s">
        <v>491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85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498</v>
      </c>
      <c r="C193" s="6" t="s">
        <v>34</v>
      </c>
      <c r="D193" s="11" t="s">
        <v>60</v>
      </c>
      <c r="E193" s="11" t="s">
        <v>70</v>
      </c>
      <c r="F193" s="6" t="s">
        <v>499</v>
      </c>
      <c r="G193" s="6" t="s">
        <v>490</v>
      </c>
      <c r="H193" s="17" t="s">
        <v>491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85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500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490</v>
      </c>
      <c r="H194" s="17" t="s">
        <v>491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85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501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490</v>
      </c>
      <c r="H195" s="17" t="s">
        <v>491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85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502</v>
      </c>
      <c r="C196" s="6" t="s">
        <v>34</v>
      </c>
      <c r="D196" s="11" t="s">
        <v>35</v>
      </c>
      <c r="E196" s="11" t="s">
        <v>46</v>
      </c>
      <c r="F196" s="6" t="s">
        <v>503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85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504</v>
      </c>
      <c r="C197" s="6" t="s">
        <v>34</v>
      </c>
      <c r="D197" s="11" t="s">
        <v>35</v>
      </c>
      <c r="E197" s="11" t="s">
        <v>36</v>
      </c>
      <c r="F197" s="6" t="s">
        <v>505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85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506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85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507</v>
      </c>
      <c r="C199" s="6" t="s">
        <v>34</v>
      </c>
      <c r="D199" s="11" t="s">
        <v>60</v>
      </c>
      <c r="E199" s="11" t="s">
        <v>91</v>
      </c>
      <c r="F199" s="6" t="s">
        <v>508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85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509</v>
      </c>
      <c r="C200" s="6" t="s">
        <v>34</v>
      </c>
      <c r="D200" s="11" t="s">
        <v>81</v>
      </c>
      <c r="E200" s="11" t="s">
        <v>202</v>
      </c>
      <c r="F200" s="6" t="s">
        <v>420</v>
      </c>
      <c r="G200" s="6" t="s">
        <v>510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85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511</v>
      </c>
      <c r="C201" s="6" t="s">
        <v>34</v>
      </c>
      <c r="D201" s="11" t="s">
        <v>81</v>
      </c>
      <c r="E201" s="11" t="s">
        <v>202</v>
      </c>
      <c r="F201" s="6" t="s">
        <v>420</v>
      </c>
      <c r="G201" s="6" t="s">
        <v>510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85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512</v>
      </c>
      <c r="C202" s="6" t="s">
        <v>34</v>
      </c>
      <c r="D202" s="11" t="s">
        <v>81</v>
      </c>
      <c r="E202" s="11" t="s">
        <v>202</v>
      </c>
      <c r="F202" s="6" t="s">
        <v>420</v>
      </c>
      <c r="G202" s="6" t="s">
        <v>510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85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513</v>
      </c>
      <c r="C203" s="6" t="s">
        <v>34</v>
      </c>
      <c r="D203" s="11" t="s">
        <v>81</v>
      </c>
      <c r="E203" s="11" t="s">
        <v>202</v>
      </c>
      <c r="F203" s="6" t="s">
        <v>420</v>
      </c>
      <c r="G203" s="6" t="s">
        <v>510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85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514</v>
      </c>
      <c r="C204" s="6" t="s">
        <v>34</v>
      </c>
      <c r="D204" s="11" t="s">
        <v>81</v>
      </c>
      <c r="E204" s="11" t="s">
        <v>202</v>
      </c>
      <c r="F204" s="6" t="s">
        <v>420</v>
      </c>
      <c r="G204" s="6" t="s">
        <v>510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85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515</v>
      </c>
      <c r="C205" s="6" t="s">
        <v>34</v>
      </c>
      <c r="D205" s="11" t="s">
        <v>60</v>
      </c>
      <c r="E205" s="11" t="s">
        <v>61</v>
      </c>
      <c r="F205" s="6" t="s">
        <v>516</v>
      </c>
      <c r="G205" s="6" t="s">
        <v>517</v>
      </c>
      <c r="H205" s="17" t="s">
        <v>518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85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1939</v>
      </c>
      <c r="C206" s="6" t="s">
        <v>34</v>
      </c>
      <c r="D206" s="11" t="s">
        <v>35</v>
      </c>
      <c r="E206" s="11" t="s">
        <v>46</v>
      </c>
      <c r="F206" s="6" t="s">
        <v>1940</v>
      </c>
      <c r="G206" s="6" t="s">
        <v>517</v>
      </c>
      <c r="H206" s="17" t="s">
        <v>518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85"/>
      <c r="AB206" s="78"/>
    </row>
    <row r="207" spans="1:30">
      <c r="A207" s="32">
        <v>202</v>
      </c>
      <c r="B207" s="11" t="s">
        <v>519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85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520</v>
      </c>
      <c r="C208" s="6" t="s">
        <v>170</v>
      </c>
      <c r="D208" s="11" t="s">
        <v>35</v>
      </c>
      <c r="E208" s="11" t="s">
        <v>184</v>
      </c>
      <c r="F208" s="6" t="s">
        <v>521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85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522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523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85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524</v>
      </c>
      <c r="C210" s="6" t="s">
        <v>34</v>
      </c>
      <c r="D210" s="11" t="s">
        <v>35</v>
      </c>
      <c r="E210" s="11" t="s">
        <v>46</v>
      </c>
      <c r="F210" s="6" t="s">
        <v>525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85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1941</v>
      </c>
      <c r="C211" s="6" t="s">
        <v>34</v>
      </c>
      <c r="D211" s="11" t="s">
        <v>60</v>
      </c>
      <c r="E211" s="11" t="s">
        <v>70</v>
      </c>
      <c r="F211" s="6" t="s">
        <v>1942</v>
      </c>
      <c r="G211" s="6" t="s">
        <v>1943</v>
      </c>
      <c r="H211" s="17" t="s">
        <v>1944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85"/>
      <c r="AB211" s="78"/>
    </row>
    <row r="212" spans="1:30">
      <c r="A212" s="31">
        <v>207</v>
      </c>
      <c r="B212" s="11" t="s">
        <v>1945</v>
      </c>
      <c r="C212" s="6" t="s">
        <v>34</v>
      </c>
      <c r="D212" s="11" t="s">
        <v>81</v>
      </c>
      <c r="E212" s="11" t="s">
        <v>82</v>
      </c>
      <c r="F212" s="6" t="s">
        <v>603</v>
      </c>
      <c r="G212" s="6" t="s">
        <v>1943</v>
      </c>
      <c r="H212" s="17" t="s">
        <v>1944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85"/>
      <c r="AB212" s="78"/>
    </row>
    <row r="213" spans="1:30">
      <c r="A213" s="32">
        <v>208</v>
      </c>
      <c r="B213" s="11" t="s">
        <v>526</v>
      </c>
      <c r="C213" s="6" t="s">
        <v>34</v>
      </c>
      <c r="D213" s="11" t="s">
        <v>60</v>
      </c>
      <c r="E213" s="11" t="s">
        <v>70</v>
      </c>
      <c r="F213" s="6" t="s">
        <v>527</v>
      </c>
      <c r="G213" s="6" t="s">
        <v>528</v>
      </c>
      <c r="H213" s="17" t="s">
        <v>529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85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530</v>
      </c>
      <c r="C214" s="8" t="s">
        <v>34</v>
      </c>
      <c r="D214" s="12" t="s">
        <v>60</v>
      </c>
      <c r="E214" s="12" t="s">
        <v>70</v>
      </c>
      <c r="F214" s="8" t="s">
        <v>527</v>
      </c>
      <c r="G214" s="8" t="s">
        <v>528</v>
      </c>
      <c r="H214" s="18" t="s">
        <v>529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85"/>
      <c r="AB214" s="49"/>
      <c r="AC214">
        <f t="shared" si="16"/>
        <v>1</v>
      </c>
      <c r="AD214">
        <f t="shared" si="17"/>
        <v>1</v>
      </c>
    </row>
    <row r="215" spans="1:30" s="51" customFormat="1" ht="12.5" customHeight="1">
      <c r="A215" s="32">
        <v>210</v>
      </c>
      <c r="B215" s="50" t="s">
        <v>531</v>
      </c>
      <c r="C215" s="51" t="s">
        <v>34</v>
      </c>
      <c r="D215" s="50" t="s">
        <v>35</v>
      </c>
      <c r="E215" s="50" t="s">
        <v>36</v>
      </c>
      <c r="F215" s="51" t="s">
        <v>532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86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 customHeight="1">
      <c r="A216" s="31">
        <v>211</v>
      </c>
      <c r="B216" s="50" t="s">
        <v>533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534</v>
      </c>
      <c r="H216" s="51" t="s">
        <v>535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86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 customHeight="1">
      <c r="A217" s="32">
        <v>212</v>
      </c>
      <c r="B217" s="50" t="s">
        <v>536</v>
      </c>
      <c r="C217" s="51" t="s">
        <v>34</v>
      </c>
      <c r="D217" s="50" t="s">
        <v>81</v>
      </c>
      <c r="E217" s="50" t="s">
        <v>82</v>
      </c>
      <c r="F217" s="51" t="s">
        <v>537</v>
      </c>
      <c r="G217" s="51" t="s">
        <v>538</v>
      </c>
      <c r="H217" s="51" t="s">
        <v>539</v>
      </c>
      <c r="I217" s="51" t="s">
        <v>42</v>
      </c>
      <c r="J217" s="51">
        <v>2023</v>
      </c>
      <c r="K217" s="51">
        <v>43</v>
      </c>
      <c r="L217" s="50">
        <v>14</v>
      </c>
      <c r="M217" s="51">
        <v>10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86"/>
      <c r="AB217" s="52"/>
      <c r="AC217" s="53">
        <f t="shared" si="16"/>
        <v>0.32558139534883723</v>
      </c>
      <c r="AD217" s="53">
        <f t="shared" si="17"/>
        <v>0.7142857142857143</v>
      </c>
    </row>
    <row r="218" spans="1:30" s="51" customFormat="1" ht="12.5" customHeight="1">
      <c r="A218" s="31">
        <v>213</v>
      </c>
      <c r="B218" s="50" t="s">
        <v>540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541</v>
      </c>
      <c r="H218" s="51" t="s">
        <v>542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86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 customHeight="1">
      <c r="A219" s="32">
        <v>214</v>
      </c>
      <c r="B219" s="50" t="s">
        <v>543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544</v>
      </c>
      <c r="H219" s="51" t="s">
        <v>542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86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 customHeight="1">
      <c r="A220" s="31">
        <v>215</v>
      </c>
      <c r="B220" s="50" t="s">
        <v>545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86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 customHeight="1">
      <c r="A221" s="32">
        <v>216</v>
      </c>
      <c r="B221" s="50" t="s">
        <v>546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547</v>
      </c>
      <c r="H221" s="51" t="s">
        <v>542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86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 customHeight="1">
      <c r="A222" s="31">
        <v>217</v>
      </c>
      <c r="B222" s="50" t="s">
        <v>548</v>
      </c>
      <c r="C222" s="51" t="s">
        <v>34</v>
      </c>
      <c r="D222" s="50" t="s">
        <v>35</v>
      </c>
      <c r="E222" s="50" t="s">
        <v>549</v>
      </c>
      <c r="F222" s="51" t="s">
        <v>42</v>
      </c>
      <c r="G222" s="51" t="s">
        <v>328</v>
      </c>
      <c r="H222" s="51" t="s">
        <v>329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86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 customHeight="1">
      <c r="A223" s="32">
        <v>218</v>
      </c>
      <c r="B223" s="50" t="s">
        <v>548</v>
      </c>
      <c r="C223" s="51" t="s">
        <v>34</v>
      </c>
      <c r="D223" s="50" t="s">
        <v>60</v>
      </c>
      <c r="E223" s="50" t="s">
        <v>70</v>
      </c>
      <c r="F223" s="51" t="s">
        <v>499</v>
      </c>
      <c r="G223" s="51" t="s">
        <v>550</v>
      </c>
      <c r="H223" s="51" t="s">
        <v>551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86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 customHeight="1">
      <c r="A224" s="31">
        <v>219</v>
      </c>
      <c r="B224" s="50" t="s">
        <v>552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86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 customHeight="1">
      <c r="A225" s="32">
        <v>220</v>
      </c>
      <c r="B225" s="50" t="s">
        <v>553</v>
      </c>
      <c r="C225" s="51" t="s">
        <v>34</v>
      </c>
      <c r="D225" s="50" t="s">
        <v>60</v>
      </c>
      <c r="E225" s="50" t="s">
        <v>91</v>
      </c>
      <c r="F225" s="51" t="s">
        <v>554</v>
      </c>
      <c r="G225" s="51" t="s">
        <v>555</v>
      </c>
      <c r="H225" s="51" t="s">
        <v>473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86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 customHeight="1">
      <c r="A226" s="31">
        <v>221</v>
      </c>
      <c r="B226" s="50" t="s">
        <v>556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359</v>
      </c>
      <c r="H226" s="51" t="s">
        <v>360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86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 customHeight="1">
      <c r="A227" s="32">
        <v>222</v>
      </c>
      <c r="B227" s="50" t="s">
        <v>557</v>
      </c>
      <c r="C227" s="51" t="s">
        <v>34</v>
      </c>
      <c r="D227" s="50" t="s">
        <v>60</v>
      </c>
      <c r="E227" s="50" t="s">
        <v>266</v>
      </c>
      <c r="F227" s="51" t="s">
        <v>558</v>
      </c>
      <c r="G227" s="51" t="s">
        <v>559</v>
      </c>
      <c r="H227" s="51" t="s">
        <v>560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86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 customHeight="1">
      <c r="A228" s="31">
        <v>223</v>
      </c>
      <c r="B228" s="50" t="s">
        <v>561</v>
      </c>
      <c r="C228" s="51" t="s">
        <v>34</v>
      </c>
      <c r="D228" s="50" t="s">
        <v>60</v>
      </c>
      <c r="E228" s="50" t="s">
        <v>266</v>
      </c>
      <c r="F228" s="51" t="s">
        <v>558</v>
      </c>
      <c r="G228" s="51" t="s">
        <v>559</v>
      </c>
      <c r="H228" s="51" t="s">
        <v>560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86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562</v>
      </c>
      <c r="C229" s="51" t="s">
        <v>90</v>
      </c>
      <c r="D229" s="50" t="s">
        <v>81</v>
      </c>
      <c r="E229" s="50" t="s">
        <v>82</v>
      </c>
      <c r="F229" s="51" t="s">
        <v>563</v>
      </c>
      <c r="G229" s="51" t="s">
        <v>564</v>
      </c>
      <c r="H229" s="51" t="s">
        <v>565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86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566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567</v>
      </c>
      <c r="H230" s="51" t="s">
        <v>565</v>
      </c>
      <c r="I230" s="51" t="s">
        <v>86</v>
      </c>
      <c r="J230" s="51">
        <v>2024</v>
      </c>
      <c r="K230" s="51">
        <v>160</v>
      </c>
      <c r="L230" s="50">
        <v>73</v>
      </c>
      <c r="M230" s="51">
        <v>73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86"/>
      <c r="AB230" s="52"/>
      <c r="AC230" s="53">
        <f t="shared" si="16"/>
        <v>0.45624999999999999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568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567</v>
      </c>
      <c r="H231" s="51" t="s">
        <v>565</v>
      </c>
      <c r="I231" s="51" t="s">
        <v>86</v>
      </c>
      <c r="J231" s="51">
        <v>2024</v>
      </c>
      <c r="K231" s="51">
        <v>139</v>
      </c>
      <c r="L231" s="50">
        <v>10</v>
      </c>
      <c r="M231" s="51">
        <v>10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86"/>
      <c r="AB231" s="52"/>
      <c r="AC231" s="53">
        <f t="shared" si="16"/>
        <v>7.1942446043165464E-2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569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567</v>
      </c>
      <c r="H232" s="51" t="s">
        <v>565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86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570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567</v>
      </c>
      <c r="H233" s="51" t="s">
        <v>565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86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571</v>
      </c>
      <c r="C234" s="51" t="s">
        <v>34</v>
      </c>
      <c r="D234" s="50" t="s">
        <v>60</v>
      </c>
      <c r="E234" s="50" t="s">
        <v>91</v>
      </c>
      <c r="F234" s="51" t="s">
        <v>489</v>
      </c>
      <c r="G234" s="51" t="s">
        <v>572</v>
      </c>
      <c r="H234" s="51" t="s">
        <v>573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86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574</v>
      </c>
      <c r="C235" s="51" t="s">
        <v>34</v>
      </c>
      <c r="D235" s="50" t="s">
        <v>81</v>
      </c>
      <c r="E235" s="50" t="s">
        <v>202</v>
      </c>
      <c r="F235" s="51" t="s">
        <v>420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86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575</v>
      </c>
      <c r="C236" s="51" t="s">
        <v>34</v>
      </c>
      <c r="D236" s="50" t="s">
        <v>81</v>
      </c>
      <c r="E236" s="50" t="s">
        <v>122</v>
      </c>
      <c r="F236" s="51" t="s">
        <v>414</v>
      </c>
      <c r="G236" s="51" t="s">
        <v>576</v>
      </c>
      <c r="H236" s="51" t="s">
        <v>577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86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578</v>
      </c>
      <c r="C237" s="51" t="s">
        <v>170</v>
      </c>
      <c r="D237" s="50" t="s">
        <v>81</v>
      </c>
      <c r="E237" s="50" t="s">
        <v>202</v>
      </c>
      <c r="F237" s="51" t="s">
        <v>579</v>
      </c>
      <c r="G237" s="51" t="s">
        <v>580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86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581</v>
      </c>
      <c r="C238" s="51" t="s">
        <v>170</v>
      </c>
      <c r="D238" s="50" t="s">
        <v>81</v>
      </c>
      <c r="E238" s="50" t="s">
        <v>399</v>
      </c>
      <c r="F238" s="51" t="s">
        <v>582</v>
      </c>
      <c r="G238" s="51" t="s">
        <v>580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86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583</v>
      </c>
      <c r="C239" s="51" t="s">
        <v>34</v>
      </c>
      <c r="D239" s="50" t="s">
        <v>35</v>
      </c>
      <c r="E239" s="50" t="s">
        <v>46</v>
      </c>
      <c r="F239" s="51" t="s">
        <v>584</v>
      </c>
      <c r="G239" s="51" t="s">
        <v>585</v>
      </c>
      <c r="H239" s="51" t="s">
        <v>586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86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587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585</v>
      </c>
      <c r="H240" s="51" t="s">
        <v>586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86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588</v>
      </c>
      <c r="C241" s="51" t="s">
        <v>34</v>
      </c>
      <c r="D241" s="50" t="s">
        <v>35</v>
      </c>
      <c r="E241" s="50" t="s">
        <v>36</v>
      </c>
      <c r="F241" s="51" t="s">
        <v>589</v>
      </c>
      <c r="G241" s="51" t="s">
        <v>590</v>
      </c>
      <c r="H241" s="51" t="s">
        <v>586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86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591</v>
      </c>
      <c r="C242" s="51" t="s">
        <v>34</v>
      </c>
      <c r="D242" s="50" t="s">
        <v>60</v>
      </c>
      <c r="E242" s="50" t="s">
        <v>70</v>
      </c>
      <c r="F242" s="51" t="s">
        <v>309</v>
      </c>
      <c r="G242" s="51" t="s">
        <v>590</v>
      </c>
      <c r="H242" s="51" t="s">
        <v>586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86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592</v>
      </c>
      <c r="C243" s="51" t="s">
        <v>34</v>
      </c>
      <c r="D243" s="50" t="s">
        <v>60</v>
      </c>
      <c r="E243" s="50" t="s">
        <v>70</v>
      </c>
      <c r="F243" s="51" t="s">
        <v>593</v>
      </c>
      <c r="G243" s="51" t="s">
        <v>590</v>
      </c>
      <c r="H243" s="51" t="s">
        <v>586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86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594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595</v>
      </c>
      <c r="H244" s="51" t="s">
        <v>586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86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596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595</v>
      </c>
      <c r="H245" s="51" t="s">
        <v>586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86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597</v>
      </c>
      <c r="C246" s="51" t="s">
        <v>34</v>
      </c>
      <c r="D246" s="50" t="s">
        <v>60</v>
      </c>
      <c r="E246" s="50" t="s">
        <v>70</v>
      </c>
      <c r="F246" s="51" t="s">
        <v>309</v>
      </c>
      <c r="G246" s="51" t="s">
        <v>590</v>
      </c>
      <c r="H246" s="51" t="s">
        <v>586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86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598</v>
      </c>
      <c r="C247" s="51" t="s">
        <v>34</v>
      </c>
      <c r="D247" s="50" t="s">
        <v>35</v>
      </c>
      <c r="E247" s="50" t="s">
        <v>46</v>
      </c>
      <c r="F247" s="51" t="s">
        <v>599</v>
      </c>
      <c r="G247" s="51" t="s">
        <v>595</v>
      </c>
      <c r="H247" s="51" t="s">
        <v>600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86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601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465</v>
      </c>
      <c r="H248" s="51" t="s">
        <v>473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86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602</v>
      </c>
      <c r="C249" s="51" t="s">
        <v>34</v>
      </c>
      <c r="D249" s="50" t="s">
        <v>81</v>
      </c>
      <c r="E249" s="50" t="s">
        <v>82</v>
      </c>
      <c r="F249" s="51" t="s">
        <v>603</v>
      </c>
      <c r="G249" s="51" t="s">
        <v>604</v>
      </c>
      <c r="H249" s="51" t="s">
        <v>605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86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606</v>
      </c>
      <c r="C250" s="51" t="s">
        <v>34</v>
      </c>
      <c r="D250" s="50" t="s">
        <v>81</v>
      </c>
      <c r="E250" s="50" t="s">
        <v>122</v>
      </c>
      <c r="F250" s="51" t="s">
        <v>420</v>
      </c>
      <c r="G250" s="51" t="s">
        <v>607</v>
      </c>
      <c r="H250" s="51" t="s">
        <v>608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86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609</v>
      </c>
      <c r="C251" s="51" t="s">
        <v>34</v>
      </c>
      <c r="D251" s="50" t="s">
        <v>305</v>
      </c>
      <c r="E251" s="50" t="s">
        <v>306</v>
      </c>
      <c r="F251" s="51" t="s">
        <v>610</v>
      </c>
      <c r="G251" s="51" t="s">
        <v>611</v>
      </c>
      <c r="H251" s="51" t="s">
        <v>612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86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613</v>
      </c>
      <c r="C252" s="51" t="s">
        <v>34</v>
      </c>
      <c r="D252" s="50" t="s">
        <v>305</v>
      </c>
      <c r="E252" s="50" t="s">
        <v>306</v>
      </c>
      <c r="F252" s="51" t="s">
        <v>614</v>
      </c>
      <c r="G252" s="51" t="s">
        <v>611</v>
      </c>
      <c r="H252" s="51" t="s">
        <v>612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86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615</v>
      </c>
      <c r="C253" s="51" t="s">
        <v>34</v>
      </c>
      <c r="D253" s="50" t="s">
        <v>305</v>
      </c>
      <c r="E253" s="50" t="s">
        <v>344</v>
      </c>
      <c r="F253" s="51" t="s">
        <v>616</v>
      </c>
      <c r="G253" s="51" t="s">
        <v>611</v>
      </c>
      <c r="H253" s="51" t="s">
        <v>612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86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617</v>
      </c>
      <c r="C254" s="51" t="s">
        <v>34</v>
      </c>
      <c r="D254" s="50" t="s">
        <v>305</v>
      </c>
      <c r="E254" s="50" t="s">
        <v>306</v>
      </c>
      <c r="F254" s="51" t="s">
        <v>618</v>
      </c>
      <c r="G254" s="51" t="s">
        <v>611</v>
      </c>
      <c r="H254" s="51" t="s">
        <v>612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86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619</v>
      </c>
      <c r="C255" s="51" t="s">
        <v>34</v>
      </c>
      <c r="D255" s="50" t="s">
        <v>60</v>
      </c>
      <c r="E255" s="50" t="s">
        <v>91</v>
      </c>
      <c r="F255" s="51" t="s">
        <v>620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86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621</v>
      </c>
      <c r="C256" s="51" t="s">
        <v>34</v>
      </c>
      <c r="D256" s="50" t="s">
        <v>35</v>
      </c>
      <c r="E256" s="50" t="s">
        <v>46</v>
      </c>
      <c r="F256" s="51" t="s">
        <v>622</v>
      </c>
      <c r="G256" s="51" t="s">
        <v>623</v>
      </c>
      <c r="H256" s="51" t="s">
        <v>624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86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625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86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626</v>
      </c>
      <c r="C258" s="51" t="s">
        <v>34</v>
      </c>
      <c r="D258" s="50" t="s">
        <v>35</v>
      </c>
      <c r="E258" s="50" t="s">
        <v>36</v>
      </c>
      <c r="F258" s="51" t="s">
        <v>627</v>
      </c>
      <c r="G258" s="51" t="s">
        <v>628</v>
      </c>
      <c r="H258" s="51" t="s">
        <v>629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86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630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405</v>
      </c>
      <c r="H259" s="51" t="s">
        <v>406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86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631</v>
      </c>
      <c r="C260" s="51" t="s">
        <v>34</v>
      </c>
      <c r="D260" s="50" t="s">
        <v>60</v>
      </c>
      <c r="E260" s="50" t="s">
        <v>91</v>
      </c>
      <c r="F260" s="51" t="s">
        <v>632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86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633</v>
      </c>
      <c r="C261" s="51" t="s">
        <v>170</v>
      </c>
      <c r="D261" s="50" t="s">
        <v>305</v>
      </c>
      <c r="E261" s="50" t="s">
        <v>306</v>
      </c>
      <c r="F261" s="51" t="s">
        <v>634</v>
      </c>
      <c r="G261" s="51" t="s">
        <v>42</v>
      </c>
      <c r="H261" s="51" t="s">
        <v>635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86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636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637</v>
      </c>
      <c r="H262" s="51" t="s">
        <v>560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86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638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637</v>
      </c>
      <c r="H263" s="51" t="s">
        <v>560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86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639</v>
      </c>
      <c r="C264" s="51" t="s">
        <v>34</v>
      </c>
      <c r="D264" s="50" t="s">
        <v>60</v>
      </c>
      <c r="E264" s="50" t="s">
        <v>266</v>
      </c>
      <c r="F264" s="51" t="s">
        <v>640</v>
      </c>
      <c r="G264" s="51" t="s">
        <v>637</v>
      </c>
      <c r="H264" s="51" t="s">
        <v>560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86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641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86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642</v>
      </c>
      <c r="C266" s="51" t="s">
        <v>34</v>
      </c>
      <c r="D266" s="50" t="s">
        <v>81</v>
      </c>
      <c r="E266" s="50" t="s">
        <v>202</v>
      </c>
      <c r="F266" s="51" t="s">
        <v>643</v>
      </c>
      <c r="G266" s="51" t="s">
        <v>644</v>
      </c>
      <c r="H266" s="51" t="s">
        <v>645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86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646</v>
      </c>
      <c r="C267" s="51" t="s">
        <v>34</v>
      </c>
      <c r="D267" s="50" t="s">
        <v>99</v>
      </c>
      <c r="E267" s="50" t="s">
        <v>213</v>
      </c>
      <c r="F267" s="51" t="s">
        <v>647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86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648</v>
      </c>
      <c r="C268" s="51" t="s">
        <v>34</v>
      </c>
      <c r="D268" s="50" t="s">
        <v>99</v>
      </c>
      <c r="E268" s="50" t="s">
        <v>213</v>
      </c>
      <c r="F268" s="51" t="s">
        <v>647</v>
      </c>
      <c r="G268" s="51" t="s">
        <v>649</v>
      </c>
      <c r="H268" s="51" t="s">
        <v>650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86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651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652</v>
      </c>
      <c r="H269" s="51" t="s">
        <v>653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86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654</v>
      </c>
      <c r="C270" s="51" t="s">
        <v>34</v>
      </c>
      <c r="D270" s="50" t="s">
        <v>81</v>
      </c>
      <c r="E270" s="50" t="s">
        <v>122</v>
      </c>
      <c r="F270" s="51" t="s">
        <v>379</v>
      </c>
      <c r="G270" s="51" t="s">
        <v>655</v>
      </c>
      <c r="H270" s="51" t="s">
        <v>653</v>
      </c>
      <c r="I270" s="51" t="s">
        <v>112</v>
      </c>
      <c r="J270" s="51">
        <v>2020</v>
      </c>
      <c r="K270" s="51">
        <v>90</v>
      </c>
      <c r="L270" s="50">
        <v>78</v>
      </c>
      <c r="M270" s="51">
        <v>67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86"/>
      <c r="AB270" s="52"/>
      <c r="AC270" s="53">
        <f t="shared" si="18"/>
        <v>0.8666666666666667</v>
      </c>
      <c r="AD270" s="53">
        <f t="shared" si="19"/>
        <v>0.85897435897435892</v>
      </c>
    </row>
    <row r="271" spans="1:30" s="51" customFormat="1" ht="12.5">
      <c r="A271" s="32">
        <v>266</v>
      </c>
      <c r="B271" s="50" t="s">
        <v>656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655</v>
      </c>
      <c r="H271" s="51" t="s">
        <v>653</v>
      </c>
      <c r="I271" s="51" t="s">
        <v>112</v>
      </c>
      <c r="J271" s="51">
        <v>2020</v>
      </c>
      <c r="K271" s="51">
        <v>103</v>
      </c>
      <c r="L271" s="50">
        <v>98</v>
      </c>
      <c r="M271" s="51">
        <v>75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86"/>
      <c r="AB271" s="52"/>
      <c r="AC271" s="53">
        <f t="shared" si="18"/>
        <v>0.95145631067961167</v>
      </c>
      <c r="AD271" s="53">
        <f t="shared" si="19"/>
        <v>0.76530612244897955</v>
      </c>
    </row>
    <row r="272" spans="1:30" s="51" customFormat="1" ht="12.5">
      <c r="A272" s="31">
        <v>267</v>
      </c>
      <c r="B272" s="50" t="s">
        <v>657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655</v>
      </c>
      <c r="H272" s="51" t="s">
        <v>658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86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659</v>
      </c>
      <c r="C273" s="51" t="s">
        <v>34</v>
      </c>
      <c r="D273" s="50" t="s">
        <v>99</v>
      </c>
      <c r="E273" s="50" t="s">
        <v>213</v>
      </c>
      <c r="F273" s="51" t="s">
        <v>647</v>
      </c>
      <c r="G273" s="51" t="s">
        <v>655</v>
      </c>
      <c r="H273" s="51" t="s">
        <v>660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86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661</v>
      </c>
      <c r="C274" s="51" t="s">
        <v>34</v>
      </c>
      <c r="D274" s="50" t="s">
        <v>99</v>
      </c>
      <c r="E274" s="50" t="s">
        <v>213</v>
      </c>
      <c r="F274" s="51" t="s">
        <v>647</v>
      </c>
      <c r="G274" s="51" t="s">
        <v>655</v>
      </c>
      <c r="H274" s="51" t="s">
        <v>660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86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662</v>
      </c>
      <c r="C275" s="51" t="s">
        <v>34</v>
      </c>
      <c r="D275" s="50" t="s">
        <v>81</v>
      </c>
      <c r="E275" s="50" t="s">
        <v>95</v>
      </c>
      <c r="F275" s="51" t="s">
        <v>582</v>
      </c>
      <c r="G275" s="51" t="s">
        <v>655</v>
      </c>
      <c r="H275" s="51" t="s">
        <v>660</v>
      </c>
      <c r="I275" s="51" t="s">
        <v>112</v>
      </c>
      <c r="J275" s="51">
        <v>2023</v>
      </c>
      <c r="K275" s="51">
        <v>114</v>
      </c>
      <c r="L275" s="50">
        <v>89</v>
      </c>
      <c r="M275" s="51">
        <v>89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86"/>
      <c r="AB275" s="52"/>
      <c r="AC275" s="53">
        <f t="shared" si="18"/>
        <v>0.7807017543859649</v>
      </c>
      <c r="AD275" s="53">
        <f t="shared" si="19"/>
        <v>1</v>
      </c>
    </row>
    <row r="276" spans="1:30" s="51" customFormat="1" ht="12.5">
      <c r="A276" s="31">
        <v>271</v>
      </c>
      <c r="B276" s="50" t="s">
        <v>663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655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86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664</v>
      </c>
      <c r="C277" s="51" t="s">
        <v>34</v>
      </c>
      <c r="D277" s="50" t="s">
        <v>35</v>
      </c>
      <c r="E277" s="50" t="s">
        <v>36</v>
      </c>
      <c r="F277" s="51" t="s">
        <v>665</v>
      </c>
      <c r="G277" s="51" t="s">
        <v>666</v>
      </c>
      <c r="H277" s="51" t="s">
        <v>667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86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668</v>
      </c>
      <c r="C278" s="51" t="s">
        <v>34</v>
      </c>
      <c r="D278" s="50" t="s">
        <v>35</v>
      </c>
      <c r="E278" s="50" t="s">
        <v>36</v>
      </c>
      <c r="F278" s="51" t="s">
        <v>665</v>
      </c>
      <c r="G278" s="51" t="s">
        <v>666</v>
      </c>
      <c r="H278" s="51" t="s">
        <v>667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86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669</v>
      </c>
      <c r="C279" s="51" t="s">
        <v>34</v>
      </c>
      <c r="D279" s="50" t="s">
        <v>81</v>
      </c>
      <c r="E279" s="50" t="s">
        <v>202</v>
      </c>
      <c r="F279" s="51" t="s">
        <v>420</v>
      </c>
      <c r="G279" s="51" t="s">
        <v>670</v>
      </c>
      <c r="H279" s="51" t="s">
        <v>671</v>
      </c>
      <c r="I279" s="51" t="s">
        <v>86</v>
      </c>
      <c r="J279" s="51">
        <v>2021</v>
      </c>
      <c r="K279" s="51">
        <v>176</v>
      </c>
      <c r="L279" s="50">
        <v>149</v>
      </c>
      <c r="M279" s="51">
        <v>78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86"/>
      <c r="AB279" s="52"/>
      <c r="AC279" s="53">
        <f t="shared" si="20"/>
        <v>0.84659090909090906</v>
      </c>
      <c r="AD279" s="53">
        <f t="shared" si="21"/>
        <v>0.52348993288590606</v>
      </c>
    </row>
    <row r="280" spans="1:30" s="51" customFormat="1" ht="12.5">
      <c r="A280" s="31">
        <v>275</v>
      </c>
      <c r="B280" s="50" t="s">
        <v>672</v>
      </c>
      <c r="C280" s="51" t="s">
        <v>170</v>
      </c>
      <c r="D280" s="50" t="s">
        <v>99</v>
      </c>
      <c r="E280" s="50" t="s">
        <v>213</v>
      </c>
      <c r="F280" s="51" t="s">
        <v>640</v>
      </c>
      <c r="G280" s="51" t="s">
        <v>42</v>
      </c>
      <c r="H280" s="51" t="s">
        <v>673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86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674</v>
      </c>
      <c r="C281" s="51" t="s">
        <v>34</v>
      </c>
      <c r="D281" s="50" t="s">
        <v>35</v>
      </c>
      <c r="E281" s="50" t="s">
        <v>46</v>
      </c>
      <c r="F281" s="51" t="s">
        <v>525</v>
      </c>
      <c r="G281" s="51" t="s">
        <v>675</v>
      </c>
      <c r="H281" s="51" t="s">
        <v>676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86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677</v>
      </c>
      <c r="C282" s="51" t="s">
        <v>170</v>
      </c>
      <c r="D282" s="50" t="s">
        <v>60</v>
      </c>
      <c r="E282" s="50" t="s">
        <v>91</v>
      </c>
      <c r="F282" s="51" t="s">
        <v>464</v>
      </c>
      <c r="G282" s="51" t="s">
        <v>465</v>
      </c>
      <c r="H282" s="51" t="s">
        <v>473</v>
      </c>
      <c r="I282" s="51" t="s">
        <v>40</v>
      </c>
      <c r="J282" s="51" t="s">
        <v>437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86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678</v>
      </c>
      <c r="C283" s="51" t="s">
        <v>170</v>
      </c>
      <c r="D283" s="50" t="s">
        <v>81</v>
      </c>
      <c r="E283" s="50" t="s">
        <v>399</v>
      </c>
      <c r="F283" s="51" t="s">
        <v>679</v>
      </c>
      <c r="G283" s="51" t="s">
        <v>42</v>
      </c>
      <c r="H283" s="51" t="s">
        <v>680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86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681</v>
      </c>
      <c r="C284" s="51" t="s">
        <v>170</v>
      </c>
      <c r="D284" s="50" t="s">
        <v>81</v>
      </c>
      <c r="E284" s="50" t="s">
        <v>399</v>
      </c>
      <c r="F284" s="51" t="s">
        <v>682</v>
      </c>
      <c r="G284" s="51" t="s">
        <v>42</v>
      </c>
      <c r="H284" s="51" t="s">
        <v>680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86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683</v>
      </c>
      <c r="C285" s="51" t="s">
        <v>170</v>
      </c>
      <c r="D285" s="50" t="s">
        <v>305</v>
      </c>
      <c r="E285" s="50" t="s">
        <v>306</v>
      </c>
      <c r="F285" s="51" t="s">
        <v>684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86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685</v>
      </c>
      <c r="C286" s="51" t="s">
        <v>34</v>
      </c>
      <c r="D286" s="50" t="s">
        <v>81</v>
      </c>
      <c r="E286" s="50" t="s">
        <v>122</v>
      </c>
      <c r="F286" s="51" t="s">
        <v>686</v>
      </c>
      <c r="G286" s="51" t="s">
        <v>110</v>
      </c>
      <c r="H286" s="51" t="s">
        <v>687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86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688</v>
      </c>
      <c r="C287" s="51" t="s">
        <v>34</v>
      </c>
      <c r="D287" s="50" t="s">
        <v>81</v>
      </c>
      <c r="E287" s="50" t="s">
        <v>122</v>
      </c>
      <c r="F287" s="51" t="s">
        <v>326</v>
      </c>
      <c r="G287" s="51" t="s">
        <v>689</v>
      </c>
      <c r="H287" s="51" t="s">
        <v>690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86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691</v>
      </c>
      <c r="C288" s="51" t="s">
        <v>34</v>
      </c>
      <c r="D288" s="50" t="s">
        <v>81</v>
      </c>
      <c r="E288" s="50" t="s">
        <v>122</v>
      </c>
      <c r="F288" s="51" t="s">
        <v>326</v>
      </c>
      <c r="G288" s="51" t="s">
        <v>692</v>
      </c>
      <c r="H288" s="51" t="s">
        <v>693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86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694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86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695</v>
      </c>
      <c r="C290" s="51" t="s">
        <v>34</v>
      </c>
      <c r="D290" s="50" t="s">
        <v>35</v>
      </c>
      <c r="E290" s="50" t="s">
        <v>36</v>
      </c>
      <c r="F290" s="51" t="s">
        <v>395</v>
      </c>
      <c r="G290" s="51" t="s">
        <v>696</v>
      </c>
      <c r="H290" s="51" t="s">
        <v>697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86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698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699</v>
      </c>
      <c r="H291" s="51" t="s">
        <v>700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86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701</v>
      </c>
      <c r="C292" s="51" t="s">
        <v>34</v>
      </c>
      <c r="D292" s="50" t="s">
        <v>81</v>
      </c>
      <c r="E292" s="50" t="s">
        <v>202</v>
      </c>
      <c r="F292" s="51" t="s">
        <v>702</v>
      </c>
      <c r="G292" s="51" t="s">
        <v>703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4</v>
      </c>
      <c r="M292" s="51">
        <v>0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86"/>
      <c r="AB292" s="52"/>
      <c r="AC292" s="53">
        <f t="shared" si="20"/>
        <v>9.5238095238095233E-2</v>
      </c>
      <c r="AD292" s="53">
        <f t="shared" si="21"/>
        <v>0</v>
      </c>
    </row>
    <row r="293" spans="1:30" s="51" customFormat="1" ht="12.5">
      <c r="A293" s="32">
        <v>288</v>
      </c>
      <c r="B293" s="50" t="s">
        <v>704</v>
      </c>
      <c r="C293" s="51" t="s">
        <v>34</v>
      </c>
      <c r="D293" s="50" t="s">
        <v>305</v>
      </c>
      <c r="E293" s="50" t="s">
        <v>306</v>
      </c>
      <c r="F293" s="51" t="s">
        <v>439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86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705</v>
      </c>
      <c r="C294" s="51" t="s">
        <v>34</v>
      </c>
      <c r="D294" s="50" t="s">
        <v>305</v>
      </c>
      <c r="E294" s="50" t="s">
        <v>306</v>
      </c>
      <c r="F294" s="51" t="s">
        <v>706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86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707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355</v>
      </c>
      <c r="H295" s="51" t="s">
        <v>356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86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708</v>
      </c>
      <c r="C296" s="51" t="s">
        <v>34</v>
      </c>
      <c r="D296" s="50" t="s">
        <v>60</v>
      </c>
      <c r="E296" s="50" t="s">
        <v>70</v>
      </c>
      <c r="F296" s="51" t="s">
        <v>709</v>
      </c>
      <c r="G296" s="51" t="s">
        <v>355</v>
      </c>
      <c r="H296" s="51" t="s">
        <v>356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86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710</v>
      </c>
      <c r="C297" s="51" t="s">
        <v>34</v>
      </c>
      <c r="D297" s="50" t="s">
        <v>60</v>
      </c>
      <c r="E297" s="50" t="s">
        <v>266</v>
      </c>
      <c r="F297" s="51" t="s">
        <v>711</v>
      </c>
      <c r="G297" s="51" t="s">
        <v>712</v>
      </c>
      <c r="H297" s="51" t="s">
        <v>713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86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714</v>
      </c>
      <c r="C298" s="51" t="s">
        <v>34</v>
      </c>
      <c r="D298" s="50" t="s">
        <v>60</v>
      </c>
      <c r="E298" s="50" t="s">
        <v>266</v>
      </c>
      <c r="F298" s="51" t="s">
        <v>715</v>
      </c>
      <c r="G298" s="51" t="s">
        <v>716</v>
      </c>
      <c r="H298" s="51" t="s">
        <v>713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86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717</v>
      </c>
      <c r="C299" s="51" t="s">
        <v>34</v>
      </c>
      <c r="D299" s="50" t="s">
        <v>60</v>
      </c>
      <c r="E299" s="50" t="s">
        <v>266</v>
      </c>
      <c r="F299" s="51" t="s">
        <v>715</v>
      </c>
      <c r="G299" s="51" t="s">
        <v>712</v>
      </c>
      <c r="H299" s="51" t="s">
        <v>713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86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718</v>
      </c>
      <c r="C300" s="51" t="s">
        <v>34</v>
      </c>
      <c r="D300" s="50" t="s">
        <v>60</v>
      </c>
      <c r="E300" s="50" t="s">
        <v>266</v>
      </c>
      <c r="F300" s="51" t="s">
        <v>715</v>
      </c>
      <c r="G300" s="51" t="s">
        <v>712</v>
      </c>
      <c r="H300" s="51" t="s">
        <v>713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86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719</v>
      </c>
      <c r="C301" s="51" t="s">
        <v>34</v>
      </c>
      <c r="D301" s="50" t="s">
        <v>60</v>
      </c>
      <c r="E301" s="50" t="s">
        <v>266</v>
      </c>
      <c r="F301" s="51" t="s">
        <v>720</v>
      </c>
      <c r="G301" s="51" t="s">
        <v>712</v>
      </c>
      <c r="H301" s="51" t="s">
        <v>713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86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721</v>
      </c>
      <c r="C302" s="51" t="s">
        <v>34</v>
      </c>
      <c r="D302" s="50" t="s">
        <v>60</v>
      </c>
      <c r="E302" s="50" t="s">
        <v>61</v>
      </c>
      <c r="F302" s="51" t="s">
        <v>722</v>
      </c>
      <c r="G302" s="51" t="s">
        <v>712</v>
      </c>
      <c r="H302" s="51" t="s">
        <v>713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86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723</v>
      </c>
      <c r="C303" s="51" t="s">
        <v>34</v>
      </c>
      <c r="D303" s="50" t="s">
        <v>35</v>
      </c>
      <c r="E303" s="50" t="s">
        <v>136</v>
      </c>
      <c r="F303" s="51" t="s">
        <v>724</v>
      </c>
      <c r="G303" s="51" t="s">
        <v>712</v>
      </c>
      <c r="H303" s="51" t="s">
        <v>713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86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725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712</v>
      </c>
      <c r="H304" s="51" t="s">
        <v>713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86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726</v>
      </c>
      <c r="C305" s="51" t="s">
        <v>34</v>
      </c>
      <c r="D305" s="50" t="s">
        <v>60</v>
      </c>
      <c r="E305" s="50" t="s">
        <v>61</v>
      </c>
      <c r="F305" s="51" t="s">
        <v>727</v>
      </c>
      <c r="G305" s="51" t="s">
        <v>712</v>
      </c>
      <c r="H305" s="51" t="s">
        <v>713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86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728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712</v>
      </c>
      <c r="H306" s="51" t="s">
        <v>713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86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729</v>
      </c>
      <c r="C307" s="51" t="s">
        <v>34</v>
      </c>
      <c r="D307" s="50" t="s">
        <v>60</v>
      </c>
      <c r="E307" s="50" t="s">
        <v>70</v>
      </c>
      <c r="F307" s="51" t="s">
        <v>485</v>
      </c>
      <c r="G307" s="51" t="s">
        <v>712</v>
      </c>
      <c r="H307" s="51" t="s">
        <v>713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86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730</v>
      </c>
      <c r="C308" s="51" t="s">
        <v>34</v>
      </c>
      <c r="D308" s="50" t="s">
        <v>35</v>
      </c>
      <c r="E308" s="50" t="s">
        <v>36</v>
      </c>
      <c r="F308" s="51" t="s">
        <v>731</v>
      </c>
      <c r="G308" s="51" t="s">
        <v>712</v>
      </c>
      <c r="H308" s="51" t="s">
        <v>713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86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732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733</v>
      </c>
      <c r="H309" s="51" t="s">
        <v>518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86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734</v>
      </c>
      <c r="C310" s="51" t="s">
        <v>34</v>
      </c>
      <c r="D310" s="50" t="s">
        <v>35</v>
      </c>
      <c r="E310" s="50" t="s">
        <v>36</v>
      </c>
      <c r="F310" s="51" t="s">
        <v>731</v>
      </c>
      <c r="G310" s="51" t="s">
        <v>733</v>
      </c>
      <c r="H310" s="51" t="s">
        <v>735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86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736</v>
      </c>
      <c r="C311" s="51" t="s">
        <v>34</v>
      </c>
      <c r="D311" s="50" t="s">
        <v>60</v>
      </c>
      <c r="E311" s="50" t="s">
        <v>61</v>
      </c>
      <c r="F311" s="51" t="s">
        <v>737</v>
      </c>
      <c r="G311" s="51" t="s">
        <v>733</v>
      </c>
      <c r="H311" s="51" t="s">
        <v>518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86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738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733</v>
      </c>
      <c r="H312" s="51" t="s">
        <v>735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86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739</v>
      </c>
      <c r="C313" s="51" t="s">
        <v>34</v>
      </c>
      <c r="D313" s="50" t="s">
        <v>60</v>
      </c>
      <c r="E313" s="50" t="s">
        <v>60</v>
      </c>
      <c r="F313" s="51" t="s">
        <v>740</v>
      </c>
      <c r="G313" s="51" t="s">
        <v>733</v>
      </c>
      <c r="H313" s="51" t="s">
        <v>735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86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741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733</v>
      </c>
      <c r="H314" s="51" t="s">
        <v>518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86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742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733</v>
      </c>
      <c r="H315" s="51" t="s">
        <v>518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86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743</v>
      </c>
      <c r="C316" s="51" t="s">
        <v>170</v>
      </c>
      <c r="D316" s="50" t="s">
        <v>81</v>
      </c>
      <c r="E316" s="50" t="s">
        <v>202</v>
      </c>
      <c r="F316" s="51" t="s">
        <v>744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86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745</v>
      </c>
      <c r="C317" s="51" t="s">
        <v>34</v>
      </c>
      <c r="D317" s="50" t="s">
        <v>35</v>
      </c>
      <c r="E317" s="50" t="s">
        <v>36</v>
      </c>
      <c r="F317" s="51" t="s">
        <v>395</v>
      </c>
      <c r="G317" s="51" t="s">
        <v>746</v>
      </c>
      <c r="H317" s="51" t="s">
        <v>747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86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748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746</v>
      </c>
      <c r="H318" s="51" t="s">
        <v>747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86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749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750</v>
      </c>
      <c r="H319" s="51" t="s">
        <v>747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86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751</v>
      </c>
      <c r="C320" s="51" t="s">
        <v>34</v>
      </c>
      <c r="D320" s="50" t="s">
        <v>81</v>
      </c>
      <c r="E320" s="50" t="s">
        <v>202</v>
      </c>
      <c r="F320" s="51" t="s">
        <v>454</v>
      </c>
      <c r="G320" s="51" t="s">
        <v>752</v>
      </c>
      <c r="H320" s="51" t="s">
        <v>753</v>
      </c>
      <c r="I320" s="51" t="s">
        <v>86</v>
      </c>
      <c r="J320" s="51">
        <v>2021</v>
      </c>
      <c r="K320" s="51">
        <v>35</v>
      </c>
      <c r="L320" s="50">
        <v>7</v>
      </c>
      <c r="M320" s="51">
        <v>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-2.1579456000000001</v>
      </c>
      <c r="W320" s="50">
        <v>106.1530825</v>
      </c>
      <c r="X320" s="52"/>
      <c r="Y320" s="52"/>
      <c r="Z320" s="50"/>
      <c r="AA320" s="86"/>
      <c r="AB320" s="52"/>
      <c r="AC320" s="53">
        <f t="shared" si="22"/>
        <v>0.2</v>
      </c>
      <c r="AD320" s="53">
        <f t="shared" si="23"/>
        <v>1</v>
      </c>
    </row>
    <row r="321" spans="1:30" s="51" customFormat="1" ht="12.5">
      <c r="A321" s="32">
        <v>316</v>
      </c>
      <c r="B321" s="50" t="s">
        <v>754</v>
      </c>
      <c r="C321" s="51" t="s">
        <v>34</v>
      </c>
      <c r="D321" s="50" t="s">
        <v>60</v>
      </c>
      <c r="E321" s="50" t="s">
        <v>70</v>
      </c>
      <c r="F321" s="51" t="s">
        <v>471</v>
      </c>
      <c r="G321" s="51" t="s">
        <v>755</v>
      </c>
      <c r="H321" s="51" t="s">
        <v>337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86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756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355</v>
      </c>
      <c r="H322" s="51" t="s">
        <v>356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86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757</v>
      </c>
      <c r="C323" s="51" t="s">
        <v>34</v>
      </c>
      <c r="D323" s="50" t="s">
        <v>305</v>
      </c>
      <c r="E323" s="50" t="s">
        <v>306</v>
      </c>
      <c r="F323" s="51" t="s">
        <v>758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86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759</v>
      </c>
      <c r="C324" s="51" t="s">
        <v>34</v>
      </c>
      <c r="D324" s="50" t="s">
        <v>305</v>
      </c>
      <c r="E324" s="50" t="s">
        <v>306</v>
      </c>
      <c r="F324" s="51" t="s">
        <v>760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86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761</v>
      </c>
      <c r="C325" s="51" t="s">
        <v>34</v>
      </c>
      <c r="D325" s="50" t="s">
        <v>35</v>
      </c>
      <c r="E325" s="50" t="s">
        <v>36</v>
      </c>
      <c r="F325" s="51" t="s">
        <v>762</v>
      </c>
      <c r="G325" s="51" t="s">
        <v>763</v>
      </c>
      <c r="H325" s="51" t="s">
        <v>764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86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765</v>
      </c>
      <c r="C326" s="51" t="s">
        <v>34</v>
      </c>
      <c r="D326" s="50" t="s">
        <v>35</v>
      </c>
      <c r="E326" s="50" t="s">
        <v>36</v>
      </c>
      <c r="F326" s="51" t="s">
        <v>766</v>
      </c>
      <c r="G326" s="51" t="s">
        <v>355</v>
      </c>
      <c r="H326" s="51" t="s">
        <v>356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86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767</v>
      </c>
      <c r="C327" s="51" t="s">
        <v>34</v>
      </c>
      <c r="D327" s="50" t="s">
        <v>35</v>
      </c>
      <c r="E327" s="50" t="s">
        <v>36</v>
      </c>
      <c r="F327" s="51" t="s">
        <v>505</v>
      </c>
      <c r="G327" s="51" t="s">
        <v>355</v>
      </c>
      <c r="H327" s="51" t="s">
        <v>356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86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768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769</v>
      </c>
      <c r="H328" s="51" t="s">
        <v>770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86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771</v>
      </c>
      <c r="C329" s="51" t="s">
        <v>34</v>
      </c>
      <c r="D329" s="50" t="s">
        <v>81</v>
      </c>
      <c r="E329" s="50" t="s">
        <v>122</v>
      </c>
      <c r="F329" s="51" t="s">
        <v>772</v>
      </c>
      <c r="G329" s="51" t="s">
        <v>773</v>
      </c>
      <c r="H329" s="51" t="s">
        <v>774</v>
      </c>
      <c r="I329" s="51" t="s">
        <v>86</v>
      </c>
      <c r="J329" s="51">
        <v>2023</v>
      </c>
      <c r="K329" s="51">
        <v>111</v>
      </c>
      <c r="L329" s="50">
        <v>33</v>
      </c>
      <c r="M329" s="51">
        <v>0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86"/>
      <c r="AB329" s="52"/>
      <c r="AC329" s="53">
        <f t="shared" si="22"/>
        <v>0.29729729729729731</v>
      </c>
      <c r="AD329" s="53">
        <f t="shared" si="23"/>
        <v>0</v>
      </c>
    </row>
    <row r="330" spans="1:30" s="51" customFormat="1" ht="12.5">
      <c r="A330" s="31">
        <v>325</v>
      </c>
      <c r="B330" s="50" t="s">
        <v>775</v>
      </c>
      <c r="C330" s="51" t="s">
        <v>170</v>
      </c>
      <c r="D330" s="50" t="s">
        <v>81</v>
      </c>
      <c r="E330" s="50" t="s">
        <v>122</v>
      </c>
      <c r="F330" s="51" t="s">
        <v>776</v>
      </c>
      <c r="G330" s="51" t="s">
        <v>769</v>
      </c>
      <c r="H330" s="51" t="s">
        <v>770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86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777</v>
      </c>
      <c r="C331" s="51" t="s">
        <v>170</v>
      </c>
      <c r="D331" s="50" t="s">
        <v>81</v>
      </c>
      <c r="E331" s="50" t="s">
        <v>95</v>
      </c>
      <c r="F331" s="51" t="s">
        <v>582</v>
      </c>
      <c r="G331" s="51" t="s">
        <v>769</v>
      </c>
      <c r="H331" s="51" t="s">
        <v>770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86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778</v>
      </c>
      <c r="C332" s="51" t="s">
        <v>34</v>
      </c>
      <c r="D332" s="50" t="s">
        <v>81</v>
      </c>
      <c r="E332" s="50" t="s">
        <v>95</v>
      </c>
      <c r="F332" s="51" t="s">
        <v>582</v>
      </c>
      <c r="G332" s="51" t="s">
        <v>769</v>
      </c>
      <c r="H332" s="51" t="s">
        <v>770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86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779</v>
      </c>
      <c r="C333" s="51" t="s">
        <v>34</v>
      </c>
      <c r="D333" s="50" t="s">
        <v>81</v>
      </c>
      <c r="E333" s="50" t="s">
        <v>202</v>
      </c>
      <c r="F333" s="51" t="s">
        <v>776</v>
      </c>
      <c r="G333" s="51" t="s">
        <v>769</v>
      </c>
      <c r="H333" s="51" t="s">
        <v>770</v>
      </c>
      <c r="I333" s="51" t="s">
        <v>86</v>
      </c>
      <c r="J333" s="51">
        <v>2019</v>
      </c>
      <c r="K333" s="51">
        <v>305</v>
      </c>
      <c r="L333" s="50">
        <v>305</v>
      </c>
      <c r="M333" s="51">
        <v>26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86"/>
      <c r="AB333" s="52"/>
      <c r="AC333" s="53">
        <f t="shared" si="22"/>
        <v>1</v>
      </c>
      <c r="AD333" s="53">
        <f t="shared" si="23"/>
        <v>8.5245901639344257E-2</v>
      </c>
    </row>
    <row r="334" spans="1:30" s="51" customFormat="1" ht="12.5">
      <c r="A334" s="31">
        <v>329</v>
      </c>
      <c r="B334" s="50" t="s">
        <v>780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781</v>
      </c>
      <c r="H334" s="51" t="s">
        <v>782</v>
      </c>
      <c r="I334" s="51" t="s">
        <v>783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86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784</v>
      </c>
      <c r="C335" s="51" t="s">
        <v>34</v>
      </c>
      <c r="D335" s="50" t="s">
        <v>60</v>
      </c>
      <c r="E335" s="50" t="s">
        <v>91</v>
      </c>
      <c r="F335" s="51" t="s">
        <v>785</v>
      </c>
      <c r="G335" s="51" t="s">
        <v>781</v>
      </c>
      <c r="H335" s="51" t="s">
        <v>782</v>
      </c>
      <c r="I335" s="51" t="s">
        <v>783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86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786</v>
      </c>
      <c r="C336" s="51" t="s">
        <v>34</v>
      </c>
      <c r="D336" s="50" t="s">
        <v>81</v>
      </c>
      <c r="E336" s="50" t="s">
        <v>202</v>
      </c>
      <c r="F336" s="51" t="s">
        <v>420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86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787</v>
      </c>
      <c r="C337" s="51" t="s">
        <v>34</v>
      </c>
      <c r="D337" s="50" t="s">
        <v>60</v>
      </c>
      <c r="E337" s="50" t="s">
        <v>91</v>
      </c>
      <c r="F337" s="51" t="s">
        <v>788</v>
      </c>
      <c r="G337" s="51" t="s">
        <v>789</v>
      </c>
      <c r="H337" s="51" t="s">
        <v>790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86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791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789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86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792</v>
      </c>
      <c r="C339" s="51" t="s">
        <v>34</v>
      </c>
      <c r="D339" s="50" t="s">
        <v>60</v>
      </c>
      <c r="E339" s="50" t="s">
        <v>91</v>
      </c>
      <c r="F339" s="51" t="s">
        <v>793</v>
      </c>
      <c r="G339" s="51" t="s">
        <v>789</v>
      </c>
      <c r="H339" s="51" t="s">
        <v>794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86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795</v>
      </c>
      <c r="C340" s="51" t="s">
        <v>170</v>
      </c>
      <c r="D340" s="50" t="s">
        <v>60</v>
      </c>
      <c r="E340" s="50" t="s">
        <v>266</v>
      </c>
      <c r="F340" s="51" t="s">
        <v>796</v>
      </c>
      <c r="G340" s="51" t="s">
        <v>797</v>
      </c>
      <c r="H340" s="51" t="s">
        <v>798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86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799</v>
      </c>
      <c r="C341" s="51" t="s">
        <v>34</v>
      </c>
      <c r="D341" s="50" t="s">
        <v>81</v>
      </c>
      <c r="E341" s="50" t="s">
        <v>122</v>
      </c>
      <c r="F341" s="51" t="s">
        <v>800</v>
      </c>
      <c r="G341" s="51" t="s">
        <v>801</v>
      </c>
      <c r="H341" s="51" t="s">
        <v>577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86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802</v>
      </c>
      <c r="C342" s="51" t="s">
        <v>34</v>
      </c>
      <c r="D342" s="50" t="s">
        <v>305</v>
      </c>
      <c r="E342" s="50" t="s">
        <v>306</v>
      </c>
      <c r="F342" s="51" t="s">
        <v>634</v>
      </c>
      <c r="G342" s="51" t="s">
        <v>42</v>
      </c>
      <c r="H342" s="51" t="s">
        <v>803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86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804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805</v>
      </c>
      <c r="H343" s="51" t="s">
        <v>806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86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807</v>
      </c>
      <c r="C344" s="51" t="s">
        <v>34</v>
      </c>
      <c r="D344" s="50" t="s">
        <v>60</v>
      </c>
      <c r="E344" s="50" t="s">
        <v>70</v>
      </c>
      <c r="F344" s="51" t="s">
        <v>485</v>
      </c>
      <c r="G344" s="51" t="s">
        <v>805</v>
      </c>
      <c r="H344" s="51" t="s">
        <v>806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86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808</v>
      </c>
      <c r="C345" s="51" t="s">
        <v>34</v>
      </c>
      <c r="D345" s="50" t="s">
        <v>35</v>
      </c>
      <c r="E345" s="50" t="s">
        <v>36</v>
      </c>
      <c r="F345" s="51" t="s">
        <v>309</v>
      </c>
      <c r="G345" s="51" t="s">
        <v>805</v>
      </c>
      <c r="H345" s="51" t="s">
        <v>806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86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809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805</v>
      </c>
      <c r="H346" s="51" t="s">
        <v>806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86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810</v>
      </c>
      <c r="C347" s="51" t="s">
        <v>90</v>
      </c>
      <c r="D347" s="50" t="s">
        <v>811</v>
      </c>
      <c r="E347" s="50" t="s">
        <v>812</v>
      </c>
      <c r="F347" s="51" t="s">
        <v>813</v>
      </c>
      <c r="G347" s="51" t="s">
        <v>814</v>
      </c>
      <c r="H347" s="51" t="s">
        <v>815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86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816</v>
      </c>
      <c r="C348" s="51" t="s">
        <v>34</v>
      </c>
      <c r="D348" s="50" t="s">
        <v>81</v>
      </c>
      <c r="E348" s="50" t="s">
        <v>290</v>
      </c>
      <c r="F348" s="51" t="s">
        <v>291</v>
      </c>
      <c r="G348" s="51" t="s">
        <v>814</v>
      </c>
      <c r="H348" s="51" t="s">
        <v>815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86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1946</v>
      </c>
      <c r="C349" s="51" t="s">
        <v>34</v>
      </c>
      <c r="D349" s="50" t="s">
        <v>81</v>
      </c>
      <c r="E349" s="50" t="s">
        <v>290</v>
      </c>
      <c r="F349" s="51" t="s">
        <v>1947</v>
      </c>
      <c r="G349" s="51" t="s">
        <v>814</v>
      </c>
      <c r="H349" s="51" t="s">
        <v>815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86"/>
      <c r="AB349" s="52"/>
      <c r="AC349" s="53"/>
      <c r="AD349" s="53"/>
    </row>
    <row r="350" spans="1:30" s="51" customFormat="1" ht="12.5">
      <c r="A350" s="31">
        <v>345</v>
      </c>
      <c r="B350" s="50" t="s">
        <v>817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86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818</v>
      </c>
      <c r="C351" s="51" t="s">
        <v>34</v>
      </c>
      <c r="D351" s="50" t="s">
        <v>99</v>
      </c>
      <c r="E351" s="50" t="s">
        <v>819</v>
      </c>
      <c r="F351" s="51" t="s">
        <v>820</v>
      </c>
      <c r="G351" s="51" t="s">
        <v>486</v>
      </c>
      <c r="H351" s="51" t="s">
        <v>821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86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822</v>
      </c>
      <c r="C352" s="51" t="s">
        <v>34</v>
      </c>
      <c r="D352" s="50" t="s">
        <v>60</v>
      </c>
      <c r="E352" s="50" t="s">
        <v>91</v>
      </c>
      <c r="F352" s="51" t="s">
        <v>823</v>
      </c>
      <c r="G352" s="51" t="s">
        <v>824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86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825</v>
      </c>
      <c r="C353" s="51" t="s">
        <v>34</v>
      </c>
      <c r="D353" s="50" t="s">
        <v>35</v>
      </c>
      <c r="E353" s="50" t="s">
        <v>36</v>
      </c>
      <c r="F353" s="51" t="s">
        <v>826</v>
      </c>
      <c r="G353" s="51" t="s">
        <v>827</v>
      </c>
      <c r="H353" s="51" t="s">
        <v>658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86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828</v>
      </c>
      <c r="C354" s="51" t="s">
        <v>34</v>
      </c>
      <c r="D354" s="50" t="s">
        <v>99</v>
      </c>
      <c r="E354" s="50" t="s">
        <v>213</v>
      </c>
      <c r="F354" s="51" t="s">
        <v>829</v>
      </c>
      <c r="G354" s="51" t="s">
        <v>830</v>
      </c>
      <c r="H354" s="51" t="s">
        <v>831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86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832</v>
      </c>
      <c r="C355" s="51" t="s">
        <v>34</v>
      </c>
      <c r="D355" s="50" t="s">
        <v>60</v>
      </c>
      <c r="E355" s="50" t="s">
        <v>91</v>
      </c>
      <c r="F355" s="51" t="s">
        <v>833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86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834</v>
      </c>
      <c r="C356" s="51" t="s">
        <v>34</v>
      </c>
      <c r="D356" s="50" t="s">
        <v>60</v>
      </c>
      <c r="E356" s="50" t="s">
        <v>70</v>
      </c>
      <c r="F356" s="51" t="s">
        <v>835</v>
      </c>
      <c r="G356" s="51" t="s">
        <v>836</v>
      </c>
      <c r="H356" s="51" t="s">
        <v>837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86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838</v>
      </c>
      <c r="C357" s="51" t="s">
        <v>170</v>
      </c>
      <c r="D357" s="50" t="s">
        <v>811</v>
      </c>
      <c r="E357" s="50" t="s">
        <v>839</v>
      </c>
      <c r="F357" s="51" t="s">
        <v>840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86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 customHeight="1">
      <c r="A358" s="31">
        <v>353</v>
      </c>
      <c r="B358" s="50" t="s">
        <v>841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842</v>
      </c>
      <c r="H358" s="51" t="s">
        <v>843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86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 customHeight="1">
      <c r="A359" s="32">
        <v>354</v>
      </c>
      <c r="B359" s="50" t="s">
        <v>844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842</v>
      </c>
      <c r="H359" s="51" t="s">
        <v>843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86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845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842</v>
      </c>
      <c r="H360" s="51" t="s">
        <v>843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86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846</v>
      </c>
      <c r="C361" s="51" t="s">
        <v>34</v>
      </c>
      <c r="D361" s="50" t="s">
        <v>60</v>
      </c>
      <c r="E361" s="50" t="s">
        <v>91</v>
      </c>
      <c r="F361" s="51" t="s">
        <v>847</v>
      </c>
      <c r="G361" s="51" t="s">
        <v>842</v>
      </c>
      <c r="H361" s="51" t="s">
        <v>843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86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8" t="s">
        <v>848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849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851</v>
      </c>
      <c r="B5" s="2" t="s">
        <v>852</v>
      </c>
      <c r="C5" s="2" t="s">
        <v>853</v>
      </c>
      <c r="D5" s="2" t="s">
        <v>854</v>
      </c>
      <c r="E5" s="2" t="s">
        <v>855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856</v>
      </c>
    </row>
    <row r="6" spans="1:11">
      <c r="A6" s="31" t="s">
        <v>857</v>
      </c>
      <c r="B6" s="10" t="s">
        <v>858</v>
      </c>
      <c r="C6" s="10" t="s">
        <v>35</v>
      </c>
      <c r="D6" s="16">
        <v>1977</v>
      </c>
      <c r="E6" s="16"/>
      <c r="F6" s="19">
        <v>2023</v>
      </c>
      <c r="G6" s="10" t="s">
        <v>859</v>
      </c>
      <c r="H6" s="10" t="s">
        <v>860</v>
      </c>
      <c r="I6" s="13"/>
      <c r="J6" s="10"/>
      <c r="K6" s="5"/>
    </row>
    <row r="7" spans="1:11">
      <c r="A7" s="32" t="s">
        <v>861</v>
      </c>
      <c r="B7" s="11" t="s">
        <v>858</v>
      </c>
      <c r="C7" s="11" t="s">
        <v>81</v>
      </c>
      <c r="D7" s="17">
        <v>1420</v>
      </c>
      <c r="E7" s="17"/>
      <c r="F7" s="20">
        <v>2023</v>
      </c>
      <c r="G7" s="11" t="s">
        <v>859</v>
      </c>
      <c r="H7" s="11" t="s">
        <v>860</v>
      </c>
      <c r="I7" s="14"/>
      <c r="J7" s="11"/>
      <c r="K7" s="7"/>
    </row>
    <row r="8" spans="1:11">
      <c r="A8" s="32" t="s">
        <v>862</v>
      </c>
      <c r="B8" s="11" t="s">
        <v>858</v>
      </c>
      <c r="C8" s="11" t="s">
        <v>863</v>
      </c>
      <c r="D8" s="17">
        <v>1571</v>
      </c>
      <c r="E8" s="17"/>
      <c r="F8" s="20">
        <v>2023</v>
      </c>
      <c r="G8" s="11" t="s">
        <v>859</v>
      </c>
      <c r="H8" s="11" t="s">
        <v>860</v>
      </c>
      <c r="I8" s="14"/>
      <c r="J8" s="11"/>
      <c r="K8" s="7"/>
    </row>
    <row r="9" spans="1:11">
      <c r="A9" s="32" t="s">
        <v>864</v>
      </c>
      <c r="B9" s="11" t="s">
        <v>858</v>
      </c>
      <c r="C9" s="11" t="s">
        <v>60</v>
      </c>
      <c r="D9" s="17">
        <v>1322</v>
      </c>
      <c r="E9" s="17"/>
      <c r="F9" s="20">
        <v>2023</v>
      </c>
      <c r="G9" s="11" t="s">
        <v>859</v>
      </c>
      <c r="H9" s="11" t="s">
        <v>860</v>
      </c>
      <c r="I9" s="14"/>
      <c r="J9" s="11"/>
      <c r="K9" s="7"/>
    </row>
    <row r="10" spans="1:11">
      <c r="A10" s="32" t="s">
        <v>865</v>
      </c>
      <c r="B10" s="11" t="s">
        <v>858</v>
      </c>
      <c r="C10" s="11" t="s">
        <v>811</v>
      </c>
      <c r="D10" s="17">
        <v>3084</v>
      </c>
      <c r="E10" s="17"/>
      <c r="F10" s="20">
        <v>2023</v>
      </c>
      <c r="G10" s="11" t="s">
        <v>859</v>
      </c>
      <c r="H10" s="11" t="s">
        <v>860</v>
      </c>
      <c r="I10" s="14"/>
      <c r="J10" s="11"/>
      <c r="K10" s="7"/>
    </row>
    <row r="11" spans="1:11">
      <c r="A11" s="32" t="s">
        <v>866</v>
      </c>
      <c r="B11" s="11" t="s">
        <v>858</v>
      </c>
      <c r="C11" s="11" t="s">
        <v>99</v>
      </c>
      <c r="D11" s="17">
        <v>1450</v>
      </c>
      <c r="E11" s="17"/>
      <c r="F11" s="20">
        <v>2023</v>
      </c>
      <c r="G11" s="11" t="s">
        <v>859</v>
      </c>
      <c r="H11" s="11" t="s">
        <v>860</v>
      </c>
      <c r="I11" s="14"/>
      <c r="J11" s="11"/>
      <c r="K11" s="7"/>
    </row>
    <row r="12" spans="1:11">
      <c r="A12" s="32" t="s">
        <v>867</v>
      </c>
      <c r="B12" s="11" t="s">
        <v>858</v>
      </c>
      <c r="C12" s="11" t="s">
        <v>305</v>
      </c>
      <c r="D12" s="17">
        <v>1338</v>
      </c>
      <c r="E12" s="17"/>
      <c r="F12" s="20">
        <v>2023</v>
      </c>
      <c r="G12" s="11" t="s">
        <v>859</v>
      </c>
      <c r="H12" s="11" t="s">
        <v>860</v>
      </c>
      <c r="I12" s="14"/>
      <c r="J12" s="11"/>
      <c r="K12" s="7"/>
    </row>
    <row r="13" spans="1:11">
      <c r="A13" s="32" t="s">
        <v>868</v>
      </c>
      <c r="B13" s="11" t="s">
        <v>869</v>
      </c>
      <c r="C13" s="11"/>
      <c r="D13" s="17"/>
      <c r="E13" s="17">
        <v>13921</v>
      </c>
      <c r="F13" s="20">
        <v>2023</v>
      </c>
      <c r="G13" s="11" t="s">
        <v>859</v>
      </c>
      <c r="H13" s="11" t="s">
        <v>860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8" t="s">
        <v>870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871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872</v>
      </c>
      <c r="B5" s="2" t="s">
        <v>6</v>
      </c>
      <c r="C5" s="2" t="s">
        <v>873</v>
      </c>
      <c r="D5" s="2" t="s">
        <v>874</v>
      </c>
      <c r="E5" s="2" t="s">
        <v>875</v>
      </c>
      <c r="F5" s="2" t="s">
        <v>876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857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859</v>
      </c>
      <c r="I6" s="10" t="s">
        <v>860</v>
      </c>
      <c r="J6" s="13"/>
      <c r="K6" s="34"/>
    </row>
    <row r="7" spans="1:11">
      <c r="A7" s="32" t="s">
        <v>861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859</v>
      </c>
      <c r="I7" s="11" t="s">
        <v>860</v>
      </c>
      <c r="J7" s="14"/>
      <c r="K7" s="35"/>
    </row>
    <row r="8" spans="1:11">
      <c r="A8" s="32" t="s">
        <v>862</v>
      </c>
      <c r="B8" s="11" t="s">
        <v>863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859</v>
      </c>
      <c r="I8" s="11" t="s">
        <v>860</v>
      </c>
      <c r="J8" s="14"/>
      <c r="K8" s="35"/>
    </row>
    <row r="9" spans="1:11">
      <c r="A9" s="32" t="s">
        <v>864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859</v>
      </c>
      <c r="I9" s="11" t="s">
        <v>860</v>
      </c>
      <c r="J9" s="14"/>
      <c r="K9" s="35"/>
    </row>
    <row r="10" spans="1:11">
      <c r="A10" s="32" t="s">
        <v>865</v>
      </c>
      <c r="B10" s="11" t="s">
        <v>811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859</v>
      </c>
      <c r="I10" s="11" t="s">
        <v>860</v>
      </c>
      <c r="J10" s="14"/>
      <c r="K10" s="35"/>
    </row>
    <row r="11" spans="1:11">
      <c r="A11" s="32" t="s">
        <v>866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859</v>
      </c>
      <c r="I11" s="11" t="s">
        <v>860</v>
      </c>
      <c r="J11" s="14"/>
      <c r="K11" s="35"/>
    </row>
    <row r="12" spans="1:11">
      <c r="A12" s="32" t="s">
        <v>867</v>
      </c>
      <c r="B12" s="11" t="s">
        <v>305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859</v>
      </c>
      <c r="I12" s="11" t="s">
        <v>860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tabSelected="1"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15" sqref="F15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hidden="1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3" t="s">
        <v>1165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H1" s="73" t="s">
        <v>1166</v>
      </c>
      <c r="BI1" s="73" t="s">
        <v>1167</v>
      </c>
      <c r="BJ1" s="73" t="s">
        <v>1168</v>
      </c>
      <c r="BK1" s="73" t="s">
        <v>1169</v>
      </c>
      <c r="BL1" s="73" t="s">
        <v>1170</v>
      </c>
      <c r="BM1" s="73" t="s">
        <v>1171</v>
      </c>
      <c r="BN1" s="73" t="s">
        <v>1172</v>
      </c>
      <c r="BO1" s="73" t="s">
        <v>1173</v>
      </c>
      <c r="BP1" s="73" t="s">
        <v>1174</v>
      </c>
      <c r="BQ1" s="73" t="s">
        <v>1175</v>
      </c>
      <c r="BR1" s="73" t="s">
        <v>1176</v>
      </c>
      <c r="BS1" s="73" t="s">
        <v>1177</v>
      </c>
      <c r="BT1" s="73" t="s">
        <v>1178</v>
      </c>
      <c r="BU1" s="73" t="s">
        <v>1179</v>
      </c>
      <c r="BV1" s="73" t="s">
        <v>1180</v>
      </c>
      <c r="BW1" s="73" t="s">
        <v>1181</v>
      </c>
      <c r="BX1" s="73" t="s">
        <v>1182</v>
      </c>
      <c r="BY1" s="73" t="s">
        <v>1183</v>
      </c>
    </row>
    <row r="2" spans="1:77" ht="14.5">
      <c r="A2" s="94" t="s">
        <v>1184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H2" t="s">
        <v>81</v>
      </c>
      <c r="BI2" t="s">
        <v>1185</v>
      </c>
      <c r="BJ2" t="s">
        <v>1186</v>
      </c>
      <c r="BK2" t="s">
        <v>1187</v>
      </c>
      <c r="BL2" t="s">
        <v>891</v>
      </c>
      <c r="BM2" t="s">
        <v>1188</v>
      </c>
      <c r="BN2" t="s">
        <v>891</v>
      </c>
      <c r="BO2" t="s">
        <v>1189</v>
      </c>
      <c r="BP2" t="s">
        <v>891</v>
      </c>
      <c r="BQ2" t="s">
        <v>1190</v>
      </c>
      <c r="BR2" t="s">
        <v>1191</v>
      </c>
      <c r="BS2" t="s">
        <v>1192</v>
      </c>
      <c r="BT2" t="s">
        <v>1193</v>
      </c>
      <c r="BU2" t="s">
        <v>930</v>
      </c>
      <c r="BV2" t="s">
        <v>1194</v>
      </c>
      <c r="BW2" t="s">
        <v>1195</v>
      </c>
      <c r="BX2" t="s">
        <v>1196</v>
      </c>
      <c r="BY2" t="s">
        <v>1197</v>
      </c>
    </row>
    <row r="3" spans="1:77">
      <c r="A3" s="95" t="s">
        <v>1198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H3" t="s">
        <v>60</v>
      </c>
      <c r="BI3" t="s">
        <v>1199</v>
      </c>
      <c r="BJ3" t="s">
        <v>1200</v>
      </c>
      <c r="BK3" t="s">
        <v>1201</v>
      </c>
      <c r="BL3" t="s">
        <v>894</v>
      </c>
      <c r="BM3" t="s">
        <v>1202</v>
      </c>
      <c r="BN3" t="s">
        <v>894</v>
      </c>
      <c r="BO3" t="s">
        <v>1203</v>
      </c>
      <c r="BP3" t="s">
        <v>894</v>
      </c>
      <c r="BQ3" t="s">
        <v>1204</v>
      </c>
      <c r="BR3" t="s">
        <v>1205</v>
      </c>
      <c r="BS3" t="s">
        <v>1206</v>
      </c>
      <c r="BT3" t="s">
        <v>1207</v>
      </c>
      <c r="BU3" t="s">
        <v>1208</v>
      </c>
      <c r="BV3" t="s">
        <v>1209</v>
      </c>
      <c r="BW3" t="s">
        <v>1210</v>
      </c>
      <c r="BX3" t="s">
        <v>1211</v>
      </c>
      <c r="BY3" t="s">
        <v>1212</v>
      </c>
    </row>
    <row r="4" spans="1:77">
      <c r="BH4" t="s">
        <v>35</v>
      </c>
      <c r="BI4" t="s">
        <v>1213</v>
      </c>
      <c r="BJ4" t="s">
        <v>1214</v>
      </c>
      <c r="BK4" t="s">
        <v>1215</v>
      </c>
      <c r="BL4" t="s">
        <v>908</v>
      </c>
      <c r="BM4" t="s">
        <v>1216</v>
      </c>
      <c r="BN4" t="s">
        <v>908</v>
      </c>
      <c r="BO4" t="s">
        <v>1217</v>
      </c>
      <c r="BP4" t="s">
        <v>908</v>
      </c>
      <c r="BQ4" t="s">
        <v>1218</v>
      </c>
      <c r="BR4" t="s">
        <v>1219</v>
      </c>
      <c r="BS4" t="s">
        <v>1219</v>
      </c>
      <c r="BV4" t="s">
        <v>1220</v>
      </c>
      <c r="BW4" t="s">
        <v>1221</v>
      </c>
      <c r="BX4" t="s">
        <v>1222</v>
      </c>
      <c r="BY4" t="s">
        <v>1223</v>
      </c>
    </row>
    <row r="5" spans="1:77" ht="28">
      <c r="A5" s="68" t="s">
        <v>1224</v>
      </c>
      <c r="B5" s="68" t="s">
        <v>1225</v>
      </c>
      <c r="C5" s="68" t="s">
        <v>1226</v>
      </c>
      <c r="D5" s="68" t="s">
        <v>1227</v>
      </c>
      <c r="E5" s="68" t="s">
        <v>1228</v>
      </c>
      <c r="F5" s="68" t="s">
        <v>7</v>
      </c>
      <c r="G5" s="68" t="s">
        <v>6</v>
      </c>
      <c r="H5" s="68" t="s">
        <v>1229</v>
      </c>
      <c r="I5" s="68" t="s">
        <v>1230</v>
      </c>
      <c r="J5" s="68" t="s">
        <v>1231</v>
      </c>
      <c r="K5" s="68" t="s">
        <v>1169</v>
      </c>
      <c r="L5" s="68" t="s">
        <v>1170</v>
      </c>
      <c r="M5" s="68" t="s">
        <v>1171</v>
      </c>
      <c r="N5" s="68" t="s">
        <v>1172</v>
      </c>
      <c r="O5" s="68" t="s">
        <v>1173</v>
      </c>
      <c r="P5" s="68" t="s">
        <v>1174</v>
      </c>
      <c r="Q5" s="68" t="s">
        <v>1232</v>
      </c>
      <c r="R5" s="68" t="s">
        <v>1233</v>
      </c>
      <c r="S5" s="68" t="s">
        <v>1234</v>
      </c>
      <c r="T5" s="68" t="s">
        <v>1235</v>
      </c>
      <c r="U5" s="68" t="s">
        <v>1236</v>
      </c>
      <c r="V5" s="68" t="s">
        <v>1237</v>
      </c>
      <c r="W5" s="68" t="s">
        <v>1238</v>
      </c>
      <c r="X5" s="68" t="s">
        <v>1239</v>
      </c>
      <c r="Y5" s="68" t="s">
        <v>1240</v>
      </c>
      <c r="Z5" s="68" t="s">
        <v>1241</v>
      </c>
      <c r="AA5" s="68" t="s">
        <v>1242</v>
      </c>
      <c r="AB5" s="68" t="s">
        <v>1243</v>
      </c>
      <c r="AC5" s="68" t="s">
        <v>1244</v>
      </c>
      <c r="AD5" s="68" t="s">
        <v>1245</v>
      </c>
      <c r="AE5" s="68" t="s">
        <v>1246</v>
      </c>
      <c r="AF5" s="68" t="s">
        <v>1247</v>
      </c>
      <c r="AG5" s="68" t="s">
        <v>1248</v>
      </c>
      <c r="AH5" s="68" t="s">
        <v>1249</v>
      </c>
      <c r="AI5" s="68" t="s">
        <v>1250</v>
      </c>
      <c r="AJ5" s="68" t="s">
        <v>1251</v>
      </c>
      <c r="AK5" s="68" t="s">
        <v>1252</v>
      </c>
      <c r="AL5" s="68" t="s">
        <v>1253</v>
      </c>
      <c r="AM5" s="68" t="s">
        <v>1177</v>
      </c>
      <c r="AN5" s="68" t="s">
        <v>1254</v>
      </c>
      <c r="AO5" s="68" t="s">
        <v>1255</v>
      </c>
      <c r="AP5" s="68" t="s">
        <v>1256</v>
      </c>
      <c r="AQ5" s="68" t="s">
        <v>1257</v>
      </c>
      <c r="AR5" s="68" t="s">
        <v>1258</v>
      </c>
      <c r="AS5" s="68" t="s">
        <v>1259</v>
      </c>
      <c r="AT5" s="68" t="s">
        <v>1260</v>
      </c>
      <c r="AU5" s="68" t="s">
        <v>1261</v>
      </c>
      <c r="AV5" s="68" t="s">
        <v>28</v>
      </c>
      <c r="AW5" s="68" t="s">
        <v>1262</v>
      </c>
      <c r="AX5" s="68" t="s">
        <v>1181</v>
      </c>
      <c r="AY5" s="68" t="s">
        <v>1263</v>
      </c>
      <c r="AZ5" s="68" t="s">
        <v>1182</v>
      </c>
      <c r="BA5" s="68" t="s">
        <v>1264</v>
      </c>
      <c r="BB5" s="68" t="s">
        <v>1265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305</v>
      </c>
      <c r="BI5" t="s">
        <v>1266</v>
      </c>
      <c r="BJ5" t="s">
        <v>1267</v>
      </c>
      <c r="BK5" t="s">
        <v>1268</v>
      </c>
      <c r="BL5" t="s">
        <v>898</v>
      </c>
      <c r="BM5" t="s">
        <v>1269</v>
      </c>
      <c r="BN5" t="s">
        <v>898</v>
      </c>
      <c r="BO5" t="s">
        <v>1270</v>
      </c>
      <c r="BP5" t="s">
        <v>898</v>
      </c>
      <c r="BQ5" t="s">
        <v>1219</v>
      </c>
      <c r="BV5" t="s">
        <v>1271</v>
      </c>
      <c r="BW5" t="s">
        <v>1272</v>
      </c>
      <c r="BX5" t="s">
        <v>1273</v>
      </c>
      <c r="BY5" t="s">
        <v>1274</v>
      </c>
    </row>
    <row r="6" spans="1:77" ht="42">
      <c r="A6" s="69" t="s">
        <v>1275</v>
      </c>
      <c r="B6" s="69" t="s">
        <v>1276</v>
      </c>
      <c r="C6" s="69"/>
      <c r="D6" s="69"/>
      <c r="E6" s="69" t="s">
        <v>1277</v>
      </c>
      <c r="F6" s="69" t="s">
        <v>1278</v>
      </c>
      <c r="G6" s="69" t="s">
        <v>1279</v>
      </c>
      <c r="H6" s="69" t="s">
        <v>1185</v>
      </c>
      <c r="I6" s="69" t="s">
        <v>1280</v>
      </c>
      <c r="J6" s="69" t="s">
        <v>1200</v>
      </c>
      <c r="K6" s="69" t="s">
        <v>1215</v>
      </c>
      <c r="L6" s="69" t="s">
        <v>894</v>
      </c>
      <c r="M6" s="69" t="s">
        <v>1312</v>
      </c>
      <c r="N6" s="69" t="s">
        <v>894</v>
      </c>
      <c r="O6" s="69" t="s">
        <v>1217</v>
      </c>
      <c r="P6" s="69" t="s">
        <v>894</v>
      </c>
      <c r="Q6" s="70" t="s">
        <v>1190</v>
      </c>
      <c r="R6" s="70" t="s">
        <v>1205</v>
      </c>
      <c r="S6" s="70" t="s">
        <v>1205</v>
      </c>
      <c r="T6" s="70" t="s">
        <v>1205</v>
      </c>
      <c r="U6" s="70" t="s">
        <v>1205</v>
      </c>
      <c r="V6" s="70" t="s">
        <v>1205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Tidak ada faktor rentan</v>
      </c>
      <c r="Y6" s="70" t="str">
        <f>IF(COUNTIF(R6:V6,"Belum Dinilai")&gt;0,"Belum Dinilai",IF(COUNTIF(R6:V6,"Ya")=0,"Tidak Ada Faktor Rentan",IF(COUNTIF(R6:V6,"Ya")=1,"1 Faktor Rentan","2 atau Lebih Faktor Rentan")))</f>
        <v>Tidak Ada Faktor Rentan</v>
      </c>
      <c r="Z6" s="74">
        <f>IF(OR(Q6="",Q6="Belum Dinilai"),"",IF(Q6="Terverifikasi DTKS/P3KE/MBR",10,IF(Q6="Diusulkan, Belum Terverifikasi",5,0)))</f>
        <v>10</v>
      </c>
      <c r="AA6" s="74">
        <f>IF(COUNTIF(R6:V6,"Belum Dinilai")&gt;0,"",IF(COUNTIF(R6:V6,"Ya")=0,0,IF(COUNTIF(R6:V6,"Ya")=1,5,10)))</f>
        <v>0</v>
      </c>
      <c r="AB6" s="74">
        <f>IF(OR(Z6="",AA6=""),"",Z6+AA6)</f>
        <v>10</v>
      </c>
      <c r="AC6" s="71" t="s">
        <v>1205</v>
      </c>
      <c r="AD6" s="71" t="s">
        <v>1205</v>
      </c>
      <c r="AE6" s="71" t="s">
        <v>1205</v>
      </c>
      <c r="AF6" s="71" t="s">
        <v>1205</v>
      </c>
      <c r="AG6" s="71" t="s">
        <v>1205</v>
      </c>
      <c r="AH6" s="71" t="s">
        <v>1191</v>
      </c>
      <c r="AI6" s="71" t="s">
        <v>1191</v>
      </c>
      <c r="AJ6" s="71" t="s">
        <v>1205</v>
      </c>
      <c r="AK6" s="71" t="s">
        <v>1205</v>
      </c>
      <c r="AL6" s="71"/>
      <c r="AM6" s="71" t="s">
        <v>1219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 xml:space="preserve">Instalasi listrik berbahaya; Komponen bangunan lepas atau lapuk; </v>
      </c>
      <c r="AO6" s="71" t="str">
        <f>IF(AR6="","Belum Dinilai",IF(AR6=10,"Risiko Tinggi/Darurat",IF(AR6=5,"Risiko Sedang","Tidak Ada Risiko Khusus")))</f>
        <v>Risiko Tinggi/Darurat</v>
      </c>
      <c r="AP6" s="71"/>
      <c r="AQ6" s="75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>22</v>
      </c>
      <c r="AR6" s="75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>10</v>
      </c>
      <c r="AS6" s="75">
        <f>IF(OR(AQ6="",AB6="",AR6=""),"",AQ6+AB6+AR6)</f>
        <v>42</v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Tinggi</v>
      </c>
      <c r="AU6" s="69" t="s">
        <v>1193</v>
      </c>
      <c r="AV6" s="69" t="s">
        <v>1208</v>
      </c>
      <c r="AW6" s="69" t="s">
        <v>1194</v>
      </c>
      <c r="AX6" s="69"/>
      <c r="AY6" s="69"/>
      <c r="AZ6" s="69" t="s">
        <v>930</v>
      </c>
      <c r="BA6" s="69"/>
      <c r="BB6" s="76"/>
      <c r="BC6" s="77">
        <v>2026</v>
      </c>
      <c r="BD6" s="69" t="s">
        <v>1197</v>
      </c>
      <c r="BE6" s="76">
        <v>46218</v>
      </c>
      <c r="BF6" s="69" t="s">
        <v>1282</v>
      </c>
      <c r="BH6" t="s">
        <v>99</v>
      </c>
      <c r="BK6" t="s">
        <v>1283</v>
      </c>
      <c r="BL6" t="s">
        <v>1284</v>
      </c>
      <c r="BM6" t="s">
        <v>1270</v>
      </c>
      <c r="BN6" t="s">
        <v>1284</v>
      </c>
      <c r="BO6" t="s">
        <v>1285</v>
      </c>
      <c r="BP6" t="s">
        <v>1286</v>
      </c>
      <c r="BW6" t="s">
        <v>1287</v>
      </c>
      <c r="BX6" t="s">
        <v>930</v>
      </c>
      <c r="BY6" t="s">
        <v>1288</v>
      </c>
    </row>
    <row r="7" spans="1:77" ht="28">
      <c r="A7" s="69" t="s">
        <v>1289</v>
      </c>
      <c r="B7" s="69" t="s">
        <v>1290</v>
      </c>
      <c r="C7" s="69"/>
      <c r="D7" s="69"/>
      <c r="E7" s="69" t="s">
        <v>1291</v>
      </c>
      <c r="F7" s="69" t="s">
        <v>1292</v>
      </c>
      <c r="G7" s="69" t="s">
        <v>1293</v>
      </c>
      <c r="H7" s="69" t="s">
        <v>1185</v>
      </c>
      <c r="I7" s="69" t="s">
        <v>1294</v>
      </c>
      <c r="J7" s="69" t="s">
        <v>1214</v>
      </c>
      <c r="K7" s="69" t="s">
        <v>1215</v>
      </c>
      <c r="L7" s="69" t="s">
        <v>894</v>
      </c>
      <c r="M7" s="69" t="s">
        <v>1270</v>
      </c>
      <c r="N7" s="69" t="s">
        <v>894</v>
      </c>
      <c r="O7" s="69" t="s">
        <v>1217</v>
      </c>
      <c r="P7" s="69" t="s">
        <v>894</v>
      </c>
      <c r="Q7" s="70" t="s">
        <v>1190</v>
      </c>
      <c r="R7" s="70" t="s">
        <v>1205</v>
      </c>
      <c r="S7" s="70" t="s">
        <v>1205</v>
      </c>
      <c r="T7" s="70" t="s">
        <v>1205</v>
      </c>
      <c r="U7" s="70" t="s">
        <v>1191</v>
      </c>
      <c r="V7" s="70" t="s">
        <v>1205</v>
      </c>
      <c r="W7" s="70"/>
      <c r="X7" s="70" t="str">
        <f t="shared" si="0"/>
        <v xml:space="preserve">Balita; </v>
      </c>
      <c r="Y7" s="70" t="str">
        <f>IF(COUNTIF(R7:V7,"Belum Dinilai")&gt;0,"Belum Dinilai",IF(COUNTIF(R7:V7,"Ya")=0,"Tidak Ada Faktor Rentan",IF(COUNTIF(R7:V7,"Ya")=1,"1 Faktor Rentan","2 atau Lebih Faktor Rentan")))</f>
        <v>1 Faktor Rentan</v>
      </c>
      <c r="Z7" s="74">
        <f t="shared" ref="Z7:Z70" si="2">IF(OR(Q7="",Q7="Belum Dinilai"),"",IF(Q7="Terverifikasi DTKS/P3KE/MBR",10,IF(Q7="Diusulkan, Belum Terverifikasi",5,0)))</f>
        <v>10</v>
      </c>
      <c r="AA7" s="74">
        <f t="shared" ref="AA7:AA70" si="3">IF(COUNTIF(R7:V7,"Belum Dinilai")&gt;0,"",IF(COUNTIF(R7:V7,"Ya")=0,0,IF(COUNTIF(R7:V7,"Ya")=1,5,10)))</f>
        <v>5</v>
      </c>
      <c r="AB7" s="74">
        <f t="shared" ref="AB7:AB70" si="4">IF(OR(Z7="",AA7=""),"",Z7+AA7)</f>
        <v>15</v>
      </c>
      <c r="AC7" s="71" t="s">
        <v>1205</v>
      </c>
      <c r="AD7" s="71" t="s">
        <v>1205</v>
      </c>
      <c r="AE7" s="71" t="s">
        <v>1205</v>
      </c>
      <c r="AF7" s="71" t="s">
        <v>1205</v>
      </c>
      <c r="AG7" s="71" t="s">
        <v>1205</v>
      </c>
      <c r="AH7" s="71" t="s">
        <v>1191</v>
      </c>
      <c r="AI7" s="71" t="s">
        <v>1191</v>
      </c>
      <c r="AJ7" s="71" t="s">
        <v>1205</v>
      </c>
      <c r="AK7" s="71" t="s">
        <v>1205</v>
      </c>
      <c r="AL7" s="71"/>
      <c r="AM7" s="71" t="s">
        <v>1219</v>
      </c>
      <c r="AN7" s="71" t="str">
        <f t="shared" si="1"/>
        <v xml:space="preserve">Instalasi listrik berbahaya; Komponen bangunan lepas atau lapuk; </v>
      </c>
      <c r="AO7" s="71" t="str">
        <f>IF(AR7="","Belum Dinilai",IF(AR7=10,"Risiko Tinggi/Darurat",IF(AR7=5,"Risiko Sedang","Tidak Ada Risiko Khusus")))</f>
        <v>Risiko Tinggi/Darurat</v>
      </c>
      <c r="AP7" s="71"/>
      <c r="AQ7" s="75">
        <f t="shared" ref="AQ7:AQ10" si="5">IF(OR(J7="",J7="Belum Dapat Ditentukan",L7="",L7="Belum Dinilai",N7="",N7="Belum Dinilai",P7="",P7="Belum Dinilai"),"",IF(J7="Permanen",0,IF(J7="Semipermanen",8,IF(J7="Nonpermanen",15,0)))+IF(L7="Baik",0,IF(L7="Rusak Ringan",5,IF(L7="Rusak Sedang",10,IF(L7="Rusak Berat",15,IF(L7="Tidak Ada/Terbuka",20,0)))))+IF(N7="Baik",0,IF(N7="Rusak Ringan",5,IF(N7="Rusak Sedang",10,IF(N7="Rusak Berat",15,IF(N7="Tidak Ada/Terbuka",20,0)))))+IF(P7="Baik",0,IF(P7="Rusak Ringan",4,IF(P7="Rusak Sedang",8,IF(P7="Rusak Berat",12,IF(P7="Tidak Layak",15,0))))))</f>
        <v>29</v>
      </c>
      <c r="AR7" s="75">
        <f t="shared" ref="AR7:AR10" si="6">IF(COUNTIF(AC7:AH7,"Ya")&gt;0,10,IF(COUNTIF(AI7:AK7,"Ya")&gt;=2,10,IF(COUNTIF(AI7:AK7,"Ya")=1,MAX(5,IF(AM7="Risiko Tinggi/Darurat",10,IF(AM7="Risiko Sedang",5,0))),IF(AL7&lt;&gt;"",IF(AM7="Risiko Tinggi/Darurat",10,IF(AM7="Risiko Sedang",5,"")),IF(COUNTIF(AC7:AK7,"Belum Dinilai")&gt;0,"",0)))))</f>
        <v>10</v>
      </c>
      <c r="AS7" s="75">
        <f t="shared" ref="AS7:AS10" si="7">IF(OR(AQ7="",AB7="",AR7=""),"",AQ7+AB7+AR7)</f>
        <v>54</v>
      </c>
      <c r="AT7" s="72" t="str">
        <f t="shared" ref="AT7:AT10" si="8">IF(AS7="","Belum Dapat Ditentukan",IF(AS7&gt;=80,"Sangat Tinggi",IF(OR(AO7="Risiko Tinggi/Darurat",(IF(L7="Rusak Berat",1,0)+IF(L7="Tidak Ada/Terbuka",1,0)+IF(N7="Rusak Berat",1,0)+IF(N7="Tidak Ada/Terbuka",1,0)+IF(P7="Rusak Berat",1,0)+IF(P7="Tidak Layak",1,0))&gt;=2),"Tinggi",IF(AS7&gt;=65,"Tinggi",IF(AS7&gt;=50,"Sedang","Rendah")))))</f>
        <v>Tinggi</v>
      </c>
      <c r="AU7" s="69" t="s">
        <v>1193</v>
      </c>
      <c r="AV7" s="69" t="s">
        <v>1208</v>
      </c>
      <c r="AW7" s="69" t="s">
        <v>1194</v>
      </c>
      <c r="AX7" s="69"/>
      <c r="AY7" s="69"/>
      <c r="AZ7" s="69" t="s">
        <v>930</v>
      </c>
      <c r="BA7" s="69"/>
      <c r="BB7" s="76"/>
      <c r="BC7" s="77">
        <v>2026</v>
      </c>
      <c r="BD7" s="69" t="s">
        <v>1197</v>
      </c>
      <c r="BE7" s="76">
        <v>46218</v>
      </c>
      <c r="BF7" s="69" t="s">
        <v>1282</v>
      </c>
      <c r="BH7" t="s">
        <v>811</v>
      </c>
      <c r="BK7" t="s">
        <v>1295</v>
      </c>
      <c r="BL7" t="s">
        <v>1219</v>
      </c>
      <c r="BM7" t="s">
        <v>1296</v>
      </c>
      <c r="BN7" t="s">
        <v>1219</v>
      </c>
      <c r="BO7" t="s">
        <v>1297</v>
      </c>
      <c r="BP7" t="s">
        <v>1219</v>
      </c>
      <c r="BW7" t="s">
        <v>1298</v>
      </c>
    </row>
    <row r="8" spans="1:77" ht="28">
      <c r="A8" s="69" t="s">
        <v>1299</v>
      </c>
      <c r="B8" s="69" t="s">
        <v>1300</v>
      </c>
      <c r="C8" s="69"/>
      <c r="D8" s="69"/>
      <c r="E8" s="69" t="s">
        <v>1301</v>
      </c>
      <c r="F8" s="69" t="s">
        <v>1292</v>
      </c>
      <c r="G8" s="69" t="s">
        <v>1293</v>
      </c>
      <c r="H8" s="69" t="s">
        <v>1185</v>
      </c>
      <c r="I8" s="69" t="s">
        <v>1302</v>
      </c>
      <c r="J8" s="69" t="s">
        <v>1214</v>
      </c>
      <c r="K8" s="69" t="s">
        <v>1201</v>
      </c>
      <c r="L8" s="69" t="s">
        <v>908</v>
      </c>
      <c r="M8" s="69" t="s">
        <v>1270</v>
      </c>
      <c r="N8" s="69" t="s">
        <v>908</v>
      </c>
      <c r="O8" s="69" t="s">
        <v>1281</v>
      </c>
      <c r="P8" s="69" t="s">
        <v>1219</v>
      </c>
      <c r="Q8" s="70" t="s">
        <v>1219</v>
      </c>
      <c r="R8" s="70" t="s">
        <v>1219</v>
      </c>
      <c r="S8" s="70" t="s">
        <v>1219</v>
      </c>
      <c r="T8" s="70" t="s">
        <v>1219</v>
      </c>
      <c r="U8" s="70" t="s">
        <v>1219</v>
      </c>
      <c r="V8" s="70" t="s">
        <v>1219</v>
      </c>
      <c r="W8" s="70"/>
      <c r="X8" s="70" t="str">
        <f t="shared" si="0"/>
        <v>Belum Dinilai</v>
      </c>
      <c r="Y8" s="70" t="s">
        <v>1219</v>
      </c>
      <c r="Z8" s="74" t="str">
        <f t="shared" si="2"/>
        <v/>
      </c>
      <c r="AA8" s="74" t="str">
        <f t="shared" si="3"/>
        <v/>
      </c>
      <c r="AB8" s="74" t="str">
        <f t="shared" si="4"/>
        <v/>
      </c>
      <c r="AC8" s="71" t="s">
        <v>1219</v>
      </c>
      <c r="AD8" s="71" t="s">
        <v>1219</v>
      </c>
      <c r="AE8" s="71" t="s">
        <v>1219</v>
      </c>
      <c r="AF8" s="71" t="s">
        <v>1219</v>
      </c>
      <c r="AG8" s="71" t="s">
        <v>1219</v>
      </c>
      <c r="AH8" s="71" t="s">
        <v>1219</v>
      </c>
      <c r="AI8" s="71" t="s">
        <v>1219</v>
      </c>
      <c r="AJ8" s="71" t="s">
        <v>1219</v>
      </c>
      <c r="AK8" s="71" t="s">
        <v>1219</v>
      </c>
      <c r="AL8" s="71"/>
      <c r="AM8" s="71" t="s">
        <v>1219</v>
      </c>
      <c r="AN8" s="71" t="str">
        <f t="shared" si="1"/>
        <v>Belum Dinilai</v>
      </c>
      <c r="AO8" s="71" t="str">
        <f t="shared" ref="AO7:AO70" si="9">IF(AR8="","Belum Dinilai",IF(AR8=10,"Risiko Tinggi/Darurat",IF(AR8=5,"Risiko Sedang","Tidak Ada Risiko Khusus")))</f>
        <v>Belum Dinilai</v>
      </c>
      <c r="AP8" s="71"/>
      <c r="AQ8" s="75" t="str">
        <f t="shared" si="5"/>
        <v/>
      </c>
      <c r="AR8" s="75" t="str">
        <f t="shared" si="6"/>
        <v/>
      </c>
      <c r="AS8" s="75" t="str">
        <f t="shared" si="7"/>
        <v/>
      </c>
      <c r="AT8" s="72" t="str">
        <f t="shared" si="8"/>
        <v>Belum Dapat Ditentukan</v>
      </c>
      <c r="AU8" s="69" t="s">
        <v>1193</v>
      </c>
      <c r="AV8" s="69" t="s">
        <v>1208</v>
      </c>
      <c r="AW8" s="69" t="s">
        <v>1271</v>
      </c>
      <c r="AX8" s="69" t="s">
        <v>1210</v>
      </c>
      <c r="AY8" s="69">
        <v>2023</v>
      </c>
      <c r="AZ8" s="69" t="s">
        <v>930</v>
      </c>
      <c r="BA8" s="69"/>
      <c r="BB8" s="76"/>
      <c r="BC8" s="77">
        <v>2026</v>
      </c>
      <c r="BD8" s="69" t="s">
        <v>1197</v>
      </c>
      <c r="BE8" s="76">
        <v>46218</v>
      </c>
      <c r="BF8" s="69" t="s">
        <v>1282</v>
      </c>
      <c r="BH8" t="s">
        <v>863</v>
      </c>
      <c r="BK8" t="s">
        <v>1303</v>
      </c>
      <c r="BM8" t="s">
        <v>1201</v>
      </c>
      <c r="BO8" t="s">
        <v>1304</v>
      </c>
      <c r="BW8" t="s">
        <v>1305</v>
      </c>
    </row>
    <row r="9" spans="1:77" ht="28">
      <c r="A9" s="69" t="s">
        <v>1306</v>
      </c>
      <c r="B9" s="69" t="s">
        <v>1307</v>
      </c>
      <c r="C9" s="69"/>
      <c r="D9" s="69"/>
      <c r="E9" s="69" t="s">
        <v>1308</v>
      </c>
      <c r="F9" s="69" t="s">
        <v>1309</v>
      </c>
      <c r="G9" s="69" t="s">
        <v>1279</v>
      </c>
      <c r="H9" s="69" t="s">
        <v>1185</v>
      </c>
      <c r="I9" s="69" t="s">
        <v>1310</v>
      </c>
      <c r="J9" s="69" t="s">
        <v>1200</v>
      </c>
      <c r="K9" s="69" t="s">
        <v>1201</v>
      </c>
      <c r="L9" s="69" t="s">
        <v>894</v>
      </c>
      <c r="M9" s="69" t="s">
        <v>1270</v>
      </c>
      <c r="N9" s="69" t="s">
        <v>894</v>
      </c>
      <c r="O9" s="69" t="s">
        <v>1281</v>
      </c>
      <c r="P9" s="69" t="s">
        <v>1219</v>
      </c>
      <c r="Q9" s="70" t="s">
        <v>1219</v>
      </c>
      <c r="R9" s="70" t="s">
        <v>1219</v>
      </c>
      <c r="S9" s="70" t="s">
        <v>1219</v>
      </c>
      <c r="T9" s="70" t="s">
        <v>1219</v>
      </c>
      <c r="U9" s="70" t="s">
        <v>1219</v>
      </c>
      <c r="V9" s="70" t="s">
        <v>1219</v>
      </c>
      <c r="W9" s="70"/>
      <c r="X9" s="70" t="str">
        <f t="shared" si="0"/>
        <v>Belum Dinilai</v>
      </c>
      <c r="Y9" s="70" t="s">
        <v>1219</v>
      </c>
      <c r="Z9" s="74" t="str">
        <f t="shared" si="2"/>
        <v/>
      </c>
      <c r="AA9" s="74" t="str">
        <f t="shared" si="3"/>
        <v/>
      </c>
      <c r="AB9" s="74" t="str">
        <f t="shared" si="4"/>
        <v/>
      </c>
      <c r="AC9" s="71" t="s">
        <v>1219</v>
      </c>
      <c r="AD9" s="71" t="s">
        <v>1219</v>
      </c>
      <c r="AE9" s="71" t="s">
        <v>1219</v>
      </c>
      <c r="AF9" s="71" t="s">
        <v>1219</v>
      </c>
      <c r="AG9" s="71" t="s">
        <v>1219</v>
      </c>
      <c r="AH9" s="71" t="s">
        <v>1219</v>
      </c>
      <c r="AI9" s="71" t="s">
        <v>1219</v>
      </c>
      <c r="AJ9" s="71" t="s">
        <v>1219</v>
      </c>
      <c r="AK9" s="71" t="s">
        <v>1219</v>
      </c>
      <c r="AL9" s="71"/>
      <c r="AM9" s="71" t="s">
        <v>1219</v>
      </c>
      <c r="AN9" s="71" t="str">
        <f t="shared" si="1"/>
        <v>Belum Dinilai</v>
      </c>
      <c r="AO9" s="71" t="str">
        <f t="shared" si="9"/>
        <v>Belum Dinilai</v>
      </c>
      <c r="AP9" s="71"/>
      <c r="AQ9" s="75" t="str">
        <f t="shared" si="5"/>
        <v/>
      </c>
      <c r="AR9" s="75" t="str">
        <f t="shared" si="6"/>
        <v/>
      </c>
      <c r="AS9" s="75" t="str">
        <f t="shared" si="7"/>
        <v/>
      </c>
      <c r="AT9" s="72" t="str">
        <f t="shared" si="8"/>
        <v>Belum Dapat Ditentukan</v>
      </c>
      <c r="AU9" s="69" t="s">
        <v>1207</v>
      </c>
      <c r="AV9" s="69" t="s">
        <v>1208</v>
      </c>
      <c r="AW9" s="69" t="s">
        <v>1194</v>
      </c>
      <c r="AX9" s="69"/>
      <c r="AY9" s="69"/>
      <c r="AZ9" s="69" t="s">
        <v>930</v>
      </c>
      <c r="BA9" s="69"/>
      <c r="BB9" s="76"/>
      <c r="BC9" s="77">
        <v>2026</v>
      </c>
      <c r="BD9" s="69" t="s">
        <v>1197</v>
      </c>
      <c r="BE9" s="76">
        <v>46218</v>
      </c>
      <c r="BF9" s="69" t="s">
        <v>1282</v>
      </c>
      <c r="BH9" t="s">
        <v>1311</v>
      </c>
      <c r="BK9" t="s">
        <v>1297</v>
      </c>
      <c r="BM9" t="s">
        <v>1312</v>
      </c>
      <c r="BO9" t="s">
        <v>1288</v>
      </c>
      <c r="BW9" t="s">
        <v>1288</v>
      </c>
    </row>
    <row r="10" spans="1:77" ht="42">
      <c r="A10" s="69" t="s">
        <v>1313</v>
      </c>
      <c r="B10" s="69" t="s">
        <v>1314</v>
      </c>
      <c r="C10" s="69"/>
      <c r="D10" s="69"/>
      <c r="E10" s="69" t="s">
        <v>1315</v>
      </c>
      <c r="F10" s="69" t="s">
        <v>1316</v>
      </c>
      <c r="G10" s="69" t="s">
        <v>1317</v>
      </c>
      <c r="H10" s="69" t="s">
        <v>1199</v>
      </c>
      <c r="I10" s="69" t="s">
        <v>1318</v>
      </c>
      <c r="J10" s="69" t="s">
        <v>1186</v>
      </c>
      <c r="K10" s="69" t="s">
        <v>1281</v>
      </c>
      <c r="L10" s="69" t="s">
        <v>1219</v>
      </c>
      <c r="M10" s="69" t="s">
        <v>1269</v>
      </c>
      <c r="N10" s="69" t="s">
        <v>1219</v>
      </c>
      <c r="O10" s="69" t="s">
        <v>1281</v>
      </c>
      <c r="P10" s="69" t="s">
        <v>1219</v>
      </c>
      <c r="Q10" s="70" t="s">
        <v>1219</v>
      </c>
      <c r="R10" s="70" t="s">
        <v>1219</v>
      </c>
      <c r="S10" s="70" t="s">
        <v>1219</v>
      </c>
      <c r="T10" s="70" t="s">
        <v>1219</v>
      </c>
      <c r="U10" s="70" t="s">
        <v>1219</v>
      </c>
      <c r="V10" s="70" t="s">
        <v>1219</v>
      </c>
      <c r="W10" s="70"/>
      <c r="X10" s="70" t="str">
        <f t="shared" si="0"/>
        <v>Belum Dinilai</v>
      </c>
      <c r="Y10" s="70" t="s">
        <v>1219</v>
      </c>
      <c r="Z10" s="74" t="str">
        <f t="shared" si="2"/>
        <v/>
      </c>
      <c r="AA10" s="74" t="str">
        <f t="shared" si="3"/>
        <v/>
      </c>
      <c r="AB10" s="74" t="str">
        <f t="shared" si="4"/>
        <v/>
      </c>
      <c r="AC10" s="71" t="s">
        <v>1219</v>
      </c>
      <c r="AD10" s="71" t="s">
        <v>1219</v>
      </c>
      <c r="AE10" s="71" t="s">
        <v>1219</v>
      </c>
      <c r="AF10" s="71" t="s">
        <v>1219</v>
      </c>
      <c r="AG10" s="71" t="s">
        <v>1219</v>
      </c>
      <c r="AH10" s="71" t="s">
        <v>1219</v>
      </c>
      <c r="AI10" s="71" t="s">
        <v>1219</v>
      </c>
      <c r="AJ10" s="71" t="s">
        <v>1219</v>
      </c>
      <c r="AK10" s="71" t="s">
        <v>1219</v>
      </c>
      <c r="AL10" s="71"/>
      <c r="AM10" s="71" t="s">
        <v>1219</v>
      </c>
      <c r="AN10" s="71" t="str">
        <f t="shared" si="1"/>
        <v>Belum Dinilai</v>
      </c>
      <c r="AO10" s="71" t="str">
        <f t="shared" si="9"/>
        <v>Belum Dinilai</v>
      </c>
      <c r="AP10" s="71"/>
      <c r="AQ10" s="75" t="str">
        <f t="shared" si="5"/>
        <v/>
      </c>
      <c r="AR10" s="75" t="str">
        <f t="shared" si="6"/>
        <v/>
      </c>
      <c r="AS10" s="75" t="str">
        <f t="shared" si="7"/>
        <v/>
      </c>
      <c r="AT10" s="72" t="str">
        <f t="shared" si="8"/>
        <v>Belum Dapat Ditentukan</v>
      </c>
      <c r="AU10" s="69" t="s">
        <v>1193</v>
      </c>
      <c r="AV10" s="69" t="s">
        <v>1208</v>
      </c>
      <c r="AW10" s="69" t="s">
        <v>1194</v>
      </c>
      <c r="AX10" s="69"/>
      <c r="AY10" s="69"/>
      <c r="AZ10" s="69" t="s">
        <v>930</v>
      </c>
      <c r="BA10" s="69"/>
      <c r="BB10" s="76"/>
      <c r="BC10" s="77">
        <v>2026</v>
      </c>
      <c r="BD10" s="69" t="s">
        <v>1197</v>
      </c>
      <c r="BE10" s="76">
        <v>46218</v>
      </c>
      <c r="BF10" s="69" t="s">
        <v>1282</v>
      </c>
      <c r="BK10" t="s">
        <v>1288</v>
      </c>
      <c r="BM10" t="s">
        <v>1304</v>
      </c>
      <c r="BO10" t="s">
        <v>1281</v>
      </c>
    </row>
    <row r="11" spans="1:77" ht="42">
      <c r="A11" s="69" t="s">
        <v>1319</v>
      </c>
      <c r="B11" s="69" t="s">
        <v>1320</v>
      </c>
      <c r="C11" s="69"/>
      <c r="D11" s="69"/>
      <c r="E11" s="69" t="s">
        <v>1321</v>
      </c>
      <c r="F11" s="69" t="s">
        <v>1322</v>
      </c>
      <c r="G11" s="69" t="s">
        <v>1293</v>
      </c>
      <c r="H11" s="69" t="s">
        <v>1185</v>
      </c>
      <c r="I11" s="69" t="s">
        <v>1280</v>
      </c>
      <c r="J11" s="69" t="s">
        <v>1200</v>
      </c>
      <c r="K11" s="69" t="s">
        <v>1215</v>
      </c>
      <c r="L11" s="69" t="s">
        <v>1219</v>
      </c>
      <c r="M11" s="69" t="s">
        <v>1270</v>
      </c>
      <c r="N11" s="69" t="s">
        <v>1219</v>
      </c>
      <c r="O11" s="69" t="s">
        <v>1281</v>
      </c>
      <c r="P11" s="69" t="s">
        <v>1219</v>
      </c>
      <c r="Q11" s="70" t="s">
        <v>1219</v>
      </c>
      <c r="R11" s="70" t="s">
        <v>1219</v>
      </c>
      <c r="S11" s="70" t="s">
        <v>1219</v>
      </c>
      <c r="T11" s="70" t="s">
        <v>1219</v>
      </c>
      <c r="U11" s="70" t="s">
        <v>1219</v>
      </c>
      <c r="V11" s="70" t="s">
        <v>1219</v>
      </c>
      <c r="W11" s="70"/>
      <c r="X11" s="70" t="str">
        <f t="shared" si="0"/>
        <v>Belum Dinilai</v>
      </c>
      <c r="Y11" s="70" t="s">
        <v>1219</v>
      </c>
      <c r="Z11" s="74" t="str">
        <f t="shared" si="2"/>
        <v/>
      </c>
      <c r="AA11" s="74" t="str">
        <f t="shared" si="3"/>
        <v/>
      </c>
      <c r="AB11" s="74" t="str">
        <f t="shared" si="4"/>
        <v/>
      </c>
      <c r="AC11" s="71" t="s">
        <v>1219</v>
      </c>
      <c r="AD11" s="71" t="s">
        <v>1219</v>
      </c>
      <c r="AE11" s="71" t="s">
        <v>1219</v>
      </c>
      <c r="AF11" s="71" t="s">
        <v>1219</v>
      </c>
      <c r="AG11" s="71" t="s">
        <v>1219</v>
      </c>
      <c r="AH11" s="71" t="s">
        <v>1219</v>
      </c>
      <c r="AI11" s="71" t="s">
        <v>1219</v>
      </c>
      <c r="AJ11" s="71" t="s">
        <v>1219</v>
      </c>
      <c r="AK11" s="71" t="s">
        <v>1219</v>
      </c>
      <c r="AL11" s="71"/>
      <c r="AM11" s="71" t="s">
        <v>1219</v>
      </c>
      <c r="AN11" s="71" t="str">
        <f t="shared" si="1"/>
        <v>Belum Dinilai</v>
      </c>
      <c r="AO11" s="71" t="str">
        <f t="shared" si="9"/>
        <v>Belum Dinilai</v>
      </c>
      <c r="AP11" s="71"/>
      <c r="AQ11" s="75" t="str">
        <f t="shared" ref="AQ11:AQ74" si="10">IF(OR(J11="",J11="Belum Dapat Ditentukan",L11="",L11="Belum Dinilai",N11="",N11="Belum Dinilai",P11="",P11="Belum Dinilai"),"",IF(J11="Permanen",0,IF(J11="Semipermanen",8,IF(J11="Nonpermanen",15,0)))+IF(L11="Baik",0,IF(L11="Rusak Ringan",5,IF(L11="Rusak Sedang",10,IF(L11="Rusak Berat",15,IF(L11="Tidak Ada/Terbuka",20,0)))))+IF(N11="Baik",0,IF(N11="Rusak Ringan",5,IF(N11="Rusak Sedang",10,IF(N11="Rusak Berat",15,IF(N11="Tidak Ada/Terbuka",20,0)))))+IF(P11="Baik",0,IF(P11="Rusak Ringan",4,IF(P11="Rusak Sedang",8,IF(P11="Rusak Berat",12,IF(P11="Tidak Layak",15,0))))))</f>
        <v/>
      </c>
      <c r="AR11" s="75" t="str">
        <f t="shared" ref="AR11:AR74" si="11">IF(COUNTIF(AC11:AH11,"Ya")&gt;0,10,IF(COUNTIF(AI11:AK11,"Ya")&gt;=2,10,IF(COUNTIF(AI11:AK11,"Ya")=1,MAX(5,IF(AM11="Risiko Tinggi/Darurat",10,IF(AM11="Risiko Sedang",5,0))),IF(AL11&lt;&gt;"",IF(AM11="Risiko Tinggi/Darurat",10,IF(AM11="Risiko Sedang",5,"")),IF(COUNTIF(AC11:AK11,"Belum Dinilai")&gt;0,"",0)))))</f>
        <v/>
      </c>
      <c r="AS11" s="75" t="str">
        <f t="shared" ref="AS11:AS74" si="12">IF(OR(AQ11="",AB11="",AR11=""),"",AQ11+AB11+AR11)</f>
        <v/>
      </c>
      <c r="AT11" s="72" t="str">
        <f t="shared" ref="AT11:AT74" si="13">IF(AS11="","Belum Dapat Ditentukan",IF(AS11&gt;=80,"Sangat Tinggi",IF(OR(AO11="Risiko Tinggi/Darurat",(IF(L11="Rusak Berat",1,0)+IF(L11="Tidak Ada/Terbuka",1,0)+IF(N11="Rusak Berat",1,0)+IF(N11="Tidak Ada/Terbuka",1,0)+IF(P11="Rusak Berat",1,0)+IF(P11="Tidak Layak",1,0))&gt;=2),"Tinggi",IF(AS11&gt;=65,"Tinggi",IF(AS11&gt;=50,"Sedang","Rendah")))))</f>
        <v>Belum Dapat Ditentukan</v>
      </c>
      <c r="AU11" s="69" t="s">
        <v>1193</v>
      </c>
      <c r="AV11" s="69" t="s">
        <v>1208</v>
      </c>
      <c r="AW11" s="69" t="s">
        <v>1271</v>
      </c>
      <c r="AX11" s="69" t="s">
        <v>1210</v>
      </c>
      <c r="AY11" s="69">
        <v>2023</v>
      </c>
      <c r="AZ11" s="69" t="s">
        <v>930</v>
      </c>
      <c r="BA11" s="69"/>
      <c r="BB11" s="76"/>
      <c r="BC11" s="77">
        <v>2026</v>
      </c>
      <c r="BD11" s="69" t="s">
        <v>1197</v>
      </c>
      <c r="BE11" s="76">
        <v>46218</v>
      </c>
      <c r="BF11" s="69" t="s">
        <v>1282</v>
      </c>
      <c r="BK11" t="s">
        <v>1281</v>
      </c>
      <c r="BM11" t="s">
        <v>1288</v>
      </c>
    </row>
    <row r="12" spans="1:77" ht="28">
      <c r="A12" s="69" t="s">
        <v>1323</v>
      </c>
      <c r="B12" s="69" t="s">
        <v>1324</v>
      </c>
      <c r="C12" s="69"/>
      <c r="D12" s="69"/>
      <c r="E12" s="69" t="s">
        <v>1325</v>
      </c>
      <c r="F12" s="69" t="s">
        <v>1326</v>
      </c>
      <c r="G12" s="69" t="s">
        <v>1293</v>
      </c>
      <c r="H12" s="69" t="s">
        <v>1185</v>
      </c>
      <c r="I12" s="69" t="s">
        <v>1327</v>
      </c>
      <c r="J12" s="69" t="s">
        <v>1267</v>
      </c>
      <c r="K12" s="69" t="s">
        <v>1281</v>
      </c>
      <c r="L12" s="69" t="s">
        <v>1219</v>
      </c>
      <c r="M12" s="69" t="s">
        <v>1281</v>
      </c>
      <c r="N12" s="69" t="s">
        <v>1219</v>
      </c>
      <c r="O12" s="69" t="s">
        <v>1281</v>
      </c>
      <c r="P12" s="69" t="s">
        <v>1219</v>
      </c>
      <c r="Q12" s="70" t="s">
        <v>1219</v>
      </c>
      <c r="R12" s="70" t="s">
        <v>1219</v>
      </c>
      <c r="S12" s="70" t="s">
        <v>1219</v>
      </c>
      <c r="T12" s="70" t="s">
        <v>1219</v>
      </c>
      <c r="U12" s="70" t="s">
        <v>1219</v>
      </c>
      <c r="V12" s="70" t="s">
        <v>1219</v>
      </c>
      <c r="W12" s="70"/>
      <c r="X12" s="70" t="str">
        <f t="shared" si="0"/>
        <v>Belum Dinilai</v>
      </c>
      <c r="Y12" s="70" t="s">
        <v>1219</v>
      </c>
      <c r="Z12" s="74" t="str">
        <f t="shared" si="2"/>
        <v/>
      </c>
      <c r="AA12" s="74" t="str">
        <f t="shared" si="3"/>
        <v/>
      </c>
      <c r="AB12" s="74" t="str">
        <f t="shared" si="4"/>
        <v/>
      </c>
      <c r="AC12" s="71" t="s">
        <v>1219</v>
      </c>
      <c r="AD12" s="71" t="s">
        <v>1219</v>
      </c>
      <c r="AE12" s="71" t="s">
        <v>1219</v>
      </c>
      <c r="AF12" s="71" t="s">
        <v>1219</v>
      </c>
      <c r="AG12" s="71" t="s">
        <v>1219</v>
      </c>
      <c r="AH12" s="71" t="s">
        <v>1219</v>
      </c>
      <c r="AI12" s="71" t="s">
        <v>1219</v>
      </c>
      <c r="AJ12" s="71" t="s">
        <v>1219</v>
      </c>
      <c r="AK12" s="71" t="s">
        <v>1219</v>
      </c>
      <c r="AL12" s="71"/>
      <c r="AM12" s="71" t="s">
        <v>1219</v>
      </c>
      <c r="AN12" s="71" t="str">
        <f t="shared" si="1"/>
        <v>Belum Dinilai</v>
      </c>
      <c r="AO12" s="71" t="str">
        <f t="shared" si="9"/>
        <v>Belum Dinilai</v>
      </c>
      <c r="AP12" s="71"/>
      <c r="AQ12" s="75" t="str">
        <f t="shared" si="10"/>
        <v/>
      </c>
      <c r="AR12" s="75" t="str">
        <f t="shared" si="11"/>
        <v/>
      </c>
      <c r="AS12" s="75" t="str">
        <f t="shared" si="12"/>
        <v/>
      </c>
      <c r="AT12" s="72" t="str">
        <f t="shared" si="13"/>
        <v>Belum Dapat Ditentukan</v>
      </c>
      <c r="AU12" s="69" t="s">
        <v>1193</v>
      </c>
      <c r="AV12" s="69" t="s">
        <v>1208</v>
      </c>
      <c r="AW12" s="69" t="s">
        <v>1194</v>
      </c>
      <c r="AX12" s="69"/>
      <c r="AY12" s="69"/>
      <c r="AZ12" s="69" t="s">
        <v>930</v>
      </c>
      <c r="BA12" s="69"/>
      <c r="BB12" s="76"/>
      <c r="BC12" s="77">
        <v>2026</v>
      </c>
      <c r="BD12" s="69" t="s">
        <v>1197</v>
      </c>
      <c r="BE12" s="76">
        <v>46218</v>
      </c>
      <c r="BF12" s="69" t="s">
        <v>1282</v>
      </c>
      <c r="BM12" t="s">
        <v>1281</v>
      </c>
    </row>
    <row r="13" spans="1:77" ht="28">
      <c r="A13" s="69" t="s">
        <v>1328</v>
      </c>
      <c r="B13" s="69" t="s">
        <v>1329</v>
      </c>
      <c r="C13" s="69"/>
      <c r="D13" s="69"/>
      <c r="E13" s="69" t="s">
        <v>1330</v>
      </c>
      <c r="F13" s="69" t="s">
        <v>1331</v>
      </c>
      <c r="G13" s="69" t="s">
        <v>1332</v>
      </c>
      <c r="H13" s="69" t="s">
        <v>1185</v>
      </c>
      <c r="I13" s="69" t="s">
        <v>1333</v>
      </c>
      <c r="J13" s="69" t="s">
        <v>1267</v>
      </c>
      <c r="K13" s="69" t="s">
        <v>1281</v>
      </c>
      <c r="L13" s="69" t="s">
        <v>898</v>
      </c>
      <c r="M13" s="69" t="s">
        <v>1281</v>
      </c>
      <c r="N13" s="69" t="s">
        <v>898</v>
      </c>
      <c r="O13" s="69" t="s">
        <v>1281</v>
      </c>
      <c r="P13" s="69" t="s">
        <v>1219</v>
      </c>
      <c r="Q13" s="70" t="s">
        <v>1219</v>
      </c>
      <c r="R13" s="70" t="s">
        <v>1219</v>
      </c>
      <c r="S13" s="70" t="s">
        <v>1219</v>
      </c>
      <c r="T13" s="70" t="s">
        <v>1219</v>
      </c>
      <c r="U13" s="70" t="s">
        <v>1219</v>
      </c>
      <c r="V13" s="70" t="s">
        <v>1219</v>
      </c>
      <c r="W13" s="70"/>
      <c r="X13" s="70" t="str">
        <f t="shared" si="0"/>
        <v>Belum Dinilai</v>
      </c>
      <c r="Y13" s="70" t="s">
        <v>1219</v>
      </c>
      <c r="Z13" s="74" t="str">
        <f t="shared" si="2"/>
        <v/>
      </c>
      <c r="AA13" s="74" t="str">
        <f t="shared" si="3"/>
        <v/>
      </c>
      <c r="AB13" s="74" t="str">
        <f t="shared" si="4"/>
        <v/>
      </c>
      <c r="AC13" s="71" t="s">
        <v>1219</v>
      </c>
      <c r="AD13" s="71" t="s">
        <v>1219</v>
      </c>
      <c r="AE13" s="71" t="s">
        <v>1219</v>
      </c>
      <c r="AF13" s="71" t="s">
        <v>1219</v>
      </c>
      <c r="AG13" s="71" t="s">
        <v>1219</v>
      </c>
      <c r="AH13" s="71" t="s">
        <v>1219</v>
      </c>
      <c r="AI13" s="71" t="s">
        <v>1219</v>
      </c>
      <c r="AJ13" s="71" t="s">
        <v>1219</v>
      </c>
      <c r="AK13" s="71" t="s">
        <v>1219</v>
      </c>
      <c r="AL13" s="71"/>
      <c r="AM13" s="71" t="s">
        <v>1219</v>
      </c>
      <c r="AN13" s="71" t="str">
        <f t="shared" si="1"/>
        <v>Belum Dinilai</v>
      </c>
      <c r="AO13" s="71" t="str">
        <f t="shared" si="9"/>
        <v>Belum Dinilai</v>
      </c>
      <c r="AP13" s="71"/>
      <c r="AQ13" s="75" t="str">
        <f t="shared" si="10"/>
        <v/>
      </c>
      <c r="AR13" s="75" t="str">
        <f t="shared" si="11"/>
        <v/>
      </c>
      <c r="AS13" s="75" t="str">
        <f t="shared" si="12"/>
        <v/>
      </c>
      <c r="AT13" s="72" t="str">
        <f t="shared" si="13"/>
        <v>Belum Dapat Ditentukan</v>
      </c>
      <c r="AU13" s="69" t="s">
        <v>1193</v>
      </c>
      <c r="AV13" s="69" t="s">
        <v>1208</v>
      </c>
      <c r="AW13" s="69" t="s">
        <v>1194</v>
      </c>
      <c r="AX13" s="69"/>
      <c r="AY13" s="69"/>
      <c r="AZ13" s="69" t="s">
        <v>930</v>
      </c>
      <c r="BA13" s="69"/>
      <c r="BB13" s="76"/>
      <c r="BC13" s="77">
        <v>2026</v>
      </c>
      <c r="BD13" s="69" t="s">
        <v>1197</v>
      </c>
      <c r="BE13" s="76">
        <v>46218</v>
      </c>
      <c r="BF13" s="69" t="s">
        <v>1282</v>
      </c>
    </row>
    <row r="14" spans="1:77" ht="28">
      <c r="A14" s="69" t="s">
        <v>1334</v>
      </c>
      <c r="B14" s="69" t="s">
        <v>1335</v>
      </c>
      <c r="C14" s="69"/>
      <c r="D14" s="69"/>
      <c r="E14" s="69" t="s">
        <v>1336</v>
      </c>
      <c r="F14" s="69" t="s">
        <v>1337</v>
      </c>
      <c r="G14" s="69" t="s">
        <v>1338</v>
      </c>
      <c r="H14" s="69" t="s">
        <v>1185</v>
      </c>
      <c r="I14" s="69" t="s">
        <v>1339</v>
      </c>
      <c r="J14" s="69" t="s">
        <v>1267</v>
      </c>
      <c r="K14" s="69" t="s">
        <v>1281</v>
      </c>
      <c r="L14" s="69" t="s">
        <v>1219</v>
      </c>
      <c r="M14" s="69" t="s">
        <v>1281</v>
      </c>
      <c r="N14" s="69" t="s">
        <v>1219</v>
      </c>
      <c r="O14" s="69" t="s">
        <v>1281</v>
      </c>
      <c r="P14" s="69" t="s">
        <v>1219</v>
      </c>
      <c r="Q14" s="70" t="s">
        <v>1219</v>
      </c>
      <c r="R14" s="70" t="s">
        <v>1219</v>
      </c>
      <c r="S14" s="70" t="s">
        <v>1219</v>
      </c>
      <c r="T14" s="70" t="s">
        <v>1219</v>
      </c>
      <c r="U14" s="70" t="s">
        <v>1219</v>
      </c>
      <c r="V14" s="70" t="s">
        <v>1219</v>
      </c>
      <c r="W14" s="70"/>
      <c r="X14" s="70" t="str">
        <f t="shared" si="0"/>
        <v>Belum Dinilai</v>
      </c>
      <c r="Y14" s="70" t="s">
        <v>1219</v>
      </c>
      <c r="Z14" s="74" t="str">
        <f t="shared" si="2"/>
        <v/>
      </c>
      <c r="AA14" s="74" t="str">
        <f t="shared" si="3"/>
        <v/>
      </c>
      <c r="AB14" s="74" t="str">
        <f t="shared" si="4"/>
        <v/>
      </c>
      <c r="AC14" s="71" t="s">
        <v>1219</v>
      </c>
      <c r="AD14" s="71" t="s">
        <v>1219</v>
      </c>
      <c r="AE14" s="71" t="s">
        <v>1219</v>
      </c>
      <c r="AF14" s="71" t="s">
        <v>1219</v>
      </c>
      <c r="AG14" s="71" t="s">
        <v>1219</v>
      </c>
      <c r="AH14" s="71" t="s">
        <v>1219</v>
      </c>
      <c r="AI14" s="71" t="s">
        <v>1219</v>
      </c>
      <c r="AJ14" s="71" t="s">
        <v>1219</v>
      </c>
      <c r="AK14" s="71" t="s">
        <v>1219</v>
      </c>
      <c r="AL14" s="71"/>
      <c r="AM14" s="71" t="s">
        <v>1219</v>
      </c>
      <c r="AN14" s="71" t="str">
        <f t="shared" si="1"/>
        <v>Belum Dinilai</v>
      </c>
      <c r="AO14" s="71" t="str">
        <f t="shared" si="9"/>
        <v>Belum Dinilai</v>
      </c>
      <c r="AP14" s="71"/>
      <c r="AQ14" s="75" t="str">
        <f t="shared" si="10"/>
        <v/>
      </c>
      <c r="AR14" s="75" t="str">
        <f t="shared" si="11"/>
        <v/>
      </c>
      <c r="AS14" s="75" t="str">
        <f t="shared" si="12"/>
        <v/>
      </c>
      <c r="AT14" s="72" t="str">
        <f t="shared" si="13"/>
        <v>Belum Dapat Ditentukan</v>
      </c>
      <c r="AU14" s="69" t="s">
        <v>1193</v>
      </c>
      <c r="AV14" s="69" t="s">
        <v>1208</v>
      </c>
      <c r="AW14" s="69" t="s">
        <v>1194</v>
      </c>
      <c r="AX14" s="69"/>
      <c r="AY14" s="69"/>
      <c r="AZ14" s="69" t="s">
        <v>930</v>
      </c>
      <c r="BA14" s="69"/>
      <c r="BB14" s="76"/>
      <c r="BC14" s="77">
        <v>2026</v>
      </c>
      <c r="BD14" s="69" t="s">
        <v>1197</v>
      </c>
      <c r="BE14" s="76">
        <v>46218</v>
      </c>
      <c r="BF14" s="69" t="s">
        <v>1282</v>
      </c>
    </row>
    <row r="15" spans="1:77" ht="28">
      <c r="A15" s="69" t="s">
        <v>1340</v>
      </c>
      <c r="B15" s="69" t="s">
        <v>1341</v>
      </c>
      <c r="C15" s="69"/>
      <c r="D15" s="69"/>
      <c r="E15" s="69" t="s">
        <v>1342</v>
      </c>
      <c r="F15" s="69" t="s">
        <v>1343</v>
      </c>
      <c r="G15" s="69" t="s">
        <v>1338</v>
      </c>
      <c r="H15" s="69" t="s">
        <v>1185</v>
      </c>
      <c r="I15" s="69" t="s">
        <v>1344</v>
      </c>
      <c r="J15" s="69" t="s">
        <v>1267</v>
      </c>
      <c r="K15" s="69" t="s">
        <v>1281</v>
      </c>
      <c r="L15" s="69" t="s">
        <v>898</v>
      </c>
      <c r="M15" s="69" t="s">
        <v>1281</v>
      </c>
      <c r="N15" s="69" t="s">
        <v>1219</v>
      </c>
      <c r="O15" s="69" t="s">
        <v>1281</v>
      </c>
      <c r="P15" s="69" t="s">
        <v>1219</v>
      </c>
      <c r="Q15" s="70" t="s">
        <v>1219</v>
      </c>
      <c r="R15" s="70" t="s">
        <v>1219</v>
      </c>
      <c r="S15" s="70" t="s">
        <v>1219</v>
      </c>
      <c r="T15" s="70" t="s">
        <v>1219</v>
      </c>
      <c r="U15" s="70" t="s">
        <v>1219</v>
      </c>
      <c r="V15" s="70" t="s">
        <v>1219</v>
      </c>
      <c r="W15" s="70"/>
      <c r="X15" s="70" t="str">
        <f t="shared" si="0"/>
        <v>Belum Dinilai</v>
      </c>
      <c r="Y15" s="70" t="s">
        <v>1219</v>
      </c>
      <c r="Z15" s="74" t="str">
        <f t="shared" si="2"/>
        <v/>
      </c>
      <c r="AA15" s="74" t="str">
        <f t="shared" si="3"/>
        <v/>
      </c>
      <c r="AB15" s="74" t="str">
        <f t="shared" si="4"/>
        <v/>
      </c>
      <c r="AC15" s="71" t="s">
        <v>1219</v>
      </c>
      <c r="AD15" s="71" t="s">
        <v>1219</v>
      </c>
      <c r="AE15" s="71" t="s">
        <v>1219</v>
      </c>
      <c r="AF15" s="71" t="s">
        <v>1219</v>
      </c>
      <c r="AG15" s="71" t="s">
        <v>1219</v>
      </c>
      <c r="AH15" s="71" t="s">
        <v>1219</v>
      </c>
      <c r="AI15" s="71" t="s">
        <v>1219</v>
      </c>
      <c r="AJ15" s="71" t="s">
        <v>1219</v>
      </c>
      <c r="AK15" s="71" t="s">
        <v>1219</v>
      </c>
      <c r="AL15" s="71"/>
      <c r="AM15" s="71" t="s">
        <v>1219</v>
      </c>
      <c r="AN15" s="71" t="str">
        <f t="shared" si="1"/>
        <v>Belum Dinilai</v>
      </c>
      <c r="AO15" s="71" t="str">
        <f t="shared" si="9"/>
        <v>Belum Dinilai</v>
      </c>
      <c r="AP15" s="71"/>
      <c r="AQ15" s="75" t="str">
        <f t="shared" si="10"/>
        <v/>
      </c>
      <c r="AR15" s="75" t="str">
        <f t="shared" si="11"/>
        <v/>
      </c>
      <c r="AS15" s="75" t="str">
        <f t="shared" si="12"/>
        <v/>
      </c>
      <c r="AT15" s="72" t="str">
        <f t="shared" si="13"/>
        <v>Belum Dapat Ditentukan</v>
      </c>
      <c r="AU15" s="69" t="s">
        <v>1193</v>
      </c>
      <c r="AV15" s="69" t="s">
        <v>1208</v>
      </c>
      <c r="AW15" s="69" t="s">
        <v>1194</v>
      </c>
      <c r="AX15" s="69"/>
      <c r="AY15" s="69"/>
      <c r="AZ15" s="69" t="s">
        <v>930</v>
      </c>
      <c r="BA15" s="69"/>
      <c r="BB15" s="76"/>
      <c r="BC15" s="77">
        <v>2026</v>
      </c>
      <c r="BD15" s="69" t="s">
        <v>1197</v>
      </c>
      <c r="BE15" s="76">
        <v>46218</v>
      </c>
      <c r="BF15" s="69" t="s">
        <v>1282</v>
      </c>
    </row>
    <row r="16" spans="1:77" ht="28">
      <c r="A16" s="69" t="s">
        <v>1345</v>
      </c>
      <c r="B16" s="69" t="s">
        <v>1346</v>
      </c>
      <c r="C16" s="69"/>
      <c r="D16" s="69"/>
      <c r="E16" s="69" t="s">
        <v>1347</v>
      </c>
      <c r="F16" s="69" t="s">
        <v>1348</v>
      </c>
      <c r="G16" s="69" t="s">
        <v>1338</v>
      </c>
      <c r="H16" s="69" t="s">
        <v>1185</v>
      </c>
      <c r="I16" s="69" t="s">
        <v>1349</v>
      </c>
      <c r="J16" s="69" t="s">
        <v>1267</v>
      </c>
      <c r="K16" s="69" t="s">
        <v>1281</v>
      </c>
      <c r="L16" s="69" t="s">
        <v>1219</v>
      </c>
      <c r="M16" s="69" t="s">
        <v>1281</v>
      </c>
      <c r="N16" s="69" t="s">
        <v>1219</v>
      </c>
      <c r="O16" s="69" t="s">
        <v>1281</v>
      </c>
      <c r="P16" s="69" t="s">
        <v>1219</v>
      </c>
      <c r="Q16" s="70" t="s">
        <v>1219</v>
      </c>
      <c r="R16" s="70" t="s">
        <v>1219</v>
      </c>
      <c r="S16" s="70" t="s">
        <v>1219</v>
      </c>
      <c r="T16" s="70" t="s">
        <v>1219</v>
      </c>
      <c r="U16" s="70" t="s">
        <v>1219</v>
      </c>
      <c r="V16" s="70" t="s">
        <v>1219</v>
      </c>
      <c r="W16" s="70"/>
      <c r="X16" s="70" t="str">
        <f t="shared" si="0"/>
        <v>Belum Dinilai</v>
      </c>
      <c r="Y16" s="70" t="s">
        <v>1219</v>
      </c>
      <c r="Z16" s="74" t="str">
        <f t="shared" si="2"/>
        <v/>
      </c>
      <c r="AA16" s="74" t="str">
        <f t="shared" si="3"/>
        <v/>
      </c>
      <c r="AB16" s="74" t="str">
        <f t="shared" si="4"/>
        <v/>
      </c>
      <c r="AC16" s="71" t="s">
        <v>1219</v>
      </c>
      <c r="AD16" s="71" t="s">
        <v>1219</v>
      </c>
      <c r="AE16" s="71" t="s">
        <v>1219</v>
      </c>
      <c r="AF16" s="71" t="s">
        <v>1219</v>
      </c>
      <c r="AG16" s="71" t="s">
        <v>1219</v>
      </c>
      <c r="AH16" s="71" t="s">
        <v>1219</v>
      </c>
      <c r="AI16" s="71" t="s">
        <v>1219</v>
      </c>
      <c r="AJ16" s="71" t="s">
        <v>1219</v>
      </c>
      <c r="AK16" s="71" t="s">
        <v>1219</v>
      </c>
      <c r="AL16" s="71"/>
      <c r="AM16" s="71" t="s">
        <v>1219</v>
      </c>
      <c r="AN16" s="71" t="str">
        <f t="shared" si="1"/>
        <v>Belum Dinilai</v>
      </c>
      <c r="AO16" s="71" t="str">
        <f t="shared" si="9"/>
        <v>Belum Dinilai</v>
      </c>
      <c r="AP16" s="71"/>
      <c r="AQ16" s="75" t="str">
        <f t="shared" si="10"/>
        <v/>
      </c>
      <c r="AR16" s="75" t="str">
        <f t="shared" si="11"/>
        <v/>
      </c>
      <c r="AS16" s="75" t="str">
        <f t="shared" si="12"/>
        <v/>
      </c>
      <c r="AT16" s="72" t="str">
        <f t="shared" si="13"/>
        <v>Belum Dapat Ditentukan</v>
      </c>
      <c r="AU16" s="69" t="s">
        <v>1193</v>
      </c>
      <c r="AV16" s="69" t="s">
        <v>1208</v>
      </c>
      <c r="AW16" s="69" t="s">
        <v>1194</v>
      </c>
      <c r="AX16" s="69"/>
      <c r="AY16" s="69"/>
      <c r="AZ16" s="69" t="s">
        <v>930</v>
      </c>
      <c r="BA16" s="69"/>
      <c r="BB16" s="76"/>
      <c r="BC16" s="77">
        <v>2026</v>
      </c>
      <c r="BD16" s="69" t="s">
        <v>1197</v>
      </c>
      <c r="BE16" s="76">
        <v>46218</v>
      </c>
      <c r="BF16" s="69" t="s">
        <v>1282</v>
      </c>
    </row>
    <row r="17" spans="1:58" ht="28">
      <c r="A17" s="69" t="s">
        <v>1350</v>
      </c>
      <c r="B17" s="69" t="s">
        <v>1351</v>
      </c>
      <c r="C17" s="69"/>
      <c r="D17" s="69"/>
      <c r="E17" s="69" t="s">
        <v>1352</v>
      </c>
      <c r="F17" s="69" t="s">
        <v>1311</v>
      </c>
      <c r="G17" s="69" t="s">
        <v>1332</v>
      </c>
      <c r="H17" s="69" t="s">
        <v>1185</v>
      </c>
      <c r="I17" s="69" t="s">
        <v>1353</v>
      </c>
      <c r="J17" s="69" t="s">
        <v>1267</v>
      </c>
      <c r="K17" s="69" t="s">
        <v>1281</v>
      </c>
      <c r="L17" s="69" t="s">
        <v>898</v>
      </c>
      <c r="M17" s="69" t="s">
        <v>1281</v>
      </c>
      <c r="N17" s="69" t="s">
        <v>898</v>
      </c>
      <c r="O17" s="69" t="s">
        <v>1281</v>
      </c>
      <c r="P17" s="69" t="s">
        <v>1219</v>
      </c>
      <c r="Q17" s="70" t="s">
        <v>1219</v>
      </c>
      <c r="R17" s="70" t="s">
        <v>1219</v>
      </c>
      <c r="S17" s="70" t="s">
        <v>1219</v>
      </c>
      <c r="T17" s="70" t="s">
        <v>1219</v>
      </c>
      <c r="U17" s="70" t="s">
        <v>1219</v>
      </c>
      <c r="V17" s="70" t="s">
        <v>1219</v>
      </c>
      <c r="W17" s="70"/>
      <c r="X17" s="70" t="str">
        <f t="shared" si="0"/>
        <v>Belum Dinilai</v>
      </c>
      <c r="Y17" s="70" t="s">
        <v>1219</v>
      </c>
      <c r="Z17" s="74" t="str">
        <f t="shared" si="2"/>
        <v/>
      </c>
      <c r="AA17" s="74" t="str">
        <f t="shared" si="3"/>
        <v/>
      </c>
      <c r="AB17" s="74" t="str">
        <f t="shared" si="4"/>
        <v/>
      </c>
      <c r="AC17" s="71" t="s">
        <v>1219</v>
      </c>
      <c r="AD17" s="71" t="s">
        <v>1219</v>
      </c>
      <c r="AE17" s="71" t="s">
        <v>1219</v>
      </c>
      <c r="AF17" s="71" t="s">
        <v>1219</v>
      </c>
      <c r="AG17" s="71" t="s">
        <v>1219</v>
      </c>
      <c r="AH17" s="71" t="s">
        <v>1219</v>
      </c>
      <c r="AI17" s="71" t="s">
        <v>1219</v>
      </c>
      <c r="AJ17" s="71" t="s">
        <v>1219</v>
      </c>
      <c r="AK17" s="71" t="s">
        <v>1219</v>
      </c>
      <c r="AL17" s="71"/>
      <c r="AM17" s="71" t="s">
        <v>1219</v>
      </c>
      <c r="AN17" s="71" t="str">
        <f t="shared" si="1"/>
        <v>Belum Dinilai</v>
      </c>
      <c r="AO17" s="71" t="str">
        <f t="shared" si="9"/>
        <v>Belum Dinilai</v>
      </c>
      <c r="AP17" s="71"/>
      <c r="AQ17" s="75" t="str">
        <f t="shared" si="10"/>
        <v/>
      </c>
      <c r="AR17" s="75" t="str">
        <f t="shared" si="11"/>
        <v/>
      </c>
      <c r="AS17" s="75" t="str">
        <f t="shared" si="12"/>
        <v/>
      </c>
      <c r="AT17" s="72" t="str">
        <f t="shared" si="13"/>
        <v>Belum Dapat Ditentukan</v>
      </c>
      <c r="AU17" s="69" t="s">
        <v>1207</v>
      </c>
      <c r="AV17" s="69" t="s">
        <v>1208</v>
      </c>
      <c r="AW17" s="69" t="s">
        <v>1194</v>
      </c>
      <c r="AX17" s="69"/>
      <c r="AY17" s="69"/>
      <c r="AZ17" s="69" t="s">
        <v>930</v>
      </c>
      <c r="BA17" s="69"/>
      <c r="BB17" s="76"/>
      <c r="BC17" s="77">
        <v>2026</v>
      </c>
      <c r="BD17" s="69" t="s">
        <v>1197</v>
      </c>
      <c r="BE17" s="76">
        <v>46218</v>
      </c>
      <c r="BF17" s="69" t="s">
        <v>1282</v>
      </c>
    </row>
    <row r="18" spans="1:58" ht="28">
      <c r="A18" s="69" t="s">
        <v>1354</v>
      </c>
      <c r="B18" s="69" t="s">
        <v>1355</v>
      </c>
      <c r="C18" s="69"/>
      <c r="D18" s="69"/>
      <c r="E18" s="69" t="s">
        <v>1356</v>
      </c>
      <c r="F18" s="69" t="s">
        <v>1357</v>
      </c>
      <c r="G18" s="69" t="s">
        <v>1358</v>
      </c>
      <c r="H18" s="69" t="s">
        <v>1199</v>
      </c>
      <c r="I18" s="69" t="s">
        <v>1359</v>
      </c>
      <c r="J18" s="69" t="s">
        <v>1267</v>
      </c>
      <c r="K18" s="69" t="s">
        <v>1281</v>
      </c>
      <c r="L18" s="69" t="s">
        <v>898</v>
      </c>
      <c r="M18" s="69" t="s">
        <v>1281</v>
      </c>
      <c r="N18" s="69" t="s">
        <v>1219</v>
      </c>
      <c r="O18" s="69" t="s">
        <v>1281</v>
      </c>
      <c r="P18" s="69" t="s">
        <v>1219</v>
      </c>
      <c r="Q18" s="70" t="s">
        <v>1219</v>
      </c>
      <c r="R18" s="70" t="s">
        <v>1219</v>
      </c>
      <c r="S18" s="70" t="s">
        <v>1219</v>
      </c>
      <c r="T18" s="70" t="s">
        <v>1219</v>
      </c>
      <c r="U18" s="70" t="s">
        <v>1219</v>
      </c>
      <c r="V18" s="70" t="s">
        <v>1219</v>
      </c>
      <c r="W18" s="70"/>
      <c r="X18" s="70" t="str">
        <f t="shared" si="0"/>
        <v>Belum Dinilai</v>
      </c>
      <c r="Y18" s="70" t="s">
        <v>1219</v>
      </c>
      <c r="Z18" s="74" t="str">
        <f t="shared" si="2"/>
        <v/>
      </c>
      <c r="AA18" s="74" t="str">
        <f t="shared" si="3"/>
        <v/>
      </c>
      <c r="AB18" s="74" t="str">
        <f t="shared" si="4"/>
        <v/>
      </c>
      <c r="AC18" s="71" t="s">
        <v>1219</v>
      </c>
      <c r="AD18" s="71" t="s">
        <v>1219</v>
      </c>
      <c r="AE18" s="71" t="s">
        <v>1219</v>
      </c>
      <c r="AF18" s="71" t="s">
        <v>1219</v>
      </c>
      <c r="AG18" s="71" t="s">
        <v>1219</v>
      </c>
      <c r="AH18" s="71" t="s">
        <v>1219</v>
      </c>
      <c r="AI18" s="71" t="s">
        <v>1219</v>
      </c>
      <c r="AJ18" s="71" t="s">
        <v>1219</v>
      </c>
      <c r="AK18" s="71" t="s">
        <v>1219</v>
      </c>
      <c r="AL18" s="71"/>
      <c r="AM18" s="71" t="s">
        <v>1219</v>
      </c>
      <c r="AN18" s="71" t="str">
        <f t="shared" si="1"/>
        <v>Belum Dinilai</v>
      </c>
      <c r="AO18" s="71" t="str">
        <f t="shared" si="9"/>
        <v>Belum Dinilai</v>
      </c>
      <c r="AP18" s="71"/>
      <c r="AQ18" s="75" t="str">
        <f t="shared" si="10"/>
        <v/>
      </c>
      <c r="AR18" s="75" t="str">
        <f t="shared" si="11"/>
        <v/>
      </c>
      <c r="AS18" s="75" t="str">
        <f t="shared" si="12"/>
        <v/>
      </c>
      <c r="AT18" s="72" t="str">
        <f t="shared" si="13"/>
        <v>Belum Dapat Ditentukan</v>
      </c>
      <c r="AU18" s="69" t="s">
        <v>1193</v>
      </c>
      <c r="AV18" s="69" t="s">
        <v>1208</v>
      </c>
      <c r="AW18" s="69" t="s">
        <v>1194</v>
      </c>
      <c r="AX18" s="69"/>
      <c r="AY18" s="69"/>
      <c r="AZ18" s="69" t="s">
        <v>930</v>
      </c>
      <c r="BA18" s="69"/>
      <c r="BB18" s="76"/>
      <c r="BC18" s="77">
        <v>2026</v>
      </c>
      <c r="BD18" s="69" t="s">
        <v>1197</v>
      </c>
      <c r="BE18" s="76">
        <v>46218</v>
      </c>
      <c r="BF18" s="69" t="s">
        <v>1282</v>
      </c>
    </row>
    <row r="19" spans="1:58" ht="28">
      <c r="A19" s="69" t="s">
        <v>1360</v>
      </c>
      <c r="B19" s="69" t="s">
        <v>1361</v>
      </c>
      <c r="C19" s="69"/>
      <c r="D19" s="69"/>
      <c r="E19" s="69" t="s">
        <v>1362</v>
      </c>
      <c r="F19" s="69" t="s">
        <v>1363</v>
      </c>
      <c r="G19" s="69" t="s">
        <v>1293</v>
      </c>
      <c r="H19" s="69" t="s">
        <v>1185</v>
      </c>
      <c r="I19" s="69" t="s">
        <v>1294</v>
      </c>
      <c r="J19" s="69" t="s">
        <v>1214</v>
      </c>
      <c r="K19" s="69" t="s">
        <v>1281</v>
      </c>
      <c r="L19" s="69" t="s">
        <v>1219</v>
      </c>
      <c r="M19" s="69" t="s">
        <v>1270</v>
      </c>
      <c r="N19" s="69" t="s">
        <v>1219</v>
      </c>
      <c r="O19" s="69" t="s">
        <v>1281</v>
      </c>
      <c r="P19" s="69" t="s">
        <v>1219</v>
      </c>
      <c r="Q19" s="70" t="s">
        <v>1219</v>
      </c>
      <c r="R19" s="70" t="s">
        <v>1219</v>
      </c>
      <c r="S19" s="70" t="s">
        <v>1219</v>
      </c>
      <c r="T19" s="70" t="s">
        <v>1219</v>
      </c>
      <c r="U19" s="70" t="s">
        <v>1219</v>
      </c>
      <c r="V19" s="70" t="s">
        <v>1219</v>
      </c>
      <c r="W19" s="70"/>
      <c r="X19" s="70" t="str">
        <f t="shared" si="0"/>
        <v>Belum Dinilai</v>
      </c>
      <c r="Y19" s="70" t="s">
        <v>1219</v>
      </c>
      <c r="Z19" s="74" t="str">
        <f t="shared" si="2"/>
        <v/>
      </c>
      <c r="AA19" s="74" t="str">
        <f t="shared" si="3"/>
        <v/>
      </c>
      <c r="AB19" s="74" t="str">
        <f t="shared" si="4"/>
        <v/>
      </c>
      <c r="AC19" s="71" t="s">
        <v>1219</v>
      </c>
      <c r="AD19" s="71" t="s">
        <v>1219</v>
      </c>
      <c r="AE19" s="71" t="s">
        <v>1219</v>
      </c>
      <c r="AF19" s="71" t="s">
        <v>1219</v>
      </c>
      <c r="AG19" s="71" t="s">
        <v>1219</v>
      </c>
      <c r="AH19" s="71" t="s">
        <v>1219</v>
      </c>
      <c r="AI19" s="71" t="s">
        <v>1219</v>
      </c>
      <c r="AJ19" s="71" t="s">
        <v>1219</v>
      </c>
      <c r="AK19" s="71" t="s">
        <v>1219</v>
      </c>
      <c r="AL19" s="71"/>
      <c r="AM19" s="71" t="s">
        <v>1219</v>
      </c>
      <c r="AN19" s="71" t="str">
        <f t="shared" si="1"/>
        <v>Belum Dinilai</v>
      </c>
      <c r="AO19" s="71" t="str">
        <f t="shared" si="9"/>
        <v>Belum Dinilai</v>
      </c>
      <c r="AP19" s="71"/>
      <c r="AQ19" s="75" t="str">
        <f t="shared" si="10"/>
        <v/>
      </c>
      <c r="AR19" s="75" t="str">
        <f t="shared" si="11"/>
        <v/>
      </c>
      <c r="AS19" s="75" t="str">
        <f t="shared" si="12"/>
        <v/>
      </c>
      <c r="AT19" s="72" t="str">
        <f t="shared" si="13"/>
        <v>Belum Dapat Ditentukan</v>
      </c>
      <c r="AU19" s="69" t="s">
        <v>1193</v>
      </c>
      <c r="AV19" s="69" t="s">
        <v>1208</v>
      </c>
      <c r="AW19" s="69" t="s">
        <v>1194</v>
      </c>
      <c r="AX19" s="69"/>
      <c r="AY19" s="69"/>
      <c r="AZ19" s="69" t="s">
        <v>930</v>
      </c>
      <c r="BA19" s="69"/>
      <c r="BB19" s="76"/>
      <c r="BC19" s="77">
        <v>2026</v>
      </c>
      <c r="BD19" s="69" t="s">
        <v>1197</v>
      </c>
      <c r="BE19" s="76">
        <v>46218</v>
      </c>
      <c r="BF19" s="69" t="s">
        <v>1282</v>
      </c>
    </row>
    <row r="20" spans="1:58" ht="28">
      <c r="A20" s="69" t="s">
        <v>1364</v>
      </c>
      <c r="B20" s="69" t="s">
        <v>1365</v>
      </c>
      <c r="C20" s="69"/>
      <c r="D20" s="69"/>
      <c r="E20" s="69" t="s">
        <v>1366</v>
      </c>
      <c r="F20" s="69" t="s">
        <v>1367</v>
      </c>
      <c r="G20" s="69" t="s">
        <v>1368</v>
      </c>
      <c r="H20" s="69" t="s">
        <v>1185</v>
      </c>
      <c r="I20" s="69" t="s">
        <v>1369</v>
      </c>
      <c r="J20" s="69" t="s">
        <v>1214</v>
      </c>
      <c r="K20" s="69" t="s">
        <v>1215</v>
      </c>
      <c r="L20" s="69" t="s">
        <v>1219</v>
      </c>
      <c r="M20" s="69" t="s">
        <v>1270</v>
      </c>
      <c r="N20" s="69" t="s">
        <v>1219</v>
      </c>
      <c r="O20" s="69" t="s">
        <v>1217</v>
      </c>
      <c r="P20" s="69" t="s">
        <v>1219</v>
      </c>
      <c r="Q20" s="70" t="s">
        <v>1219</v>
      </c>
      <c r="R20" s="70" t="s">
        <v>1219</v>
      </c>
      <c r="S20" s="70" t="s">
        <v>1219</v>
      </c>
      <c r="T20" s="70" t="s">
        <v>1219</v>
      </c>
      <c r="U20" s="70" t="s">
        <v>1219</v>
      </c>
      <c r="V20" s="70" t="s">
        <v>1219</v>
      </c>
      <c r="W20" s="70"/>
      <c r="X20" s="70" t="str">
        <f t="shared" si="0"/>
        <v>Belum Dinilai</v>
      </c>
      <c r="Y20" s="70" t="s">
        <v>1219</v>
      </c>
      <c r="Z20" s="74" t="str">
        <f t="shared" si="2"/>
        <v/>
      </c>
      <c r="AA20" s="74" t="str">
        <f t="shared" si="3"/>
        <v/>
      </c>
      <c r="AB20" s="74" t="str">
        <f t="shared" si="4"/>
        <v/>
      </c>
      <c r="AC20" s="71" t="s">
        <v>1219</v>
      </c>
      <c r="AD20" s="71" t="s">
        <v>1219</v>
      </c>
      <c r="AE20" s="71" t="s">
        <v>1219</v>
      </c>
      <c r="AF20" s="71" t="s">
        <v>1219</v>
      </c>
      <c r="AG20" s="71" t="s">
        <v>1219</v>
      </c>
      <c r="AH20" s="71" t="s">
        <v>1219</v>
      </c>
      <c r="AI20" s="71" t="s">
        <v>1219</v>
      </c>
      <c r="AJ20" s="71" t="s">
        <v>1219</v>
      </c>
      <c r="AK20" s="71" t="s">
        <v>1219</v>
      </c>
      <c r="AL20" s="71"/>
      <c r="AM20" s="71" t="s">
        <v>1219</v>
      </c>
      <c r="AN20" s="71" t="str">
        <f t="shared" si="1"/>
        <v>Belum Dinilai</v>
      </c>
      <c r="AO20" s="71" t="str">
        <f t="shared" si="9"/>
        <v>Belum Dinilai</v>
      </c>
      <c r="AP20" s="71"/>
      <c r="AQ20" s="75" t="str">
        <f t="shared" si="10"/>
        <v/>
      </c>
      <c r="AR20" s="75" t="str">
        <f t="shared" si="11"/>
        <v/>
      </c>
      <c r="AS20" s="75" t="str">
        <f t="shared" si="12"/>
        <v/>
      </c>
      <c r="AT20" s="72" t="str">
        <f t="shared" si="13"/>
        <v>Belum Dapat Ditentukan</v>
      </c>
      <c r="AU20" s="69" t="s">
        <v>1207</v>
      </c>
      <c r="AV20" s="69" t="s">
        <v>1208</v>
      </c>
      <c r="AW20" s="69" t="s">
        <v>1271</v>
      </c>
      <c r="AX20" s="69" t="s">
        <v>1272</v>
      </c>
      <c r="AY20" s="69">
        <v>2024</v>
      </c>
      <c r="AZ20" s="69" t="s">
        <v>1196</v>
      </c>
      <c r="BA20" s="69"/>
      <c r="BB20" s="76"/>
      <c r="BC20" s="77">
        <v>2026</v>
      </c>
      <c r="BD20" s="69" t="s">
        <v>1197</v>
      </c>
      <c r="BE20" s="76">
        <v>46218</v>
      </c>
      <c r="BF20" s="69" t="s">
        <v>1282</v>
      </c>
    </row>
    <row r="21" spans="1:58" ht="28">
      <c r="A21" s="69" t="s">
        <v>1370</v>
      </c>
      <c r="B21" s="69" t="s">
        <v>1371</v>
      </c>
      <c r="C21" s="69"/>
      <c r="D21" s="69"/>
      <c r="E21" s="69" t="s">
        <v>1372</v>
      </c>
      <c r="F21" s="69" t="s">
        <v>1373</v>
      </c>
      <c r="G21" s="69" t="s">
        <v>1368</v>
      </c>
      <c r="H21" s="69" t="s">
        <v>1185</v>
      </c>
      <c r="I21" s="69" t="s">
        <v>1374</v>
      </c>
      <c r="J21" s="69" t="s">
        <v>1214</v>
      </c>
      <c r="K21" s="69" t="s">
        <v>1215</v>
      </c>
      <c r="L21" s="69" t="s">
        <v>1219</v>
      </c>
      <c r="M21" s="69" t="s">
        <v>1270</v>
      </c>
      <c r="N21" s="69" t="s">
        <v>1219</v>
      </c>
      <c r="O21" s="69" t="s">
        <v>1281</v>
      </c>
      <c r="P21" s="69" t="s">
        <v>1219</v>
      </c>
      <c r="Q21" s="70" t="s">
        <v>1219</v>
      </c>
      <c r="R21" s="70" t="s">
        <v>1219</v>
      </c>
      <c r="S21" s="70" t="s">
        <v>1219</v>
      </c>
      <c r="T21" s="70" t="s">
        <v>1219</v>
      </c>
      <c r="U21" s="70" t="s">
        <v>1219</v>
      </c>
      <c r="V21" s="70" t="s">
        <v>1219</v>
      </c>
      <c r="W21" s="70"/>
      <c r="X21" s="70" t="str">
        <f t="shared" si="0"/>
        <v>Belum Dinilai</v>
      </c>
      <c r="Y21" s="70" t="s">
        <v>1219</v>
      </c>
      <c r="Z21" s="74" t="str">
        <f t="shared" si="2"/>
        <v/>
      </c>
      <c r="AA21" s="74" t="str">
        <f t="shared" si="3"/>
        <v/>
      </c>
      <c r="AB21" s="74" t="str">
        <f t="shared" si="4"/>
        <v/>
      </c>
      <c r="AC21" s="71" t="s">
        <v>1219</v>
      </c>
      <c r="AD21" s="71" t="s">
        <v>1219</v>
      </c>
      <c r="AE21" s="71" t="s">
        <v>1219</v>
      </c>
      <c r="AF21" s="71" t="s">
        <v>1219</v>
      </c>
      <c r="AG21" s="71" t="s">
        <v>1219</v>
      </c>
      <c r="AH21" s="71" t="s">
        <v>1219</v>
      </c>
      <c r="AI21" s="71" t="s">
        <v>1219</v>
      </c>
      <c r="AJ21" s="71" t="s">
        <v>1219</v>
      </c>
      <c r="AK21" s="71" t="s">
        <v>1219</v>
      </c>
      <c r="AL21" s="71"/>
      <c r="AM21" s="71" t="s">
        <v>1219</v>
      </c>
      <c r="AN21" s="71" t="str">
        <f t="shared" si="1"/>
        <v>Belum Dinilai</v>
      </c>
      <c r="AO21" s="71" t="str">
        <f t="shared" si="9"/>
        <v>Belum Dinilai</v>
      </c>
      <c r="AP21" s="71"/>
      <c r="AQ21" s="75" t="str">
        <f t="shared" si="10"/>
        <v/>
      </c>
      <c r="AR21" s="75" t="str">
        <f t="shared" si="11"/>
        <v/>
      </c>
      <c r="AS21" s="75" t="str">
        <f t="shared" si="12"/>
        <v/>
      </c>
      <c r="AT21" s="72" t="str">
        <f t="shared" si="13"/>
        <v>Belum Dapat Ditentukan</v>
      </c>
      <c r="AU21" s="69" t="s">
        <v>1193</v>
      </c>
      <c r="AV21" s="69" t="s">
        <v>1208</v>
      </c>
      <c r="AW21" s="69" t="s">
        <v>1194</v>
      </c>
      <c r="AX21" s="69"/>
      <c r="AY21" s="69"/>
      <c r="AZ21" s="69" t="s">
        <v>930</v>
      </c>
      <c r="BA21" s="69"/>
      <c r="BB21" s="76"/>
      <c r="BC21" s="77">
        <v>2026</v>
      </c>
      <c r="BD21" s="69" t="s">
        <v>1197</v>
      </c>
      <c r="BE21" s="76">
        <v>46218</v>
      </c>
      <c r="BF21" s="69" t="s">
        <v>1282</v>
      </c>
    </row>
    <row r="22" spans="1:58" ht="56">
      <c r="A22" s="69" t="s">
        <v>1375</v>
      </c>
      <c r="B22" s="69" t="s">
        <v>1376</v>
      </c>
      <c r="C22" s="69"/>
      <c r="D22" s="69"/>
      <c r="E22" s="69" t="s">
        <v>1377</v>
      </c>
      <c r="F22" s="69" t="s">
        <v>1326</v>
      </c>
      <c r="G22" s="69" t="s">
        <v>1293</v>
      </c>
      <c r="H22" s="69" t="s">
        <v>1185</v>
      </c>
      <c r="I22" s="69" t="s">
        <v>1378</v>
      </c>
      <c r="J22" s="69" t="s">
        <v>1214</v>
      </c>
      <c r="K22" s="69" t="s">
        <v>1297</v>
      </c>
      <c r="L22" s="69" t="s">
        <v>1219</v>
      </c>
      <c r="M22" s="69" t="s">
        <v>1270</v>
      </c>
      <c r="N22" s="69" t="s">
        <v>898</v>
      </c>
      <c r="O22" s="69" t="s">
        <v>1217</v>
      </c>
      <c r="P22" s="69" t="s">
        <v>898</v>
      </c>
      <c r="Q22" s="70" t="s">
        <v>1219</v>
      </c>
      <c r="R22" s="70" t="s">
        <v>1219</v>
      </c>
      <c r="S22" s="70" t="s">
        <v>1219</v>
      </c>
      <c r="T22" s="70" t="s">
        <v>1219</v>
      </c>
      <c r="U22" s="70" t="s">
        <v>1219</v>
      </c>
      <c r="V22" s="70" t="s">
        <v>1219</v>
      </c>
      <c r="W22" s="70"/>
      <c r="X22" s="70" t="str">
        <f t="shared" si="0"/>
        <v>Belum Dinilai</v>
      </c>
      <c r="Y22" s="70" t="s">
        <v>1219</v>
      </c>
      <c r="Z22" s="74" t="str">
        <f t="shared" si="2"/>
        <v/>
      </c>
      <c r="AA22" s="74" t="str">
        <f t="shared" si="3"/>
        <v/>
      </c>
      <c r="AB22" s="74" t="str">
        <f t="shared" si="4"/>
        <v/>
      </c>
      <c r="AC22" s="71" t="s">
        <v>1219</v>
      </c>
      <c r="AD22" s="71" t="s">
        <v>1219</v>
      </c>
      <c r="AE22" s="71" t="s">
        <v>1219</v>
      </c>
      <c r="AF22" s="71" t="s">
        <v>1219</v>
      </c>
      <c r="AG22" s="71" t="s">
        <v>1219</v>
      </c>
      <c r="AH22" s="71" t="s">
        <v>1219</v>
      </c>
      <c r="AI22" s="71" t="s">
        <v>1219</v>
      </c>
      <c r="AJ22" s="71" t="s">
        <v>1219</v>
      </c>
      <c r="AK22" s="71" t="s">
        <v>1219</v>
      </c>
      <c r="AL22" s="71"/>
      <c r="AM22" s="71" t="s">
        <v>1219</v>
      </c>
      <c r="AN22" s="71" t="str">
        <f t="shared" si="1"/>
        <v>Belum Dinilai</v>
      </c>
      <c r="AO22" s="71" t="str">
        <f t="shared" si="9"/>
        <v>Belum Dinilai</v>
      </c>
      <c r="AP22" s="71"/>
      <c r="AQ22" s="75" t="str">
        <f t="shared" si="10"/>
        <v/>
      </c>
      <c r="AR22" s="75" t="str">
        <f t="shared" si="11"/>
        <v/>
      </c>
      <c r="AS22" s="75" t="str">
        <f t="shared" si="12"/>
        <v/>
      </c>
      <c r="AT22" s="72" t="str">
        <f t="shared" si="13"/>
        <v>Belum Dapat Ditentukan</v>
      </c>
      <c r="AU22" s="69" t="s">
        <v>1193</v>
      </c>
      <c r="AV22" s="69" t="s">
        <v>1208</v>
      </c>
      <c r="AW22" s="69" t="s">
        <v>1194</v>
      </c>
      <c r="AX22" s="69"/>
      <c r="AY22" s="69"/>
      <c r="AZ22" s="69" t="s">
        <v>930</v>
      </c>
      <c r="BA22" s="69"/>
      <c r="BB22" s="76"/>
      <c r="BC22" s="77">
        <v>2026</v>
      </c>
      <c r="BD22" s="69" t="s">
        <v>1197</v>
      </c>
      <c r="BE22" s="76">
        <v>46218</v>
      </c>
      <c r="BF22" s="69" t="s">
        <v>1282</v>
      </c>
    </row>
    <row r="23" spans="1:58" ht="28">
      <c r="A23" s="69" t="s">
        <v>1379</v>
      </c>
      <c r="B23" s="69" t="s">
        <v>1380</v>
      </c>
      <c r="C23" s="69"/>
      <c r="D23" s="69"/>
      <c r="E23" s="69" t="s">
        <v>1381</v>
      </c>
      <c r="F23" s="69" t="s">
        <v>1363</v>
      </c>
      <c r="G23" s="69" t="s">
        <v>1293</v>
      </c>
      <c r="H23" s="69" t="s">
        <v>1185</v>
      </c>
      <c r="I23" s="69" t="s">
        <v>1382</v>
      </c>
      <c r="J23" s="69" t="s">
        <v>1214</v>
      </c>
      <c r="K23" s="69" t="s">
        <v>1201</v>
      </c>
      <c r="L23" s="69" t="s">
        <v>908</v>
      </c>
      <c r="M23" s="69" t="s">
        <v>1270</v>
      </c>
      <c r="N23" s="69" t="s">
        <v>908</v>
      </c>
      <c r="O23" s="69" t="s">
        <v>1217</v>
      </c>
      <c r="P23" s="69" t="s">
        <v>908</v>
      </c>
      <c r="Q23" s="70" t="s">
        <v>1219</v>
      </c>
      <c r="R23" s="70" t="s">
        <v>1219</v>
      </c>
      <c r="S23" s="70" t="s">
        <v>1219</v>
      </c>
      <c r="T23" s="70" t="s">
        <v>1219</v>
      </c>
      <c r="U23" s="70" t="s">
        <v>1219</v>
      </c>
      <c r="V23" s="70" t="s">
        <v>1219</v>
      </c>
      <c r="W23" s="70"/>
      <c r="X23" s="70" t="str">
        <f t="shared" si="0"/>
        <v>Belum Dinilai</v>
      </c>
      <c r="Y23" s="70" t="s">
        <v>1219</v>
      </c>
      <c r="Z23" s="74" t="str">
        <f t="shared" si="2"/>
        <v/>
      </c>
      <c r="AA23" s="74" t="str">
        <f t="shared" si="3"/>
        <v/>
      </c>
      <c r="AB23" s="74" t="str">
        <f t="shared" si="4"/>
        <v/>
      </c>
      <c r="AC23" s="71" t="s">
        <v>1219</v>
      </c>
      <c r="AD23" s="71" t="s">
        <v>1219</v>
      </c>
      <c r="AE23" s="71" t="s">
        <v>1219</v>
      </c>
      <c r="AF23" s="71" t="s">
        <v>1219</v>
      </c>
      <c r="AG23" s="71" t="s">
        <v>1219</v>
      </c>
      <c r="AH23" s="71" t="s">
        <v>1219</v>
      </c>
      <c r="AI23" s="71" t="s">
        <v>1219</v>
      </c>
      <c r="AJ23" s="71" t="s">
        <v>1219</v>
      </c>
      <c r="AK23" s="71" t="s">
        <v>1219</v>
      </c>
      <c r="AL23" s="71"/>
      <c r="AM23" s="71" t="s">
        <v>1219</v>
      </c>
      <c r="AN23" s="71" t="str">
        <f t="shared" si="1"/>
        <v>Belum Dinilai</v>
      </c>
      <c r="AO23" s="71" t="str">
        <f t="shared" si="9"/>
        <v>Belum Dinilai</v>
      </c>
      <c r="AP23" s="71"/>
      <c r="AQ23" s="75">
        <f t="shared" si="10"/>
        <v>43</v>
      </c>
      <c r="AR23" s="75" t="str">
        <f t="shared" si="11"/>
        <v/>
      </c>
      <c r="AS23" s="75" t="str">
        <f t="shared" si="12"/>
        <v/>
      </c>
      <c r="AT23" s="72" t="str">
        <f t="shared" si="13"/>
        <v>Belum Dapat Ditentukan</v>
      </c>
      <c r="AU23" s="69" t="s">
        <v>1193</v>
      </c>
      <c r="AV23" s="69" t="s">
        <v>1208</v>
      </c>
      <c r="AW23" s="69" t="s">
        <v>1194</v>
      </c>
      <c r="AX23" s="69"/>
      <c r="AY23" s="69"/>
      <c r="AZ23" s="69" t="s">
        <v>930</v>
      </c>
      <c r="BA23" s="69"/>
      <c r="BB23" s="76"/>
      <c r="BC23" s="77">
        <v>2026</v>
      </c>
      <c r="BD23" s="69" t="s">
        <v>1197</v>
      </c>
      <c r="BE23" s="76">
        <v>46218</v>
      </c>
      <c r="BF23" s="69" t="s">
        <v>1282</v>
      </c>
    </row>
    <row r="24" spans="1:58" ht="42">
      <c r="A24" s="69" t="s">
        <v>1383</v>
      </c>
      <c r="B24" s="69" t="s">
        <v>1384</v>
      </c>
      <c r="C24" s="69"/>
      <c r="D24" s="69"/>
      <c r="E24" s="69" t="s">
        <v>1385</v>
      </c>
      <c r="F24" s="69" t="s">
        <v>1386</v>
      </c>
      <c r="G24" s="69" t="s">
        <v>1293</v>
      </c>
      <c r="H24" s="69" t="s">
        <v>1199</v>
      </c>
      <c r="I24" s="69" t="s">
        <v>1387</v>
      </c>
      <c r="J24" s="69" t="s">
        <v>1200</v>
      </c>
      <c r="K24" s="69" t="s">
        <v>1201</v>
      </c>
      <c r="L24" s="69" t="s">
        <v>1219</v>
      </c>
      <c r="M24" s="69" t="s">
        <v>1270</v>
      </c>
      <c r="N24" s="69" t="s">
        <v>1219</v>
      </c>
      <c r="O24" s="69" t="s">
        <v>1281</v>
      </c>
      <c r="P24" s="69" t="s">
        <v>1219</v>
      </c>
      <c r="Q24" s="70" t="s">
        <v>1219</v>
      </c>
      <c r="R24" s="70" t="s">
        <v>1219</v>
      </c>
      <c r="S24" s="70" t="s">
        <v>1219</v>
      </c>
      <c r="T24" s="70" t="s">
        <v>1219</v>
      </c>
      <c r="U24" s="70" t="s">
        <v>1219</v>
      </c>
      <c r="V24" s="70" t="s">
        <v>1219</v>
      </c>
      <c r="W24" s="70"/>
      <c r="X24" s="70" t="str">
        <f t="shared" si="0"/>
        <v>Belum Dinilai</v>
      </c>
      <c r="Y24" s="70" t="s">
        <v>1219</v>
      </c>
      <c r="Z24" s="74" t="str">
        <f t="shared" si="2"/>
        <v/>
      </c>
      <c r="AA24" s="74" t="str">
        <f t="shared" si="3"/>
        <v/>
      </c>
      <c r="AB24" s="74" t="str">
        <f t="shared" si="4"/>
        <v/>
      </c>
      <c r="AC24" s="71" t="s">
        <v>1219</v>
      </c>
      <c r="AD24" s="71" t="s">
        <v>1219</v>
      </c>
      <c r="AE24" s="71" t="s">
        <v>1219</v>
      </c>
      <c r="AF24" s="71" t="s">
        <v>1219</v>
      </c>
      <c r="AG24" s="71" t="s">
        <v>1219</v>
      </c>
      <c r="AH24" s="71" t="s">
        <v>1219</v>
      </c>
      <c r="AI24" s="71" t="s">
        <v>1219</v>
      </c>
      <c r="AJ24" s="71" t="s">
        <v>1219</v>
      </c>
      <c r="AK24" s="71" t="s">
        <v>1219</v>
      </c>
      <c r="AL24" s="71"/>
      <c r="AM24" s="71" t="s">
        <v>1219</v>
      </c>
      <c r="AN24" s="71" t="str">
        <f t="shared" si="1"/>
        <v>Belum Dinilai</v>
      </c>
      <c r="AO24" s="71" t="str">
        <f t="shared" si="9"/>
        <v>Belum Dinilai</v>
      </c>
      <c r="AP24" s="71"/>
      <c r="AQ24" s="75" t="str">
        <f t="shared" si="10"/>
        <v/>
      </c>
      <c r="AR24" s="75" t="str">
        <f t="shared" si="11"/>
        <v/>
      </c>
      <c r="AS24" s="75" t="str">
        <f t="shared" si="12"/>
        <v/>
      </c>
      <c r="AT24" s="72" t="str">
        <f t="shared" si="13"/>
        <v>Belum Dapat Ditentukan</v>
      </c>
      <c r="AU24" s="69" t="s">
        <v>1207</v>
      </c>
      <c r="AV24" s="69" t="s">
        <v>1208</v>
      </c>
      <c r="AW24" s="69" t="s">
        <v>1194</v>
      </c>
      <c r="AX24" s="69"/>
      <c r="AY24" s="69"/>
      <c r="AZ24" s="69" t="s">
        <v>930</v>
      </c>
      <c r="BA24" s="69"/>
      <c r="BB24" s="76"/>
      <c r="BC24" s="77">
        <v>2026</v>
      </c>
      <c r="BD24" s="69" t="s">
        <v>1197</v>
      </c>
      <c r="BE24" s="76">
        <v>46218</v>
      </c>
      <c r="BF24" s="69" t="s">
        <v>1282</v>
      </c>
    </row>
    <row r="25" spans="1:58" ht="28">
      <c r="A25" s="69" t="s">
        <v>1388</v>
      </c>
      <c r="B25" s="69" t="s">
        <v>1389</v>
      </c>
      <c r="C25" s="69"/>
      <c r="D25" s="69"/>
      <c r="E25" s="69" t="s">
        <v>1390</v>
      </c>
      <c r="F25" s="69" t="s">
        <v>1391</v>
      </c>
      <c r="G25" s="69" t="s">
        <v>1279</v>
      </c>
      <c r="H25" s="69" t="s">
        <v>1199</v>
      </c>
      <c r="I25" s="69" t="s">
        <v>1392</v>
      </c>
      <c r="J25" s="69" t="s">
        <v>1186</v>
      </c>
      <c r="K25" s="69" t="s">
        <v>1281</v>
      </c>
      <c r="L25" s="69" t="s">
        <v>894</v>
      </c>
      <c r="M25" s="69" t="s">
        <v>1269</v>
      </c>
      <c r="N25" s="69" t="s">
        <v>1219</v>
      </c>
      <c r="O25" s="69" t="s">
        <v>1281</v>
      </c>
      <c r="P25" s="69" t="s">
        <v>1219</v>
      </c>
      <c r="Q25" s="70" t="s">
        <v>1219</v>
      </c>
      <c r="R25" s="70" t="s">
        <v>1219</v>
      </c>
      <c r="S25" s="70" t="s">
        <v>1219</v>
      </c>
      <c r="T25" s="70" t="s">
        <v>1219</v>
      </c>
      <c r="U25" s="70" t="s">
        <v>1219</v>
      </c>
      <c r="V25" s="70" t="s">
        <v>1219</v>
      </c>
      <c r="W25" s="70"/>
      <c r="X25" s="70" t="str">
        <f t="shared" si="0"/>
        <v>Belum Dinilai</v>
      </c>
      <c r="Y25" s="70" t="s">
        <v>1219</v>
      </c>
      <c r="Z25" s="74" t="str">
        <f t="shared" si="2"/>
        <v/>
      </c>
      <c r="AA25" s="74" t="str">
        <f t="shared" si="3"/>
        <v/>
      </c>
      <c r="AB25" s="74" t="str">
        <f t="shared" si="4"/>
        <v/>
      </c>
      <c r="AC25" s="71" t="s">
        <v>1219</v>
      </c>
      <c r="AD25" s="71" t="s">
        <v>1219</v>
      </c>
      <c r="AE25" s="71" t="s">
        <v>1219</v>
      </c>
      <c r="AF25" s="71" t="s">
        <v>1219</v>
      </c>
      <c r="AG25" s="71" t="s">
        <v>1219</v>
      </c>
      <c r="AH25" s="71" t="s">
        <v>1219</v>
      </c>
      <c r="AI25" s="71" t="s">
        <v>1219</v>
      </c>
      <c r="AJ25" s="71" t="s">
        <v>1219</v>
      </c>
      <c r="AK25" s="71" t="s">
        <v>1219</v>
      </c>
      <c r="AL25" s="71"/>
      <c r="AM25" s="71" t="s">
        <v>1219</v>
      </c>
      <c r="AN25" s="71" t="str">
        <f t="shared" si="1"/>
        <v>Belum Dinilai</v>
      </c>
      <c r="AO25" s="71" t="str">
        <f t="shared" si="9"/>
        <v>Belum Dinilai</v>
      </c>
      <c r="AP25" s="71"/>
      <c r="AQ25" s="75" t="str">
        <f t="shared" si="10"/>
        <v/>
      </c>
      <c r="AR25" s="75" t="str">
        <f t="shared" si="11"/>
        <v/>
      </c>
      <c r="AS25" s="75" t="str">
        <f t="shared" si="12"/>
        <v/>
      </c>
      <c r="AT25" s="72" t="str">
        <f t="shared" si="13"/>
        <v>Belum Dapat Ditentukan</v>
      </c>
      <c r="AU25" s="69" t="s">
        <v>1207</v>
      </c>
      <c r="AV25" s="69" t="s">
        <v>1208</v>
      </c>
      <c r="AW25" s="69" t="s">
        <v>1194</v>
      </c>
      <c r="AX25" s="69"/>
      <c r="AY25" s="69"/>
      <c r="AZ25" s="69" t="s">
        <v>930</v>
      </c>
      <c r="BA25" s="69"/>
      <c r="BB25" s="76"/>
      <c r="BC25" s="77">
        <v>2026</v>
      </c>
      <c r="BD25" s="69" t="s">
        <v>1197</v>
      </c>
      <c r="BE25" s="76">
        <v>46218</v>
      </c>
      <c r="BF25" s="69" t="s">
        <v>1282</v>
      </c>
    </row>
    <row r="26" spans="1:58" ht="28">
      <c r="A26" s="69" t="s">
        <v>1393</v>
      </c>
      <c r="B26" s="69" t="s">
        <v>1394</v>
      </c>
      <c r="C26" s="69"/>
      <c r="D26" s="69"/>
      <c r="E26" s="69" t="s">
        <v>1395</v>
      </c>
      <c r="F26" s="69" t="s">
        <v>1396</v>
      </c>
      <c r="G26" s="69" t="s">
        <v>1293</v>
      </c>
      <c r="H26" s="69" t="s">
        <v>1199</v>
      </c>
      <c r="I26" s="69" t="s">
        <v>1397</v>
      </c>
      <c r="J26" s="69" t="s">
        <v>1186</v>
      </c>
      <c r="K26" s="69" t="s">
        <v>1281</v>
      </c>
      <c r="L26" s="69" t="s">
        <v>1219</v>
      </c>
      <c r="M26" s="69" t="s">
        <v>1216</v>
      </c>
      <c r="N26" s="69" t="s">
        <v>1219</v>
      </c>
      <c r="O26" s="69" t="s">
        <v>1281</v>
      </c>
      <c r="P26" s="69" t="s">
        <v>1219</v>
      </c>
      <c r="Q26" s="70" t="s">
        <v>1219</v>
      </c>
      <c r="R26" s="70" t="s">
        <v>1219</v>
      </c>
      <c r="S26" s="70" t="s">
        <v>1219</v>
      </c>
      <c r="T26" s="70" t="s">
        <v>1219</v>
      </c>
      <c r="U26" s="70" t="s">
        <v>1219</v>
      </c>
      <c r="V26" s="70" t="s">
        <v>1219</v>
      </c>
      <c r="W26" s="70"/>
      <c r="X26" s="70" t="str">
        <f t="shared" si="0"/>
        <v>Belum Dinilai</v>
      </c>
      <c r="Y26" s="70" t="s">
        <v>1219</v>
      </c>
      <c r="Z26" s="74" t="str">
        <f t="shared" si="2"/>
        <v/>
      </c>
      <c r="AA26" s="74" t="str">
        <f t="shared" si="3"/>
        <v/>
      </c>
      <c r="AB26" s="74" t="str">
        <f t="shared" si="4"/>
        <v/>
      </c>
      <c r="AC26" s="71" t="s">
        <v>1219</v>
      </c>
      <c r="AD26" s="71" t="s">
        <v>1219</v>
      </c>
      <c r="AE26" s="71" t="s">
        <v>1219</v>
      </c>
      <c r="AF26" s="71" t="s">
        <v>1219</v>
      </c>
      <c r="AG26" s="71" t="s">
        <v>1219</v>
      </c>
      <c r="AH26" s="71" t="s">
        <v>1219</v>
      </c>
      <c r="AI26" s="71" t="s">
        <v>1219</v>
      </c>
      <c r="AJ26" s="71" t="s">
        <v>1219</v>
      </c>
      <c r="AK26" s="71" t="s">
        <v>1219</v>
      </c>
      <c r="AL26" s="71"/>
      <c r="AM26" s="71" t="s">
        <v>1219</v>
      </c>
      <c r="AN26" s="71" t="str">
        <f t="shared" si="1"/>
        <v>Belum Dinilai</v>
      </c>
      <c r="AO26" s="71" t="str">
        <f t="shared" si="9"/>
        <v>Belum Dinilai</v>
      </c>
      <c r="AP26" s="71"/>
      <c r="AQ26" s="75" t="str">
        <f t="shared" si="10"/>
        <v/>
      </c>
      <c r="AR26" s="75" t="str">
        <f t="shared" si="11"/>
        <v/>
      </c>
      <c r="AS26" s="75" t="str">
        <f t="shared" si="12"/>
        <v/>
      </c>
      <c r="AT26" s="72" t="str">
        <f t="shared" si="13"/>
        <v>Belum Dapat Ditentukan</v>
      </c>
      <c r="AU26" s="69" t="s">
        <v>1193</v>
      </c>
      <c r="AV26" s="69" t="s">
        <v>1208</v>
      </c>
      <c r="AW26" s="69" t="s">
        <v>1194</v>
      </c>
      <c r="AX26" s="69"/>
      <c r="AY26" s="69"/>
      <c r="AZ26" s="69" t="s">
        <v>930</v>
      </c>
      <c r="BA26" s="69"/>
      <c r="BB26" s="76"/>
      <c r="BC26" s="77">
        <v>2026</v>
      </c>
      <c r="BD26" s="69" t="s">
        <v>1197</v>
      </c>
      <c r="BE26" s="76">
        <v>46218</v>
      </c>
      <c r="BF26" s="69" t="s">
        <v>1282</v>
      </c>
    </row>
    <row r="27" spans="1:58" ht="28">
      <c r="A27" s="69" t="s">
        <v>1398</v>
      </c>
      <c r="B27" s="69" t="s">
        <v>1376</v>
      </c>
      <c r="C27" s="69"/>
      <c r="D27" s="69"/>
      <c r="E27" s="69" t="s">
        <v>1399</v>
      </c>
      <c r="F27" s="69" t="s">
        <v>1326</v>
      </c>
      <c r="G27" s="69" t="s">
        <v>1293</v>
      </c>
      <c r="H27" s="69" t="s">
        <v>1185</v>
      </c>
      <c r="I27" s="69" t="s">
        <v>1400</v>
      </c>
      <c r="J27" s="69" t="s">
        <v>1214</v>
      </c>
      <c r="K27" s="69" t="s">
        <v>1187</v>
      </c>
      <c r="L27" s="69" t="s">
        <v>1219</v>
      </c>
      <c r="M27" s="69" t="s">
        <v>1270</v>
      </c>
      <c r="N27" s="69" t="s">
        <v>1219</v>
      </c>
      <c r="O27" s="69" t="s">
        <v>1217</v>
      </c>
      <c r="P27" s="69" t="s">
        <v>1219</v>
      </c>
      <c r="Q27" s="70" t="s">
        <v>1219</v>
      </c>
      <c r="R27" s="70" t="s">
        <v>1219</v>
      </c>
      <c r="S27" s="70" t="s">
        <v>1219</v>
      </c>
      <c r="T27" s="70" t="s">
        <v>1219</v>
      </c>
      <c r="U27" s="70" t="s">
        <v>1219</v>
      </c>
      <c r="V27" s="70" t="s">
        <v>1219</v>
      </c>
      <c r="W27" s="70"/>
      <c r="X27" s="70" t="str">
        <f t="shared" si="0"/>
        <v>Belum Dinilai</v>
      </c>
      <c r="Y27" s="70" t="s">
        <v>1219</v>
      </c>
      <c r="Z27" s="74" t="str">
        <f t="shared" si="2"/>
        <v/>
      </c>
      <c r="AA27" s="74" t="str">
        <f t="shared" si="3"/>
        <v/>
      </c>
      <c r="AB27" s="74" t="str">
        <f t="shared" si="4"/>
        <v/>
      </c>
      <c r="AC27" s="71" t="s">
        <v>1219</v>
      </c>
      <c r="AD27" s="71" t="s">
        <v>1219</v>
      </c>
      <c r="AE27" s="71" t="s">
        <v>1219</v>
      </c>
      <c r="AF27" s="71" t="s">
        <v>1219</v>
      </c>
      <c r="AG27" s="71" t="s">
        <v>1219</v>
      </c>
      <c r="AH27" s="71" t="s">
        <v>1219</v>
      </c>
      <c r="AI27" s="71" t="s">
        <v>1219</v>
      </c>
      <c r="AJ27" s="71" t="s">
        <v>1219</v>
      </c>
      <c r="AK27" s="71" t="s">
        <v>1219</v>
      </c>
      <c r="AL27" s="71"/>
      <c r="AM27" s="71" t="s">
        <v>1219</v>
      </c>
      <c r="AN27" s="71" t="str">
        <f t="shared" si="1"/>
        <v>Belum Dinilai</v>
      </c>
      <c r="AO27" s="71" t="str">
        <f t="shared" si="9"/>
        <v>Belum Dinilai</v>
      </c>
      <c r="AP27" s="71"/>
      <c r="AQ27" s="75" t="str">
        <f t="shared" si="10"/>
        <v/>
      </c>
      <c r="AR27" s="75" t="str">
        <f t="shared" si="11"/>
        <v/>
      </c>
      <c r="AS27" s="75" t="str">
        <f t="shared" si="12"/>
        <v/>
      </c>
      <c r="AT27" s="72" t="str">
        <f t="shared" si="13"/>
        <v>Belum Dapat Ditentukan</v>
      </c>
      <c r="AU27" s="69" t="s">
        <v>1193</v>
      </c>
      <c r="AV27" s="69" t="s">
        <v>1208</v>
      </c>
      <c r="AW27" s="69" t="s">
        <v>1194</v>
      </c>
      <c r="AX27" s="69"/>
      <c r="AY27" s="69"/>
      <c r="AZ27" s="69" t="s">
        <v>930</v>
      </c>
      <c r="BA27" s="69"/>
      <c r="BB27" s="76"/>
      <c r="BC27" s="77">
        <v>2026</v>
      </c>
      <c r="BD27" s="69" t="s">
        <v>1197</v>
      </c>
      <c r="BE27" s="76">
        <v>46218</v>
      </c>
      <c r="BF27" s="69" t="s">
        <v>1282</v>
      </c>
    </row>
    <row r="28" spans="1:58" ht="42">
      <c r="A28" s="69" t="s">
        <v>1401</v>
      </c>
      <c r="B28" s="69" t="s">
        <v>1402</v>
      </c>
      <c r="C28" s="69"/>
      <c r="D28" s="69"/>
      <c r="E28" s="69" t="s">
        <v>1403</v>
      </c>
      <c r="F28" s="69" t="s">
        <v>1404</v>
      </c>
      <c r="G28" s="69" t="s">
        <v>1368</v>
      </c>
      <c r="H28" s="69" t="s">
        <v>1185</v>
      </c>
      <c r="I28" s="69" t="s">
        <v>1405</v>
      </c>
      <c r="J28" s="69" t="s">
        <v>1214</v>
      </c>
      <c r="K28" s="69" t="s">
        <v>1201</v>
      </c>
      <c r="L28" s="69" t="s">
        <v>908</v>
      </c>
      <c r="M28" s="69" t="s">
        <v>1270</v>
      </c>
      <c r="N28" s="69" t="s">
        <v>908</v>
      </c>
      <c r="O28" s="69" t="s">
        <v>1217</v>
      </c>
      <c r="P28" s="69" t="s">
        <v>908</v>
      </c>
      <c r="Q28" s="70" t="s">
        <v>1219</v>
      </c>
      <c r="R28" s="70" t="s">
        <v>1219</v>
      </c>
      <c r="S28" s="70" t="s">
        <v>1219</v>
      </c>
      <c r="T28" s="70" t="s">
        <v>1219</v>
      </c>
      <c r="U28" s="70" t="s">
        <v>1219</v>
      </c>
      <c r="V28" s="70" t="s">
        <v>1219</v>
      </c>
      <c r="W28" s="70"/>
      <c r="X28" s="70" t="str">
        <f t="shared" si="0"/>
        <v>Belum Dinilai</v>
      </c>
      <c r="Y28" s="70" t="s">
        <v>1219</v>
      </c>
      <c r="Z28" s="74" t="str">
        <f t="shared" si="2"/>
        <v/>
      </c>
      <c r="AA28" s="74" t="str">
        <f t="shared" si="3"/>
        <v/>
      </c>
      <c r="AB28" s="74" t="str">
        <f t="shared" si="4"/>
        <v/>
      </c>
      <c r="AC28" s="71" t="s">
        <v>1219</v>
      </c>
      <c r="AD28" s="71" t="s">
        <v>1219</v>
      </c>
      <c r="AE28" s="71" t="s">
        <v>1219</v>
      </c>
      <c r="AF28" s="71" t="s">
        <v>1219</v>
      </c>
      <c r="AG28" s="71" t="s">
        <v>1219</v>
      </c>
      <c r="AH28" s="71" t="s">
        <v>1219</v>
      </c>
      <c r="AI28" s="71" t="s">
        <v>1219</v>
      </c>
      <c r="AJ28" s="71" t="s">
        <v>1219</v>
      </c>
      <c r="AK28" s="71" t="s">
        <v>1219</v>
      </c>
      <c r="AL28" s="71"/>
      <c r="AM28" s="71" t="s">
        <v>1219</v>
      </c>
      <c r="AN28" s="71" t="str">
        <f t="shared" si="1"/>
        <v>Belum Dinilai</v>
      </c>
      <c r="AO28" s="71" t="str">
        <f t="shared" si="9"/>
        <v>Belum Dinilai</v>
      </c>
      <c r="AP28" s="71"/>
      <c r="AQ28" s="75">
        <f t="shared" si="10"/>
        <v>43</v>
      </c>
      <c r="AR28" s="75" t="str">
        <f t="shared" si="11"/>
        <v/>
      </c>
      <c r="AS28" s="75" t="str">
        <f t="shared" si="12"/>
        <v/>
      </c>
      <c r="AT28" s="72" t="str">
        <f t="shared" si="13"/>
        <v>Belum Dapat Ditentukan</v>
      </c>
      <c r="AU28" s="69" t="s">
        <v>1193</v>
      </c>
      <c r="AV28" s="69" t="s">
        <v>1208</v>
      </c>
      <c r="AW28" s="69" t="s">
        <v>1194</v>
      </c>
      <c r="AX28" s="69"/>
      <c r="AY28" s="69"/>
      <c r="AZ28" s="69" t="s">
        <v>930</v>
      </c>
      <c r="BA28" s="69"/>
      <c r="BB28" s="76"/>
      <c r="BC28" s="77">
        <v>2026</v>
      </c>
      <c r="BD28" s="69" t="s">
        <v>1197</v>
      </c>
      <c r="BE28" s="76">
        <v>46218</v>
      </c>
      <c r="BF28" s="69" t="s">
        <v>1282</v>
      </c>
    </row>
    <row r="29" spans="1:58" ht="28">
      <c r="A29" s="69" t="s">
        <v>1406</v>
      </c>
      <c r="B29" s="69" t="s">
        <v>1407</v>
      </c>
      <c r="C29" s="69"/>
      <c r="D29" s="69"/>
      <c r="E29" s="69" t="s">
        <v>1408</v>
      </c>
      <c r="F29" s="69" t="s">
        <v>1409</v>
      </c>
      <c r="G29" s="69" t="s">
        <v>1368</v>
      </c>
      <c r="H29" s="69" t="s">
        <v>1199</v>
      </c>
      <c r="I29" s="69" t="s">
        <v>1410</v>
      </c>
      <c r="J29" s="69" t="s">
        <v>1186</v>
      </c>
      <c r="K29" s="69" t="s">
        <v>1281</v>
      </c>
      <c r="L29" s="69" t="s">
        <v>894</v>
      </c>
      <c r="M29" s="69" t="s">
        <v>1269</v>
      </c>
      <c r="N29" s="69" t="s">
        <v>1219</v>
      </c>
      <c r="O29" s="69" t="s">
        <v>1281</v>
      </c>
      <c r="P29" s="69" t="s">
        <v>1219</v>
      </c>
      <c r="Q29" s="70" t="s">
        <v>1219</v>
      </c>
      <c r="R29" s="70" t="s">
        <v>1219</v>
      </c>
      <c r="S29" s="70" t="s">
        <v>1219</v>
      </c>
      <c r="T29" s="70" t="s">
        <v>1219</v>
      </c>
      <c r="U29" s="70" t="s">
        <v>1219</v>
      </c>
      <c r="V29" s="70" t="s">
        <v>1219</v>
      </c>
      <c r="W29" s="70"/>
      <c r="X29" s="70" t="str">
        <f t="shared" si="0"/>
        <v>Belum Dinilai</v>
      </c>
      <c r="Y29" s="70" t="s">
        <v>1219</v>
      </c>
      <c r="Z29" s="74" t="str">
        <f t="shared" si="2"/>
        <v/>
      </c>
      <c r="AA29" s="74" t="str">
        <f t="shared" si="3"/>
        <v/>
      </c>
      <c r="AB29" s="74" t="str">
        <f t="shared" si="4"/>
        <v/>
      </c>
      <c r="AC29" s="71" t="s">
        <v>1219</v>
      </c>
      <c r="AD29" s="71" t="s">
        <v>1219</v>
      </c>
      <c r="AE29" s="71" t="s">
        <v>1219</v>
      </c>
      <c r="AF29" s="71" t="s">
        <v>1219</v>
      </c>
      <c r="AG29" s="71" t="s">
        <v>1219</v>
      </c>
      <c r="AH29" s="71" t="s">
        <v>1219</v>
      </c>
      <c r="AI29" s="71" t="s">
        <v>1219</v>
      </c>
      <c r="AJ29" s="71" t="s">
        <v>1219</v>
      </c>
      <c r="AK29" s="71" t="s">
        <v>1219</v>
      </c>
      <c r="AL29" s="71"/>
      <c r="AM29" s="71" t="s">
        <v>1219</v>
      </c>
      <c r="AN29" s="71" t="str">
        <f t="shared" si="1"/>
        <v>Belum Dinilai</v>
      </c>
      <c r="AO29" s="71" t="str">
        <f t="shared" si="9"/>
        <v>Belum Dinilai</v>
      </c>
      <c r="AP29" s="71"/>
      <c r="AQ29" s="75" t="str">
        <f t="shared" si="10"/>
        <v/>
      </c>
      <c r="AR29" s="75" t="str">
        <f t="shared" si="11"/>
        <v/>
      </c>
      <c r="AS29" s="75" t="str">
        <f t="shared" si="12"/>
        <v/>
      </c>
      <c r="AT29" s="72" t="str">
        <f t="shared" si="13"/>
        <v>Belum Dapat Ditentukan</v>
      </c>
      <c r="AU29" s="69" t="s">
        <v>1193</v>
      </c>
      <c r="AV29" s="69" t="s">
        <v>1208</v>
      </c>
      <c r="AW29" s="69" t="s">
        <v>1194</v>
      </c>
      <c r="AX29" s="69"/>
      <c r="AY29" s="69"/>
      <c r="AZ29" s="69" t="s">
        <v>930</v>
      </c>
      <c r="BA29" s="69"/>
      <c r="BB29" s="76"/>
      <c r="BC29" s="77">
        <v>2026</v>
      </c>
      <c r="BD29" s="69" t="s">
        <v>1197</v>
      </c>
      <c r="BE29" s="76">
        <v>46218</v>
      </c>
      <c r="BF29" s="69" t="s">
        <v>1282</v>
      </c>
    </row>
    <row r="30" spans="1:58" ht="42">
      <c r="A30" s="69" t="s">
        <v>1411</v>
      </c>
      <c r="B30" s="69" t="s">
        <v>1412</v>
      </c>
      <c r="C30" s="69"/>
      <c r="D30" s="69"/>
      <c r="E30" s="69" t="s">
        <v>1413</v>
      </c>
      <c r="F30" s="69" t="s">
        <v>1414</v>
      </c>
      <c r="G30" s="69" t="s">
        <v>1368</v>
      </c>
      <c r="H30" s="69" t="s">
        <v>1185</v>
      </c>
      <c r="I30" s="69" t="s">
        <v>1405</v>
      </c>
      <c r="J30" s="69" t="s">
        <v>1214</v>
      </c>
      <c r="K30" s="69" t="s">
        <v>1201</v>
      </c>
      <c r="L30" s="69" t="s">
        <v>908</v>
      </c>
      <c r="M30" s="69" t="s">
        <v>1270</v>
      </c>
      <c r="N30" s="69" t="s">
        <v>908</v>
      </c>
      <c r="O30" s="69" t="s">
        <v>1217</v>
      </c>
      <c r="P30" s="69" t="s">
        <v>908</v>
      </c>
      <c r="Q30" s="70" t="s">
        <v>1219</v>
      </c>
      <c r="R30" s="70" t="s">
        <v>1219</v>
      </c>
      <c r="S30" s="70" t="s">
        <v>1219</v>
      </c>
      <c r="T30" s="70" t="s">
        <v>1219</v>
      </c>
      <c r="U30" s="70" t="s">
        <v>1219</v>
      </c>
      <c r="V30" s="70" t="s">
        <v>1219</v>
      </c>
      <c r="W30" s="70"/>
      <c r="X30" s="70" t="str">
        <f t="shared" si="0"/>
        <v>Belum Dinilai</v>
      </c>
      <c r="Y30" s="70" t="s">
        <v>1219</v>
      </c>
      <c r="Z30" s="74" t="str">
        <f t="shared" si="2"/>
        <v/>
      </c>
      <c r="AA30" s="74" t="str">
        <f t="shared" si="3"/>
        <v/>
      </c>
      <c r="AB30" s="74" t="str">
        <f t="shared" si="4"/>
        <v/>
      </c>
      <c r="AC30" s="71" t="s">
        <v>1219</v>
      </c>
      <c r="AD30" s="71" t="s">
        <v>1219</v>
      </c>
      <c r="AE30" s="71" t="s">
        <v>1219</v>
      </c>
      <c r="AF30" s="71" t="s">
        <v>1219</v>
      </c>
      <c r="AG30" s="71" t="s">
        <v>1219</v>
      </c>
      <c r="AH30" s="71" t="s">
        <v>1219</v>
      </c>
      <c r="AI30" s="71" t="s">
        <v>1219</v>
      </c>
      <c r="AJ30" s="71" t="s">
        <v>1219</v>
      </c>
      <c r="AK30" s="71" t="s">
        <v>1219</v>
      </c>
      <c r="AL30" s="71"/>
      <c r="AM30" s="71" t="s">
        <v>1219</v>
      </c>
      <c r="AN30" s="71" t="str">
        <f t="shared" si="1"/>
        <v>Belum Dinilai</v>
      </c>
      <c r="AO30" s="71" t="str">
        <f t="shared" si="9"/>
        <v>Belum Dinilai</v>
      </c>
      <c r="AP30" s="71"/>
      <c r="AQ30" s="75">
        <f t="shared" si="10"/>
        <v>43</v>
      </c>
      <c r="AR30" s="75" t="str">
        <f t="shared" si="11"/>
        <v/>
      </c>
      <c r="AS30" s="75" t="str">
        <f t="shared" si="12"/>
        <v/>
      </c>
      <c r="AT30" s="72" t="str">
        <f t="shared" si="13"/>
        <v>Belum Dapat Ditentukan</v>
      </c>
      <c r="AU30" s="69" t="s">
        <v>1193</v>
      </c>
      <c r="AV30" s="69" t="s">
        <v>1208</v>
      </c>
      <c r="AW30" s="69" t="s">
        <v>1194</v>
      </c>
      <c r="AX30" s="69"/>
      <c r="AY30" s="69"/>
      <c r="AZ30" s="69" t="s">
        <v>930</v>
      </c>
      <c r="BA30" s="69"/>
      <c r="BB30" s="76"/>
      <c r="BC30" s="77">
        <v>2026</v>
      </c>
      <c r="BD30" s="69" t="s">
        <v>1197</v>
      </c>
      <c r="BE30" s="76">
        <v>46218</v>
      </c>
      <c r="BF30" s="69" t="s">
        <v>1282</v>
      </c>
    </row>
    <row r="31" spans="1:58" ht="42">
      <c r="A31" s="69" t="s">
        <v>1415</v>
      </c>
      <c r="B31" s="69" t="s">
        <v>1416</v>
      </c>
      <c r="C31" s="69"/>
      <c r="D31" s="69"/>
      <c r="E31" s="69" t="s">
        <v>1417</v>
      </c>
      <c r="F31" s="69" t="s">
        <v>1414</v>
      </c>
      <c r="G31" s="69" t="s">
        <v>1368</v>
      </c>
      <c r="H31" s="69" t="s">
        <v>1185</v>
      </c>
      <c r="I31" s="69" t="s">
        <v>1418</v>
      </c>
      <c r="J31" s="69" t="s">
        <v>1200</v>
      </c>
      <c r="K31" s="69" t="s">
        <v>1215</v>
      </c>
      <c r="L31" s="69" t="s">
        <v>894</v>
      </c>
      <c r="M31" s="69" t="s">
        <v>1270</v>
      </c>
      <c r="N31" s="69" t="s">
        <v>894</v>
      </c>
      <c r="O31" s="69" t="s">
        <v>1217</v>
      </c>
      <c r="P31" s="69" t="s">
        <v>894</v>
      </c>
      <c r="Q31" s="70" t="s">
        <v>1219</v>
      </c>
      <c r="R31" s="70" t="s">
        <v>1219</v>
      </c>
      <c r="S31" s="70" t="s">
        <v>1219</v>
      </c>
      <c r="T31" s="70" t="s">
        <v>1219</v>
      </c>
      <c r="U31" s="70" t="s">
        <v>1219</v>
      </c>
      <c r="V31" s="70" t="s">
        <v>1219</v>
      </c>
      <c r="W31" s="70"/>
      <c r="X31" s="70" t="str">
        <f t="shared" si="0"/>
        <v>Belum Dinilai</v>
      </c>
      <c r="Y31" s="70" t="s">
        <v>1219</v>
      </c>
      <c r="Z31" s="74" t="str">
        <f t="shared" si="2"/>
        <v/>
      </c>
      <c r="AA31" s="74" t="str">
        <f t="shared" si="3"/>
        <v/>
      </c>
      <c r="AB31" s="74" t="str">
        <f t="shared" si="4"/>
        <v/>
      </c>
      <c r="AC31" s="71" t="s">
        <v>1219</v>
      </c>
      <c r="AD31" s="71" t="s">
        <v>1219</v>
      </c>
      <c r="AE31" s="71" t="s">
        <v>1219</v>
      </c>
      <c r="AF31" s="71" t="s">
        <v>1219</v>
      </c>
      <c r="AG31" s="71" t="s">
        <v>1219</v>
      </c>
      <c r="AH31" s="71" t="s">
        <v>1219</v>
      </c>
      <c r="AI31" s="71" t="s">
        <v>1219</v>
      </c>
      <c r="AJ31" s="71" t="s">
        <v>1219</v>
      </c>
      <c r="AK31" s="71" t="s">
        <v>1219</v>
      </c>
      <c r="AL31" s="71"/>
      <c r="AM31" s="71" t="s">
        <v>1219</v>
      </c>
      <c r="AN31" s="71" t="str">
        <f t="shared" si="1"/>
        <v>Belum Dinilai</v>
      </c>
      <c r="AO31" s="71" t="str">
        <f t="shared" si="9"/>
        <v>Belum Dinilai</v>
      </c>
      <c r="AP31" s="71"/>
      <c r="AQ31" s="75">
        <f t="shared" si="10"/>
        <v>22</v>
      </c>
      <c r="AR31" s="75" t="str">
        <f t="shared" si="11"/>
        <v/>
      </c>
      <c r="AS31" s="75" t="str">
        <f t="shared" si="12"/>
        <v/>
      </c>
      <c r="AT31" s="72" t="str">
        <f t="shared" si="13"/>
        <v>Belum Dapat Ditentukan</v>
      </c>
      <c r="AU31" s="69" t="s">
        <v>1193</v>
      </c>
      <c r="AV31" s="69" t="s">
        <v>1208</v>
      </c>
      <c r="AW31" s="69" t="s">
        <v>1194</v>
      </c>
      <c r="AX31" s="69"/>
      <c r="AY31" s="69"/>
      <c r="AZ31" s="69" t="s">
        <v>930</v>
      </c>
      <c r="BA31" s="69"/>
      <c r="BB31" s="76"/>
      <c r="BC31" s="77">
        <v>2026</v>
      </c>
      <c r="BD31" s="69" t="s">
        <v>1197</v>
      </c>
      <c r="BE31" s="76">
        <v>46218</v>
      </c>
      <c r="BF31" s="69" t="s">
        <v>1282</v>
      </c>
    </row>
    <row r="32" spans="1:58" ht="28">
      <c r="A32" s="69" t="s">
        <v>1419</v>
      </c>
      <c r="B32" s="69" t="s">
        <v>1420</v>
      </c>
      <c r="C32" s="69"/>
      <c r="D32" s="69"/>
      <c r="E32" s="69" t="s">
        <v>1421</v>
      </c>
      <c r="F32" s="69" t="s">
        <v>1422</v>
      </c>
      <c r="G32" s="69" t="s">
        <v>1368</v>
      </c>
      <c r="H32" s="69" t="s">
        <v>1199</v>
      </c>
      <c r="I32" s="69" t="s">
        <v>1423</v>
      </c>
      <c r="J32" s="69" t="s">
        <v>1186</v>
      </c>
      <c r="K32" s="69" t="s">
        <v>1281</v>
      </c>
      <c r="L32" s="69" t="s">
        <v>1219</v>
      </c>
      <c r="M32" s="69" t="s">
        <v>1269</v>
      </c>
      <c r="N32" s="69" t="s">
        <v>1219</v>
      </c>
      <c r="O32" s="69" t="s">
        <v>1281</v>
      </c>
      <c r="P32" s="69" t="s">
        <v>1219</v>
      </c>
      <c r="Q32" s="70" t="s">
        <v>1219</v>
      </c>
      <c r="R32" s="70" t="s">
        <v>1219</v>
      </c>
      <c r="S32" s="70" t="s">
        <v>1219</v>
      </c>
      <c r="T32" s="70" t="s">
        <v>1219</v>
      </c>
      <c r="U32" s="70" t="s">
        <v>1219</v>
      </c>
      <c r="V32" s="70" t="s">
        <v>1219</v>
      </c>
      <c r="W32" s="70"/>
      <c r="X32" s="70" t="str">
        <f t="shared" si="0"/>
        <v>Belum Dinilai</v>
      </c>
      <c r="Y32" s="70" t="s">
        <v>1219</v>
      </c>
      <c r="Z32" s="74" t="str">
        <f t="shared" si="2"/>
        <v/>
      </c>
      <c r="AA32" s="74" t="str">
        <f t="shared" si="3"/>
        <v/>
      </c>
      <c r="AB32" s="74" t="str">
        <f t="shared" si="4"/>
        <v/>
      </c>
      <c r="AC32" s="71" t="s">
        <v>1219</v>
      </c>
      <c r="AD32" s="71" t="s">
        <v>1219</v>
      </c>
      <c r="AE32" s="71" t="s">
        <v>1219</v>
      </c>
      <c r="AF32" s="71" t="s">
        <v>1219</v>
      </c>
      <c r="AG32" s="71" t="s">
        <v>1219</v>
      </c>
      <c r="AH32" s="71" t="s">
        <v>1219</v>
      </c>
      <c r="AI32" s="71" t="s">
        <v>1219</v>
      </c>
      <c r="AJ32" s="71" t="s">
        <v>1219</v>
      </c>
      <c r="AK32" s="71" t="s">
        <v>1219</v>
      </c>
      <c r="AL32" s="71"/>
      <c r="AM32" s="71" t="s">
        <v>1219</v>
      </c>
      <c r="AN32" s="71" t="str">
        <f t="shared" si="1"/>
        <v>Belum Dinilai</v>
      </c>
      <c r="AO32" s="71" t="str">
        <f t="shared" si="9"/>
        <v>Belum Dinilai</v>
      </c>
      <c r="AP32" s="71"/>
      <c r="AQ32" s="75" t="str">
        <f t="shared" si="10"/>
        <v/>
      </c>
      <c r="AR32" s="75" t="str">
        <f t="shared" si="11"/>
        <v/>
      </c>
      <c r="AS32" s="75" t="str">
        <f t="shared" si="12"/>
        <v/>
      </c>
      <c r="AT32" s="72" t="str">
        <f t="shared" si="13"/>
        <v>Belum Dapat Ditentukan</v>
      </c>
      <c r="AU32" s="69" t="s">
        <v>1207</v>
      </c>
      <c r="AV32" s="69" t="s">
        <v>1208</v>
      </c>
      <c r="AW32" s="69" t="s">
        <v>1194</v>
      </c>
      <c r="AX32" s="69"/>
      <c r="AY32" s="69"/>
      <c r="AZ32" s="69" t="s">
        <v>930</v>
      </c>
      <c r="BA32" s="69"/>
      <c r="BB32" s="76"/>
      <c r="BC32" s="77">
        <v>2026</v>
      </c>
      <c r="BD32" s="69" t="s">
        <v>1197</v>
      </c>
      <c r="BE32" s="76">
        <v>46218</v>
      </c>
      <c r="BF32" s="69" t="s">
        <v>1282</v>
      </c>
    </row>
    <row r="33" spans="1:58" ht="28">
      <c r="A33" s="69" t="s">
        <v>1424</v>
      </c>
      <c r="B33" s="69" t="s">
        <v>1425</v>
      </c>
      <c r="C33" s="69"/>
      <c r="D33" s="69"/>
      <c r="E33" s="69" t="s">
        <v>1426</v>
      </c>
      <c r="F33" s="69" t="s">
        <v>1422</v>
      </c>
      <c r="G33" s="69" t="s">
        <v>1368</v>
      </c>
      <c r="H33" s="69" t="s">
        <v>1199</v>
      </c>
      <c r="I33" s="69" t="s">
        <v>1423</v>
      </c>
      <c r="J33" s="69" t="s">
        <v>1186</v>
      </c>
      <c r="K33" s="69" t="s">
        <v>1281</v>
      </c>
      <c r="L33" s="69" t="s">
        <v>1219</v>
      </c>
      <c r="M33" s="69" t="s">
        <v>1269</v>
      </c>
      <c r="N33" s="69" t="s">
        <v>1219</v>
      </c>
      <c r="O33" s="69" t="s">
        <v>1281</v>
      </c>
      <c r="P33" s="69" t="s">
        <v>1219</v>
      </c>
      <c r="Q33" s="70" t="s">
        <v>1219</v>
      </c>
      <c r="R33" s="70" t="s">
        <v>1219</v>
      </c>
      <c r="S33" s="70" t="s">
        <v>1219</v>
      </c>
      <c r="T33" s="70" t="s">
        <v>1219</v>
      </c>
      <c r="U33" s="70" t="s">
        <v>1219</v>
      </c>
      <c r="V33" s="70" t="s">
        <v>1219</v>
      </c>
      <c r="W33" s="70"/>
      <c r="X33" s="70" t="str">
        <f t="shared" si="0"/>
        <v>Belum Dinilai</v>
      </c>
      <c r="Y33" s="70" t="s">
        <v>1219</v>
      </c>
      <c r="Z33" s="74" t="str">
        <f t="shared" si="2"/>
        <v/>
      </c>
      <c r="AA33" s="74" t="str">
        <f t="shared" si="3"/>
        <v/>
      </c>
      <c r="AB33" s="74" t="str">
        <f t="shared" si="4"/>
        <v/>
      </c>
      <c r="AC33" s="71" t="s">
        <v>1219</v>
      </c>
      <c r="AD33" s="71" t="s">
        <v>1219</v>
      </c>
      <c r="AE33" s="71" t="s">
        <v>1219</v>
      </c>
      <c r="AF33" s="71" t="s">
        <v>1219</v>
      </c>
      <c r="AG33" s="71" t="s">
        <v>1219</v>
      </c>
      <c r="AH33" s="71" t="s">
        <v>1219</v>
      </c>
      <c r="AI33" s="71" t="s">
        <v>1219</v>
      </c>
      <c r="AJ33" s="71" t="s">
        <v>1219</v>
      </c>
      <c r="AK33" s="71" t="s">
        <v>1219</v>
      </c>
      <c r="AL33" s="71"/>
      <c r="AM33" s="71" t="s">
        <v>1219</v>
      </c>
      <c r="AN33" s="71" t="str">
        <f t="shared" si="1"/>
        <v>Belum Dinilai</v>
      </c>
      <c r="AO33" s="71" t="str">
        <f t="shared" si="9"/>
        <v>Belum Dinilai</v>
      </c>
      <c r="AP33" s="71"/>
      <c r="AQ33" s="75" t="str">
        <f t="shared" si="10"/>
        <v/>
      </c>
      <c r="AR33" s="75" t="str">
        <f t="shared" si="11"/>
        <v/>
      </c>
      <c r="AS33" s="75" t="str">
        <f t="shared" si="12"/>
        <v/>
      </c>
      <c r="AT33" s="72" t="str">
        <f t="shared" si="13"/>
        <v>Belum Dapat Ditentukan</v>
      </c>
      <c r="AU33" s="69" t="s">
        <v>1193</v>
      </c>
      <c r="AV33" s="69" t="s">
        <v>1208</v>
      </c>
      <c r="AW33" s="69" t="s">
        <v>1194</v>
      </c>
      <c r="AX33" s="69"/>
      <c r="AY33" s="69"/>
      <c r="AZ33" s="69" t="s">
        <v>930</v>
      </c>
      <c r="BA33" s="69"/>
      <c r="BB33" s="76"/>
      <c r="BC33" s="77">
        <v>2026</v>
      </c>
      <c r="BD33" s="69" t="s">
        <v>1197</v>
      </c>
      <c r="BE33" s="76">
        <v>46218</v>
      </c>
      <c r="BF33" s="69" t="s">
        <v>1282</v>
      </c>
    </row>
    <row r="34" spans="1:58" ht="42">
      <c r="A34" s="69" t="s">
        <v>1427</v>
      </c>
      <c r="B34" s="69" t="s">
        <v>1428</v>
      </c>
      <c r="C34" s="69"/>
      <c r="D34" s="69"/>
      <c r="E34" s="69" t="s">
        <v>1429</v>
      </c>
      <c r="F34" s="69" t="s">
        <v>1422</v>
      </c>
      <c r="G34" s="69" t="s">
        <v>1368</v>
      </c>
      <c r="H34" s="69" t="s">
        <v>1185</v>
      </c>
      <c r="I34" s="69" t="s">
        <v>1405</v>
      </c>
      <c r="J34" s="69" t="s">
        <v>1214</v>
      </c>
      <c r="K34" s="69" t="s">
        <v>1201</v>
      </c>
      <c r="L34" s="69" t="s">
        <v>908</v>
      </c>
      <c r="M34" s="69" t="s">
        <v>1270</v>
      </c>
      <c r="N34" s="69" t="s">
        <v>908</v>
      </c>
      <c r="O34" s="69" t="s">
        <v>1217</v>
      </c>
      <c r="P34" s="69" t="s">
        <v>908</v>
      </c>
      <c r="Q34" s="70" t="s">
        <v>1219</v>
      </c>
      <c r="R34" s="70" t="s">
        <v>1219</v>
      </c>
      <c r="S34" s="70" t="s">
        <v>1219</v>
      </c>
      <c r="T34" s="70" t="s">
        <v>1219</v>
      </c>
      <c r="U34" s="70" t="s">
        <v>1219</v>
      </c>
      <c r="V34" s="70" t="s">
        <v>1219</v>
      </c>
      <c r="W34" s="70"/>
      <c r="X34" s="70" t="str">
        <f t="shared" si="0"/>
        <v>Belum Dinilai</v>
      </c>
      <c r="Y34" s="70" t="s">
        <v>1219</v>
      </c>
      <c r="Z34" s="74" t="str">
        <f t="shared" si="2"/>
        <v/>
      </c>
      <c r="AA34" s="74" t="str">
        <f t="shared" si="3"/>
        <v/>
      </c>
      <c r="AB34" s="74" t="str">
        <f t="shared" si="4"/>
        <v/>
      </c>
      <c r="AC34" s="71" t="s">
        <v>1219</v>
      </c>
      <c r="AD34" s="71" t="s">
        <v>1219</v>
      </c>
      <c r="AE34" s="71" t="s">
        <v>1219</v>
      </c>
      <c r="AF34" s="71" t="s">
        <v>1219</v>
      </c>
      <c r="AG34" s="71" t="s">
        <v>1219</v>
      </c>
      <c r="AH34" s="71" t="s">
        <v>1219</v>
      </c>
      <c r="AI34" s="71" t="s">
        <v>1219</v>
      </c>
      <c r="AJ34" s="71" t="s">
        <v>1219</v>
      </c>
      <c r="AK34" s="71" t="s">
        <v>1219</v>
      </c>
      <c r="AL34" s="71"/>
      <c r="AM34" s="71" t="s">
        <v>1219</v>
      </c>
      <c r="AN34" s="71" t="str">
        <f t="shared" si="1"/>
        <v>Belum Dinilai</v>
      </c>
      <c r="AO34" s="71" t="str">
        <f t="shared" si="9"/>
        <v>Belum Dinilai</v>
      </c>
      <c r="AP34" s="71"/>
      <c r="AQ34" s="75">
        <f t="shared" si="10"/>
        <v>43</v>
      </c>
      <c r="AR34" s="75" t="str">
        <f t="shared" si="11"/>
        <v/>
      </c>
      <c r="AS34" s="75" t="str">
        <f t="shared" si="12"/>
        <v/>
      </c>
      <c r="AT34" s="72" t="str">
        <f t="shared" si="13"/>
        <v>Belum Dapat Ditentukan</v>
      </c>
      <c r="AU34" s="69" t="s">
        <v>1193</v>
      </c>
      <c r="AV34" s="69" t="s">
        <v>1208</v>
      </c>
      <c r="AW34" s="69" t="s">
        <v>1194</v>
      </c>
      <c r="AX34" s="69"/>
      <c r="AY34" s="69"/>
      <c r="AZ34" s="69" t="s">
        <v>930</v>
      </c>
      <c r="BA34" s="69"/>
      <c r="BB34" s="76"/>
      <c r="BC34" s="77">
        <v>2026</v>
      </c>
      <c r="BD34" s="69" t="s">
        <v>1197</v>
      </c>
      <c r="BE34" s="76">
        <v>46218</v>
      </c>
      <c r="BF34" s="69" t="s">
        <v>1282</v>
      </c>
    </row>
    <row r="35" spans="1:58" ht="42">
      <c r="A35" s="69" t="s">
        <v>1430</v>
      </c>
      <c r="B35" s="69" t="s">
        <v>1431</v>
      </c>
      <c r="C35" s="69"/>
      <c r="D35" s="69"/>
      <c r="E35" s="69" t="s">
        <v>1311</v>
      </c>
      <c r="F35" s="69" t="s">
        <v>1311</v>
      </c>
      <c r="G35" s="69" t="s">
        <v>1311</v>
      </c>
      <c r="H35" s="69" t="s">
        <v>1185</v>
      </c>
      <c r="I35" s="69" t="s">
        <v>1405</v>
      </c>
      <c r="J35" s="69" t="s">
        <v>1214</v>
      </c>
      <c r="K35" s="69" t="s">
        <v>1201</v>
      </c>
      <c r="L35" s="69" t="s">
        <v>908</v>
      </c>
      <c r="M35" s="69" t="s">
        <v>1270</v>
      </c>
      <c r="N35" s="69" t="s">
        <v>908</v>
      </c>
      <c r="O35" s="69" t="s">
        <v>1217</v>
      </c>
      <c r="P35" s="69" t="s">
        <v>908</v>
      </c>
      <c r="Q35" s="70" t="s">
        <v>1219</v>
      </c>
      <c r="R35" s="70" t="s">
        <v>1219</v>
      </c>
      <c r="S35" s="70" t="s">
        <v>1219</v>
      </c>
      <c r="T35" s="70" t="s">
        <v>1219</v>
      </c>
      <c r="U35" s="70" t="s">
        <v>1219</v>
      </c>
      <c r="V35" s="70" t="s">
        <v>1219</v>
      </c>
      <c r="W35" s="70"/>
      <c r="X35" s="70" t="str">
        <f t="shared" si="0"/>
        <v>Belum Dinilai</v>
      </c>
      <c r="Y35" s="70" t="s">
        <v>1219</v>
      </c>
      <c r="Z35" s="74" t="str">
        <f t="shared" si="2"/>
        <v/>
      </c>
      <c r="AA35" s="74" t="str">
        <f t="shared" si="3"/>
        <v/>
      </c>
      <c r="AB35" s="74" t="str">
        <f t="shared" si="4"/>
        <v/>
      </c>
      <c r="AC35" s="71" t="s">
        <v>1219</v>
      </c>
      <c r="AD35" s="71" t="s">
        <v>1219</v>
      </c>
      <c r="AE35" s="71" t="s">
        <v>1219</v>
      </c>
      <c r="AF35" s="71" t="s">
        <v>1219</v>
      </c>
      <c r="AG35" s="71" t="s">
        <v>1219</v>
      </c>
      <c r="AH35" s="71" t="s">
        <v>1219</v>
      </c>
      <c r="AI35" s="71" t="s">
        <v>1219</v>
      </c>
      <c r="AJ35" s="71" t="s">
        <v>1219</v>
      </c>
      <c r="AK35" s="71" t="s">
        <v>1219</v>
      </c>
      <c r="AL35" s="71"/>
      <c r="AM35" s="71" t="s">
        <v>1219</v>
      </c>
      <c r="AN35" s="71" t="str">
        <f t="shared" si="1"/>
        <v>Belum Dinilai</v>
      </c>
      <c r="AO35" s="71" t="str">
        <f t="shared" si="9"/>
        <v>Belum Dinilai</v>
      </c>
      <c r="AP35" s="71"/>
      <c r="AQ35" s="75">
        <f t="shared" si="10"/>
        <v>43</v>
      </c>
      <c r="AR35" s="75" t="str">
        <f t="shared" si="11"/>
        <v/>
      </c>
      <c r="AS35" s="75" t="str">
        <f t="shared" si="12"/>
        <v/>
      </c>
      <c r="AT35" s="72" t="str">
        <f t="shared" si="13"/>
        <v>Belum Dapat Ditentukan</v>
      </c>
      <c r="AU35" s="69" t="s">
        <v>1207</v>
      </c>
      <c r="AV35" s="69" t="s">
        <v>1208</v>
      </c>
      <c r="AW35" s="69" t="s">
        <v>1194</v>
      </c>
      <c r="AX35" s="69"/>
      <c r="AY35" s="69"/>
      <c r="AZ35" s="69" t="s">
        <v>930</v>
      </c>
      <c r="BA35" s="69"/>
      <c r="BB35" s="76"/>
      <c r="BC35" s="77">
        <v>2026</v>
      </c>
      <c r="BD35" s="69" t="s">
        <v>1197</v>
      </c>
      <c r="BE35" s="76">
        <v>46218</v>
      </c>
      <c r="BF35" s="69" t="s">
        <v>1282</v>
      </c>
    </row>
    <row r="36" spans="1:58" ht="42">
      <c r="A36" s="69" t="s">
        <v>1432</v>
      </c>
      <c r="B36" s="69" t="s">
        <v>1433</v>
      </c>
      <c r="C36" s="69"/>
      <c r="D36" s="69"/>
      <c r="E36" s="69" t="s">
        <v>1434</v>
      </c>
      <c r="F36" s="69" t="s">
        <v>1435</v>
      </c>
      <c r="G36" s="69" t="s">
        <v>1317</v>
      </c>
      <c r="H36" s="69" t="s">
        <v>1185</v>
      </c>
      <c r="I36" s="69" t="s">
        <v>1436</v>
      </c>
      <c r="J36" s="69" t="s">
        <v>1214</v>
      </c>
      <c r="K36" s="69" t="s">
        <v>1201</v>
      </c>
      <c r="L36" s="69" t="s">
        <v>908</v>
      </c>
      <c r="M36" s="69" t="s">
        <v>1270</v>
      </c>
      <c r="N36" s="69" t="s">
        <v>908</v>
      </c>
      <c r="O36" s="69" t="s">
        <v>1217</v>
      </c>
      <c r="P36" s="69" t="s">
        <v>908</v>
      </c>
      <c r="Q36" s="70" t="s">
        <v>1219</v>
      </c>
      <c r="R36" s="70" t="s">
        <v>1219</v>
      </c>
      <c r="S36" s="70" t="s">
        <v>1219</v>
      </c>
      <c r="T36" s="70" t="s">
        <v>1219</v>
      </c>
      <c r="U36" s="70" t="s">
        <v>1219</v>
      </c>
      <c r="V36" s="70" t="s">
        <v>1219</v>
      </c>
      <c r="W36" s="70"/>
      <c r="X36" s="70" t="str">
        <f t="shared" si="0"/>
        <v>Belum Dinilai</v>
      </c>
      <c r="Y36" s="70" t="s">
        <v>1219</v>
      </c>
      <c r="Z36" s="74" t="str">
        <f t="shared" si="2"/>
        <v/>
      </c>
      <c r="AA36" s="74" t="str">
        <f t="shared" si="3"/>
        <v/>
      </c>
      <c r="AB36" s="74" t="str">
        <f t="shared" si="4"/>
        <v/>
      </c>
      <c r="AC36" s="71" t="s">
        <v>1219</v>
      </c>
      <c r="AD36" s="71" t="s">
        <v>1219</v>
      </c>
      <c r="AE36" s="71" t="s">
        <v>1219</v>
      </c>
      <c r="AF36" s="71" t="s">
        <v>1219</v>
      </c>
      <c r="AG36" s="71" t="s">
        <v>1219</v>
      </c>
      <c r="AH36" s="71" t="s">
        <v>1219</v>
      </c>
      <c r="AI36" s="71" t="s">
        <v>1219</v>
      </c>
      <c r="AJ36" s="71" t="s">
        <v>1219</v>
      </c>
      <c r="AK36" s="71" t="s">
        <v>1219</v>
      </c>
      <c r="AL36" s="71"/>
      <c r="AM36" s="71" t="s">
        <v>1219</v>
      </c>
      <c r="AN36" s="71" t="str">
        <f t="shared" si="1"/>
        <v>Belum Dinilai</v>
      </c>
      <c r="AO36" s="71" t="str">
        <f t="shared" si="9"/>
        <v>Belum Dinilai</v>
      </c>
      <c r="AP36" s="71"/>
      <c r="AQ36" s="75">
        <f t="shared" si="10"/>
        <v>43</v>
      </c>
      <c r="AR36" s="75" t="str">
        <f t="shared" si="11"/>
        <v/>
      </c>
      <c r="AS36" s="75" t="str">
        <f t="shared" si="12"/>
        <v/>
      </c>
      <c r="AT36" s="72" t="str">
        <f t="shared" si="13"/>
        <v>Belum Dapat Ditentukan</v>
      </c>
      <c r="AU36" s="69" t="s">
        <v>1193</v>
      </c>
      <c r="AV36" s="69" t="s">
        <v>1208</v>
      </c>
      <c r="AW36" s="69" t="s">
        <v>1194</v>
      </c>
      <c r="AX36" s="69"/>
      <c r="AY36" s="69"/>
      <c r="AZ36" s="69" t="s">
        <v>930</v>
      </c>
      <c r="BA36" s="69"/>
      <c r="BB36" s="76"/>
      <c r="BC36" s="77">
        <v>2026</v>
      </c>
      <c r="BD36" s="69" t="s">
        <v>1197</v>
      </c>
      <c r="BE36" s="76">
        <v>46218</v>
      </c>
      <c r="BF36" s="69" t="s">
        <v>1282</v>
      </c>
    </row>
    <row r="37" spans="1:58" ht="56">
      <c r="A37" s="69" t="s">
        <v>1437</v>
      </c>
      <c r="B37" s="69" t="s">
        <v>1438</v>
      </c>
      <c r="C37" s="69"/>
      <c r="D37" s="69"/>
      <c r="E37" s="69" t="s">
        <v>1439</v>
      </c>
      <c r="F37" s="69" t="s">
        <v>1440</v>
      </c>
      <c r="G37" s="69" t="s">
        <v>1317</v>
      </c>
      <c r="H37" s="69" t="s">
        <v>1185</v>
      </c>
      <c r="I37" s="69" t="s">
        <v>1441</v>
      </c>
      <c r="J37" s="69" t="s">
        <v>1214</v>
      </c>
      <c r="K37" s="69" t="s">
        <v>1201</v>
      </c>
      <c r="L37" s="69" t="s">
        <v>898</v>
      </c>
      <c r="M37" s="69" t="s">
        <v>1270</v>
      </c>
      <c r="N37" s="69" t="s">
        <v>898</v>
      </c>
      <c r="O37" s="69" t="s">
        <v>1270</v>
      </c>
      <c r="P37" s="69" t="s">
        <v>898</v>
      </c>
      <c r="Q37" s="70" t="s">
        <v>1219</v>
      </c>
      <c r="R37" s="70" t="s">
        <v>1219</v>
      </c>
      <c r="S37" s="70" t="s">
        <v>1219</v>
      </c>
      <c r="T37" s="70" t="s">
        <v>1219</v>
      </c>
      <c r="U37" s="70" t="s">
        <v>1219</v>
      </c>
      <c r="V37" s="70" t="s">
        <v>1219</v>
      </c>
      <c r="W37" s="70"/>
      <c r="X37" s="70" t="str">
        <f t="shared" si="0"/>
        <v>Belum Dinilai</v>
      </c>
      <c r="Y37" s="70" t="s">
        <v>1219</v>
      </c>
      <c r="Z37" s="74" t="str">
        <f t="shared" si="2"/>
        <v/>
      </c>
      <c r="AA37" s="74" t="str">
        <f t="shared" si="3"/>
        <v/>
      </c>
      <c r="AB37" s="74" t="str">
        <f t="shared" si="4"/>
        <v/>
      </c>
      <c r="AC37" s="71" t="s">
        <v>1219</v>
      </c>
      <c r="AD37" s="71" t="s">
        <v>1219</v>
      </c>
      <c r="AE37" s="71" t="s">
        <v>1219</v>
      </c>
      <c r="AF37" s="71" t="s">
        <v>1219</v>
      </c>
      <c r="AG37" s="71" t="s">
        <v>1219</v>
      </c>
      <c r="AH37" s="71" t="s">
        <v>1219</v>
      </c>
      <c r="AI37" s="71" t="s">
        <v>1219</v>
      </c>
      <c r="AJ37" s="71" t="s">
        <v>1219</v>
      </c>
      <c r="AK37" s="71" t="s">
        <v>1219</v>
      </c>
      <c r="AL37" s="71"/>
      <c r="AM37" s="71" t="s">
        <v>1219</v>
      </c>
      <c r="AN37" s="71" t="str">
        <f t="shared" si="1"/>
        <v>Belum Dinilai</v>
      </c>
      <c r="AO37" s="71" t="str">
        <f t="shared" si="9"/>
        <v>Belum Dinilai</v>
      </c>
      <c r="AP37" s="71"/>
      <c r="AQ37" s="75">
        <f t="shared" si="10"/>
        <v>57</v>
      </c>
      <c r="AR37" s="75" t="str">
        <f t="shared" si="11"/>
        <v/>
      </c>
      <c r="AS37" s="75" t="str">
        <f t="shared" si="12"/>
        <v/>
      </c>
      <c r="AT37" s="72" t="str">
        <f t="shared" si="13"/>
        <v>Belum Dapat Ditentukan</v>
      </c>
      <c r="AU37" s="69" t="s">
        <v>1193</v>
      </c>
      <c r="AV37" s="69" t="s">
        <v>1208</v>
      </c>
      <c r="AW37" s="69" t="s">
        <v>1271</v>
      </c>
      <c r="AX37" s="69" t="s">
        <v>1210</v>
      </c>
      <c r="AY37" s="69">
        <v>2023</v>
      </c>
      <c r="AZ37" s="69" t="s">
        <v>930</v>
      </c>
      <c r="BA37" s="69"/>
      <c r="BB37" s="76"/>
      <c r="BC37" s="77">
        <v>2026</v>
      </c>
      <c r="BD37" s="69" t="s">
        <v>1197</v>
      </c>
      <c r="BE37" s="76">
        <v>46218</v>
      </c>
      <c r="BF37" s="69" t="s">
        <v>1282</v>
      </c>
    </row>
    <row r="38" spans="1:58" ht="70">
      <c r="A38" s="69" t="s">
        <v>1442</v>
      </c>
      <c r="B38" s="69" t="s">
        <v>1443</v>
      </c>
      <c r="C38" s="69"/>
      <c r="D38" s="69"/>
      <c r="E38" s="69" t="s">
        <v>1444</v>
      </c>
      <c r="F38" s="69" t="s">
        <v>1440</v>
      </c>
      <c r="G38" s="69" t="s">
        <v>1317</v>
      </c>
      <c r="H38" s="69" t="s">
        <v>1185</v>
      </c>
      <c r="I38" s="69" t="s">
        <v>1445</v>
      </c>
      <c r="J38" s="69" t="s">
        <v>1200</v>
      </c>
      <c r="K38" s="69" t="s">
        <v>1187</v>
      </c>
      <c r="L38" s="69" t="s">
        <v>898</v>
      </c>
      <c r="M38" s="69" t="s">
        <v>1270</v>
      </c>
      <c r="N38" s="69" t="s">
        <v>898</v>
      </c>
      <c r="O38" s="69" t="s">
        <v>1217</v>
      </c>
      <c r="P38" s="69" t="s">
        <v>898</v>
      </c>
      <c r="Q38" s="70" t="s">
        <v>1219</v>
      </c>
      <c r="R38" s="70" t="s">
        <v>1219</v>
      </c>
      <c r="S38" s="70" t="s">
        <v>1219</v>
      </c>
      <c r="T38" s="70" t="s">
        <v>1219</v>
      </c>
      <c r="U38" s="70" t="s">
        <v>1219</v>
      </c>
      <c r="V38" s="70" t="s">
        <v>1219</v>
      </c>
      <c r="W38" s="70"/>
      <c r="X38" s="70" t="str">
        <f t="shared" si="0"/>
        <v>Belum Dinilai</v>
      </c>
      <c r="Y38" s="70" t="s">
        <v>1219</v>
      </c>
      <c r="Z38" s="74" t="str">
        <f t="shared" si="2"/>
        <v/>
      </c>
      <c r="AA38" s="74" t="str">
        <f t="shared" si="3"/>
        <v/>
      </c>
      <c r="AB38" s="74" t="str">
        <f t="shared" si="4"/>
        <v/>
      </c>
      <c r="AC38" s="71" t="s">
        <v>1219</v>
      </c>
      <c r="AD38" s="71" t="s">
        <v>1219</v>
      </c>
      <c r="AE38" s="71" t="s">
        <v>1219</v>
      </c>
      <c r="AF38" s="71" t="s">
        <v>1219</v>
      </c>
      <c r="AG38" s="71" t="s">
        <v>1219</v>
      </c>
      <c r="AH38" s="71" t="s">
        <v>1219</v>
      </c>
      <c r="AI38" s="71" t="s">
        <v>1219</v>
      </c>
      <c r="AJ38" s="71" t="s">
        <v>1219</v>
      </c>
      <c r="AK38" s="71" t="s">
        <v>1219</v>
      </c>
      <c r="AL38" s="71"/>
      <c r="AM38" s="71" t="s">
        <v>1219</v>
      </c>
      <c r="AN38" s="71" t="str">
        <f t="shared" si="1"/>
        <v>Belum Dinilai</v>
      </c>
      <c r="AO38" s="71" t="str">
        <f t="shared" si="9"/>
        <v>Belum Dinilai</v>
      </c>
      <c r="AP38" s="71"/>
      <c r="AQ38" s="75">
        <f t="shared" si="10"/>
        <v>50</v>
      </c>
      <c r="AR38" s="75" t="str">
        <f t="shared" si="11"/>
        <v/>
      </c>
      <c r="AS38" s="75" t="str">
        <f t="shared" si="12"/>
        <v/>
      </c>
      <c r="AT38" s="72" t="str">
        <f t="shared" si="13"/>
        <v>Belum Dapat Ditentukan</v>
      </c>
      <c r="AU38" s="69" t="s">
        <v>1207</v>
      </c>
      <c r="AV38" s="69" t="s">
        <v>1208</v>
      </c>
      <c r="AW38" s="69" t="s">
        <v>1194</v>
      </c>
      <c r="AX38" s="69"/>
      <c r="AY38" s="69"/>
      <c r="AZ38" s="69" t="s">
        <v>930</v>
      </c>
      <c r="BA38" s="69"/>
      <c r="BB38" s="76"/>
      <c r="BC38" s="77">
        <v>2026</v>
      </c>
      <c r="BD38" s="69" t="s">
        <v>1197</v>
      </c>
      <c r="BE38" s="76">
        <v>46218</v>
      </c>
      <c r="BF38" s="69" t="s">
        <v>1282</v>
      </c>
    </row>
    <row r="39" spans="1:58" ht="28">
      <c r="A39" s="69" t="s">
        <v>1446</v>
      </c>
      <c r="B39" s="69" t="s">
        <v>1447</v>
      </c>
      <c r="C39" s="69"/>
      <c r="D39" s="69"/>
      <c r="E39" s="69" t="s">
        <v>1311</v>
      </c>
      <c r="F39" s="69" t="s">
        <v>1440</v>
      </c>
      <c r="G39" s="69" t="s">
        <v>1317</v>
      </c>
      <c r="H39" s="69" t="s">
        <v>1185</v>
      </c>
      <c r="I39" s="69" t="s">
        <v>1448</v>
      </c>
      <c r="J39" s="69" t="s">
        <v>1214</v>
      </c>
      <c r="K39" s="69" t="s">
        <v>1215</v>
      </c>
      <c r="L39" s="69" t="s">
        <v>894</v>
      </c>
      <c r="M39" s="69" t="s">
        <v>1270</v>
      </c>
      <c r="N39" s="69" t="s">
        <v>894</v>
      </c>
      <c r="O39" s="69" t="s">
        <v>1217</v>
      </c>
      <c r="P39" s="69" t="s">
        <v>894</v>
      </c>
      <c r="Q39" s="70" t="s">
        <v>1219</v>
      </c>
      <c r="R39" s="70" t="s">
        <v>1219</v>
      </c>
      <c r="S39" s="70" t="s">
        <v>1219</v>
      </c>
      <c r="T39" s="70" t="s">
        <v>1219</v>
      </c>
      <c r="U39" s="70" t="s">
        <v>1219</v>
      </c>
      <c r="V39" s="70" t="s">
        <v>1219</v>
      </c>
      <c r="W39" s="70"/>
      <c r="X39" s="70" t="str">
        <f t="shared" si="0"/>
        <v>Belum Dinilai</v>
      </c>
      <c r="Y39" s="70" t="s">
        <v>1219</v>
      </c>
      <c r="Z39" s="74" t="str">
        <f t="shared" si="2"/>
        <v/>
      </c>
      <c r="AA39" s="74" t="str">
        <f t="shared" si="3"/>
        <v/>
      </c>
      <c r="AB39" s="74" t="str">
        <f t="shared" si="4"/>
        <v/>
      </c>
      <c r="AC39" s="71" t="s">
        <v>1219</v>
      </c>
      <c r="AD39" s="71" t="s">
        <v>1219</v>
      </c>
      <c r="AE39" s="71" t="s">
        <v>1219</v>
      </c>
      <c r="AF39" s="71" t="s">
        <v>1219</v>
      </c>
      <c r="AG39" s="71" t="s">
        <v>1219</v>
      </c>
      <c r="AH39" s="71" t="s">
        <v>1219</v>
      </c>
      <c r="AI39" s="71" t="s">
        <v>1219</v>
      </c>
      <c r="AJ39" s="71" t="s">
        <v>1219</v>
      </c>
      <c r="AK39" s="71" t="s">
        <v>1219</v>
      </c>
      <c r="AL39" s="71"/>
      <c r="AM39" s="71" t="s">
        <v>1219</v>
      </c>
      <c r="AN39" s="71" t="str">
        <f t="shared" si="1"/>
        <v>Belum Dinilai</v>
      </c>
      <c r="AO39" s="71" t="str">
        <f t="shared" si="9"/>
        <v>Belum Dinilai</v>
      </c>
      <c r="AP39" s="71"/>
      <c r="AQ39" s="75">
        <f t="shared" si="10"/>
        <v>29</v>
      </c>
      <c r="AR39" s="75" t="str">
        <f t="shared" si="11"/>
        <v/>
      </c>
      <c r="AS39" s="75" t="str">
        <f t="shared" si="12"/>
        <v/>
      </c>
      <c r="AT39" s="72" t="str">
        <f t="shared" si="13"/>
        <v>Belum Dapat Ditentukan</v>
      </c>
      <c r="AU39" s="69" t="s">
        <v>1207</v>
      </c>
      <c r="AV39" s="69" t="s">
        <v>1208</v>
      </c>
      <c r="AW39" s="69" t="s">
        <v>1194</v>
      </c>
      <c r="AX39" s="69"/>
      <c r="AY39" s="69"/>
      <c r="AZ39" s="69" t="s">
        <v>930</v>
      </c>
      <c r="BA39" s="69"/>
      <c r="BB39" s="76"/>
      <c r="BC39" s="77">
        <v>2026</v>
      </c>
      <c r="BD39" s="69" t="s">
        <v>1197</v>
      </c>
      <c r="BE39" s="76">
        <v>46218</v>
      </c>
      <c r="BF39" s="69" t="s">
        <v>1282</v>
      </c>
    </row>
    <row r="40" spans="1:58" ht="56">
      <c r="A40" s="69" t="s">
        <v>1449</v>
      </c>
      <c r="B40" s="69" t="s">
        <v>1450</v>
      </c>
      <c r="C40" s="69"/>
      <c r="D40" s="69"/>
      <c r="E40" s="69" t="s">
        <v>1451</v>
      </c>
      <c r="F40" s="69" t="s">
        <v>1440</v>
      </c>
      <c r="G40" s="69" t="s">
        <v>1317</v>
      </c>
      <c r="H40" s="69" t="s">
        <v>1185</v>
      </c>
      <c r="I40" s="69" t="s">
        <v>1452</v>
      </c>
      <c r="J40" s="69" t="s">
        <v>1214</v>
      </c>
      <c r="K40" s="69" t="s">
        <v>1201</v>
      </c>
      <c r="L40" s="69" t="s">
        <v>894</v>
      </c>
      <c r="M40" s="69" t="s">
        <v>1270</v>
      </c>
      <c r="N40" s="69" t="s">
        <v>894</v>
      </c>
      <c r="O40" s="69" t="s">
        <v>1217</v>
      </c>
      <c r="P40" s="69" t="s">
        <v>894</v>
      </c>
      <c r="Q40" s="70" t="s">
        <v>1219</v>
      </c>
      <c r="R40" s="70" t="s">
        <v>1219</v>
      </c>
      <c r="S40" s="70" t="s">
        <v>1219</v>
      </c>
      <c r="T40" s="70" t="s">
        <v>1219</v>
      </c>
      <c r="U40" s="70" t="s">
        <v>1219</v>
      </c>
      <c r="V40" s="70" t="s">
        <v>1219</v>
      </c>
      <c r="W40" s="70"/>
      <c r="X40" s="70" t="str">
        <f t="shared" si="0"/>
        <v>Belum Dinilai</v>
      </c>
      <c r="Y40" s="70" t="s">
        <v>1219</v>
      </c>
      <c r="Z40" s="74" t="str">
        <f t="shared" si="2"/>
        <v/>
      </c>
      <c r="AA40" s="74" t="str">
        <f t="shared" si="3"/>
        <v/>
      </c>
      <c r="AB40" s="74" t="str">
        <f t="shared" si="4"/>
        <v/>
      </c>
      <c r="AC40" s="71" t="s">
        <v>1219</v>
      </c>
      <c r="AD40" s="71" t="s">
        <v>1219</v>
      </c>
      <c r="AE40" s="71" t="s">
        <v>1219</v>
      </c>
      <c r="AF40" s="71" t="s">
        <v>1219</v>
      </c>
      <c r="AG40" s="71" t="s">
        <v>1219</v>
      </c>
      <c r="AH40" s="71" t="s">
        <v>1219</v>
      </c>
      <c r="AI40" s="71" t="s">
        <v>1219</v>
      </c>
      <c r="AJ40" s="71" t="s">
        <v>1219</v>
      </c>
      <c r="AK40" s="71" t="s">
        <v>1219</v>
      </c>
      <c r="AL40" s="71"/>
      <c r="AM40" s="71" t="s">
        <v>1219</v>
      </c>
      <c r="AN40" s="71" t="str">
        <f t="shared" si="1"/>
        <v>Belum Dinilai</v>
      </c>
      <c r="AO40" s="71" t="str">
        <f t="shared" si="9"/>
        <v>Belum Dinilai</v>
      </c>
      <c r="AP40" s="71"/>
      <c r="AQ40" s="75">
        <f t="shared" si="10"/>
        <v>29</v>
      </c>
      <c r="AR40" s="75" t="str">
        <f t="shared" si="11"/>
        <v/>
      </c>
      <c r="AS40" s="75" t="str">
        <f t="shared" si="12"/>
        <v/>
      </c>
      <c r="AT40" s="72" t="str">
        <f t="shared" si="13"/>
        <v>Belum Dapat Ditentukan</v>
      </c>
      <c r="AU40" s="69" t="s">
        <v>1193</v>
      </c>
      <c r="AV40" s="69" t="s">
        <v>1208</v>
      </c>
      <c r="AW40" s="69" t="s">
        <v>1271</v>
      </c>
      <c r="AX40" s="69" t="s">
        <v>1272</v>
      </c>
      <c r="AY40" s="69">
        <v>2023</v>
      </c>
      <c r="AZ40" s="69" t="s">
        <v>1211</v>
      </c>
      <c r="BA40" s="69"/>
      <c r="BB40" s="76"/>
      <c r="BC40" s="77">
        <v>2026</v>
      </c>
      <c r="BD40" s="69" t="s">
        <v>1197</v>
      </c>
      <c r="BE40" s="76">
        <v>46218</v>
      </c>
      <c r="BF40" s="69" t="s">
        <v>1282</v>
      </c>
    </row>
    <row r="41" spans="1:58" ht="56">
      <c r="A41" s="69" t="s">
        <v>1453</v>
      </c>
      <c r="B41" s="69" t="s">
        <v>1454</v>
      </c>
      <c r="C41" s="69"/>
      <c r="D41" s="69"/>
      <c r="E41" s="69" t="s">
        <v>1451</v>
      </c>
      <c r="F41" s="69" t="s">
        <v>1440</v>
      </c>
      <c r="G41" s="69" t="s">
        <v>1317</v>
      </c>
      <c r="H41" s="69" t="s">
        <v>1185</v>
      </c>
      <c r="I41" s="69" t="s">
        <v>1452</v>
      </c>
      <c r="J41" s="69" t="s">
        <v>1214</v>
      </c>
      <c r="K41" s="69" t="s">
        <v>1201</v>
      </c>
      <c r="L41" s="69" t="s">
        <v>894</v>
      </c>
      <c r="M41" s="69" t="s">
        <v>1270</v>
      </c>
      <c r="N41" s="69" t="s">
        <v>894</v>
      </c>
      <c r="O41" s="69" t="s">
        <v>1217</v>
      </c>
      <c r="P41" s="69" t="s">
        <v>894</v>
      </c>
      <c r="Q41" s="70" t="s">
        <v>1219</v>
      </c>
      <c r="R41" s="70" t="s">
        <v>1219</v>
      </c>
      <c r="S41" s="70" t="s">
        <v>1219</v>
      </c>
      <c r="T41" s="70" t="s">
        <v>1219</v>
      </c>
      <c r="U41" s="70" t="s">
        <v>1219</v>
      </c>
      <c r="V41" s="70" t="s">
        <v>1219</v>
      </c>
      <c r="W41" s="70"/>
      <c r="X41" s="70" t="str">
        <f t="shared" si="0"/>
        <v>Belum Dinilai</v>
      </c>
      <c r="Y41" s="70" t="s">
        <v>1219</v>
      </c>
      <c r="Z41" s="74" t="str">
        <f t="shared" si="2"/>
        <v/>
      </c>
      <c r="AA41" s="74" t="str">
        <f t="shared" si="3"/>
        <v/>
      </c>
      <c r="AB41" s="74" t="str">
        <f t="shared" si="4"/>
        <v/>
      </c>
      <c r="AC41" s="71" t="s">
        <v>1219</v>
      </c>
      <c r="AD41" s="71" t="s">
        <v>1219</v>
      </c>
      <c r="AE41" s="71" t="s">
        <v>1219</v>
      </c>
      <c r="AF41" s="71" t="s">
        <v>1219</v>
      </c>
      <c r="AG41" s="71" t="s">
        <v>1219</v>
      </c>
      <c r="AH41" s="71" t="s">
        <v>1219</v>
      </c>
      <c r="AI41" s="71" t="s">
        <v>1219</v>
      </c>
      <c r="AJ41" s="71" t="s">
        <v>1219</v>
      </c>
      <c r="AK41" s="71" t="s">
        <v>1219</v>
      </c>
      <c r="AL41" s="71"/>
      <c r="AM41" s="71" t="s">
        <v>1219</v>
      </c>
      <c r="AN41" s="71" t="str">
        <f t="shared" si="1"/>
        <v>Belum Dinilai</v>
      </c>
      <c r="AO41" s="71" t="str">
        <f t="shared" si="9"/>
        <v>Belum Dinilai</v>
      </c>
      <c r="AP41" s="71"/>
      <c r="AQ41" s="75">
        <f t="shared" si="10"/>
        <v>29</v>
      </c>
      <c r="AR41" s="75" t="str">
        <f t="shared" si="11"/>
        <v/>
      </c>
      <c r="AS41" s="75" t="str">
        <f t="shared" si="12"/>
        <v/>
      </c>
      <c r="AT41" s="72" t="str">
        <f t="shared" si="13"/>
        <v>Belum Dapat Ditentukan</v>
      </c>
      <c r="AU41" s="69" t="s">
        <v>1193</v>
      </c>
      <c r="AV41" s="69" t="s">
        <v>1208</v>
      </c>
      <c r="AW41" s="69" t="s">
        <v>1271</v>
      </c>
      <c r="AX41" s="69" t="s">
        <v>1210</v>
      </c>
      <c r="AY41" s="69">
        <v>2024</v>
      </c>
      <c r="AZ41" s="69" t="s">
        <v>1211</v>
      </c>
      <c r="BA41" s="69"/>
      <c r="BB41" s="76"/>
      <c r="BC41" s="77">
        <v>2026</v>
      </c>
      <c r="BD41" s="69" t="s">
        <v>1197</v>
      </c>
      <c r="BE41" s="76">
        <v>46218</v>
      </c>
      <c r="BF41" s="69" t="s">
        <v>1282</v>
      </c>
    </row>
    <row r="42" spans="1:58" ht="42">
      <c r="A42" s="69" t="s">
        <v>1455</v>
      </c>
      <c r="B42" s="69" t="s">
        <v>1456</v>
      </c>
      <c r="C42" s="69"/>
      <c r="D42" s="69"/>
      <c r="E42" s="69" t="s">
        <v>1457</v>
      </c>
      <c r="F42" s="69" t="s">
        <v>1440</v>
      </c>
      <c r="G42" s="69" t="s">
        <v>1317</v>
      </c>
      <c r="H42" s="69" t="s">
        <v>1199</v>
      </c>
      <c r="I42" s="69" t="s">
        <v>1458</v>
      </c>
      <c r="J42" s="69" t="s">
        <v>1200</v>
      </c>
      <c r="K42" s="69" t="s">
        <v>1201</v>
      </c>
      <c r="L42" s="69" t="s">
        <v>908</v>
      </c>
      <c r="M42" s="69" t="s">
        <v>1312</v>
      </c>
      <c r="N42" s="69" t="s">
        <v>908</v>
      </c>
      <c r="O42" s="69" t="s">
        <v>1189</v>
      </c>
      <c r="P42" s="69" t="s">
        <v>908</v>
      </c>
      <c r="Q42" s="70" t="s">
        <v>1219</v>
      </c>
      <c r="R42" s="70" t="s">
        <v>1219</v>
      </c>
      <c r="S42" s="70" t="s">
        <v>1219</v>
      </c>
      <c r="T42" s="70" t="s">
        <v>1219</v>
      </c>
      <c r="U42" s="70" t="s">
        <v>1219</v>
      </c>
      <c r="V42" s="70" t="s">
        <v>1219</v>
      </c>
      <c r="W42" s="70"/>
      <c r="X42" s="70" t="str">
        <f t="shared" si="0"/>
        <v>Belum Dinilai</v>
      </c>
      <c r="Y42" s="70" t="s">
        <v>1219</v>
      </c>
      <c r="Z42" s="74" t="str">
        <f t="shared" si="2"/>
        <v/>
      </c>
      <c r="AA42" s="74" t="str">
        <f t="shared" si="3"/>
        <v/>
      </c>
      <c r="AB42" s="74" t="str">
        <f t="shared" si="4"/>
        <v/>
      </c>
      <c r="AC42" s="71" t="s">
        <v>1219</v>
      </c>
      <c r="AD42" s="71" t="s">
        <v>1219</v>
      </c>
      <c r="AE42" s="71" t="s">
        <v>1219</v>
      </c>
      <c r="AF42" s="71" t="s">
        <v>1219</v>
      </c>
      <c r="AG42" s="71" t="s">
        <v>1219</v>
      </c>
      <c r="AH42" s="71" t="s">
        <v>1219</v>
      </c>
      <c r="AI42" s="71" t="s">
        <v>1219</v>
      </c>
      <c r="AJ42" s="71" t="s">
        <v>1219</v>
      </c>
      <c r="AK42" s="71" t="s">
        <v>1219</v>
      </c>
      <c r="AL42" s="71"/>
      <c r="AM42" s="71" t="s">
        <v>1219</v>
      </c>
      <c r="AN42" s="71" t="str">
        <f t="shared" si="1"/>
        <v>Belum Dinilai</v>
      </c>
      <c r="AO42" s="71" t="str">
        <f t="shared" si="9"/>
        <v>Belum Dinilai</v>
      </c>
      <c r="AP42" s="71"/>
      <c r="AQ42" s="75">
        <f t="shared" si="10"/>
        <v>36</v>
      </c>
      <c r="AR42" s="75" t="str">
        <f t="shared" si="11"/>
        <v/>
      </c>
      <c r="AS42" s="75" t="str">
        <f t="shared" si="12"/>
        <v/>
      </c>
      <c r="AT42" s="72" t="str">
        <f t="shared" si="13"/>
        <v>Belum Dapat Ditentukan</v>
      </c>
      <c r="AU42" s="69" t="s">
        <v>1207</v>
      </c>
      <c r="AV42" s="69" t="s">
        <v>1208</v>
      </c>
      <c r="AW42" s="69" t="s">
        <v>1271</v>
      </c>
      <c r="AX42" s="69" t="s">
        <v>1272</v>
      </c>
      <c r="AY42" s="69">
        <v>2023</v>
      </c>
      <c r="AZ42" s="69" t="s">
        <v>930</v>
      </c>
      <c r="BA42" s="69"/>
      <c r="BB42" s="76"/>
      <c r="BC42" s="77">
        <v>2026</v>
      </c>
      <c r="BD42" s="69" t="s">
        <v>1197</v>
      </c>
      <c r="BE42" s="76">
        <v>46218</v>
      </c>
      <c r="BF42" s="69" t="s">
        <v>1282</v>
      </c>
    </row>
    <row r="43" spans="1:58" ht="42">
      <c r="A43" s="69" t="s">
        <v>1459</v>
      </c>
      <c r="B43" s="69" t="s">
        <v>1460</v>
      </c>
      <c r="C43" s="69"/>
      <c r="D43" s="69"/>
      <c r="E43" s="69" t="s">
        <v>1461</v>
      </c>
      <c r="F43" s="69" t="s">
        <v>1440</v>
      </c>
      <c r="G43" s="69" t="s">
        <v>1317</v>
      </c>
      <c r="H43" s="69" t="s">
        <v>1185</v>
      </c>
      <c r="I43" s="69" t="s">
        <v>1462</v>
      </c>
      <c r="J43" s="69" t="s">
        <v>1200</v>
      </c>
      <c r="K43" s="69" t="s">
        <v>1187</v>
      </c>
      <c r="L43" s="69" t="s">
        <v>898</v>
      </c>
      <c r="M43" s="69" t="s">
        <v>1270</v>
      </c>
      <c r="N43" s="69" t="s">
        <v>898</v>
      </c>
      <c r="O43" s="69" t="s">
        <v>1217</v>
      </c>
      <c r="P43" s="69" t="s">
        <v>898</v>
      </c>
      <c r="Q43" s="70" t="s">
        <v>1219</v>
      </c>
      <c r="R43" s="70" t="s">
        <v>1219</v>
      </c>
      <c r="S43" s="70" t="s">
        <v>1219</v>
      </c>
      <c r="T43" s="70" t="s">
        <v>1219</v>
      </c>
      <c r="U43" s="70" t="s">
        <v>1219</v>
      </c>
      <c r="V43" s="70" t="s">
        <v>1219</v>
      </c>
      <c r="W43" s="70"/>
      <c r="X43" s="70" t="str">
        <f t="shared" si="0"/>
        <v>Belum Dinilai</v>
      </c>
      <c r="Y43" s="70" t="s">
        <v>1219</v>
      </c>
      <c r="Z43" s="74" t="str">
        <f t="shared" si="2"/>
        <v/>
      </c>
      <c r="AA43" s="74" t="str">
        <f t="shared" si="3"/>
        <v/>
      </c>
      <c r="AB43" s="74" t="str">
        <f t="shared" si="4"/>
        <v/>
      </c>
      <c r="AC43" s="71" t="s">
        <v>1219</v>
      </c>
      <c r="AD43" s="71" t="s">
        <v>1219</v>
      </c>
      <c r="AE43" s="71" t="s">
        <v>1219</v>
      </c>
      <c r="AF43" s="71" t="s">
        <v>1219</v>
      </c>
      <c r="AG43" s="71" t="s">
        <v>1219</v>
      </c>
      <c r="AH43" s="71" t="s">
        <v>1219</v>
      </c>
      <c r="AI43" s="71" t="s">
        <v>1219</v>
      </c>
      <c r="AJ43" s="71" t="s">
        <v>1219</v>
      </c>
      <c r="AK43" s="71" t="s">
        <v>1219</v>
      </c>
      <c r="AL43" s="71"/>
      <c r="AM43" s="71" t="s">
        <v>1219</v>
      </c>
      <c r="AN43" s="71" t="str">
        <f t="shared" si="1"/>
        <v>Belum Dinilai</v>
      </c>
      <c r="AO43" s="71" t="str">
        <f t="shared" si="9"/>
        <v>Belum Dinilai</v>
      </c>
      <c r="AP43" s="71"/>
      <c r="AQ43" s="75">
        <f t="shared" si="10"/>
        <v>50</v>
      </c>
      <c r="AR43" s="75" t="str">
        <f t="shared" si="11"/>
        <v/>
      </c>
      <c r="AS43" s="75" t="str">
        <f t="shared" si="12"/>
        <v/>
      </c>
      <c r="AT43" s="72" t="str">
        <f t="shared" si="13"/>
        <v>Belum Dapat Ditentukan</v>
      </c>
      <c r="AU43" s="69" t="s">
        <v>1207</v>
      </c>
      <c r="AV43" s="69" t="s">
        <v>1208</v>
      </c>
      <c r="AW43" s="69" t="s">
        <v>1271</v>
      </c>
      <c r="AX43" s="69" t="s">
        <v>1272</v>
      </c>
      <c r="AY43" s="69">
        <v>2023</v>
      </c>
      <c r="AZ43" s="69" t="s">
        <v>930</v>
      </c>
      <c r="BA43" s="69"/>
      <c r="BB43" s="76"/>
      <c r="BC43" s="77">
        <v>2026</v>
      </c>
      <c r="BD43" s="69" t="s">
        <v>1197</v>
      </c>
      <c r="BE43" s="76">
        <v>46218</v>
      </c>
      <c r="BF43" s="69" t="s">
        <v>1282</v>
      </c>
    </row>
    <row r="44" spans="1:58" ht="42">
      <c r="A44" s="69" t="s">
        <v>1463</v>
      </c>
      <c r="B44" s="69" t="s">
        <v>1464</v>
      </c>
      <c r="C44" s="69"/>
      <c r="D44" s="69"/>
      <c r="E44" s="69" t="s">
        <v>1465</v>
      </c>
      <c r="F44" s="69" t="s">
        <v>1435</v>
      </c>
      <c r="G44" s="69" t="s">
        <v>1317</v>
      </c>
      <c r="H44" s="69" t="s">
        <v>1199</v>
      </c>
      <c r="I44" s="69" t="s">
        <v>1466</v>
      </c>
      <c r="J44" s="69" t="s">
        <v>1186</v>
      </c>
      <c r="K44" s="69" t="s">
        <v>1201</v>
      </c>
      <c r="L44" s="69" t="s">
        <v>1219</v>
      </c>
      <c r="M44" s="69" t="s">
        <v>1269</v>
      </c>
      <c r="N44" s="69" t="s">
        <v>1219</v>
      </c>
      <c r="O44" s="69" t="s">
        <v>1217</v>
      </c>
      <c r="P44" s="69" t="s">
        <v>1219</v>
      </c>
      <c r="Q44" s="70" t="s">
        <v>1219</v>
      </c>
      <c r="R44" s="70" t="s">
        <v>1219</v>
      </c>
      <c r="S44" s="70" t="s">
        <v>1219</v>
      </c>
      <c r="T44" s="70" t="s">
        <v>1219</v>
      </c>
      <c r="U44" s="70" t="s">
        <v>1219</v>
      </c>
      <c r="V44" s="70" t="s">
        <v>1219</v>
      </c>
      <c r="W44" s="70"/>
      <c r="X44" s="70" t="str">
        <f t="shared" si="0"/>
        <v>Belum Dinilai</v>
      </c>
      <c r="Y44" s="70" t="s">
        <v>1219</v>
      </c>
      <c r="Z44" s="74" t="str">
        <f t="shared" si="2"/>
        <v/>
      </c>
      <c r="AA44" s="74" t="str">
        <f t="shared" si="3"/>
        <v/>
      </c>
      <c r="AB44" s="74" t="str">
        <f t="shared" si="4"/>
        <v/>
      </c>
      <c r="AC44" s="71" t="s">
        <v>1219</v>
      </c>
      <c r="AD44" s="71" t="s">
        <v>1219</v>
      </c>
      <c r="AE44" s="71" t="s">
        <v>1219</v>
      </c>
      <c r="AF44" s="71" t="s">
        <v>1219</v>
      </c>
      <c r="AG44" s="71" t="s">
        <v>1219</v>
      </c>
      <c r="AH44" s="71" t="s">
        <v>1219</v>
      </c>
      <c r="AI44" s="71" t="s">
        <v>1219</v>
      </c>
      <c r="AJ44" s="71" t="s">
        <v>1219</v>
      </c>
      <c r="AK44" s="71" t="s">
        <v>1219</v>
      </c>
      <c r="AL44" s="71"/>
      <c r="AM44" s="71" t="s">
        <v>1219</v>
      </c>
      <c r="AN44" s="71" t="str">
        <f t="shared" si="1"/>
        <v>Belum Dinilai</v>
      </c>
      <c r="AO44" s="71" t="str">
        <f t="shared" si="9"/>
        <v>Belum Dinilai</v>
      </c>
      <c r="AP44" s="71"/>
      <c r="AQ44" s="75" t="str">
        <f t="shared" si="10"/>
        <v/>
      </c>
      <c r="AR44" s="75" t="str">
        <f t="shared" si="11"/>
        <v/>
      </c>
      <c r="AS44" s="75" t="str">
        <f t="shared" si="12"/>
        <v/>
      </c>
      <c r="AT44" s="72" t="str">
        <f t="shared" si="13"/>
        <v>Belum Dapat Ditentukan</v>
      </c>
      <c r="AU44" s="69" t="s">
        <v>1193</v>
      </c>
      <c r="AV44" s="69" t="s">
        <v>1208</v>
      </c>
      <c r="AW44" s="69" t="s">
        <v>1271</v>
      </c>
      <c r="AX44" s="69" t="s">
        <v>1272</v>
      </c>
      <c r="AY44" s="69">
        <v>2024</v>
      </c>
      <c r="AZ44" s="69" t="s">
        <v>930</v>
      </c>
      <c r="BA44" s="69"/>
      <c r="BB44" s="76"/>
      <c r="BC44" s="77">
        <v>2026</v>
      </c>
      <c r="BD44" s="69" t="s">
        <v>1197</v>
      </c>
      <c r="BE44" s="76">
        <v>46218</v>
      </c>
      <c r="BF44" s="69" t="s">
        <v>1282</v>
      </c>
    </row>
    <row r="45" spans="1:58" ht="42">
      <c r="A45" s="69" t="s">
        <v>1467</v>
      </c>
      <c r="B45" s="69" t="s">
        <v>1468</v>
      </c>
      <c r="C45" s="69"/>
      <c r="D45" s="69"/>
      <c r="E45" s="69" t="s">
        <v>1469</v>
      </c>
      <c r="F45" s="69" t="s">
        <v>1470</v>
      </c>
      <c r="G45" s="69" t="s">
        <v>1317</v>
      </c>
      <c r="H45" s="69" t="s">
        <v>1185</v>
      </c>
      <c r="I45" s="69" t="s">
        <v>1471</v>
      </c>
      <c r="J45" s="69" t="s">
        <v>1214</v>
      </c>
      <c r="K45" s="69" t="s">
        <v>1187</v>
      </c>
      <c r="L45" s="69" t="s">
        <v>908</v>
      </c>
      <c r="M45" s="69" t="s">
        <v>1270</v>
      </c>
      <c r="N45" s="69" t="s">
        <v>908</v>
      </c>
      <c r="O45" s="69" t="s">
        <v>1281</v>
      </c>
      <c r="P45" s="69" t="s">
        <v>1219</v>
      </c>
      <c r="Q45" s="70" t="s">
        <v>1219</v>
      </c>
      <c r="R45" s="70" t="s">
        <v>1219</v>
      </c>
      <c r="S45" s="70" t="s">
        <v>1219</v>
      </c>
      <c r="T45" s="70" t="s">
        <v>1219</v>
      </c>
      <c r="U45" s="70" t="s">
        <v>1219</v>
      </c>
      <c r="V45" s="70" t="s">
        <v>1219</v>
      </c>
      <c r="W45" s="70"/>
      <c r="X45" s="70" t="str">
        <f t="shared" si="0"/>
        <v>Belum Dinilai</v>
      </c>
      <c r="Y45" s="70" t="s">
        <v>1219</v>
      </c>
      <c r="Z45" s="74" t="str">
        <f t="shared" si="2"/>
        <v/>
      </c>
      <c r="AA45" s="74" t="str">
        <f t="shared" si="3"/>
        <v/>
      </c>
      <c r="AB45" s="74" t="str">
        <f t="shared" si="4"/>
        <v/>
      </c>
      <c r="AC45" s="71" t="s">
        <v>1219</v>
      </c>
      <c r="AD45" s="71" t="s">
        <v>1219</v>
      </c>
      <c r="AE45" s="71" t="s">
        <v>1219</v>
      </c>
      <c r="AF45" s="71" t="s">
        <v>1219</v>
      </c>
      <c r="AG45" s="71" t="s">
        <v>1219</v>
      </c>
      <c r="AH45" s="71" t="s">
        <v>1219</v>
      </c>
      <c r="AI45" s="71" t="s">
        <v>1219</v>
      </c>
      <c r="AJ45" s="71" t="s">
        <v>1219</v>
      </c>
      <c r="AK45" s="71" t="s">
        <v>1219</v>
      </c>
      <c r="AL45" s="71"/>
      <c r="AM45" s="71" t="s">
        <v>1219</v>
      </c>
      <c r="AN45" s="71" t="str">
        <f t="shared" si="1"/>
        <v>Belum Dinilai</v>
      </c>
      <c r="AO45" s="71" t="str">
        <f t="shared" si="9"/>
        <v>Belum Dinilai</v>
      </c>
      <c r="AP45" s="71"/>
      <c r="AQ45" s="75" t="str">
        <f t="shared" si="10"/>
        <v/>
      </c>
      <c r="AR45" s="75" t="str">
        <f t="shared" si="11"/>
        <v/>
      </c>
      <c r="AS45" s="75" t="str">
        <f t="shared" si="12"/>
        <v/>
      </c>
      <c r="AT45" s="72" t="str">
        <f t="shared" si="13"/>
        <v>Belum Dapat Ditentukan</v>
      </c>
      <c r="AU45" s="69" t="s">
        <v>1193</v>
      </c>
      <c r="AV45" s="69" t="s">
        <v>1208</v>
      </c>
      <c r="AW45" s="69" t="s">
        <v>1271</v>
      </c>
      <c r="AX45" s="69" t="s">
        <v>1210</v>
      </c>
      <c r="AY45" s="69">
        <v>2023</v>
      </c>
      <c r="AZ45" s="69" t="s">
        <v>930</v>
      </c>
      <c r="BA45" s="69"/>
      <c r="BB45" s="76"/>
      <c r="BC45" s="77">
        <v>2026</v>
      </c>
      <c r="BD45" s="69" t="s">
        <v>1197</v>
      </c>
      <c r="BE45" s="76">
        <v>46218</v>
      </c>
      <c r="BF45" s="69" t="s">
        <v>1282</v>
      </c>
    </row>
    <row r="46" spans="1:58" ht="42">
      <c r="A46" s="69" t="s">
        <v>1472</v>
      </c>
      <c r="B46" s="69" t="s">
        <v>1473</v>
      </c>
      <c r="C46" s="69"/>
      <c r="D46" s="69"/>
      <c r="E46" s="69" t="s">
        <v>1474</v>
      </c>
      <c r="F46" s="69" t="s">
        <v>1435</v>
      </c>
      <c r="G46" s="69" t="s">
        <v>1317</v>
      </c>
      <c r="H46" s="69" t="s">
        <v>1475</v>
      </c>
      <c r="I46" s="69" t="s">
        <v>1476</v>
      </c>
      <c r="J46" s="69" t="s">
        <v>1200</v>
      </c>
      <c r="K46" s="69" t="s">
        <v>1201</v>
      </c>
      <c r="L46" s="69" t="s">
        <v>894</v>
      </c>
      <c r="M46" s="69" t="s">
        <v>1270</v>
      </c>
      <c r="N46" s="69" t="s">
        <v>894</v>
      </c>
      <c r="O46" s="69" t="s">
        <v>1189</v>
      </c>
      <c r="P46" s="69" t="s">
        <v>894</v>
      </c>
      <c r="Q46" s="70" t="s">
        <v>1219</v>
      </c>
      <c r="R46" s="70" t="s">
        <v>1219</v>
      </c>
      <c r="S46" s="70" t="s">
        <v>1219</v>
      </c>
      <c r="T46" s="70" t="s">
        <v>1219</v>
      </c>
      <c r="U46" s="70" t="s">
        <v>1219</v>
      </c>
      <c r="V46" s="70" t="s">
        <v>1219</v>
      </c>
      <c r="W46" s="70"/>
      <c r="X46" s="70" t="str">
        <f t="shared" si="0"/>
        <v>Belum Dinilai</v>
      </c>
      <c r="Y46" s="70" t="s">
        <v>1219</v>
      </c>
      <c r="Z46" s="74" t="str">
        <f t="shared" si="2"/>
        <v/>
      </c>
      <c r="AA46" s="74" t="str">
        <f t="shared" si="3"/>
        <v/>
      </c>
      <c r="AB46" s="74" t="str">
        <f t="shared" si="4"/>
        <v/>
      </c>
      <c r="AC46" s="71" t="s">
        <v>1219</v>
      </c>
      <c r="AD46" s="71" t="s">
        <v>1219</v>
      </c>
      <c r="AE46" s="71" t="s">
        <v>1219</v>
      </c>
      <c r="AF46" s="71" t="s">
        <v>1219</v>
      </c>
      <c r="AG46" s="71" t="s">
        <v>1219</v>
      </c>
      <c r="AH46" s="71" t="s">
        <v>1219</v>
      </c>
      <c r="AI46" s="71" t="s">
        <v>1219</v>
      </c>
      <c r="AJ46" s="71" t="s">
        <v>1219</v>
      </c>
      <c r="AK46" s="71" t="s">
        <v>1219</v>
      </c>
      <c r="AL46" s="71"/>
      <c r="AM46" s="71" t="s">
        <v>1219</v>
      </c>
      <c r="AN46" s="71" t="str">
        <f t="shared" si="1"/>
        <v>Belum Dinilai</v>
      </c>
      <c r="AO46" s="71" t="str">
        <f t="shared" si="9"/>
        <v>Belum Dinilai</v>
      </c>
      <c r="AP46" s="71"/>
      <c r="AQ46" s="75">
        <f t="shared" si="10"/>
        <v>22</v>
      </c>
      <c r="AR46" s="75" t="str">
        <f t="shared" si="11"/>
        <v/>
      </c>
      <c r="AS46" s="75" t="str">
        <f t="shared" si="12"/>
        <v/>
      </c>
      <c r="AT46" s="72" t="str">
        <f t="shared" si="13"/>
        <v>Belum Dapat Ditentukan</v>
      </c>
      <c r="AU46" s="69" t="s">
        <v>1193</v>
      </c>
      <c r="AV46" s="69" t="s">
        <v>1208</v>
      </c>
      <c r="AW46" s="69" t="s">
        <v>1271</v>
      </c>
      <c r="AX46" s="69" t="s">
        <v>1272</v>
      </c>
      <c r="AY46" s="69">
        <v>2024</v>
      </c>
      <c r="AZ46" s="69" t="s">
        <v>930</v>
      </c>
      <c r="BA46" s="69"/>
      <c r="BB46" s="76"/>
      <c r="BC46" s="77">
        <v>2026</v>
      </c>
      <c r="BD46" s="69" t="s">
        <v>1197</v>
      </c>
      <c r="BE46" s="76">
        <v>46218</v>
      </c>
      <c r="BF46" s="69" t="s">
        <v>1282</v>
      </c>
    </row>
    <row r="47" spans="1:58" ht="28">
      <c r="A47" s="69" t="s">
        <v>1477</v>
      </c>
      <c r="B47" s="69" t="s">
        <v>1478</v>
      </c>
      <c r="C47" s="69"/>
      <c r="D47" s="69"/>
      <c r="E47" s="69" t="s">
        <v>1474</v>
      </c>
      <c r="F47" s="69" t="s">
        <v>1435</v>
      </c>
      <c r="G47" s="69" t="s">
        <v>1317</v>
      </c>
      <c r="H47" s="69" t="s">
        <v>1475</v>
      </c>
      <c r="I47" s="69" t="s">
        <v>1479</v>
      </c>
      <c r="J47" s="69" t="s">
        <v>1186</v>
      </c>
      <c r="K47" s="69" t="s">
        <v>1201</v>
      </c>
      <c r="L47" s="69" t="s">
        <v>1219</v>
      </c>
      <c r="M47" s="69" t="s">
        <v>1269</v>
      </c>
      <c r="N47" s="69" t="s">
        <v>1219</v>
      </c>
      <c r="O47" s="69" t="s">
        <v>1217</v>
      </c>
      <c r="P47" s="69" t="s">
        <v>1219</v>
      </c>
      <c r="Q47" s="70" t="s">
        <v>1219</v>
      </c>
      <c r="R47" s="70" t="s">
        <v>1219</v>
      </c>
      <c r="S47" s="70" t="s">
        <v>1219</v>
      </c>
      <c r="T47" s="70" t="s">
        <v>1219</v>
      </c>
      <c r="U47" s="70" t="s">
        <v>1219</v>
      </c>
      <c r="V47" s="70" t="s">
        <v>1219</v>
      </c>
      <c r="W47" s="70"/>
      <c r="X47" s="70" t="str">
        <f t="shared" si="0"/>
        <v>Belum Dinilai</v>
      </c>
      <c r="Y47" s="70" t="s">
        <v>1219</v>
      </c>
      <c r="Z47" s="74" t="str">
        <f t="shared" si="2"/>
        <v/>
      </c>
      <c r="AA47" s="74" t="str">
        <f t="shared" si="3"/>
        <v/>
      </c>
      <c r="AB47" s="74" t="str">
        <f t="shared" si="4"/>
        <v/>
      </c>
      <c r="AC47" s="71" t="s">
        <v>1219</v>
      </c>
      <c r="AD47" s="71" t="s">
        <v>1219</v>
      </c>
      <c r="AE47" s="71" t="s">
        <v>1219</v>
      </c>
      <c r="AF47" s="71" t="s">
        <v>1219</v>
      </c>
      <c r="AG47" s="71" t="s">
        <v>1219</v>
      </c>
      <c r="AH47" s="71" t="s">
        <v>1219</v>
      </c>
      <c r="AI47" s="71" t="s">
        <v>1219</v>
      </c>
      <c r="AJ47" s="71" t="s">
        <v>1219</v>
      </c>
      <c r="AK47" s="71" t="s">
        <v>1219</v>
      </c>
      <c r="AL47" s="71"/>
      <c r="AM47" s="71" t="s">
        <v>1219</v>
      </c>
      <c r="AN47" s="71" t="str">
        <f t="shared" si="1"/>
        <v>Belum Dinilai</v>
      </c>
      <c r="AO47" s="71" t="str">
        <f t="shared" si="9"/>
        <v>Belum Dinilai</v>
      </c>
      <c r="AP47" s="71"/>
      <c r="AQ47" s="75" t="str">
        <f t="shared" si="10"/>
        <v/>
      </c>
      <c r="AR47" s="75" t="str">
        <f t="shared" si="11"/>
        <v/>
      </c>
      <c r="AS47" s="75" t="str">
        <f t="shared" si="12"/>
        <v/>
      </c>
      <c r="AT47" s="72" t="str">
        <f t="shared" si="13"/>
        <v>Belum Dapat Ditentukan</v>
      </c>
      <c r="AU47" s="69" t="s">
        <v>1193</v>
      </c>
      <c r="AV47" s="69" t="s">
        <v>1208</v>
      </c>
      <c r="AW47" s="69" t="s">
        <v>1194</v>
      </c>
      <c r="AX47" s="69"/>
      <c r="AY47" s="69"/>
      <c r="AZ47" s="69" t="s">
        <v>930</v>
      </c>
      <c r="BA47" s="69"/>
      <c r="BB47" s="76"/>
      <c r="BC47" s="77">
        <v>2026</v>
      </c>
      <c r="BD47" s="69" t="s">
        <v>1197</v>
      </c>
      <c r="BE47" s="76">
        <v>46218</v>
      </c>
      <c r="BF47" s="69" t="s">
        <v>1282</v>
      </c>
    </row>
    <row r="48" spans="1:58" ht="28">
      <c r="A48" s="69" t="s">
        <v>1480</v>
      </c>
      <c r="B48" s="69" t="s">
        <v>1481</v>
      </c>
      <c r="C48" s="69"/>
      <c r="D48" s="69"/>
      <c r="E48" s="69" t="s">
        <v>1311</v>
      </c>
      <c r="F48" s="69" t="s">
        <v>1435</v>
      </c>
      <c r="G48" s="69" t="s">
        <v>1317</v>
      </c>
      <c r="H48" s="69" t="s">
        <v>1185</v>
      </c>
      <c r="I48" s="69" t="s">
        <v>1294</v>
      </c>
      <c r="J48" s="69" t="s">
        <v>1214</v>
      </c>
      <c r="K48" s="69" t="s">
        <v>1281</v>
      </c>
      <c r="L48" s="69" t="s">
        <v>1219</v>
      </c>
      <c r="M48" s="69" t="s">
        <v>1270</v>
      </c>
      <c r="N48" s="69" t="s">
        <v>1219</v>
      </c>
      <c r="O48" s="69" t="s">
        <v>1281</v>
      </c>
      <c r="P48" s="69" t="s">
        <v>1219</v>
      </c>
      <c r="Q48" s="70" t="s">
        <v>1219</v>
      </c>
      <c r="R48" s="70" t="s">
        <v>1219</v>
      </c>
      <c r="S48" s="70" t="s">
        <v>1219</v>
      </c>
      <c r="T48" s="70" t="s">
        <v>1219</v>
      </c>
      <c r="U48" s="70" t="s">
        <v>1219</v>
      </c>
      <c r="V48" s="70" t="s">
        <v>1219</v>
      </c>
      <c r="W48" s="70"/>
      <c r="X48" s="70" t="str">
        <f t="shared" si="0"/>
        <v>Belum Dinilai</v>
      </c>
      <c r="Y48" s="70" t="s">
        <v>1219</v>
      </c>
      <c r="Z48" s="74" t="str">
        <f t="shared" si="2"/>
        <v/>
      </c>
      <c r="AA48" s="74" t="str">
        <f t="shared" si="3"/>
        <v/>
      </c>
      <c r="AB48" s="74" t="str">
        <f t="shared" si="4"/>
        <v/>
      </c>
      <c r="AC48" s="71" t="s">
        <v>1219</v>
      </c>
      <c r="AD48" s="71" t="s">
        <v>1219</v>
      </c>
      <c r="AE48" s="71" t="s">
        <v>1219</v>
      </c>
      <c r="AF48" s="71" t="s">
        <v>1219</v>
      </c>
      <c r="AG48" s="71" t="s">
        <v>1219</v>
      </c>
      <c r="AH48" s="71" t="s">
        <v>1219</v>
      </c>
      <c r="AI48" s="71" t="s">
        <v>1219</v>
      </c>
      <c r="AJ48" s="71" t="s">
        <v>1219</v>
      </c>
      <c r="AK48" s="71" t="s">
        <v>1219</v>
      </c>
      <c r="AL48" s="71"/>
      <c r="AM48" s="71" t="s">
        <v>1219</v>
      </c>
      <c r="AN48" s="71" t="str">
        <f t="shared" si="1"/>
        <v>Belum Dinilai</v>
      </c>
      <c r="AO48" s="71" t="str">
        <f t="shared" si="9"/>
        <v>Belum Dinilai</v>
      </c>
      <c r="AP48" s="71"/>
      <c r="AQ48" s="75" t="str">
        <f t="shared" si="10"/>
        <v/>
      </c>
      <c r="AR48" s="75" t="str">
        <f t="shared" si="11"/>
        <v/>
      </c>
      <c r="AS48" s="75" t="str">
        <f t="shared" si="12"/>
        <v/>
      </c>
      <c r="AT48" s="72" t="str">
        <f t="shared" si="13"/>
        <v>Belum Dapat Ditentukan</v>
      </c>
      <c r="AU48" s="69" t="s">
        <v>1193</v>
      </c>
      <c r="AV48" s="69" t="s">
        <v>1208</v>
      </c>
      <c r="AW48" s="69" t="s">
        <v>1271</v>
      </c>
      <c r="AX48" s="69" t="s">
        <v>1272</v>
      </c>
      <c r="AY48" s="69">
        <v>2024</v>
      </c>
      <c r="AZ48" s="69" t="s">
        <v>930</v>
      </c>
      <c r="BA48" s="69"/>
      <c r="BB48" s="76"/>
      <c r="BC48" s="77">
        <v>2026</v>
      </c>
      <c r="BD48" s="69" t="s">
        <v>1197</v>
      </c>
      <c r="BE48" s="76">
        <v>46218</v>
      </c>
      <c r="BF48" s="69" t="s">
        <v>1282</v>
      </c>
    </row>
    <row r="49" spans="1:58" ht="28">
      <c r="A49" s="69" t="s">
        <v>1482</v>
      </c>
      <c r="B49" s="69" t="s">
        <v>1483</v>
      </c>
      <c r="C49" s="69"/>
      <c r="D49" s="69"/>
      <c r="E49" s="69" t="s">
        <v>1311</v>
      </c>
      <c r="F49" s="69" t="s">
        <v>1435</v>
      </c>
      <c r="G49" s="69" t="s">
        <v>1317</v>
      </c>
      <c r="H49" s="69" t="s">
        <v>1199</v>
      </c>
      <c r="I49" s="69" t="s">
        <v>1484</v>
      </c>
      <c r="J49" s="69" t="s">
        <v>1186</v>
      </c>
      <c r="K49" s="69" t="s">
        <v>1281</v>
      </c>
      <c r="L49" s="69" t="s">
        <v>1219</v>
      </c>
      <c r="M49" s="69" t="s">
        <v>1269</v>
      </c>
      <c r="N49" s="69" t="s">
        <v>1219</v>
      </c>
      <c r="O49" s="69" t="s">
        <v>1281</v>
      </c>
      <c r="P49" s="69" t="s">
        <v>1219</v>
      </c>
      <c r="Q49" s="70" t="s">
        <v>1219</v>
      </c>
      <c r="R49" s="70" t="s">
        <v>1219</v>
      </c>
      <c r="S49" s="70" t="s">
        <v>1219</v>
      </c>
      <c r="T49" s="70" t="s">
        <v>1219</v>
      </c>
      <c r="U49" s="70" t="s">
        <v>1219</v>
      </c>
      <c r="V49" s="70" t="s">
        <v>1219</v>
      </c>
      <c r="W49" s="70"/>
      <c r="X49" s="70" t="str">
        <f t="shared" si="0"/>
        <v>Belum Dinilai</v>
      </c>
      <c r="Y49" s="70" t="s">
        <v>1219</v>
      </c>
      <c r="Z49" s="74" t="str">
        <f t="shared" si="2"/>
        <v/>
      </c>
      <c r="AA49" s="74" t="str">
        <f t="shared" si="3"/>
        <v/>
      </c>
      <c r="AB49" s="74" t="str">
        <f t="shared" si="4"/>
        <v/>
      </c>
      <c r="AC49" s="71" t="s">
        <v>1219</v>
      </c>
      <c r="AD49" s="71" t="s">
        <v>1219</v>
      </c>
      <c r="AE49" s="71" t="s">
        <v>1219</v>
      </c>
      <c r="AF49" s="71" t="s">
        <v>1219</v>
      </c>
      <c r="AG49" s="71" t="s">
        <v>1219</v>
      </c>
      <c r="AH49" s="71" t="s">
        <v>1219</v>
      </c>
      <c r="AI49" s="71" t="s">
        <v>1219</v>
      </c>
      <c r="AJ49" s="71" t="s">
        <v>1219</v>
      </c>
      <c r="AK49" s="71" t="s">
        <v>1219</v>
      </c>
      <c r="AL49" s="71"/>
      <c r="AM49" s="71" t="s">
        <v>1219</v>
      </c>
      <c r="AN49" s="71" t="str">
        <f t="shared" si="1"/>
        <v>Belum Dinilai</v>
      </c>
      <c r="AO49" s="71" t="str">
        <f t="shared" si="9"/>
        <v>Belum Dinilai</v>
      </c>
      <c r="AP49" s="71"/>
      <c r="AQ49" s="75" t="str">
        <f t="shared" si="10"/>
        <v/>
      </c>
      <c r="AR49" s="75" t="str">
        <f t="shared" si="11"/>
        <v/>
      </c>
      <c r="AS49" s="75" t="str">
        <f t="shared" si="12"/>
        <v/>
      </c>
      <c r="AT49" s="72" t="str">
        <f t="shared" si="13"/>
        <v>Belum Dapat Ditentukan</v>
      </c>
      <c r="AU49" s="69" t="s">
        <v>1193</v>
      </c>
      <c r="AV49" s="69" t="s">
        <v>1208</v>
      </c>
      <c r="AW49" s="69" t="s">
        <v>1271</v>
      </c>
      <c r="AX49" s="69" t="s">
        <v>1272</v>
      </c>
      <c r="AY49" s="69">
        <v>2024</v>
      </c>
      <c r="AZ49" s="69" t="s">
        <v>930</v>
      </c>
      <c r="BA49" s="69"/>
      <c r="BB49" s="76"/>
      <c r="BC49" s="77">
        <v>2026</v>
      </c>
      <c r="BD49" s="69" t="s">
        <v>1197</v>
      </c>
      <c r="BE49" s="76">
        <v>46218</v>
      </c>
      <c r="BF49" s="69" t="s">
        <v>1282</v>
      </c>
    </row>
    <row r="50" spans="1:58" ht="42">
      <c r="A50" s="69" t="s">
        <v>1485</v>
      </c>
      <c r="B50" s="69" t="s">
        <v>1486</v>
      </c>
      <c r="C50" s="69"/>
      <c r="D50" s="69"/>
      <c r="E50" s="69" t="s">
        <v>1311</v>
      </c>
      <c r="F50" s="69" t="s">
        <v>1487</v>
      </c>
      <c r="G50" s="69" t="s">
        <v>1317</v>
      </c>
      <c r="H50" s="69" t="s">
        <v>1185</v>
      </c>
      <c r="I50" s="69" t="s">
        <v>1488</v>
      </c>
      <c r="J50" s="69" t="s">
        <v>1214</v>
      </c>
      <c r="K50" s="69" t="s">
        <v>1201</v>
      </c>
      <c r="L50" s="69" t="s">
        <v>898</v>
      </c>
      <c r="M50" s="69" t="s">
        <v>1270</v>
      </c>
      <c r="N50" s="69" t="s">
        <v>898</v>
      </c>
      <c r="O50" s="69" t="s">
        <v>1217</v>
      </c>
      <c r="P50" s="69" t="s">
        <v>898</v>
      </c>
      <c r="Q50" s="70" t="s">
        <v>1219</v>
      </c>
      <c r="R50" s="70" t="s">
        <v>1219</v>
      </c>
      <c r="S50" s="70" t="s">
        <v>1219</v>
      </c>
      <c r="T50" s="70" t="s">
        <v>1219</v>
      </c>
      <c r="U50" s="70" t="s">
        <v>1219</v>
      </c>
      <c r="V50" s="70" t="s">
        <v>1219</v>
      </c>
      <c r="W50" s="70"/>
      <c r="X50" s="70" t="str">
        <f t="shared" si="0"/>
        <v>Belum Dinilai</v>
      </c>
      <c r="Y50" s="70" t="s">
        <v>1219</v>
      </c>
      <c r="Z50" s="74" t="str">
        <f t="shared" si="2"/>
        <v/>
      </c>
      <c r="AA50" s="74" t="str">
        <f t="shared" si="3"/>
        <v/>
      </c>
      <c r="AB50" s="74" t="str">
        <f t="shared" si="4"/>
        <v/>
      </c>
      <c r="AC50" s="71" t="s">
        <v>1219</v>
      </c>
      <c r="AD50" s="71" t="s">
        <v>1219</v>
      </c>
      <c r="AE50" s="71" t="s">
        <v>1219</v>
      </c>
      <c r="AF50" s="71" t="s">
        <v>1219</v>
      </c>
      <c r="AG50" s="71" t="s">
        <v>1219</v>
      </c>
      <c r="AH50" s="71" t="s">
        <v>1219</v>
      </c>
      <c r="AI50" s="71" t="s">
        <v>1219</v>
      </c>
      <c r="AJ50" s="71" t="s">
        <v>1219</v>
      </c>
      <c r="AK50" s="71" t="s">
        <v>1219</v>
      </c>
      <c r="AL50" s="71"/>
      <c r="AM50" s="71" t="s">
        <v>1219</v>
      </c>
      <c r="AN50" s="71" t="str">
        <f t="shared" si="1"/>
        <v>Belum Dinilai</v>
      </c>
      <c r="AO50" s="71" t="str">
        <f t="shared" si="9"/>
        <v>Belum Dinilai</v>
      </c>
      <c r="AP50" s="71"/>
      <c r="AQ50" s="75">
        <f t="shared" si="10"/>
        <v>57</v>
      </c>
      <c r="AR50" s="75" t="str">
        <f t="shared" si="11"/>
        <v/>
      </c>
      <c r="AS50" s="75" t="str">
        <f t="shared" si="12"/>
        <v/>
      </c>
      <c r="AT50" s="72" t="str">
        <f t="shared" si="13"/>
        <v>Belum Dapat Ditentukan</v>
      </c>
      <c r="AU50" s="69" t="s">
        <v>1193</v>
      </c>
      <c r="AV50" s="69" t="s">
        <v>1208</v>
      </c>
      <c r="AW50" s="69" t="s">
        <v>1271</v>
      </c>
      <c r="AX50" s="69" t="s">
        <v>1272</v>
      </c>
      <c r="AY50" s="69">
        <v>2023</v>
      </c>
      <c r="AZ50" s="69" t="s">
        <v>930</v>
      </c>
      <c r="BA50" s="69"/>
      <c r="BB50" s="76"/>
      <c r="BC50" s="77">
        <v>2026</v>
      </c>
      <c r="BD50" s="69" t="s">
        <v>1197</v>
      </c>
      <c r="BE50" s="76">
        <v>46218</v>
      </c>
      <c r="BF50" s="69" t="s">
        <v>1282</v>
      </c>
    </row>
    <row r="51" spans="1:58" ht="56">
      <c r="A51" s="69" t="s">
        <v>1489</v>
      </c>
      <c r="B51" s="69" t="s">
        <v>1490</v>
      </c>
      <c r="C51" s="69"/>
      <c r="D51" s="69"/>
      <c r="E51" s="69" t="s">
        <v>1491</v>
      </c>
      <c r="F51" s="69" t="s">
        <v>1487</v>
      </c>
      <c r="G51" s="69" t="s">
        <v>1317</v>
      </c>
      <c r="H51" s="69" t="s">
        <v>1475</v>
      </c>
      <c r="I51" s="69" t="s">
        <v>1492</v>
      </c>
      <c r="J51" s="69" t="s">
        <v>1200</v>
      </c>
      <c r="K51" s="69" t="s">
        <v>1187</v>
      </c>
      <c r="L51" s="69" t="s">
        <v>1219</v>
      </c>
      <c r="M51" s="69" t="s">
        <v>1312</v>
      </c>
      <c r="N51" s="69" t="s">
        <v>1219</v>
      </c>
      <c r="O51" s="69" t="s">
        <v>1217</v>
      </c>
      <c r="P51" s="69" t="s">
        <v>1219</v>
      </c>
      <c r="Q51" s="70" t="s">
        <v>1219</v>
      </c>
      <c r="R51" s="70" t="s">
        <v>1219</v>
      </c>
      <c r="S51" s="70" t="s">
        <v>1219</v>
      </c>
      <c r="T51" s="70" t="s">
        <v>1219</v>
      </c>
      <c r="U51" s="70" t="s">
        <v>1219</v>
      </c>
      <c r="V51" s="70" t="s">
        <v>1219</v>
      </c>
      <c r="W51" s="70"/>
      <c r="X51" s="70" t="str">
        <f t="shared" si="0"/>
        <v>Belum Dinilai</v>
      </c>
      <c r="Y51" s="70" t="s">
        <v>1219</v>
      </c>
      <c r="Z51" s="74" t="str">
        <f t="shared" si="2"/>
        <v/>
      </c>
      <c r="AA51" s="74" t="str">
        <f t="shared" si="3"/>
        <v/>
      </c>
      <c r="AB51" s="74" t="str">
        <f t="shared" si="4"/>
        <v/>
      </c>
      <c r="AC51" s="71" t="s">
        <v>1219</v>
      </c>
      <c r="AD51" s="71" t="s">
        <v>1219</v>
      </c>
      <c r="AE51" s="71" t="s">
        <v>1219</v>
      </c>
      <c r="AF51" s="71" t="s">
        <v>1219</v>
      </c>
      <c r="AG51" s="71" t="s">
        <v>1219</v>
      </c>
      <c r="AH51" s="71" t="s">
        <v>1219</v>
      </c>
      <c r="AI51" s="71" t="s">
        <v>1219</v>
      </c>
      <c r="AJ51" s="71" t="s">
        <v>1219</v>
      </c>
      <c r="AK51" s="71" t="s">
        <v>1219</v>
      </c>
      <c r="AL51" s="71"/>
      <c r="AM51" s="71" t="s">
        <v>1219</v>
      </c>
      <c r="AN51" s="71" t="str">
        <f t="shared" si="1"/>
        <v>Belum Dinilai</v>
      </c>
      <c r="AO51" s="71" t="str">
        <f t="shared" si="9"/>
        <v>Belum Dinilai</v>
      </c>
      <c r="AP51" s="71"/>
      <c r="AQ51" s="75" t="str">
        <f t="shared" si="10"/>
        <v/>
      </c>
      <c r="AR51" s="75" t="str">
        <f t="shared" si="11"/>
        <v/>
      </c>
      <c r="AS51" s="75" t="str">
        <f t="shared" si="12"/>
        <v/>
      </c>
      <c r="AT51" s="72" t="str">
        <f t="shared" si="13"/>
        <v>Belum Dapat Ditentukan</v>
      </c>
      <c r="AU51" s="69" t="s">
        <v>1193</v>
      </c>
      <c r="AV51" s="69" t="s">
        <v>1208</v>
      </c>
      <c r="AW51" s="69" t="s">
        <v>1271</v>
      </c>
      <c r="AX51" s="69" t="s">
        <v>1221</v>
      </c>
      <c r="AY51" s="69">
        <v>2023</v>
      </c>
      <c r="AZ51" s="69" t="s">
        <v>930</v>
      </c>
      <c r="BA51" s="69"/>
      <c r="BB51" s="76"/>
      <c r="BC51" s="77">
        <v>2026</v>
      </c>
      <c r="BD51" s="69" t="s">
        <v>1197</v>
      </c>
      <c r="BE51" s="76">
        <v>46218</v>
      </c>
      <c r="BF51" s="69" t="s">
        <v>1282</v>
      </c>
    </row>
    <row r="52" spans="1:58" ht="56">
      <c r="A52" s="69" t="s">
        <v>1493</v>
      </c>
      <c r="B52" s="69" t="s">
        <v>1494</v>
      </c>
      <c r="C52" s="69"/>
      <c r="D52" s="69"/>
      <c r="E52" s="69" t="s">
        <v>1495</v>
      </c>
      <c r="F52" s="69" t="s">
        <v>1487</v>
      </c>
      <c r="G52" s="69" t="s">
        <v>1317</v>
      </c>
      <c r="H52" s="69" t="s">
        <v>1185</v>
      </c>
      <c r="I52" s="69" t="s">
        <v>1496</v>
      </c>
      <c r="J52" s="69" t="s">
        <v>1200</v>
      </c>
      <c r="K52" s="69" t="s">
        <v>1215</v>
      </c>
      <c r="L52" s="69" t="s">
        <v>894</v>
      </c>
      <c r="M52" s="69" t="s">
        <v>1270</v>
      </c>
      <c r="N52" s="69" t="s">
        <v>894</v>
      </c>
      <c r="O52" s="69" t="s">
        <v>1217</v>
      </c>
      <c r="P52" s="69" t="s">
        <v>894</v>
      </c>
      <c r="Q52" s="70" t="s">
        <v>1219</v>
      </c>
      <c r="R52" s="70" t="s">
        <v>1219</v>
      </c>
      <c r="S52" s="70" t="s">
        <v>1219</v>
      </c>
      <c r="T52" s="70" t="s">
        <v>1219</v>
      </c>
      <c r="U52" s="70" t="s">
        <v>1219</v>
      </c>
      <c r="V52" s="70" t="s">
        <v>1219</v>
      </c>
      <c r="W52" s="70"/>
      <c r="X52" s="70" t="str">
        <f t="shared" si="0"/>
        <v>Belum Dinilai</v>
      </c>
      <c r="Y52" s="70" t="s">
        <v>1219</v>
      </c>
      <c r="Z52" s="74" t="str">
        <f t="shared" si="2"/>
        <v/>
      </c>
      <c r="AA52" s="74" t="str">
        <f t="shared" si="3"/>
        <v/>
      </c>
      <c r="AB52" s="74" t="str">
        <f t="shared" si="4"/>
        <v/>
      </c>
      <c r="AC52" s="71" t="s">
        <v>1219</v>
      </c>
      <c r="AD52" s="71" t="s">
        <v>1219</v>
      </c>
      <c r="AE52" s="71" t="s">
        <v>1219</v>
      </c>
      <c r="AF52" s="71" t="s">
        <v>1219</v>
      </c>
      <c r="AG52" s="71" t="s">
        <v>1219</v>
      </c>
      <c r="AH52" s="71" t="s">
        <v>1219</v>
      </c>
      <c r="AI52" s="71" t="s">
        <v>1219</v>
      </c>
      <c r="AJ52" s="71" t="s">
        <v>1219</v>
      </c>
      <c r="AK52" s="71" t="s">
        <v>1219</v>
      </c>
      <c r="AL52" s="71"/>
      <c r="AM52" s="71" t="s">
        <v>1219</v>
      </c>
      <c r="AN52" s="71" t="str">
        <f t="shared" si="1"/>
        <v>Belum Dinilai</v>
      </c>
      <c r="AO52" s="71" t="str">
        <f t="shared" si="9"/>
        <v>Belum Dinilai</v>
      </c>
      <c r="AP52" s="71"/>
      <c r="AQ52" s="75">
        <f t="shared" si="10"/>
        <v>22</v>
      </c>
      <c r="AR52" s="75" t="str">
        <f t="shared" si="11"/>
        <v/>
      </c>
      <c r="AS52" s="75" t="str">
        <f t="shared" si="12"/>
        <v/>
      </c>
      <c r="AT52" s="72" t="str">
        <f t="shared" si="13"/>
        <v>Belum Dapat Ditentukan</v>
      </c>
      <c r="AU52" s="69" t="s">
        <v>1193</v>
      </c>
      <c r="AV52" s="69" t="s">
        <v>1208</v>
      </c>
      <c r="AW52" s="69" t="s">
        <v>1271</v>
      </c>
      <c r="AX52" s="69" t="s">
        <v>1210</v>
      </c>
      <c r="AY52" s="69">
        <v>2023</v>
      </c>
      <c r="AZ52" s="69" t="s">
        <v>930</v>
      </c>
      <c r="BA52" s="69"/>
      <c r="BB52" s="76"/>
      <c r="BC52" s="77">
        <v>2026</v>
      </c>
      <c r="BD52" s="69" t="s">
        <v>1197</v>
      </c>
      <c r="BE52" s="76">
        <v>46218</v>
      </c>
      <c r="BF52" s="69" t="s">
        <v>1282</v>
      </c>
    </row>
    <row r="53" spans="1:58" ht="42">
      <c r="A53" s="69" t="s">
        <v>1497</v>
      </c>
      <c r="B53" s="69" t="s">
        <v>1498</v>
      </c>
      <c r="C53" s="69"/>
      <c r="D53" s="69"/>
      <c r="E53" s="69" t="s">
        <v>1499</v>
      </c>
      <c r="F53" s="69" t="s">
        <v>1322</v>
      </c>
      <c r="G53" s="69" t="s">
        <v>1293</v>
      </c>
      <c r="H53" s="69" t="s">
        <v>1185</v>
      </c>
      <c r="I53" s="69" t="s">
        <v>1500</v>
      </c>
      <c r="J53" s="69" t="s">
        <v>1214</v>
      </c>
      <c r="K53" s="69" t="s">
        <v>1187</v>
      </c>
      <c r="L53" s="69" t="s">
        <v>898</v>
      </c>
      <c r="M53" s="69" t="s">
        <v>1270</v>
      </c>
      <c r="N53" s="69" t="s">
        <v>898</v>
      </c>
      <c r="O53" s="69" t="s">
        <v>1217</v>
      </c>
      <c r="P53" s="69" t="s">
        <v>898</v>
      </c>
      <c r="Q53" s="70" t="s">
        <v>1219</v>
      </c>
      <c r="R53" s="70" t="s">
        <v>1219</v>
      </c>
      <c r="S53" s="70" t="s">
        <v>1219</v>
      </c>
      <c r="T53" s="70" t="s">
        <v>1219</v>
      </c>
      <c r="U53" s="70" t="s">
        <v>1219</v>
      </c>
      <c r="V53" s="70" t="s">
        <v>1219</v>
      </c>
      <c r="W53" s="70"/>
      <c r="X53" s="70" t="str">
        <f t="shared" si="0"/>
        <v>Belum Dinilai</v>
      </c>
      <c r="Y53" s="70" t="s">
        <v>1219</v>
      </c>
      <c r="Z53" s="74" t="str">
        <f t="shared" si="2"/>
        <v/>
      </c>
      <c r="AA53" s="74" t="str">
        <f t="shared" si="3"/>
        <v/>
      </c>
      <c r="AB53" s="74" t="str">
        <f t="shared" si="4"/>
        <v/>
      </c>
      <c r="AC53" s="71" t="s">
        <v>1219</v>
      </c>
      <c r="AD53" s="71" t="s">
        <v>1219</v>
      </c>
      <c r="AE53" s="71" t="s">
        <v>1219</v>
      </c>
      <c r="AF53" s="71" t="s">
        <v>1219</v>
      </c>
      <c r="AG53" s="71" t="s">
        <v>1219</v>
      </c>
      <c r="AH53" s="71" t="s">
        <v>1219</v>
      </c>
      <c r="AI53" s="71" t="s">
        <v>1219</v>
      </c>
      <c r="AJ53" s="71" t="s">
        <v>1219</v>
      </c>
      <c r="AK53" s="71" t="s">
        <v>1219</v>
      </c>
      <c r="AL53" s="71"/>
      <c r="AM53" s="71" t="s">
        <v>1219</v>
      </c>
      <c r="AN53" s="71" t="str">
        <f t="shared" si="1"/>
        <v>Belum Dinilai</v>
      </c>
      <c r="AO53" s="71" t="str">
        <f t="shared" si="9"/>
        <v>Belum Dinilai</v>
      </c>
      <c r="AP53" s="71"/>
      <c r="AQ53" s="75">
        <f t="shared" si="10"/>
        <v>57</v>
      </c>
      <c r="AR53" s="75" t="str">
        <f t="shared" si="11"/>
        <v/>
      </c>
      <c r="AS53" s="75" t="str">
        <f t="shared" si="12"/>
        <v/>
      </c>
      <c r="AT53" s="72" t="str">
        <f t="shared" si="13"/>
        <v>Belum Dapat Ditentukan</v>
      </c>
      <c r="AU53" s="69" t="s">
        <v>1193</v>
      </c>
      <c r="AV53" s="69" t="s">
        <v>1208</v>
      </c>
      <c r="AW53" s="69" t="s">
        <v>1271</v>
      </c>
      <c r="AX53" s="69" t="s">
        <v>1221</v>
      </c>
      <c r="AY53" s="69"/>
      <c r="AZ53" s="69" t="s">
        <v>930</v>
      </c>
      <c r="BA53" s="69"/>
      <c r="BB53" s="76"/>
      <c r="BC53" s="77">
        <v>2026</v>
      </c>
      <c r="BD53" s="69" t="s">
        <v>1197</v>
      </c>
      <c r="BE53" s="76">
        <v>46218</v>
      </c>
      <c r="BF53" s="69" t="s">
        <v>1282</v>
      </c>
    </row>
    <row r="54" spans="1:58" ht="28">
      <c r="A54" s="69" t="s">
        <v>1501</v>
      </c>
      <c r="B54" s="69" t="s">
        <v>1502</v>
      </c>
      <c r="C54" s="69"/>
      <c r="D54" s="69"/>
      <c r="E54" s="69" t="s">
        <v>1503</v>
      </c>
      <c r="F54" s="69" t="s">
        <v>1292</v>
      </c>
      <c r="G54" s="69" t="s">
        <v>1293</v>
      </c>
      <c r="H54" s="69" t="s">
        <v>1185</v>
      </c>
      <c r="I54" s="69" t="s">
        <v>1294</v>
      </c>
      <c r="J54" s="69" t="s">
        <v>1214</v>
      </c>
      <c r="K54" s="69" t="s">
        <v>1281</v>
      </c>
      <c r="L54" s="69" t="s">
        <v>1219</v>
      </c>
      <c r="M54" s="69" t="s">
        <v>1270</v>
      </c>
      <c r="N54" s="69" t="s">
        <v>1219</v>
      </c>
      <c r="O54" s="69" t="s">
        <v>1281</v>
      </c>
      <c r="P54" s="69" t="s">
        <v>1219</v>
      </c>
      <c r="Q54" s="70" t="s">
        <v>1219</v>
      </c>
      <c r="R54" s="70" t="s">
        <v>1219</v>
      </c>
      <c r="S54" s="70" t="s">
        <v>1219</v>
      </c>
      <c r="T54" s="70" t="s">
        <v>1219</v>
      </c>
      <c r="U54" s="70" t="s">
        <v>1219</v>
      </c>
      <c r="V54" s="70" t="s">
        <v>1219</v>
      </c>
      <c r="W54" s="70"/>
      <c r="X54" s="70" t="str">
        <f t="shared" si="0"/>
        <v>Belum Dinilai</v>
      </c>
      <c r="Y54" s="70" t="s">
        <v>1219</v>
      </c>
      <c r="Z54" s="74" t="str">
        <f t="shared" si="2"/>
        <v/>
      </c>
      <c r="AA54" s="74" t="str">
        <f t="shared" si="3"/>
        <v/>
      </c>
      <c r="AB54" s="74" t="str">
        <f t="shared" si="4"/>
        <v/>
      </c>
      <c r="AC54" s="71" t="s">
        <v>1219</v>
      </c>
      <c r="AD54" s="71" t="s">
        <v>1219</v>
      </c>
      <c r="AE54" s="71" t="s">
        <v>1219</v>
      </c>
      <c r="AF54" s="71" t="s">
        <v>1219</v>
      </c>
      <c r="AG54" s="71" t="s">
        <v>1219</v>
      </c>
      <c r="AH54" s="71" t="s">
        <v>1219</v>
      </c>
      <c r="AI54" s="71" t="s">
        <v>1219</v>
      </c>
      <c r="AJ54" s="71" t="s">
        <v>1219</v>
      </c>
      <c r="AK54" s="71" t="s">
        <v>1219</v>
      </c>
      <c r="AL54" s="71"/>
      <c r="AM54" s="71" t="s">
        <v>1219</v>
      </c>
      <c r="AN54" s="71" t="str">
        <f t="shared" si="1"/>
        <v>Belum Dinilai</v>
      </c>
      <c r="AO54" s="71" t="str">
        <f t="shared" si="9"/>
        <v>Belum Dinilai</v>
      </c>
      <c r="AP54" s="71"/>
      <c r="AQ54" s="75" t="str">
        <f t="shared" si="10"/>
        <v/>
      </c>
      <c r="AR54" s="75" t="str">
        <f t="shared" si="11"/>
        <v/>
      </c>
      <c r="AS54" s="75" t="str">
        <f t="shared" si="12"/>
        <v/>
      </c>
      <c r="AT54" s="72" t="str">
        <f t="shared" si="13"/>
        <v>Belum Dapat Ditentukan</v>
      </c>
      <c r="AU54" s="69" t="s">
        <v>1193</v>
      </c>
      <c r="AV54" s="69" t="s">
        <v>1208</v>
      </c>
      <c r="AW54" s="69" t="s">
        <v>1271</v>
      </c>
      <c r="AX54" s="69" t="s">
        <v>1210</v>
      </c>
      <c r="AY54" s="69">
        <v>2023</v>
      </c>
      <c r="AZ54" s="69" t="s">
        <v>930</v>
      </c>
      <c r="BA54" s="69"/>
      <c r="BB54" s="76"/>
      <c r="BC54" s="77">
        <v>2026</v>
      </c>
      <c r="BD54" s="69" t="s">
        <v>1197</v>
      </c>
      <c r="BE54" s="76">
        <v>46218</v>
      </c>
      <c r="BF54" s="69" t="s">
        <v>1282</v>
      </c>
    </row>
    <row r="55" spans="1:58" ht="42">
      <c r="A55" s="69" t="s">
        <v>1504</v>
      </c>
      <c r="B55" s="69" t="s">
        <v>1505</v>
      </c>
      <c r="C55" s="69"/>
      <c r="D55" s="69"/>
      <c r="E55" s="69" t="s">
        <v>1506</v>
      </c>
      <c r="F55" s="69" t="s">
        <v>1363</v>
      </c>
      <c r="G55" s="69" t="s">
        <v>1293</v>
      </c>
      <c r="H55" s="69" t="s">
        <v>1185</v>
      </c>
      <c r="I55" s="69" t="s">
        <v>1507</v>
      </c>
      <c r="J55" s="69" t="s">
        <v>1200</v>
      </c>
      <c r="K55" s="69" t="s">
        <v>1215</v>
      </c>
      <c r="L55" s="69" t="s">
        <v>1219</v>
      </c>
      <c r="M55" s="69" t="s">
        <v>1270</v>
      </c>
      <c r="N55" s="69" t="s">
        <v>1219</v>
      </c>
      <c r="O55" s="69" t="s">
        <v>1217</v>
      </c>
      <c r="P55" s="69" t="s">
        <v>1219</v>
      </c>
      <c r="Q55" s="70" t="s">
        <v>1219</v>
      </c>
      <c r="R55" s="70" t="s">
        <v>1219</v>
      </c>
      <c r="S55" s="70" t="s">
        <v>1219</v>
      </c>
      <c r="T55" s="70" t="s">
        <v>1219</v>
      </c>
      <c r="U55" s="70" t="s">
        <v>1219</v>
      </c>
      <c r="V55" s="70" t="s">
        <v>1219</v>
      </c>
      <c r="W55" s="70"/>
      <c r="X55" s="70" t="str">
        <f t="shared" si="0"/>
        <v>Belum Dinilai</v>
      </c>
      <c r="Y55" s="70" t="s">
        <v>1219</v>
      </c>
      <c r="Z55" s="74" t="str">
        <f t="shared" si="2"/>
        <v/>
      </c>
      <c r="AA55" s="74" t="str">
        <f t="shared" si="3"/>
        <v/>
      </c>
      <c r="AB55" s="74" t="str">
        <f t="shared" si="4"/>
        <v/>
      </c>
      <c r="AC55" s="71" t="s">
        <v>1219</v>
      </c>
      <c r="AD55" s="71" t="s">
        <v>1219</v>
      </c>
      <c r="AE55" s="71" t="s">
        <v>1219</v>
      </c>
      <c r="AF55" s="71" t="s">
        <v>1219</v>
      </c>
      <c r="AG55" s="71" t="s">
        <v>1219</v>
      </c>
      <c r="AH55" s="71" t="s">
        <v>1219</v>
      </c>
      <c r="AI55" s="71" t="s">
        <v>1219</v>
      </c>
      <c r="AJ55" s="71" t="s">
        <v>1219</v>
      </c>
      <c r="AK55" s="71" t="s">
        <v>1219</v>
      </c>
      <c r="AL55" s="71"/>
      <c r="AM55" s="71" t="s">
        <v>1219</v>
      </c>
      <c r="AN55" s="71" t="str">
        <f t="shared" si="1"/>
        <v>Belum Dinilai</v>
      </c>
      <c r="AO55" s="71" t="str">
        <f t="shared" si="9"/>
        <v>Belum Dinilai</v>
      </c>
      <c r="AP55" s="71"/>
      <c r="AQ55" s="75" t="str">
        <f t="shared" si="10"/>
        <v/>
      </c>
      <c r="AR55" s="75" t="str">
        <f t="shared" si="11"/>
        <v/>
      </c>
      <c r="AS55" s="75" t="str">
        <f t="shared" si="12"/>
        <v/>
      </c>
      <c r="AT55" s="72" t="str">
        <f t="shared" si="13"/>
        <v>Belum Dapat Ditentukan</v>
      </c>
      <c r="AU55" s="69" t="s">
        <v>1207</v>
      </c>
      <c r="AV55" s="69" t="s">
        <v>1208</v>
      </c>
      <c r="AW55" s="69" t="s">
        <v>1194</v>
      </c>
      <c r="AX55" s="69"/>
      <c r="AY55" s="69"/>
      <c r="AZ55" s="69" t="s">
        <v>930</v>
      </c>
      <c r="BA55" s="69"/>
      <c r="BB55" s="76"/>
      <c r="BC55" s="77">
        <v>2026</v>
      </c>
      <c r="BD55" s="69" t="s">
        <v>1197</v>
      </c>
      <c r="BE55" s="76">
        <v>46218</v>
      </c>
      <c r="BF55" s="69" t="s">
        <v>1282</v>
      </c>
    </row>
    <row r="56" spans="1:58" ht="28">
      <c r="A56" s="69" t="s">
        <v>1508</v>
      </c>
      <c r="B56" s="69" t="s">
        <v>1509</v>
      </c>
      <c r="C56" s="69"/>
      <c r="D56" s="69"/>
      <c r="E56" s="69" t="s">
        <v>1510</v>
      </c>
      <c r="F56" s="69" t="s">
        <v>1363</v>
      </c>
      <c r="G56" s="69" t="s">
        <v>1293</v>
      </c>
      <c r="H56" s="69" t="s">
        <v>1199</v>
      </c>
      <c r="I56" s="69" t="s">
        <v>1511</v>
      </c>
      <c r="J56" s="69" t="s">
        <v>1267</v>
      </c>
      <c r="K56" s="69" t="s">
        <v>1281</v>
      </c>
      <c r="L56" s="69" t="s">
        <v>1219</v>
      </c>
      <c r="M56" s="69" t="s">
        <v>1281</v>
      </c>
      <c r="N56" s="69" t="s">
        <v>1219</v>
      </c>
      <c r="O56" s="69" t="s">
        <v>1281</v>
      </c>
      <c r="P56" s="69" t="s">
        <v>1219</v>
      </c>
      <c r="Q56" s="70" t="s">
        <v>1219</v>
      </c>
      <c r="R56" s="70" t="s">
        <v>1219</v>
      </c>
      <c r="S56" s="70" t="s">
        <v>1219</v>
      </c>
      <c r="T56" s="70" t="s">
        <v>1219</v>
      </c>
      <c r="U56" s="70" t="s">
        <v>1219</v>
      </c>
      <c r="V56" s="70" t="s">
        <v>1219</v>
      </c>
      <c r="W56" s="70"/>
      <c r="X56" s="70" t="str">
        <f t="shared" si="0"/>
        <v>Belum Dinilai</v>
      </c>
      <c r="Y56" s="70" t="s">
        <v>1219</v>
      </c>
      <c r="Z56" s="74" t="str">
        <f t="shared" si="2"/>
        <v/>
      </c>
      <c r="AA56" s="74" t="str">
        <f t="shared" si="3"/>
        <v/>
      </c>
      <c r="AB56" s="74" t="str">
        <f t="shared" si="4"/>
        <v/>
      </c>
      <c r="AC56" s="71" t="s">
        <v>1219</v>
      </c>
      <c r="AD56" s="71" t="s">
        <v>1219</v>
      </c>
      <c r="AE56" s="71" t="s">
        <v>1219</v>
      </c>
      <c r="AF56" s="71" t="s">
        <v>1219</v>
      </c>
      <c r="AG56" s="71" t="s">
        <v>1219</v>
      </c>
      <c r="AH56" s="71" t="s">
        <v>1219</v>
      </c>
      <c r="AI56" s="71" t="s">
        <v>1219</v>
      </c>
      <c r="AJ56" s="71" t="s">
        <v>1219</v>
      </c>
      <c r="AK56" s="71" t="s">
        <v>1219</v>
      </c>
      <c r="AL56" s="71"/>
      <c r="AM56" s="71" t="s">
        <v>1219</v>
      </c>
      <c r="AN56" s="71" t="str">
        <f t="shared" si="1"/>
        <v>Belum Dinilai</v>
      </c>
      <c r="AO56" s="71" t="str">
        <f t="shared" si="9"/>
        <v>Belum Dinilai</v>
      </c>
      <c r="AP56" s="71"/>
      <c r="AQ56" s="75" t="str">
        <f t="shared" si="10"/>
        <v/>
      </c>
      <c r="AR56" s="75" t="str">
        <f t="shared" si="11"/>
        <v/>
      </c>
      <c r="AS56" s="75" t="str">
        <f t="shared" si="12"/>
        <v/>
      </c>
      <c r="AT56" s="72" t="str">
        <f t="shared" si="13"/>
        <v>Belum Dapat Ditentukan</v>
      </c>
      <c r="AU56" s="69" t="s">
        <v>1207</v>
      </c>
      <c r="AV56" s="69" t="s">
        <v>1208</v>
      </c>
      <c r="AW56" s="69" t="s">
        <v>1194</v>
      </c>
      <c r="AX56" s="69"/>
      <c r="AY56" s="69"/>
      <c r="AZ56" s="69" t="s">
        <v>930</v>
      </c>
      <c r="BA56" s="69"/>
      <c r="BB56" s="76"/>
      <c r="BC56" s="77">
        <v>2026</v>
      </c>
      <c r="BD56" s="69" t="s">
        <v>1197</v>
      </c>
      <c r="BE56" s="76">
        <v>46218</v>
      </c>
      <c r="BF56" s="69" t="s">
        <v>1282</v>
      </c>
    </row>
    <row r="57" spans="1:58" ht="28">
      <c r="A57" s="69" t="s">
        <v>1512</v>
      </c>
      <c r="B57" s="69" t="s">
        <v>1513</v>
      </c>
      <c r="C57" s="69"/>
      <c r="D57" s="69"/>
      <c r="E57" s="69" t="s">
        <v>1514</v>
      </c>
      <c r="F57" s="69" t="s">
        <v>1386</v>
      </c>
      <c r="G57" s="69" t="s">
        <v>1293</v>
      </c>
      <c r="H57" s="69" t="s">
        <v>1185</v>
      </c>
      <c r="I57" s="69" t="s">
        <v>1515</v>
      </c>
      <c r="J57" s="69" t="s">
        <v>1267</v>
      </c>
      <c r="K57" s="69" t="s">
        <v>1297</v>
      </c>
      <c r="L57" s="69" t="s">
        <v>1219</v>
      </c>
      <c r="M57" s="69" t="s">
        <v>1281</v>
      </c>
      <c r="N57" s="69" t="s">
        <v>1219</v>
      </c>
      <c r="O57" s="69" t="s">
        <v>1217</v>
      </c>
      <c r="P57" s="69" t="s">
        <v>1219</v>
      </c>
      <c r="Q57" s="70" t="s">
        <v>1219</v>
      </c>
      <c r="R57" s="70" t="s">
        <v>1219</v>
      </c>
      <c r="S57" s="70" t="s">
        <v>1219</v>
      </c>
      <c r="T57" s="70" t="s">
        <v>1219</v>
      </c>
      <c r="U57" s="70" t="s">
        <v>1219</v>
      </c>
      <c r="V57" s="70" t="s">
        <v>1219</v>
      </c>
      <c r="W57" s="70"/>
      <c r="X57" s="70" t="str">
        <f t="shared" si="0"/>
        <v>Belum Dinilai</v>
      </c>
      <c r="Y57" s="70" t="s">
        <v>1219</v>
      </c>
      <c r="Z57" s="74" t="str">
        <f t="shared" si="2"/>
        <v/>
      </c>
      <c r="AA57" s="74" t="str">
        <f t="shared" si="3"/>
        <v/>
      </c>
      <c r="AB57" s="74" t="str">
        <f t="shared" si="4"/>
        <v/>
      </c>
      <c r="AC57" s="71" t="s">
        <v>1219</v>
      </c>
      <c r="AD57" s="71" t="s">
        <v>1219</v>
      </c>
      <c r="AE57" s="71" t="s">
        <v>1219</v>
      </c>
      <c r="AF57" s="71" t="s">
        <v>1219</v>
      </c>
      <c r="AG57" s="71" t="s">
        <v>1219</v>
      </c>
      <c r="AH57" s="71" t="s">
        <v>1219</v>
      </c>
      <c r="AI57" s="71" t="s">
        <v>1219</v>
      </c>
      <c r="AJ57" s="71" t="s">
        <v>1219</v>
      </c>
      <c r="AK57" s="71" t="s">
        <v>1219</v>
      </c>
      <c r="AL57" s="71"/>
      <c r="AM57" s="71" t="s">
        <v>1219</v>
      </c>
      <c r="AN57" s="71" t="str">
        <f t="shared" si="1"/>
        <v>Belum Dinilai</v>
      </c>
      <c r="AO57" s="71" t="str">
        <f t="shared" si="9"/>
        <v>Belum Dinilai</v>
      </c>
      <c r="AP57" s="71"/>
      <c r="AQ57" s="75" t="str">
        <f t="shared" si="10"/>
        <v/>
      </c>
      <c r="AR57" s="75" t="str">
        <f t="shared" si="11"/>
        <v/>
      </c>
      <c r="AS57" s="75" t="str">
        <f t="shared" si="12"/>
        <v/>
      </c>
      <c r="AT57" s="72" t="str">
        <f t="shared" si="13"/>
        <v>Belum Dapat Ditentukan</v>
      </c>
      <c r="AU57" s="69" t="s">
        <v>1207</v>
      </c>
      <c r="AV57" s="69" t="s">
        <v>1208</v>
      </c>
      <c r="AW57" s="69" t="s">
        <v>1194</v>
      </c>
      <c r="AX57" s="69"/>
      <c r="AY57" s="69"/>
      <c r="AZ57" s="69" t="s">
        <v>930</v>
      </c>
      <c r="BA57" s="69"/>
      <c r="BB57" s="76"/>
      <c r="BC57" s="77">
        <v>2026</v>
      </c>
      <c r="BD57" s="69" t="s">
        <v>1197</v>
      </c>
      <c r="BE57" s="76">
        <v>46218</v>
      </c>
      <c r="BF57" s="69" t="s">
        <v>1282</v>
      </c>
    </row>
    <row r="58" spans="1:58" ht="28">
      <c r="A58" s="69" t="s">
        <v>1516</v>
      </c>
      <c r="B58" s="69" t="s">
        <v>1517</v>
      </c>
      <c r="C58" s="69"/>
      <c r="D58" s="69"/>
      <c r="E58" s="69" t="s">
        <v>1518</v>
      </c>
      <c r="F58" s="69" t="s">
        <v>1519</v>
      </c>
      <c r="G58" s="69" t="s">
        <v>1293</v>
      </c>
      <c r="H58" s="69" t="s">
        <v>1199</v>
      </c>
      <c r="I58" s="69" t="s">
        <v>1520</v>
      </c>
      <c r="J58" s="69" t="s">
        <v>1186</v>
      </c>
      <c r="K58" s="69" t="s">
        <v>1281</v>
      </c>
      <c r="L58" s="69" t="s">
        <v>1219</v>
      </c>
      <c r="M58" s="69" t="s">
        <v>1269</v>
      </c>
      <c r="N58" s="69" t="s">
        <v>1219</v>
      </c>
      <c r="O58" s="69" t="s">
        <v>1281</v>
      </c>
      <c r="P58" s="69" t="s">
        <v>1219</v>
      </c>
      <c r="Q58" s="70" t="s">
        <v>1219</v>
      </c>
      <c r="R58" s="70" t="s">
        <v>1219</v>
      </c>
      <c r="S58" s="70" t="s">
        <v>1219</v>
      </c>
      <c r="T58" s="70" t="s">
        <v>1219</v>
      </c>
      <c r="U58" s="70" t="s">
        <v>1219</v>
      </c>
      <c r="V58" s="70" t="s">
        <v>1219</v>
      </c>
      <c r="W58" s="70"/>
      <c r="X58" s="70" t="str">
        <f t="shared" si="0"/>
        <v>Belum Dinilai</v>
      </c>
      <c r="Y58" s="70" t="s">
        <v>1219</v>
      </c>
      <c r="Z58" s="74" t="str">
        <f t="shared" si="2"/>
        <v/>
      </c>
      <c r="AA58" s="74" t="str">
        <f t="shared" si="3"/>
        <v/>
      </c>
      <c r="AB58" s="74" t="str">
        <f t="shared" si="4"/>
        <v/>
      </c>
      <c r="AC58" s="71" t="s">
        <v>1219</v>
      </c>
      <c r="AD58" s="71" t="s">
        <v>1219</v>
      </c>
      <c r="AE58" s="71" t="s">
        <v>1219</v>
      </c>
      <c r="AF58" s="71" t="s">
        <v>1219</v>
      </c>
      <c r="AG58" s="71" t="s">
        <v>1219</v>
      </c>
      <c r="AH58" s="71" t="s">
        <v>1219</v>
      </c>
      <c r="AI58" s="71" t="s">
        <v>1219</v>
      </c>
      <c r="AJ58" s="71" t="s">
        <v>1219</v>
      </c>
      <c r="AK58" s="71" t="s">
        <v>1219</v>
      </c>
      <c r="AL58" s="71"/>
      <c r="AM58" s="71" t="s">
        <v>1219</v>
      </c>
      <c r="AN58" s="71" t="str">
        <f t="shared" si="1"/>
        <v>Belum Dinilai</v>
      </c>
      <c r="AO58" s="71" t="str">
        <f t="shared" si="9"/>
        <v>Belum Dinilai</v>
      </c>
      <c r="AP58" s="71"/>
      <c r="AQ58" s="75" t="str">
        <f t="shared" si="10"/>
        <v/>
      </c>
      <c r="AR58" s="75" t="str">
        <f t="shared" si="11"/>
        <v/>
      </c>
      <c r="AS58" s="75" t="str">
        <f t="shared" si="12"/>
        <v/>
      </c>
      <c r="AT58" s="72" t="str">
        <f t="shared" si="13"/>
        <v>Belum Dapat Ditentukan</v>
      </c>
      <c r="AU58" s="69" t="s">
        <v>1207</v>
      </c>
      <c r="AV58" s="69" t="s">
        <v>1208</v>
      </c>
      <c r="AW58" s="69" t="s">
        <v>1194</v>
      </c>
      <c r="AX58" s="69"/>
      <c r="AY58" s="69"/>
      <c r="AZ58" s="69" t="s">
        <v>930</v>
      </c>
      <c r="BA58" s="69"/>
      <c r="BB58" s="76"/>
      <c r="BC58" s="77">
        <v>2026</v>
      </c>
      <c r="BD58" s="69" t="s">
        <v>1197</v>
      </c>
      <c r="BE58" s="76">
        <v>46218</v>
      </c>
      <c r="BF58" s="69" t="s">
        <v>1282</v>
      </c>
    </row>
    <row r="59" spans="1:58" ht="42">
      <c r="A59" s="69" t="s">
        <v>1521</v>
      </c>
      <c r="B59" s="69" t="s">
        <v>1522</v>
      </c>
      <c r="C59" s="69"/>
      <c r="D59" s="69"/>
      <c r="E59" s="69" t="s">
        <v>1523</v>
      </c>
      <c r="F59" s="69" t="s">
        <v>1519</v>
      </c>
      <c r="G59" s="69" t="s">
        <v>1293</v>
      </c>
      <c r="H59" s="69" t="s">
        <v>1199</v>
      </c>
      <c r="I59" s="69" t="s">
        <v>1524</v>
      </c>
      <c r="J59" s="69" t="s">
        <v>1200</v>
      </c>
      <c r="K59" s="69" t="s">
        <v>1187</v>
      </c>
      <c r="L59" s="69" t="s">
        <v>908</v>
      </c>
      <c r="M59" s="69" t="s">
        <v>1270</v>
      </c>
      <c r="N59" s="69" t="s">
        <v>908</v>
      </c>
      <c r="O59" s="69" t="s">
        <v>1217</v>
      </c>
      <c r="P59" s="69" t="s">
        <v>894</v>
      </c>
      <c r="Q59" s="70" t="s">
        <v>1219</v>
      </c>
      <c r="R59" s="70" t="s">
        <v>1219</v>
      </c>
      <c r="S59" s="70" t="s">
        <v>1219</v>
      </c>
      <c r="T59" s="70" t="s">
        <v>1219</v>
      </c>
      <c r="U59" s="70" t="s">
        <v>1219</v>
      </c>
      <c r="V59" s="70" t="s">
        <v>1219</v>
      </c>
      <c r="W59" s="70"/>
      <c r="X59" s="70" t="str">
        <f t="shared" si="0"/>
        <v>Belum Dinilai</v>
      </c>
      <c r="Y59" s="70" t="s">
        <v>1219</v>
      </c>
      <c r="Z59" s="74" t="str">
        <f t="shared" si="2"/>
        <v/>
      </c>
      <c r="AA59" s="74" t="str">
        <f t="shared" si="3"/>
        <v/>
      </c>
      <c r="AB59" s="74" t="str">
        <f t="shared" si="4"/>
        <v/>
      </c>
      <c r="AC59" s="71" t="s">
        <v>1219</v>
      </c>
      <c r="AD59" s="71" t="s">
        <v>1219</v>
      </c>
      <c r="AE59" s="71" t="s">
        <v>1219</v>
      </c>
      <c r="AF59" s="71" t="s">
        <v>1219</v>
      </c>
      <c r="AG59" s="71" t="s">
        <v>1219</v>
      </c>
      <c r="AH59" s="71" t="s">
        <v>1219</v>
      </c>
      <c r="AI59" s="71" t="s">
        <v>1219</v>
      </c>
      <c r="AJ59" s="71" t="s">
        <v>1219</v>
      </c>
      <c r="AK59" s="71" t="s">
        <v>1219</v>
      </c>
      <c r="AL59" s="71"/>
      <c r="AM59" s="71" t="s">
        <v>1219</v>
      </c>
      <c r="AN59" s="71" t="str">
        <f t="shared" si="1"/>
        <v>Belum Dinilai</v>
      </c>
      <c r="AO59" s="71" t="str">
        <f t="shared" si="9"/>
        <v>Belum Dinilai</v>
      </c>
      <c r="AP59" s="71"/>
      <c r="AQ59" s="75">
        <f t="shared" si="10"/>
        <v>32</v>
      </c>
      <c r="AR59" s="75" t="str">
        <f t="shared" si="11"/>
        <v/>
      </c>
      <c r="AS59" s="75" t="str">
        <f t="shared" si="12"/>
        <v/>
      </c>
      <c r="AT59" s="72" t="str">
        <f t="shared" si="13"/>
        <v>Belum Dapat Ditentukan</v>
      </c>
      <c r="AU59" s="69" t="s">
        <v>1193</v>
      </c>
      <c r="AV59" s="69" t="s">
        <v>1208</v>
      </c>
      <c r="AW59" s="69" t="s">
        <v>1194</v>
      </c>
      <c r="AX59" s="69"/>
      <c r="AY59" s="69"/>
      <c r="AZ59" s="69" t="s">
        <v>930</v>
      </c>
      <c r="BA59" s="69"/>
      <c r="BB59" s="76"/>
      <c r="BC59" s="77">
        <v>2026</v>
      </c>
      <c r="BD59" s="69" t="s">
        <v>1197</v>
      </c>
      <c r="BE59" s="76">
        <v>46218</v>
      </c>
      <c r="BF59" s="69" t="s">
        <v>1282</v>
      </c>
    </row>
    <row r="60" spans="1:58" ht="56">
      <c r="A60" s="69" t="s">
        <v>1525</v>
      </c>
      <c r="B60" s="69" t="s">
        <v>1526</v>
      </c>
      <c r="C60" s="69"/>
      <c r="D60" s="69"/>
      <c r="E60" s="69" t="s">
        <v>1518</v>
      </c>
      <c r="F60" s="69" t="s">
        <v>1519</v>
      </c>
      <c r="G60" s="69" t="s">
        <v>1293</v>
      </c>
      <c r="H60" s="69" t="s">
        <v>1185</v>
      </c>
      <c r="I60" s="69" t="s">
        <v>1527</v>
      </c>
      <c r="J60" s="69" t="s">
        <v>1200</v>
      </c>
      <c r="K60" s="69" t="s">
        <v>1201</v>
      </c>
      <c r="L60" s="69" t="s">
        <v>908</v>
      </c>
      <c r="M60" s="69" t="s">
        <v>1270</v>
      </c>
      <c r="N60" s="69" t="s">
        <v>908</v>
      </c>
      <c r="O60" s="69" t="s">
        <v>1297</v>
      </c>
      <c r="P60" s="69" t="s">
        <v>908</v>
      </c>
      <c r="Q60" s="70" t="s">
        <v>1219</v>
      </c>
      <c r="R60" s="70" t="s">
        <v>1219</v>
      </c>
      <c r="S60" s="70" t="s">
        <v>1219</v>
      </c>
      <c r="T60" s="70" t="s">
        <v>1219</v>
      </c>
      <c r="U60" s="70" t="s">
        <v>1219</v>
      </c>
      <c r="V60" s="70" t="s">
        <v>1219</v>
      </c>
      <c r="W60" s="70"/>
      <c r="X60" s="70" t="str">
        <f t="shared" si="0"/>
        <v>Belum Dinilai</v>
      </c>
      <c r="Y60" s="70" t="s">
        <v>1219</v>
      </c>
      <c r="Z60" s="74" t="str">
        <f t="shared" si="2"/>
        <v/>
      </c>
      <c r="AA60" s="74" t="str">
        <f t="shared" si="3"/>
        <v/>
      </c>
      <c r="AB60" s="74" t="str">
        <f t="shared" si="4"/>
        <v/>
      </c>
      <c r="AC60" s="71" t="s">
        <v>1219</v>
      </c>
      <c r="AD60" s="71" t="s">
        <v>1219</v>
      </c>
      <c r="AE60" s="71" t="s">
        <v>1219</v>
      </c>
      <c r="AF60" s="71" t="s">
        <v>1219</v>
      </c>
      <c r="AG60" s="71" t="s">
        <v>1219</v>
      </c>
      <c r="AH60" s="71" t="s">
        <v>1219</v>
      </c>
      <c r="AI60" s="71" t="s">
        <v>1219</v>
      </c>
      <c r="AJ60" s="71" t="s">
        <v>1219</v>
      </c>
      <c r="AK60" s="71" t="s">
        <v>1219</v>
      </c>
      <c r="AL60" s="71"/>
      <c r="AM60" s="71" t="s">
        <v>1219</v>
      </c>
      <c r="AN60" s="71" t="str">
        <f t="shared" si="1"/>
        <v>Belum Dinilai</v>
      </c>
      <c r="AO60" s="71" t="str">
        <f t="shared" si="9"/>
        <v>Belum Dinilai</v>
      </c>
      <c r="AP60" s="71"/>
      <c r="AQ60" s="75">
        <f t="shared" si="10"/>
        <v>36</v>
      </c>
      <c r="AR60" s="75" t="str">
        <f t="shared" si="11"/>
        <v/>
      </c>
      <c r="AS60" s="75" t="str">
        <f t="shared" si="12"/>
        <v/>
      </c>
      <c r="AT60" s="72" t="str">
        <f t="shared" si="13"/>
        <v>Belum Dapat Ditentukan</v>
      </c>
      <c r="AU60" s="69" t="s">
        <v>1207</v>
      </c>
      <c r="AV60" s="69" t="s">
        <v>1208</v>
      </c>
      <c r="AW60" s="69" t="s">
        <v>1194</v>
      </c>
      <c r="AX60" s="69"/>
      <c r="AY60" s="69"/>
      <c r="AZ60" s="69" t="s">
        <v>930</v>
      </c>
      <c r="BA60" s="69"/>
      <c r="BB60" s="76"/>
      <c r="BC60" s="77">
        <v>2026</v>
      </c>
      <c r="BD60" s="69" t="s">
        <v>1197</v>
      </c>
      <c r="BE60" s="76">
        <v>46218</v>
      </c>
      <c r="BF60" s="69" t="s">
        <v>1282</v>
      </c>
    </row>
    <row r="61" spans="1:58" ht="42">
      <c r="A61" s="69" t="s">
        <v>1528</v>
      </c>
      <c r="B61" s="69" t="s">
        <v>1529</v>
      </c>
      <c r="C61" s="69"/>
      <c r="D61" s="69"/>
      <c r="E61" s="69" t="s">
        <v>1311</v>
      </c>
      <c r="F61" s="69" t="s">
        <v>1519</v>
      </c>
      <c r="G61" s="69" t="s">
        <v>1293</v>
      </c>
      <c r="H61" s="69" t="s">
        <v>1185</v>
      </c>
      <c r="I61" s="69" t="s">
        <v>1530</v>
      </c>
      <c r="J61" s="69" t="s">
        <v>1200</v>
      </c>
      <c r="K61" s="69" t="s">
        <v>1215</v>
      </c>
      <c r="L61" s="69" t="s">
        <v>908</v>
      </c>
      <c r="M61" s="69" t="s">
        <v>1270</v>
      </c>
      <c r="N61" s="69" t="s">
        <v>908</v>
      </c>
      <c r="O61" s="69" t="s">
        <v>1281</v>
      </c>
      <c r="P61" s="69" t="s">
        <v>1219</v>
      </c>
      <c r="Q61" s="70" t="s">
        <v>1219</v>
      </c>
      <c r="R61" s="70" t="s">
        <v>1219</v>
      </c>
      <c r="S61" s="70" t="s">
        <v>1219</v>
      </c>
      <c r="T61" s="70" t="s">
        <v>1219</v>
      </c>
      <c r="U61" s="70" t="s">
        <v>1219</v>
      </c>
      <c r="V61" s="70" t="s">
        <v>1219</v>
      </c>
      <c r="W61" s="70"/>
      <c r="X61" s="70" t="str">
        <f t="shared" si="0"/>
        <v>Belum Dinilai</v>
      </c>
      <c r="Y61" s="70" t="s">
        <v>1219</v>
      </c>
      <c r="Z61" s="74" t="str">
        <f t="shared" si="2"/>
        <v/>
      </c>
      <c r="AA61" s="74" t="str">
        <f t="shared" si="3"/>
        <v/>
      </c>
      <c r="AB61" s="74" t="str">
        <f t="shared" si="4"/>
        <v/>
      </c>
      <c r="AC61" s="71" t="s">
        <v>1219</v>
      </c>
      <c r="AD61" s="71" t="s">
        <v>1219</v>
      </c>
      <c r="AE61" s="71" t="s">
        <v>1219</v>
      </c>
      <c r="AF61" s="71" t="s">
        <v>1219</v>
      </c>
      <c r="AG61" s="71" t="s">
        <v>1219</v>
      </c>
      <c r="AH61" s="71" t="s">
        <v>1219</v>
      </c>
      <c r="AI61" s="71" t="s">
        <v>1219</v>
      </c>
      <c r="AJ61" s="71" t="s">
        <v>1219</v>
      </c>
      <c r="AK61" s="71" t="s">
        <v>1219</v>
      </c>
      <c r="AL61" s="71"/>
      <c r="AM61" s="71" t="s">
        <v>1219</v>
      </c>
      <c r="AN61" s="71" t="str">
        <f t="shared" si="1"/>
        <v>Belum Dinilai</v>
      </c>
      <c r="AO61" s="71" t="str">
        <f t="shared" si="9"/>
        <v>Belum Dinilai</v>
      </c>
      <c r="AP61" s="71"/>
      <c r="AQ61" s="75" t="str">
        <f t="shared" si="10"/>
        <v/>
      </c>
      <c r="AR61" s="75" t="str">
        <f t="shared" si="11"/>
        <v/>
      </c>
      <c r="AS61" s="75" t="str">
        <f t="shared" si="12"/>
        <v/>
      </c>
      <c r="AT61" s="72" t="str">
        <f t="shared" si="13"/>
        <v>Belum Dapat Ditentukan</v>
      </c>
      <c r="AU61" s="69" t="s">
        <v>1207</v>
      </c>
      <c r="AV61" s="69" t="s">
        <v>1208</v>
      </c>
      <c r="AW61" s="69" t="s">
        <v>1194</v>
      </c>
      <c r="AX61" s="69"/>
      <c r="AY61" s="69"/>
      <c r="AZ61" s="69" t="s">
        <v>930</v>
      </c>
      <c r="BA61" s="69"/>
      <c r="BB61" s="76"/>
      <c r="BC61" s="77">
        <v>2026</v>
      </c>
      <c r="BD61" s="69" t="s">
        <v>1197</v>
      </c>
      <c r="BE61" s="76">
        <v>46218</v>
      </c>
      <c r="BF61" s="69" t="s">
        <v>1282</v>
      </c>
    </row>
    <row r="62" spans="1:58" ht="28">
      <c r="A62" s="69" t="s">
        <v>1531</v>
      </c>
      <c r="B62" s="69" t="s">
        <v>1532</v>
      </c>
      <c r="C62" s="69"/>
      <c r="D62" s="69"/>
      <c r="E62" s="69" t="s">
        <v>1533</v>
      </c>
      <c r="F62" s="69" t="s">
        <v>1534</v>
      </c>
      <c r="G62" s="69" t="s">
        <v>1332</v>
      </c>
      <c r="H62" s="69" t="s">
        <v>1199</v>
      </c>
      <c r="I62" s="69" t="s">
        <v>1535</v>
      </c>
      <c r="J62" s="69" t="s">
        <v>1267</v>
      </c>
      <c r="K62" s="69" t="s">
        <v>1215</v>
      </c>
      <c r="L62" s="69" t="s">
        <v>1219</v>
      </c>
      <c r="M62" s="69" t="s">
        <v>1281</v>
      </c>
      <c r="N62" s="69" t="s">
        <v>1219</v>
      </c>
      <c r="O62" s="69" t="s">
        <v>1281</v>
      </c>
      <c r="P62" s="69" t="s">
        <v>1219</v>
      </c>
      <c r="Q62" s="70" t="s">
        <v>1219</v>
      </c>
      <c r="R62" s="70" t="s">
        <v>1219</v>
      </c>
      <c r="S62" s="70" t="s">
        <v>1219</v>
      </c>
      <c r="T62" s="70" t="s">
        <v>1219</v>
      </c>
      <c r="U62" s="70" t="s">
        <v>1219</v>
      </c>
      <c r="V62" s="70" t="s">
        <v>1219</v>
      </c>
      <c r="W62" s="70"/>
      <c r="X62" s="70" t="str">
        <f t="shared" si="0"/>
        <v>Belum Dinilai</v>
      </c>
      <c r="Y62" s="70" t="s">
        <v>1219</v>
      </c>
      <c r="Z62" s="74" t="str">
        <f t="shared" si="2"/>
        <v/>
      </c>
      <c r="AA62" s="74" t="str">
        <f t="shared" si="3"/>
        <v/>
      </c>
      <c r="AB62" s="74" t="str">
        <f t="shared" si="4"/>
        <v/>
      </c>
      <c r="AC62" s="71" t="s">
        <v>1219</v>
      </c>
      <c r="AD62" s="71" t="s">
        <v>1219</v>
      </c>
      <c r="AE62" s="71" t="s">
        <v>1219</v>
      </c>
      <c r="AF62" s="71" t="s">
        <v>1219</v>
      </c>
      <c r="AG62" s="71" t="s">
        <v>1219</v>
      </c>
      <c r="AH62" s="71" t="s">
        <v>1219</v>
      </c>
      <c r="AI62" s="71" t="s">
        <v>1219</v>
      </c>
      <c r="AJ62" s="71" t="s">
        <v>1219</v>
      </c>
      <c r="AK62" s="71" t="s">
        <v>1219</v>
      </c>
      <c r="AL62" s="71"/>
      <c r="AM62" s="71" t="s">
        <v>1219</v>
      </c>
      <c r="AN62" s="71" t="str">
        <f t="shared" si="1"/>
        <v>Belum Dinilai</v>
      </c>
      <c r="AO62" s="71" t="str">
        <f t="shared" si="9"/>
        <v>Belum Dinilai</v>
      </c>
      <c r="AP62" s="71"/>
      <c r="AQ62" s="75" t="str">
        <f t="shared" si="10"/>
        <v/>
      </c>
      <c r="AR62" s="75" t="str">
        <f t="shared" si="11"/>
        <v/>
      </c>
      <c r="AS62" s="75" t="str">
        <f t="shared" si="12"/>
        <v/>
      </c>
      <c r="AT62" s="72" t="str">
        <f t="shared" si="13"/>
        <v>Belum Dapat Ditentukan</v>
      </c>
      <c r="AU62" s="69" t="s">
        <v>1207</v>
      </c>
      <c r="AV62" s="69" t="s">
        <v>1208</v>
      </c>
      <c r="AW62" s="69" t="s">
        <v>1194</v>
      </c>
      <c r="AX62" s="69"/>
      <c r="AY62" s="69"/>
      <c r="AZ62" s="69" t="s">
        <v>930</v>
      </c>
      <c r="BA62" s="69"/>
      <c r="BB62" s="76"/>
      <c r="BC62" s="77">
        <v>2026</v>
      </c>
      <c r="BD62" s="69" t="s">
        <v>1197</v>
      </c>
      <c r="BE62" s="76">
        <v>46218</v>
      </c>
      <c r="BF62" s="69" t="s">
        <v>1282</v>
      </c>
    </row>
    <row r="63" spans="1:58" ht="28">
      <c r="A63" s="69" t="s">
        <v>1536</v>
      </c>
      <c r="B63" s="69" t="s">
        <v>1537</v>
      </c>
      <c r="C63" s="69"/>
      <c r="D63" s="69"/>
      <c r="E63" s="69" t="s">
        <v>1538</v>
      </c>
      <c r="F63" s="69" t="s">
        <v>1422</v>
      </c>
      <c r="G63" s="69" t="s">
        <v>1368</v>
      </c>
      <c r="H63" s="69" t="s">
        <v>1199</v>
      </c>
      <c r="I63" s="69" t="s">
        <v>1539</v>
      </c>
      <c r="J63" s="69" t="s">
        <v>1267</v>
      </c>
      <c r="K63" s="69" t="s">
        <v>1215</v>
      </c>
      <c r="L63" s="69" t="s">
        <v>898</v>
      </c>
      <c r="M63" s="69" t="s">
        <v>1281</v>
      </c>
      <c r="N63" s="69" t="s">
        <v>898</v>
      </c>
      <c r="O63" s="69" t="s">
        <v>1281</v>
      </c>
      <c r="P63" s="69" t="s">
        <v>1219</v>
      </c>
      <c r="Q63" s="70" t="s">
        <v>1219</v>
      </c>
      <c r="R63" s="70" t="s">
        <v>1219</v>
      </c>
      <c r="S63" s="70" t="s">
        <v>1219</v>
      </c>
      <c r="T63" s="70" t="s">
        <v>1219</v>
      </c>
      <c r="U63" s="70" t="s">
        <v>1219</v>
      </c>
      <c r="V63" s="70" t="s">
        <v>1219</v>
      </c>
      <c r="W63" s="70"/>
      <c r="X63" s="70" t="str">
        <f t="shared" si="0"/>
        <v>Belum Dinilai</v>
      </c>
      <c r="Y63" s="70" t="s">
        <v>1219</v>
      </c>
      <c r="Z63" s="74" t="str">
        <f t="shared" si="2"/>
        <v/>
      </c>
      <c r="AA63" s="74" t="str">
        <f t="shared" si="3"/>
        <v/>
      </c>
      <c r="AB63" s="74" t="str">
        <f t="shared" si="4"/>
        <v/>
      </c>
      <c r="AC63" s="71" t="s">
        <v>1219</v>
      </c>
      <c r="AD63" s="71" t="s">
        <v>1219</v>
      </c>
      <c r="AE63" s="71" t="s">
        <v>1219</v>
      </c>
      <c r="AF63" s="71" t="s">
        <v>1219</v>
      </c>
      <c r="AG63" s="71" t="s">
        <v>1219</v>
      </c>
      <c r="AH63" s="71" t="s">
        <v>1219</v>
      </c>
      <c r="AI63" s="71" t="s">
        <v>1219</v>
      </c>
      <c r="AJ63" s="71" t="s">
        <v>1219</v>
      </c>
      <c r="AK63" s="71" t="s">
        <v>1219</v>
      </c>
      <c r="AL63" s="71"/>
      <c r="AM63" s="71" t="s">
        <v>1219</v>
      </c>
      <c r="AN63" s="71" t="str">
        <f t="shared" si="1"/>
        <v>Belum Dinilai</v>
      </c>
      <c r="AO63" s="71" t="str">
        <f t="shared" si="9"/>
        <v>Belum Dinilai</v>
      </c>
      <c r="AP63" s="71"/>
      <c r="AQ63" s="75" t="str">
        <f t="shared" si="10"/>
        <v/>
      </c>
      <c r="AR63" s="75" t="str">
        <f t="shared" si="11"/>
        <v/>
      </c>
      <c r="AS63" s="75" t="str">
        <f t="shared" si="12"/>
        <v/>
      </c>
      <c r="AT63" s="72" t="str">
        <f t="shared" si="13"/>
        <v>Belum Dapat Ditentukan</v>
      </c>
      <c r="AU63" s="69" t="s">
        <v>1207</v>
      </c>
      <c r="AV63" s="69" t="s">
        <v>1208</v>
      </c>
      <c r="AW63" s="69" t="s">
        <v>1271</v>
      </c>
      <c r="AX63" s="69" t="s">
        <v>1210</v>
      </c>
      <c r="AY63" s="69">
        <v>2024</v>
      </c>
      <c r="AZ63" s="69" t="s">
        <v>930</v>
      </c>
      <c r="BA63" s="69"/>
      <c r="BB63" s="76"/>
      <c r="BC63" s="77">
        <v>2026</v>
      </c>
      <c r="BD63" s="69" t="s">
        <v>1197</v>
      </c>
      <c r="BE63" s="76">
        <v>46218</v>
      </c>
      <c r="BF63" s="69" t="s">
        <v>1282</v>
      </c>
    </row>
    <row r="64" spans="1:58" ht="28">
      <c r="A64" s="69" t="s">
        <v>1540</v>
      </c>
      <c r="B64" s="69" t="s">
        <v>1541</v>
      </c>
      <c r="C64" s="69"/>
      <c r="D64" s="69"/>
      <c r="E64" s="69" t="s">
        <v>1542</v>
      </c>
      <c r="F64" s="69" t="s">
        <v>1487</v>
      </c>
      <c r="G64" s="69" t="s">
        <v>1317</v>
      </c>
      <c r="H64" s="69" t="s">
        <v>1185</v>
      </c>
      <c r="I64" s="69" t="s">
        <v>1543</v>
      </c>
      <c r="J64" s="69" t="s">
        <v>1267</v>
      </c>
      <c r="K64" s="69" t="s">
        <v>1297</v>
      </c>
      <c r="L64" s="69" t="s">
        <v>1219</v>
      </c>
      <c r="M64" s="69" t="s">
        <v>1201</v>
      </c>
      <c r="N64" s="69" t="s">
        <v>1219</v>
      </c>
      <c r="O64" s="69" t="s">
        <v>1281</v>
      </c>
      <c r="P64" s="69" t="s">
        <v>1219</v>
      </c>
      <c r="Q64" s="70" t="s">
        <v>1219</v>
      </c>
      <c r="R64" s="70" t="s">
        <v>1219</v>
      </c>
      <c r="S64" s="70" t="s">
        <v>1219</v>
      </c>
      <c r="T64" s="70" t="s">
        <v>1219</v>
      </c>
      <c r="U64" s="70" t="s">
        <v>1219</v>
      </c>
      <c r="V64" s="70" t="s">
        <v>1219</v>
      </c>
      <c r="W64" s="70"/>
      <c r="X64" s="70" t="str">
        <f t="shared" si="0"/>
        <v>Belum Dinilai</v>
      </c>
      <c r="Y64" s="70" t="s">
        <v>1219</v>
      </c>
      <c r="Z64" s="74" t="str">
        <f t="shared" si="2"/>
        <v/>
      </c>
      <c r="AA64" s="74" t="str">
        <f t="shared" si="3"/>
        <v/>
      </c>
      <c r="AB64" s="74" t="str">
        <f t="shared" si="4"/>
        <v/>
      </c>
      <c r="AC64" s="71" t="s">
        <v>1219</v>
      </c>
      <c r="AD64" s="71" t="s">
        <v>1219</v>
      </c>
      <c r="AE64" s="71" t="s">
        <v>1219</v>
      </c>
      <c r="AF64" s="71" t="s">
        <v>1219</v>
      </c>
      <c r="AG64" s="71" t="s">
        <v>1219</v>
      </c>
      <c r="AH64" s="71" t="s">
        <v>1219</v>
      </c>
      <c r="AI64" s="71" t="s">
        <v>1219</v>
      </c>
      <c r="AJ64" s="71" t="s">
        <v>1219</v>
      </c>
      <c r="AK64" s="71" t="s">
        <v>1219</v>
      </c>
      <c r="AL64" s="71"/>
      <c r="AM64" s="71" t="s">
        <v>1219</v>
      </c>
      <c r="AN64" s="71" t="str">
        <f t="shared" si="1"/>
        <v>Belum Dinilai</v>
      </c>
      <c r="AO64" s="71" t="str">
        <f t="shared" si="9"/>
        <v>Belum Dinilai</v>
      </c>
      <c r="AP64" s="71"/>
      <c r="AQ64" s="75" t="str">
        <f t="shared" si="10"/>
        <v/>
      </c>
      <c r="AR64" s="75" t="str">
        <f t="shared" si="11"/>
        <v/>
      </c>
      <c r="AS64" s="75" t="str">
        <f t="shared" si="12"/>
        <v/>
      </c>
      <c r="AT64" s="72" t="str">
        <f t="shared" si="13"/>
        <v>Belum Dapat Ditentukan</v>
      </c>
      <c r="AU64" s="69" t="s">
        <v>1207</v>
      </c>
      <c r="AV64" s="69" t="s">
        <v>1208</v>
      </c>
      <c r="AW64" s="69" t="s">
        <v>1194</v>
      </c>
      <c r="AX64" s="69"/>
      <c r="AY64" s="69"/>
      <c r="AZ64" s="69" t="s">
        <v>930</v>
      </c>
      <c r="BA64" s="69"/>
      <c r="BB64" s="76"/>
      <c r="BC64" s="77">
        <v>2026</v>
      </c>
      <c r="BD64" s="69" t="s">
        <v>1197</v>
      </c>
      <c r="BE64" s="76">
        <v>46218</v>
      </c>
      <c r="BF64" s="69" t="s">
        <v>1282</v>
      </c>
    </row>
    <row r="65" spans="1:58" ht="42">
      <c r="A65" s="69" t="s">
        <v>1544</v>
      </c>
      <c r="B65" s="69" t="s">
        <v>1545</v>
      </c>
      <c r="C65" s="69"/>
      <c r="D65" s="69"/>
      <c r="E65" s="69" t="s">
        <v>1546</v>
      </c>
      <c r="F65" s="69" t="s">
        <v>1292</v>
      </c>
      <c r="G65" s="69" t="s">
        <v>1293</v>
      </c>
      <c r="H65" s="69" t="s">
        <v>1185</v>
      </c>
      <c r="I65" s="69" t="s">
        <v>1547</v>
      </c>
      <c r="J65" s="69" t="s">
        <v>1214</v>
      </c>
      <c r="K65" s="69" t="s">
        <v>1215</v>
      </c>
      <c r="L65" s="69" t="s">
        <v>1219</v>
      </c>
      <c r="M65" s="69" t="s">
        <v>1270</v>
      </c>
      <c r="N65" s="69" t="s">
        <v>1219</v>
      </c>
      <c r="O65" s="69" t="s">
        <v>1217</v>
      </c>
      <c r="P65" s="69" t="s">
        <v>1219</v>
      </c>
      <c r="Q65" s="70" t="s">
        <v>1219</v>
      </c>
      <c r="R65" s="70" t="s">
        <v>1219</v>
      </c>
      <c r="S65" s="70" t="s">
        <v>1219</v>
      </c>
      <c r="T65" s="70" t="s">
        <v>1219</v>
      </c>
      <c r="U65" s="70" t="s">
        <v>1219</v>
      </c>
      <c r="V65" s="70" t="s">
        <v>1219</v>
      </c>
      <c r="W65" s="70"/>
      <c r="X65" s="70" t="str">
        <f t="shared" si="0"/>
        <v>Belum Dinilai</v>
      </c>
      <c r="Y65" s="70" t="s">
        <v>1219</v>
      </c>
      <c r="Z65" s="74" t="str">
        <f t="shared" si="2"/>
        <v/>
      </c>
      <c r="AA65" s="74" t="str">
        <f t="shared" si="3"/>
        <v/>
      </c>
      <c r="AB65" s="74" t="str">
        <f t="shared" si="4"/>
        <v/>
      </c>
      <c r="AC65" s="71" t="s">
        <v>1219</v>
      </c>
      <c r="AD65" s="71" t="s">
        <v>1219</v>
      </c>
      <c r="AE65" s="71" t="s">
        <v>1219</v>
      </c>
      <c r="AF65" s="71" t="s">
        <v>1219</v>
      </c>
      <c r="AG65" s="71" t="s">
        <v>1219</v>
      </c>
      <c r="AH65" s="71" t="s">
        <v>1219</v>
      </c>
      <c r="AI65" s="71" t="s">
        <v>1219</v>
      </c>
      <c r="AJ65" s="71" t="s">
        <v>1219</v>
      </c>
      <c r="AK65" s="71" t="s">
        <v>1219</v>
      </c>
      <c r="AL65" s="71"/>
      <c r="AM65" s="71" t="s">
        <v>1219</v>
      </c>
      <c r="AN65" s="71" t="str">
        <f t="shared" si="1"/>
        <v>Belum Dinilai</v>
      </c>
      <c r="AO65" s="71" t="str">
        <f t="shared" si="9"/>
        <v>Belum Dinilai</v>
      </c>
      <c r="AP65" s="71"/>
      <c r="AQ65" s="75" t="str">
        <f t="shared" si="10"/>
        <v/>
      </c>
      <c r="AR65" s="75" t="str">
        <f t="shared" si="11"/>
        <v/>
      </c>
      <c r="AS65" s="75" t="str">
        <f t="shared" si="12"/>
        <v/>
      </c>
      <c r="AT65" s="72" t="str">
        <f t="shared" si="13"/>
        <v>Belum Dapat Ditentukan</v>
      </c>
      <c r="AU65" s="69" t="s">
        <v>1193</v>
      </c>
      <c r="AV65" s="69" t="s">
        <v>1208</v>
      </c>
      <c r="AW65" s="69" t="s">
        <v>1194</v>
      </c>
      <c r="AX65" s="69"/>
      <c r="AY65" s="69"/>
      <c r="AZ65" s="69" t="s">
        <v>1211</v>
      </c>
      <c r="BA65" s="69"/>
      <c r="BB65" s="76"/>
      <c r="BC65" s="77">
        <v>2026</v>
      </c>
      <c r="BD65" s="69" t="s">
        <v>1197</v>
      </c>
      <c r="BE65" s="76">
        <v>46218</v>
      </c>
      <c r="BF65" s="69" t="s">
        <v>1282</v>
      </c>
    </row>
    <row r="66" spans="1:58" ht="28">
      <c r="A66" s="69" t="s">
        <v>1548</v>
      </c>
      <c r="B66" s="69" t="s">
        <v>1549</v>
      </c>
      <c r="C66" s="69"/>
      <c r="D66" s="69"/>
      <c r="E66" s="69" t="s">
        <v>1550</v>
      </c>
      <c r="F66" s="69" t="s">
        <v>1551</v>
      </c>
      <c r="G66" s="69" t="s">
        <v>1358</v>
      </c>
      <c r="H66" s="69" t="s">
        <v>1199</v>
      </c>
      <c r="I66" s="69" t="s">
        <v>1552</v>
      </c>
      <c r="J66" s="69" t="s">
        <v>1267</v>
      </c>
      <c r="K66" s="69" t="s">
        <v>1281</v>
      </c>
      <c r="L66" s="69" t="s">
        <v>1219</v>
      </c>
      <c r="M66" s="69" t="s">
        <v>1281</v>
      </c>
      <c r="N66" s="69" t="s">
        <v>1219</v>
      </c>
      <c r="O66" s="69" t="s">
        <v>1281</v>
      </c>
      <c r="P66" s="69" t="s">
        <v>1219</v>
      </c>
      <c r="Q66" s="70" t="s">
        <v>1219</v>
      </c>
      <c r="R66" s="70" t="s">
        <v>1219</v>
      </c>
      <c r="S66" s="70" t="s">
        <v>1219</v>
      </c>
      <c r="T66" s="70" t="s">
        <v>1219</v>
      </c>
      <c r="U66" s="70" t="s">
        <v>1219</v>
      </c>
      <c r="V66" s="70" t="s">
        <v>1219</v>
      </c>
      <c r="W66" s="70"/>
      <c r="X66" s="70" t="str">
        <f t="shared" si="0"/>
        <v>Belum Dinilai</v>
      </c>
      <c r="Y66" s="70" t="s">
        <v>1219</v>
      </c>
      <c r="Z66" s="74" t="str">
        <f t="shared" si="2"/>
        <v/>
      </c>
      <c r="AA66" s="74" t="str">
        <f t="shared" si="3"/>
        <v/>
      </c>
      <c r="AB66" s="74" t="str">
        <f t="shared" si="4"/>
        <v/>
      </c>
      <c r="AC66" s="71" t="s">
        <v>1219</v>
      </c>
      <c r="AD66" s="71" t="s">
        <v>1219</v>
      </c>
      <c r="AE66" s="71" t="s">
        <v>1219</v>
      </c>
      <c r="AF66" s="71" t="s">
        <v>1219</v>
      </c>
      <c r="AG66" s="71" t="s">
        <v>1219</v>
      </c>
      <c r="AH66" s="71" t="s">
        <v>1219</v>
      </c>
      <c r="AI66" s="71" t="s">
        <v>1219</v>
      </c>
      <c r="AJ66" s="71" t="s">
        <v>1219</v>
      </c>
      <c r="AK66" s="71" t="s">
        <v>1219</v>
      </c>
      <c r="AL66" s="71"/>
      <c r="AM66" s="71" t="s">
        <v>1219</v>
      </c>
      <c r="AN66" s="71" t="str">
        <f t="shared" si="1"/>
        <v>Belum Dinilai</v>
      </c>
      <c r="AO66" s="71" t="str">
        <f t="shared" si="9"/>
        <v>Belum Dinilai</v>
      </c>
      <c r="AP66" s="71"/>
      <c r="AQ66" s="75" t="str">
        <f t="shared" si="10"/>
        <v/>
      </c>
      <c r="AR66" s="75" t="str">
        <f t="shared" si="11"/>
        <v/>
      </c>
      <c r="AS66" s="75" t="str">
        <f t="shared" si="12"/>
        <v/>
      </c>
      <c r="AT66" s="72" t="str">
        <f t="shared" si="13"/>
        <v>Belum Dapat Ditentukan</v>
      </c>
      <c r="AU66" s="69" t="s">
        <v>1207</v>
      </c>
      <c r="AV66" s="69" t="s">
        <v>1208</v>
      </c>
      <c r="AW66" s="69" t="s">
        <v>1194</v>
      </c>
      <c r="AX66" s="69"/>
      <c r="AY66" s="69"/>
      <c r="AZ66" s="69" t="s">
        <v>930</v>
      </c>
      <c r="BA66" s="69"/>
      <c r="BB66" s="76"/>
      <c r="BC66" s="77">
        <v>2026</v>
      </c>
      <c r="BD66" s="69" t="s">
        <v>1197</v>
      </c>
      <c r="BE66" s="76">
        <v>46218</v>
      </c>
      <c r="BF66" s="69" t="s">
        <v>1282</v>
      </c>
    </row>
    <row r="67" spans="1:58" ht="28">
      <c r="A67" s="69" t="s">
        <v>1553</v>
      </c>
      <c r="B67" s="69" t="s">
        <v>1554</v>
      </c>
      <c r="C67" s="69"/>
      <c r="D67" s="69"/>
      <c r="E67" s="69" t="s">
        <v>1555</v>
      </c>
      <c r="F67" s="69" t="s">
        <v>1556</v>
      </c>
      <c r="G67" s="69" t="s">
        <v>1358</v>
      </c>
      <c r="H67" s="69" t="s">
        <v>1199</v>
      </c>
      <c r="I67" s="69" t="s">
        <v>1552</v>
      </c>
      <c r="J67" s="69" t="s">
        <v>1267</v>
      </c>
      <c r="K67" s="69" t="s">
        <v>1281</v>
      </c>
      <c r="L67" s="69" t="s">
        <v>1219</v>
      </c>
      <c r="M67" s="69" t="s">
        <v>1281</v>
      </c>
      <c r="N67" s="69" t="s">
        <v>1219</v>
      </c>
      <c r="O67" s="69" t="s">
        <v>1281</v>
      </c>
      <c r="P67" s="69" t="s">
        <v>1219</v>
      </c>
      <c r="Q67" s="70" t="s">
        <v>1219</v>
      </c>
      <c r="R67" s="70" t="s">
        <v>1219</v>
      </c>
      <c r="S67" s="70" t="s">
        <v>1219</v>
      </c>
      <c r="T67" s="70" t="s">
        <v>1219</v>
      </c>
      <c r="U67" s="70" t="s">
        <v>1219</v>
      </c>
      <c r="V67" s="70" t="s">
        <v>1219</v>
      </c>
      <c r="W67" s="70"/>
      <c r="X67" s="70" t="str">
        <f t="shared" si="0"/>
        <v>Belum Dinilai</v>
      </c>
      <c r="Y67" s="70" t="s">
        <v>1219</v>
      </c>
      <c r="Z67" s="74" t="str">
        <f t="shared" si="2"/>
        <v/>
      </c>
      <c r="AA67" s="74" t="str">
        <f t="shared" si="3"/>
        <v/>
      </c>
      <c r="AB67" s="74" t="str">
        <f t="shared" si="4"/>
        <v/>
      </c>
      <c r="AC67" s="71" t="s">
        <v>1219</v>
      </c>
      <c r="AD67" s="71" t="s">
        <v>1219</v>
      </c>
      <c r="AE67" s="71" t="s">
        <v>1219</v>
      </c>
      <c r="AF67" s="71" t="s">
        <v>1219</v>
      </c>
      <c r="AG67" s="71" t="s">
        <v>1219</v>
      </c>
      <c r="AH67" s="71" t="s">
        <v>1219</v>
      </c>
      <c r="AI67" s="71" t="s">
        <v>1219</v>
      </c>
      <c r="AJ67" s="71" t="s">
        <v>1219</v>
      </c>
      <c r="AK67" s="71" t="s">
        <v>1219</v>
      </c>
      <c r="AL67" s="71"/>
      <c r="AM67" s="71" t="s">
        <v>1219</v>
      </c>
      <c r="AN67" s="71" t="str">
        <f t="shared" si="1"/>
        <v>Belum Dinilai</v>
      </c>
      <c r="AO67" s="71" t="str">
        <f t="shared" si="9"/>
        <v>Belum Dinilai</v>
      </c>
      <c r="AP67" s="71"/>
      <c r="AQ67" s="75" t="str">
        <f t="shared" si="10"/>
        <v/>
      </c>
      <c r="AR67" s="75" t="str">
        <f t="shared" si="11"/>
        <v/>
      </c>
      <c r="AS67" s="75" t="str">
        <f t="shared" si="12"/>
        <v/>
      </c>
      <c r="AT67" s="72" t="str">
        <f t="shared" si="13"/>
        <v>Belum Dapat Ditentukan</v>
      </c>
      <c r="AU67" s="69" t="s">
        <v>1207</v>
      </c>
      <c r="AV67" s="69" t="s">
        <v>1208</v>
      </c>
      <c r="AW67" s="69" t="s">
        <v>1194</v>
      </c>
      <c r="AX67" s="69"/>
      <c r="AY67" s="69"/>
      <c r="AZ67" s="69" t="s">
        <v>930</v>
      </c>
      <c r="BA67" s="69"/>
      <c r="BB67" s="76"/>
      <c r="BC67" s="77">
        <v>2026</v>
      </c>
      <c r="BD67" s="69" t="s">
        <v>1197</v>
      </c>
      <c r="BE67" s="76">
        <v>46218</v>
      </c>
      <c r="BF67" s="69" t="s">
        <v>1282</v>
      </c>
    </row>
    <row r="68" spans="1:58" ht="28">
      <c r="A68" s="69" t="s">
        <v>1557</v>
      </c>
      <c r="B68" s="69" t="s">
        <v>1558</v>
      </c>
      <c r="C68" s="69"/>
      <c r="D68" s="69"/>
      <c r="E68" s="69" t="s">
        <v>1555</v>
      </c>
      <c r="F68" s="69" t="s">
        <v>1556</v>
      </c>
      <c r="G68" s="69" t="s">
        <v>1358</v>
      </c>
      <c r="H68" s="69" t="s">
        <v>1199</v>
      </c>
      <c r="I68" s="69" t="s">
        <v>1552</v>
      </c>
      <c r="J68" s="69" t="s">
        <v>1267</v>
      </c>
      <c r="K68" s="69" t="s">
        <v>1281</v>
      </c>
      <c r="L68" s="69" t="s">
        <v>1219</v>
      </c>
      <c r="M68" s="69" t="s">
        <v>1281</v>
      </c>
      <c r="N68" s="69" t="s">
        <v>1219</v>
      </c>
      <c r="O68" s="69" t="s">
        <v>1281</v>
      </c>
      <c r="P68" s="69" t="s">
        <v>1219</v>
      </c>
      <c r="Q68" s="70" t="s">
        <v>1219</v>
      </c>
      <c r="R68" s="70" t="s">
        <v>1219</v>
      </c>
      <c r="S68" s="70" t="s">
        <v>1219</v>
      </c>
      <c r="T68" s="70" t="s">
        <v>1219</v>
      </c>
      <c r="U68" s="70" t="s">
        <v>1219</v>
      </c>
      <c r="V68" s="70" t="s">
        <v>1219</v>
      </c>
      <c r="W68" s="70"/>
      <c r="X68" s="70" t="str">
        <f t="shared" si="0"/>
        <v>Belum Dinilai</v>
      </c>
      <c r="Y68" s="70" t="s">
        <v>1219</v>
      </c>
      <c r="Z68" s="74" t="str">
        <f t="shared" si="2"/>
        <v/>
      </c>
      <c r="AA68" s="74" t="str">
        <f t="shared" si="3"/>
        <v/>
      </c>
      <c r="AB68" s="74" t="str">
        <f t="shared" si="4"/>
        <v/>
      </c>
      <c r="AC68" s="71" t="s">
        <v>1219</v>
      </c>
      <c r="AD68" s="71" t="s">
        <v>1219</v>
      </c>
      <c r="AE68" s="71" t="s">
        <v>1219</v>
      </c>
      <c r="AF68" s="71" t="s">
        <v>1219</v>
      </c>
      <c r="AG68" s="71" t="s">
        <v>1219</v>
      </c>
      <c r="AH68" s="71" t="s">
        <v>1219</v>
      </c>
      <c r="AI68" s="71" t="s">
        <v>1219</v>
      </c>
      <c r="AJ68" s="71" t="s">
        <v>1219</v>
      </c>
      <c r="AK68" s="71" t="s">
        <v>1219</v>
      </c>
      <c r="AL68" s="71"/>
      <c r="AM68" s="71" t="s">
        <v>1219</v>
      </c>
      <c r="AN68" s="71" t="str">
        <f t="shared" si="1"/>
        <v>Belum Dinilai</v>
      </c>
      <c r="AO68" s="71" t="str">
        <f t="shared" si="9"/>
        <v>Belum Dinilai</v>
      </c>
      <c r="AP68" s="71"/>
      <c r="AQ68" s="75" t="str">
        <f t="shared" si="10"/>
        <v/>
      </c>
      <c r="AR68" s="75" t="str">
        <f t="shared" si="11"/>
        <v/>
      </c>
      <c r="AS68" s="75" t="str">
        <f t="shared" si="12"/>
        <v/>
      </c>
      <c r="AT68" s="72" t="str">
        <f t="shared" si="13"/>
        <v>Belum Dapat Ditentukan</v>
      </c>
      <c r="AU68" s="69" t="s">
        <v>1207</v>
      </c>
      <c r="AV68" s="69" t="s">
        <v>1208</v>
      </c>
      <c r="AW68" s="69" t="s">
        <v>1194</v>
      </c>
      <c r="AX68" s="69"/>
      <c r="AY68" s="69"/>
      <c r="AZ68" s="69" t="s">
        <v>930</v>
      </c>
      <c r="BA68" s="69"/>
      <c r="BB68" s="76"/>
      <c r="BC68" s="77">
        <v>2026</v>
      </c>
      <c r="BD68" s="69" t="s">
        <v>1197</v>
      </c>
      <c r="BE68" s="76">
        <v>46218</v>
      </c>
      <c r="BF68" s="69" t="s">
        <v>1282</v>
      </c>
    </row>
    <row r="69" spans="1:58" ht="42">
      <c r="A69" s="69" t="s">
        <v>1559</v>
      </c>
      <c r="B69" s="69" t="s">
        <v>1560</v>
      </c>
      <c r="C69" s="69"/>
      <c r="D69" s="69"/>
      <c r="E69" s="69" t="s">
        <v>1561</v>
      </c>
      <c r="F69" s="69" t="s">
        <v>1331</v>
      </c>
      <c r="G69" s="69" t="s">
        <v>1332</v>
      </c>
      <c r="H69" s="69" t="s">
        <v>1199</v>
      </c>
      <c r="I69" s="69" t="s">
        <v>1562</v>
      </c>
      <c r="J69" s="69" t="s">
        <v>1186</v>
      </c>
      <c r="K69" s="69" t="s">
        <v>1187</v>
      </c>
      <c r="L69" s="69" t="s">
        <v>1219</v>
      </c>
      <c r="M69" s="69" t="s">
        <v>1188</v>
      </c>
      <c r="N69" s="69" t="s">
        <v>1219</v>
      </c>
      <c r="O69" s="69" t="s">
        <v>1281</v>
      </c>
      <c r="P69" s="69" t="s">
        <v>1219</v>
      </c>
      <c r="Q69" s="70" t="s">
        <v>1219</v>
      </c>
      <c r="R69" s="70" t="s">
        <v>1219</v>
      </c>
      <c r="S69" s="70" t="s">
        <v>1219</v>
      </c>
      <c r="T69" s="70" t="s">
        <v>1219</v>
      </c>
      <c r="U69" s="70" t="s">
        <v>1219</v>
      </c>
      <c r="V69" s="70" t="s">
        <v>1219</v>
      </c>
      <c r="W69" s="70"/>
      <c r="X69" s="70" t="str">
        <f t="shared" si="0"/>
        <v>Belum Dinilai</v>
      </c>
      <c r="Y69" s="70" t="s">
        <v>1219</v>
      </c>
      <c r="Z69" s="74" t="str">
        <f t="shared" si="2"/>
        <v/>
      </c>
      <c r="AA69" s="74" t="str">
        <f t="shared" si="3"/>
        <v/>
      </c>
      <c r="AB69" s="74" t="str">
        <f t="shared" si="4"/>
        <v/>
      </c>
      <c r="AC69" s="71" t="s">
        <v>1219</v>
      </c>
      <c r="AD69" s="71" t="s">
        <v>1219</v>
      </c>
      <c r="AE69" s="71" t="s">
        <v>1219</v>
      </c>
      <c r="AF69" s="71" t="s">
        <v>1219</v>
      </c>
      <c r="AG69" s="71" t="s">
        <v>1219</v>
      </c>
      <c r="AH69" s="71" t="s">
        <v>1219</v>
      </c>
      <c r="AI69" s="71" t="s">
        <v>1219</v>
      </c>
      <c r="AJ69" s="71" t="s">
        <v>1219</v>
      </c>
      <c r="AK69" s="71" t="s">
        <v>1219</v>
      </c>
      <c r="AL69" s="71"/>
      <c r="AM69" s="71" t="s">
        <v>1219</v>
      </c>
      <c r="AN69" s="71" t="str">
        <f t="shared" si="1"/>
        <v>Belum Dinilai</v>
      </c>
      <c r="AO69" s="71" t="str">
        <f t="shared" si="9"/>
        <v>Belum Dinilai</v>
      </c>
      <c r="AP69" s="71"/>
      <c r="AQ69" s="75" t="str">
        <f t="shared" si="10"/>
        <v/>
      </c>
      <c r="AR69" s="75" t="str">
        <f t="shared" si="11"/>
        <v/>
      </c>
      <c r="AS69" s="75" t="str">
        <f t="shared" si="12"/>
        <v/>
      </c>
      <c r="AT69" s="72" t="str">
        <f t="shared" si="13"/>
        <v>Belum Dapat Ditentukan</v>
      </c>
      <c r="AU69" s="69" t="s">
        <v>1193</v>
      </c>
      <c r="AV69" s="69" t="s">
        <v>1208</v>
      </c>
      <c r="AW69" s="69" t="s">
        <v>1194</v>
      </c>
      <c r="AX69" s="69"/>
      <c r="AY69" s="69"/>
      <c r="AZ69" s="69" t="s">
        <v>930</v>
      </c>
      <c r="BA69" s="69"/>
      <c r="BB69" s="76"/>
      <c r="BC69" s="77">
        <v>2026</v>
      </c>
      <c r="BD69" s="69" t="s">
        <v>1197</v>
      </c>
      <c r="BE69" s="76">
        <v>46218</v>
      </c>
      <c r="BF69" s="69" t="s">
        <v>1282</v>
      </c>
    </row>
    <row r="70" spans="1:58" ht="28">
      <c r="A70" s="69" t="s">
        <v>1563</v>
      </c>
      <c r="B70" s="69" t="s">
        <v>1564</v>
      </c>
      <c r="C70" s="69"/>
      <c r="D70" s="69"/>
      <c r="E70" s="69" t="s">
        <v>1565</v>
      </c>
      <c r="F70" s="69" t="s">
        <v>1331</v>
      </c>
      <c r="G70" s="69" t="s">
        <v>1332</v>
      </c>
      <c r="H70" s="69" t="s">
        <v>1199</v>
      </c>
      <c r="I70" s="69" t="s">
        <v>1566</v>
      </c>
      <c r="J70" s="69" t="s">
        <v>1186</v>
      </c>
      <c r="K70" s="69" t="s">
        <v>1187</v>
      </c>
      <c r="L70" s="69" t="s">
        <v>1219</v>
      </c>
      <c r="M70" s="69" t="s">
        <v>1188</v>
      </c>
      <c r="N70" s="69" t="s">
        <v>1219</v>
      </c>
      <c r="O70" s="69" t="s">
        <v>1281</v>
      </c>
      <c r="P70" s="69" t="s">
        <v>1219</v>
      </c>
      <c r="Q70" s="70" t="s">
        <v>1219</v>
      </c>
      <c r="R70" s="70" t="s">
        <v>1219</v>
      </c>
      <c r="S70" s="70" t="s">
        <v>1219</v>
      </c>
      <c r="T70" s="70" t="s">
        <v>1219</v>
      </c>
      <c r="U70" s="70" t="s">
        <v>1219</v>
      </c>
      <c r="V70" s="70" t="s">
        <v>1219</v>
      </c>
      <c r="W70" s="70"/>
      <c r="X70" s="70" t="str">
        <f t="shared" ref="X70:X133" si="14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>IF(COUNTIF(R70:V70,"Belum Dinilai")&gt;0,"Belum Dinilai",IF(COUNTIF(R70:V70,"Ya")=0,"Tidak Ada Faktor Rentan",IF(COUNTIF(R70:V70,"Ya")=1,"1 Faktor Rentan","2 atau Lebih Faktor Rentan")))</f>
        <v>Belum Dinilai</v>
      </c>
      <c r="Z70" s="74" t="str">
        <f t="shared" si="2"/>
        <v/>
      </c>
      <c r="AA70" s="74" t="str">
        <f t="shared" si="3"/>
        <v/>
      </c>
      <c r="AB70" s="74" t="str">
        <f t="shared" si="4"/>
        <v/>
      </c>
      <c r="AC70" s="71" t="s">
        <v>1219</v>
      </c>
      <c r="AD70" s="71" t="s">
        <v>1219</v>
      </c>
      <c r="AE70" s="71" t="s">
        <v>1219</v>
      </c>
      <c r="AF70" s="71" t="s">
        <v>1219</v>
      </c>
      <c r="AG70" s="71" t="s">
        <v>1219</v>
      </c>
      <c r="AH70" s="71" t="s">
        <v>1219</v>
      </c>
      <c r="AI70" s="71" t="s">
        <v>1219</v>
      </c>
      <c r="AJ70" s="71" t="s">
        <v>1219</v>
      </c>
      <c r="AK70" s="71" t="s">
        <v>1219</v>
      </c>
      <c r="AL70" s="71"/>
      <c r="AM70" s="71" t="s">
        <v>1219</v>
      </c>
      <c r="AN70" s="71" t="str">
        <f t="shared" ref="AN70:AN133" si="15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 t="shared" si="9"/>
        <v>Belum Dinilai</v>
      </c>
      <c r="AP70" s="71"/>
      <c r="AQ70" s="75" t="str">
        <f t="shared" si="10"/>
        <v/>
      </c>
      <c r="AR70" s="75" t="str">
        <f t="shared" si="11"/>
        <v/>
      </c>
      <c r="AS70" s="75" t="str">
        <f t="shared" si="12"/>
        <v/>
      </c>
      <c r="AT70" s="72" t="str">
        <f t="shared" si="13"/>
        <v>Belum Dapat Ditentukan</v>
      </c>
      <c r="AU70" s="69" t="s">
        <v>1193</v>
      </c>
      <c r="AV70" s="69" t="s">
        <v>1208</v>
      </c>
      <c r="AW70" s="69" t="s">
        <v>1194</v>
      </c>
      <c r="AX70" s="69"/>
      <c r="AY70" s="69"/>
      <c r="AZ70" s="69" t="s">
        <v>930</v>
      </c>
      <c r="BA70" s="69"/>
      <c r="BB70" s="76"/>
      <c r="BC70" s="77">
        <v>2026</v>
      </c>
      <c r="BD70" s="69" t="s">
        <v>1197</v>
      </c>
      <c r="BE70" s="76">
        <v>46218</v>
      </c>
      <c r="BF70" s="69" t="s">
        <v>1282</v>
      </c>
    </row>
    <row r="71" spans="1:58" ht="28">
      <c r="A71" s="69" t="s">
        <v>1567</v>
      </c>
      <c r="B71" s="69" t="s">
        <v>1568</v>
      </c>
      <c r="C71" s="69"/>
      <c r="D71" s="69"/>
      <c r="E71" s="69" t="s">
        <v>1569</v>
      </c>
      <c r="F71" s="69" t="s">
        <v>1570</v>
      </c>
      <c r="G71" s="69" t="s">
        <v>1332</v>
      </c>
      <c r="H71" s="69" t="s">
        <v>1199</v>
      </c>
      <c r="I71" s="69" t="s">
        <v>1571</v>
      </c>
      <c r="J71" s="69" t="s">
        <v>1214</v>
      </c>
      <c r="K71" s="69" t="s">
        <v>1201</v>
      </c>
      <c r="L71" s="69" t="s">
        <v>1219</v>
      </c>
      <c r="M71" s="69" t="s">
        <v>1270</v>
      </c>
      <c r="N71" s="69" t="s">
        <v>908</v>
      </c>
      <c r="O71" s="69" t="s">
        <v>1281</v>
      </c>
      <c r="P71" s="69" t="s">
        <v>908</v>
      </c>
      <c r="Q71" s="70" t="s">
        <v>1219</v>
      </c>
      <c r="R71" s="70" t="s">
        <v>1219</v>
      </c>
      <c r="S71" s="70" t="s">
        <v>1219</v>
      </c>
      <c r="T71" s="70" t="s">
        <v>1219</v>
      </c>
      <c r="U71" s="70" t="s">
        <v>1219</v>
      </c>
      <c r="V71" s="70" t="s">
        <v>1219</v>
      </c>
      <c r="W71" s="70"/>
      <c r="X71" s="70" t="str">
        <f t="shared" si="14"/>
        <v>Belum Dinilai</v>
      </c>
      <c r="Y71" s="70" t="s">
        <v>1219</v>
      </c>
      <c r="Z71" s="74" t="str">
        <f t="shared" ref="Z71:Z134" si="16">IF(OR(Q71="",Q71="Belum Dinilai"),"",IF(Q71="Terverifikasi DTKS/P3KE/MBR",10,IF(Q71="Diusulkan, Belum Terverifikasi",5,0)))</f>
        <v/>
      </c>
      <c r="AA71" s="74" t="str">
        <f t="shared" ref="AA71:AA134" si="17">IF(COUNTIF(R71:V71,"Belum Dinilai")&gt;0,"",IF(COUNTIF(R71:V71,"Ya")=0,0,IF(COUNTIF(R71:V71,"Ya")=1,5,10)))</f>
        <v/>
      </c>
      <c r="AB71" s="74" t="str">
        <f t="shared" ref="AB71:AB134" si="18">IF(OR(Z71="",AA71=""),"",Z71+AA71)</f>
        <v/>
      </c>
      <c r="AC71" s="71" t="s">
        <v>1219</v>
      </c>
      <c r="AD71" s="71" t="s">
        <v>1219</v>
      </c>
      <c r="AE71" s="71" t="s">
        <v>1219</v>
      </c>
      <c r="AF71" s="71" t="s">
        <v>1219</v>
      </c>
      <c r="AG71" s="71" t="s">
        <v>1219</v>
      </c>
      <c r="AH71" s="71" t="s">
        <v>1219</v>
      </c>
      <c r="AI71" s="71" t="s">
        <v>1219</v>
      </c>
      <c r="AJ71" s="71" t="s">
        <v>1219</v>
      </c>
      <c r="AK71" s="71" t="s">
        <v>1219</v>
      </c>
      <c r="AL71" s="71"/>
      <c r="AM71" s="71" t="s">
        <v>1219</v>
      </c>
      <c r="AN71" s="71" t="str">
        <f t="shared" si="15"/>
        <v>Belum Dinilai</v>
      </c>
      <c r="AO71" s="71" t="str">
        <f t="shared" ref="AO71:AO134" si="19">IF(AR71="","Belum Dinilai",IF(AR71=10,"Risiko Tinggi/Darurat",IF(AR71=5,"Risiko Sedang","Tidak Ada Risiko Khusus")))</f>
        <v>Belum Dinilai</v>
      </c>
      <c r="AP71" s="71"/>
      <c r="AQ71" s="75" t="str">
        <f t="shared" si="10"/>
        <v/>
      </c>
      <c r="AR71" s="75" t="str">
        <f t="shared" si="11"/>
        <v/>
      </c>
      <c r="AS71" s="75" t="str">
        <f t="shared" si="12"/>
        <v/>
      </c>
      <c r="AT71" s="72" t="str">
        <f t="shared" si="13"/>
        <v>Belum Dapat Ditentukan</v>
      </c>
      <c r="AU71" s="69" t="s">
        <v>1193</v>
      </c>
      <c r="AV71" s="69" t="s">
        <v>1208</v>
      </c>
      <c r="AW71" s="69" t="s">
        <v>1271</v>
      </c>
      <c r="AX71" s="69" t="s">
        <v>1210</v>
      </c>
      <c r="AY71" s="69">
        <v>2024</v>
      </c>
      <c r="AZ71" s="69" t="s">
        <v>930</v>
      </c>
      <c r="BA71" s="69"/>
      <c r="BB71" s="76"/>
      <c r="BC71" s="77">
        <v>2026</v>
      </c>
      <c r="BD71" s="69" t="s">
        <v>1197</v>
      </c>
      <c r="BE71" s="76">
        <v>46218</v>
      </c>
      <c r="BF71" s="69" t="s">
        <v>1282</v>
      </c>
    </row>
    <row r="72" spans="1:58" ht="28">
      <c r="A72" s="69" t="s">
        <v>1572</v>
      </c>
      <c r="B72" s="69" t="s">
        <v>1573</v>
      </c>
      <c r="C72" s="69"/>
      <c r="D72" s="69"/>
      <c r="E72" s="69" t="s">
        <v>1574</v>
      </c>
      <c r="F72" s="69" t="s">
        <v>1357</v>
      </c>
      <c r="G72" s="69" t="s">
        <v>1358</v>
      </c>
      <c r="H72" s="69" t="s">
        <v>1199</v>
      </c>
      <c r="I72" s="69" t="s">
        <v>1575</v>
      </c>
      <c r="J72" s="69" t="s">
        <v>1186</v>
      </c>
      <c r="K72" s="69" t="s">
        <v>1201</v>
      </c>
      <c r="L72" s="69" t="s">
        <v>908</v>
      </c>
      <c r="M72" s="69" t="s">
        <v>1216</v>
      </c>
      <c r="N72" s="69" t="s">
        <v>908</v>
      </c>
      <c r="O72" s="69" t="s">
        <v>1281</v>
      </c>
      <c r="P72" s="69" t="s">
        <v>908</v>
      </c>
      <c r="Q72" s="70" t="s">
        <v>1219</v>
      </c>
      <c r="R72" s="70" t="s">
        <v>1219</v>
      </c>
      <c r="S72" s="70" t="s">
        <v>1219</v>
      </c>
      <c r="T72" s="70" t="s">
        <v>1219</v>
      </c>
      <c r="U72" s="70" t="s">
        <v>1219</v>
      </c>
      <c r="V72" s="70" t="s">
        <v>1219</v>
      </c>
      <c r="W72" s="70"/>
      <c r="X72" s="70" t="str">
        <f t="shared" si="14"/>
        <v>Belum Dinilai</v>
      </c>
      <c r="Y72" s="70" t="s">
        <v>1219</v>
      </c>
      <c r="Z72" s="74" t="str">
        <f t="shared" si="16"/>
        <v/>
      </c>
      <c r="AA72" s="74" t="str">
        <f t="shared" si="17"/>
        <v/>
      </c>
      <c r="AB72" s="74" t="str">
        <f t="shared" si="18"/>
        <v/>
      </c>
      <c r="AC72" s="71" t="s">
        <v>1219</v>
      </c>
      <c r="AD72" s="71" t="s">
        <v>1219</v>
      </c>
      <c r="AE72" s="71" t="s">
        <v>1219</v>
      </c>
      <c r="AF72" s="71" t="s">
        <v>1219</v>
      </c>
      <c r="AG72" s="71" t="s">
        <v>1219</v>
      </c>
      <c r="AH72" s="71" t="s">
        <v>1219</v>
      </c>
      <c r="AI72" s="71" t="s">
        <v>1219</v>
      </c>
      <c r="AJ72" s="71" t="s">
        <v>1219</v>
      </c>
      <c r="AK72" s="71" t="s">
        <v>1219</v>
      </c>
      <c r="AL72" s="71"/>
      <c r="AM72" s="71" t="s">
        <v>1219</v>
      </c>
      <c r="AN72" s="71" t="str">
        <f t="shared" si="15"/>
        <v>Belum Dinilai</v>
      </c>
      <c r="AO72" s="71" t="str">
        <f t="shared" si="19"/>
        <v>Belum Dinilai</v>
      </c>
      <c r="AP72" s="71"/>
      <c r="AQ72" s="75">
        <f t="shared" si="10"/>
        <v>28</v>
      </c>
      <c r="AR72" s="75" t="str">
        <f t="shared" si="11"/>
        <v/>
      </c>
      <c r="AS72" s="75" t="str">
        <f t="shared" si="12"/>
        <v/>
      </c>
      <c r="AT72" s="72" t="str">
        <f t="shared" si="13"/>
        <v>Belum Dapat Ditentukan</v>
      </c>
      <c r="AU72" s="69" t="s">
        <v>1193</v>
      </c>
      <c r="AV72" s="69" t="s">
        <v>1208</v>
      </c>
      <c r="AW72" s="69" t="s">
        <v>1194</v>
      </c>
      <c r="AX72" s="69"/>
      <c r="AY72" s="69"/>
      <c r="AZ72" s="69" t="s">
        <v>930</v>
      </c>
      <c r="BA72" s="69"/>
      <c r="BB72" s="76"/>
      <c r="BC72" s="77">
        <v>2026</v>
      </c>
      <c r="BD72" s="69" t="s">
        <v>1197</v>
      </c>
      <c r="BE72" s="76">
        <v>46218</v>
      </c>
      <c r="BF72" s="69" t="s">
        <v>1282</v>
      </c>
    </row>
    <row r="73" spans="1:58" ht="56">
      <c r="A73" s="69" t="s">
        <v>1576</v>
      </c>
      <c r="B73" s="69" t="s">
        <v>1577</v>
      </c>
      <c r="C73" s="69"/>
      <c r="D73" s="69"/>
      <c r="E73" s="69" t="s">
        <v>1578</v>
      </c>
      <c r="F73" s="69" t="s">
        <v>1579</v>
      </c>
      <c r="G73" s="69" t="s">
        <v>1279</v>
      </c>
      <c r="H73" s="69" t="s">
        <v>1199</v>
      </c>
      <c r="I73" s="69" t="s">
        <v>1580</v>
      </c>
      <c r="J73" s="69" t="s">
        <v>1267</v>
      </c>
      <c r="K73" s="69" t="s">
        <v>1281</v>
      </c>
      <c r="L73" s="69" t="s">
        <v>894</v>
      </c>
      <c r="M73" s="69" t="s">
        <v>1281</v>
      </c>
      <c r="N73" s="69" t="s">
        <v>1219</v>
      </c>
      <c r="O73" s="69" t="s">
        <v>1217</v>
      </c>
      <c r="P73" s="69" t="s">
        <v>1219</v>
      </c>
      <c r="Q73" s="70" t="s">
        <v>1219</v>
      </c>
      <c r="R73" s="70" t="s">
        <v>1219</v>
      </c>
      <c r="S73" s="70" t="s">
        <v>1219</v>
      </c>
      <c r="T73" s="70" t="s">
        <v>1219</v>
      </c>
      <c r="U73" s="70" t="s">
        <v>1219</v>
      </c>
      <c r="V73" s="70" t="s">
        <v>1219</v>
      </c>
      <c r="W73" s="70"/>
      <c r="X73" s="70" t="str">
        <f t="shared" si="14"/>
        <v>Belum Dinilai</v>
      </c>
      <c r="Y73" s="70" t="s">
        <v>1219</v>
      </c>
      <c r="Z73" s="74" t="str">
        <f t="shared" si="16"/>
        <v/>
      </c>
      <c r="AA73" s="74" t="str">
        <f t="shared" si="17"/>
        <v/>
      </c>
      <c r="AB73" s="74" t="str">
        <f t="shared" si="18"/>
        <v/>
      </c>
      <c r="AC73" s="71" t="s">
        <v>1219</v>
      </c>
      <c r="AD73" s="71" t="s">
        <v>1219</v>
      </c>
      <c r="AE73" s="71" t="s">
        <v>1219</v>
      </c>
      <c r="AF73" s="71" t="s">
        <v>1219</v>
      </c>
      <c r="AG73" s="71" t="s">
        <v>1219</v>
      </c>
      <c r="AH73" s="71" t="s">
        <v>1219</v>
      </c>
      <c r="AI73" s="71" t="s">
        <v>1219</v>
      </c>
      <c r="AJ73" s="71" t="s">
        <v>1219</v>
      </c>
      <c r="AK73" s="71" t="s">
        <v>1219</v>
      </c>
      <c r="AL73" s="71"/>
      <c r="AM73" s="71" t="s">
        <v>1219</v>
      </c>
      <c r="AN73" s="71" t="str">
        <f t="shared" si="15"/>
        <v>Belum Dinilai</v>
      </c>
      <c r="AO73" s="71" t="str">
        <f t="shared" si="19"/>
        <v>Belum Dinilai</v>
      </c>
      <c r="AP73" s="71"/>
      <c r="AQ73" s="75" t="str">
        <f t="shared" si="10"/>
        <v/>
      </c>
      <c r="AR73" s="75" t="str">
        <f t="shared" si="11"/>
        <v/>
      </c>
      <c r="AS73" s="75" t="str">
        <f t="shared" si="12"/>
        <v/>
      </c>
      <c r="AT73" s="72" t="str">
        <f t="shared" si="13"/>
        <v>Belum Dapat Ditentukan</v>
      </c>
      <c r="AU73" s="69" t="s">
        <v>1193</v>
      </c>
      <c r="AV73" s="69" t="s">
        <v>1208</v>
      </c>
      <c r="AW73" s="69" t="s">
        <v>1194</v>
      </c>
      <c r="AX73" s="69"/>
      <c r="AY73" s="69"/>
      <c r="AZ73" s="69" t="s">
        <v>1211</v>
      </c>
      <c r="BA73" s="69"/>
      <c r="BB73" s="76"/>
      <c r="BC73" s="77">
        <v>2026</v>
      </c>
      <c r="BD73" s="69" t="s">
        <v>1197</v>
      </c>
      <c r="BE73" s="76">
        <v>46218</v>
      </c>
      <c r="BF73" s="69" t="s">
        <v>1282</v>
      </c>
    </row>
    <row r="74" spans="1:58" ht="42">
      <c r="A74" s="69" t="s">
        <v>1581</v>
      </c>
      <c r="B74" s="69" t="s">
        <v>1582</v>
      </c>
      <c r="C74" s="69"/>
      <c r="D74" s="69"/>
      <c r="E74" s="69" t="s">
        <v>1583</v>
      </c>
      <c r="F74" s="69" t="s">
        <v>1278</v>
      </c>
      <c r="G74" s="69" t="s">
        <v>1279</v>
      </c>
      <c r="H74" s="69" t="s">
        <v>1185</v>
      </c>
      <c r="I74" s="69" t="s">
        <v>1584</v>
      </c>
      <c r="J74" s="69" t="s">
        <v>1214</v>
      </c>
      <c r="K74" s="69" t="s">
        <v>1201</v>
      </c>
      <c r="L74" s="69" t="s">
        <v>898</v>
      </c>
      <c r="M74" s="69" t="s">
        <v>1270</v>
      </c>
      <c r="N74" s="69" t="s">
        <v>898</v>
      </c>
      <c r="O74" s="69" t="s">
        <v>1281</v>
      </c>
      <c r="P74" s="69" t="s">
        <v>1219</v>
      </c>
      <c r="Q74" s="70" t="s">
        <v>1219</v>
      </c>
      <c r="R74" s="70" t="s">
        <v>1219</v>
      </c>
      <c r="S74" s="70" t="s">
        <v>1219</v>
      </c>
      <c r="T74" s="70" t="s">
        <v>1219</v>
      </c>
      <c r="U74" s="70" t="s">
        <v>1219</v>
      </c>
      <c r="V74" s="70" t="s">
        <v>1219</v>
      </c>
      <c r="W74" s="70"/>
      <c r="X74" s="70" t="str">
        <f t="shared" si="14"/>
        <v>Belum Dinilai</v>
      </c>
      <c r="Y74" s="70" t="s">
        <v>1219</v>
      </c>
      <c r="Z74" s="74" t="str">
        <f t="shared" si="16"/>
        <v/>
      </c>
      <c r="AA74" s="74" t="str">
        <f t="shared" si="17"/>
        <v/>
      </c>
      <c r="AB74" s="74" t="str">
        <f t="shared" si="18"/>
        <v/>
      </c>
      <c r="AC74" s="71" t="s">
        <v>1219</v>
      </c>
      <c r="AD74" s="71" t="s">
        <v>1219</v>
      </c>
      <c r="AE74" s="71" t="s">
        <v>1219</v>
      </c>
      <c r="AF74" s="71" t="s">
        <v>1219</v>
      </c>
      <c r="AG74" s="71" t="s">
        <v>1219</v>
      </c>
      <c r="AH74" s="71" t="s">
        <v>1219</v>
      </c>
      <c r="AI74" s="71" t="s">
        <v>1219</v>
      </c>
      <c r="AJ74" s="71" t="s">
        <v>1219</v>
      </c>
      <c r="AK74" s="71" t="s">
        <v>1219</v>
      </c>
      <c r="AL74" s="71"/>
      <c r="AM74" s="71" t="s">
        <v>1219</v>
      </c>
      <c r="AN74" s="71" t="str">
        <f t="shared" si="15"/>
        <v>Belum Dinilai</v>
      </c>
      <c r="AO74" s="71" t="str">
        <f t="shared" si="19"/>
        <v>Belum Dinilai</v>
      </c>
      <c r="AP74" s="71"/>
      <c r="AQ74" s="75" t="str">
        <f t="shared" si="10"/>
        <v/>
      </c>
      <c r="AR74" s="75" t="str">
        <f t="shared" si="11"/>
        <v/>
      </c>
      <c r="AS74" s="75" t="str">
        <f t="shared" si="12"/>
        <v/>
      </c>
      <c r="AT74" s="72" t="str">
        <f t="shared" si="13"/>
        <v>Belum Dapat Ditentukan</v>
      </c>
      <c r="AU74" s="69" t="s">
        <v>1193</v>
      </c>
      <c r="AV74" s="69" t="s">
        <v>1208</v>
      </c>
      <c r="AW74" s="69" t="s">
        <v>1194</v>
      </c>
      <c r="AX74" s="69"/>
      <c r="AY74" s="69"/>
      <c r="AZ74" s="69" t="s">
        <v>1211</v>
      </c>
      <c r="BA74" s="69"/>
      <c r="BB74" s="76"/>
      <c r="BC74" s="77">
        <v>2026</v>
      </c>
      <c r="BD74" s="69" t="s">
        <v>1197</v>
      </c>
      <c r="BE74" s="76">
        <v>46218</v>
      </c>
      <c r="BF74" s="69" t="s">
        <v>1282</v>
      </c>
    </row>
    <row r="75" spans="1:58" ht="56">
      <c r="A75" s="69" t="s">
        <v>1585</v>
      </c>
      <c r="B75" s="69" t="s">
        <v>1586</v>
      </c>
      <c r="C75" s="69"/>
      <c r="D75" s="69"/>
      <c r="E75" s="69" t="s">
        <v>1587</v>
      </c>
      <c r="F75" s="69" t="s">
        <v>1391</v>
      </c>
      <c r="G75" s="69" t="s">
        <v>1279</v>
      </c>
      <c r="H75" s="69" t="s">
        <v>1185</v>
      </c>
      <c r="I75" s="69" t="s">
        <v>1588</v>
      </c>
      <c r="J75" s="69" t="s">
        <v>1200</v>
      </c>
      <c r="K75" s="69" t="s">
        <v>1187</v>
      </c>
      <c r="L75" s="69" t="s">
        <v>908</v>
      </c>
      <c r="M75" s="69" t="s">
        <v>1312</v>
      </c>
      <c r="N75" s="69" t="s">
        <v>1219</v>
      </c>
      <c r="O75" s="69" t="s">
        <v>1217</v>
      </c>
      <c r="P75" s="69" t="s">
        <v>908</v>
      </c>
      <c r="Q75" s="70" t="s">
        <v>1219</v>
      </c>
      <c r="R75" s="70" t="s">
        <v>1219</v>
      </c>
      <c r="S75" s="70" t="s">
        <v>1219</v>
      </c>
      <c r="T75" s="70" t="s">
        <v>1219</v>
      </c>
      <c r="U75" s="70" t="s">
        <v>1219</v>
      </c>
      <c r="V75" s="70" t="s">
        <v>1219</v>
      </c>
      <c r="W75" s="70"/>
      <c r="X75" s="70" t="str">
        <f t="shared" si="14"/>
        <v>Belum Dinilai</v>
      </c>
      <c r="Y75" s="70" t="s">
        <v>1219</v>
      </c>
      <c r="Z75" s="74" t="str">
        <f t="shared" si="16"/>
        <v/>
      </c>
      <c r="AA75" s="74" t="str">
        <f t="shared" si="17"/>
        <v/>
      </c>
      <c r="AB75" s="74" t="str">
        <f t="shared" si="18"/>
        <v/>
      </c>
      <c r="AC75" s="71" t="s">
        <v>1219</v>
      </c>
      <c r="AD75" s="71" t="s">
        <v>1219</v>
      </c>
      <c r="AE75" s="71" t="s">
        <v>1219</v>
      </c>
      <c r="AF75" s="71" t="s">
        <v>1219</v>
      </c>
      <c r="AG75" s="71" t="s">
        <v>1219</v>
      </c>
      <c r="AH75" s="71" t="s">
        <v>1219</v>
      </c>
      <c r="AI75" s="71" t="s">
        <v>1219</v>
      </c>
      <c r="AJ75" s="71" t="s">
        <v>1219</v>
      </c>
      <c r="AK75" s="71" t="s">
        <v>1219</v>
      </c>
      <c r="AL75" s="71"/>
      <c r="AM75" s="71" t="s">
        <v>1219</v>
      </c>
      <c r="AN75" s="71" t="str">
        <f t="shared" si="15"/>
        <v>Belum Dinilai</v>
      </c>
      <c r="AO75" s="71" t="str">
        <f t="shared" si="19"/>
        <v>Belum Dinilai</v>
      </c>
      <c r="AP75" s="71"/>
      <c r="AQ75" s="75" t="str">
        <f t="shared" ref="AQ75:AQ138" si="20">IF(OR(J75="",J75="Belum Dapat Ditentukan",L75="",L75="Belum Dinilai",N75="",N75="Belum Dinilai",P75="",P75="Belum Dinilai"),"",IF(J75="Permanen",0,IF(J75="Semipermanen",8,IF(J75="Nonpermanen",15,0)))+IF(L75="Baik",0,IF(L75="Rusak Ringan",5,IF(L75="Rusak Sedang",10,IF(L75="Rusak Berat",15,IF(L75="Tidak Ada/Terbuka",20,0)))))+IF(N75="Baik",0,IF(N75="Rusak Ringan",5,IF(N75="Rusak Sedang",10,IF(N75="Rusak Berat",15,IF(N75="Tidak Ada/Terbuka",20,0)))))+IF(P75="Baik",0,IF(P75="Rusak Ringan",4,IF(P75="Rusak Sedang",8,IF(P75="Rusak Berat",12,IF(P75="Tidak Layak",15,0))))))</f>
        <v/>
      </c>
      <c r="AR75" s="75" t="str">
        <f t="shared" ref="AR75:AR138" si="21">IF(COUNTIF(AC75:AH75,"Ya")&gt;0,10,IF(COUNTIF(AI75:AK75,"Ya")&gt;=2,10,IF(COUNTIF(AI75:AK75,"Ya")=1,MAX(5,IF(AM75="Risiko Tinggi/Darurat",10,IF(AM75="Risiko Sedang",5,0))),IF(AL75&lt;&gt;"",IF(AM75="Risiko Tinggi/Darurat",10,IF(AM75="Risiko Sedang",5,"")),IF(COUNTIF(AC75:AK75,"Belum Dinilai")&gt;0,"",0)))))</f>
        <v/>
      </c>
      <c r="AS75" s="75" t="str">
        <f t="shared" ref="AS75:AS138" si="22">IF(OR(AQ75="",AB75="",AR75=""),"",AQ75+AB75+AR75)</f>
        <v/>
      </c>
      <c r="AT75" s="72" t="str">
        <f t="shared" ref="AT75:AT138" si="23">IF(AS75="","Belum Dapat Ditentukan",IF(AS75&gt;=80,"Sangat Tinggi",IF(OR(AO75="Risiko Tinggi/Darurat",(IF(L75="Rusak Berat",1,0)+IF(L75="Tidak Ada/Terbuka",1,0)+IF(N75="Rusak Berat",1,0)+IF(N75="Tidak Ada/Terbuka",1,0)+IF(P75="Rusak Berat",1,0)+IF(P75="Tidak Layak",1,0))&gt;=2),"Tinggi",IF(AS75&gt;=65,"Tinggi",IF(AS75&gt;=50,"Sedang","Rendah")))))</f>
        <v>Belum Dapat Ditentukan</v>
      </c>
      <c r="AU75" s="69" t="s">
        <v>1193</v>
      </c>
      <c r="AV75" s="69" t="s">
        <v>1208</v>
      </c>
      <c r="AW75" s="69" t="s">
        <v>1194</v>
      </c>
      <c r="AX75" s="69"/>
      <c r="AY75" s="69"/>
      <c r="AZ75" s="69" t="s">
        <v>1211</v>
      </c>
      <c r="BA75" s="69"/>
      <c r="BB75" s="76"/>
      <c r="BC75" s="77">
        <v>2026</v>
      </c>
      <c r="BD75" s="69" t="s">
        <v>1197</v>
      </c>
      <c r="BE75" s="76">
        <v>46218</v>
      </c>
      <c r="BF75" s="69" t="s">
        <v>1282</v>
      </c>
    </row>
    <row r="76" spans="1:58" ht="56">
      <c r="A76" s="69" t="s">
        <v>1589</v>
      </c>
      <c r="B76" s="69" t="s">
        <v>1590</v>
      </c>
      <c r="C76" s="69"/>
      <c r="D76" s="69"/>
      <c r="E76" s="69" t="s">
        <v>1591</v>
      </c>
      <c r="F76" s="69" t="s">
        <v>1391</v>
      </c>
      <c r="G76" s="69" t="s">
        <v>1279</v>
      </c>
      <c r="H76" s="69" t="s">
        <v>1185</v>
      </c>
      <c r="I76" s="69" t="s">
        <v>1588</v>
      </c>
      <c r="J76" s="69" t="s">
        <v>1200</v>
      </c>
      <c r="K76" s="69" t="s">
        <v>1187</v>
      </c>
      <c r="L76" s="69" t="s">
        <v>908</v>
      </c>
      <c r="M76" s="69" t="s">
        <v>1312</v>
      </c>
      <c r="N76" s="69" t="s">
        <v>1219</v>
      </c>
      <c r="O76" s="69" t="s">
        <v>1217</v>
      </c>
      <c r="P76" s="69" t="s">
        <v>908</v>
      </c>
      <c r="Q76" s="70" t="s">
        <v>1219</v>
      </c>
      <c r="R76" s="70" t="s">
        <v>1219</v>
      </c>
      <c r="S76" s="70" t="s">
        <v>1219</v>
      </c>
      <c r="T76" s="70" t="s">
        <v>1219</v>
      </c>
      <c r="U76" s="70" t="s">
        <v>1219</v>
      </c>
      <c r="V76" s="70" t="s">
        <v>1219</v>
      </c>
      <c r="W76" s="70"/>
      <c r="X76" s="70" t="str">
        <f t="shared" si="14"/>
        <v>Belum Dinilai</v>
      </c>
      <c r="Y76" s="70" t="s">
        <v>1219</v>
      </c>
      <c r="Z76" s="74" t="str">
        <f t="shared" si="16"/>
        <v/>
      </c>
      <c r="AA76" s="74" t="str">
        <f t="shared" si="17"/>
        <v/>
      </c>
      <c r="AB76" s="74" t="str">
        <f t="shared" si="18"/>
        <v/>
      </c>
      <c r="AC76" s="71" t="s">
        <v>1219</v>
      </c>
      <c r="AD76" s="71" t="s">
        <v>1219</v>
      </c>
      <c r="AE76" s="71" t="s">
        <v>1219</v>
      </c>
      <c r="AF76" s="71" t="s">
        <v>1219</v>
      </c>
      <c r="AG76" s="71" t="s">
        <v>1219</v>
      </c>
      <c r="AH76" s="71" t="s">
        <v>1219</v>
      </c>
      <c r="AI76" s="71" t="s">
        <v>1219</v>
      </c>
      <c r="AJ76" s="71" t="s">
        <v>1219</v>
      </c>
      <c r="AK76" s="71" t="s">
        <v>1219</v>
      </c>
      <c r="AL76" s="71"/>
      <c r="AM76" s="71" t="s">
        <v>1219</v>
      </c>
      <c r="AN76" s="71" t="str">
        <f t="shared" si="15"/>
        <v>Belum Dinilai</v>
      </c>
      <c r="AO76" s="71" t="str">
        <f t="shared" si="19"/>
        <v>Belum Dinilai</v>
      </c>
      <c r="AP76" s="71"/>
      <c r="AQ76" s="75" t="str">
        <f t="shared" si="20"/>
        <v/>
      </c>
      <c r="AR76" s="75" t="str">
        <f t="shared" si="21"/>
        <v/>
      </c>
      <c r="AS76" s="75" t="str">
        <f t="shared" si="22"/>
        <v/>
      </c>
      <c r="AT76" s="72" t="str">
        <f t="shared" si="23"/>
        <v>Belum Dapat Ditentukan</v>
      </c>
      <c r="AU76" s="69" t="s">
        <v>1193</v>
      </c>
      <c r="AV76" s="69" t="s">
        <v>1208</v>
      </c>
      <c r="AW76" s="69" t="s">
        <v>1271</v>
      </c>
      <c r="AX76" s="69" t="s">
        <v>1210</v>
      </c>
      <c r="AY76" s="69">
        <v>2024</v>
      </c>
      <c r="AZ76" s="69" t="s">
        <v>1211</v>
      </c>
      <c r="BA76" s="69"/>
      <c r="BB76" s="76"/>
      <c r="BC76" s="77">
        <v>2026</v>
      </c>
      <c r="BD76" s="69" t="s">
        <v>1197</v>
      </c>
      <c r="BE76" s="76">
        <v>46218</v>
      </c>
      <c r="BF76" s="69" t="s">
        <v>1282</v>
      </c>
    </row>
    <row r="77" spans="1:58" ht="42">
      <c r="A77" s="69" t="s">
        <v>1592</v>
      </c>
      <c r="B77" s="69" t="s">
        <v>1593</v>
      </c>
      <c r="C77" s="69"/>
      <c r="D77" s="69"/>
      <c r="E77" s="69" t="s">
        <v>1594</v>
      </c>
      <c r="F77" s="69" t="s">
        <v>1278</v>
      </c>
      <c r="G77" s="69" t="s">
        <v>1279</v>
      </c>
      <c r="H77" s="69" t="s">
        <v>1199</v>
      </c>
      <c r="I77" s="69" t="s">
        <v>1595</v>
      </c>
      <c r="J77" s="69" t="s">
        <v>1186</v>
      </c>
      <c r="K77" s="69" t="s">
        <v>1201</v>
      </c>
      <c r="L77" s="69" t="s">
        <v>908</v>
      </c>
      <c r="M77" s="69" t="s">
        <v>1269</v>
      </c>
      <c r="N77" s="69" t="s">
        <v>1219</v>
      </c>
      <c r="O77" s="69" t="s">
        <v>1281</v>
      </c>
      <c r="P77" s="69" t="s">
        <v>908</v>
      </c>
      <c r="Q77" s="70" t="s">
        <v>1219</v>
      </c>
      <c r="R77" s="70" t="s">
        <v>1219</v>
      </c>
      <c r="S77" s="70" t="s">
        <v>1219</v>
      </c>
      <c r="T77" s="70" t="s">
        <v>1219</v>
      </c>
      <c r="U77" s="70" t="s">
        <v>1219</v>
      </c>
      <c r="V77" s="70" t="s">
        <v>1219</v>
      </c>
      <c r="W77" s="70"/>
      <c r="X77" s="70" t="str">
        <f t="shared" si="14"/>
        <v>Belum Dinilai</v>
      </c>
      <c r="Y77" s="70" t="s">
        <v>1219</v>
      </c>
      <c r="Z77" s="74" t="str">
        <f t="shared" si="16"/>
        <v/>
      </c>
      <c r="AA77" s="74" t="str">
        <f t="shared" si="17"/>
        <v/>
      </c>
      <c r="AB77" s="74" t="str">
        <f t="shared" si="18"/>
        <v/>
      </c>
      <c r="AC77" s="71" t="s">
        <v>1219</v>
      </c>
      <c r="AD77" s="71" t="s">
        <v>1219</v>
      </c>
      <c r="AE77" s="71" t="s">
        <v>1219</v>
      </c>
      <c r="AF77" s="71" t="s">
        <v>1219</v>
      </c>
      <c r="AG77" s="71" t="s">
        <v>1219</v>
      </c>
      <c r="AH77" s="71" t="s">
        <v>1219</v>
      </c>
      <c r="AI77" s="71" t="s">
        <v>1219</v>
      </c>
      <c r="AJ77" s="71" t="s">
        <v>1219</v>
      </c>
      <c r="AK77" s="71" t="s">
        <v>1219</v>
      </c>
      <c r="AL77" s="71"/>
      <c r="AM77" s="71" t="s">
        <v>1219</v>
      </c>
      <c r="AN77" s="71" t="str">
        <f t="shared" si="15"/>
        <v>Belum Dinilai</v>
      </c>
      <c r="AO77" s="71" t="str">
        <f t="shared" si="19"/>
        <v>Belum Dinilai</v>
      </c>
      <c r="AP77" s="71"/>
      <c r="AQ77" s="75" t="str">
        <f t="shared" si="20"/>
        <v/>
      </c>
      <c r="AR77" s="75" t="str">
        <f t="shared" si="21"/>
        <v/>
      </c>
      <c r="AS77" s="75" t="str">
        <f t="shared" si="22"/>
        <v/>
      </c>
      <c r="AT77" s="72" t="str">
        <f t="shared" si="23"/>
        <v>Belum Dapat Ditentukan</v>
      </c>
      <c r="AU77" s="69" t="s">
        <v>1193</v>
      </c>
      <c r="AV77" s="69" t="s">
        <v>1208</v>
      </c>
      <c r="AW77" s="69" t="s">
        <v>1194</v>
      </c>
      <c r="AX77" s="69"/>
      <c r="AY77" s="69"/>
      <c r="AZ77" s="69" t="s">
        <v>930</v>
      </c>
      <c r="BA77" s="69"/>
      <c r="BB77" s="76"/>
      <c r="BC77" s="77">
        <v>2026</v>
      </c>
      <c r="BD77" s="69" t="s">
        <v>1197</v>
      </c>
      <c r="BE77" s="76">
        <v>46218</v>
      </c>
      <c r="BF77" s="69" t="s">
        <v>1282</v>
      </c>
    </row>
    <row r="78" spans="1:58" ht="28">
      <c r="A78" s="69" t="s">
        <v>1596</v>
      </c>
      <c r="B78" s="69" t="s">
        <v>1597</v>
      </c>
      <c r="C78" s="69"/>
      <c r="D78" s="69"/>
      <c r="E78" s="69" t="s">
        <v>1598</v>
      </c>
      <c r="F78" s="69" t="s">
        <v>1363</v>
      </c>
      <c r="G78" s="69" t="s">
        <v>1293</v>
      </c>
      <c r="H78" s="69" t="s">
        <v>1199</v>
      </c>
      <c r="I78" s="69" t="s">
        <v>1599</v>
      </c>
      <c r="J78" s="69" t="s">
        <v>1186</v>
      </c>
      <c r="K78" s="69" t="s">
        <v>1281</v>
      </c>
      <c r="L78" s="69" t="s">
        <v>1219</v>
      </c>
      <c r="M78" s="69" t="s">
        <v>1269</v>
      </c>
      <c r="N78" s="69" t="s">
        <v>1219</v>
      </c>
      <c r="O78" s="69" t="s">
        <v>1281</v>
      </c>
      <c r="P78" s="69" t="s">
        <v>1219</v>
      </c>
      <c r="Q78" s="70" t="s">
        <v>1219</v>
      </c>
      <c r="R78" s="70" t="s">
        <v>1219</v>
      </c>
      <c r="S78" s="70" t="s">
        <v>1219</v>
      </c>
      <c r="T78" s="70" t="s">
        <v>1219</v>
      </c>
      <c r="U78" s="70" t="s">
        <v>1219</v>
      </c>
      <c r="V78" s="70" t="s">
        <v>1219</v>
      </c>
      <c r="W78" s="70"/>
      <c r="X78" s="70" t="str">
        <f t="shared" si="14"/>
        <v>Belum Dinilai</v>
      </c>
      <c r="Y78" s="70" t="s">
        <v>1219</v>
      </c>
      <c r="Z78" s="74" t="str">
        <f t="shared" si="16"/>
        <v/>
      </c>
      <c r="AA78" s="74" t="str">
        <f t="shared" si="17"/>
        <v/>
      </c>
      <c r="AB78" s="74" t="str">
        <f t="shared" si="18"/>
        <v/>
      </c>
      <c r="AC78" s="71" t="s">
        <v>1219</v>
      </c>
      <c r="AD78" s="71" t="s">
        <v>1219</v>
      </c>
      <c r="AE78" s="71" t="s">
        <v>1219</v>
      </c>
      <c r="AF78" s="71" t="s">
        <v>1219</v>
      </c>
      <c r="AG78" s="71" t="s">
        <v>1219</v>
      </c>
      <c r="AH78" s="71" t="s">
        <v>1219</v>
      </c>
      <c r="AI78" s="71" t="s">
        <v>1219</v>
      </c>
      <c r="AJ78" s="71" t="s">
        <v>1219</v>
      </c>
      <c r="AK78" s="71" t="s">
        <v>1219</v>
      </c>
      <c r="AL78" s="71"/>
      <c r="AM78" s="71" t="s">
        <v>1219</v>
      </c>
      <c r="AN78" s="71" t="str">
        <f t="shared" si="15"/>
        <v>Belum Dinilai</v>
      </c>
      <c r="AO78" s="71" t="str">
        <f t="shared" si="19"/>
        <v>Belum Dinilai</v>
      </c>
      <c r="AP78" s="71"/>
      <c r="AQ78" s="75" t="str">
        <f t="shared" si="20"/>
        <v/>
      </c>
      <c r="AR78" s="75" t="str">
        <f t="shared" si="21"/>
        <v/>
      </c>
      <c r="AS78" s="75" t="str">
        <f t="shared" si="22"/>
        <v/>
      </c>
      <c r="AT78" s="72" t="str">
        <f t="shared" si="23"/>
        <v>Belum Dapat Ditentukan</v>
      </c>
      <c r="AU78" s="69" t="s">
        <v>1193</v>
      </c>
      <c r="AV78" s="69" t="s">
        <v>1208</v>
      </c>
      <c r="AW78" s="69" t="s">
        <v>1194</v>
      </c>
      <c r="AX78" s="69"/>
      <c r="AY78" s="69"/>
      <c r="AZ78" s="69" t="s">
        <v>930</v>
      </c>
      <c r="BA78" s="69"/>
      <c r="BB78" s="76"/>
      <c r="BC78" s="77">
        <v>2026</v>
      </c>
      <c r="BD78" s="69" t="s">
        <v>1197</v>
      </c>
      <c r="BE78" s="76">
        <v>46218</v>
      </c>
      <c r="BF78" s="69" t="s">
        <v>1282</v>
      </c>
    </row>
    <row r="79" spans="1:58" ht="28">
      <c r="A79" s="69" t="s">
        <v>1600</v>
      </c>
      <c r="B79" s="69" t="s">
        <v>1601</v>
      </c>
      <c r="C79" s="69"/>
      <c r="D79" s="69"/>
      <c r="E79" s="69" t="s">
        <v>1602</v>
      </c>
      <c r="F79" s="69" t="s">
        <v>1363</v>
      </c>
      <c r="G79" s="69" t="s">
        <v>1293</v>
      </c>
      <c r="H79" s="69" t="s">
        <v>1185</v>
      </c>
      <c r="I79" s="69" t="s">
        <v>1603</v>
      </c>
      <c r="J79" s="69" t="s">
        <v>1214</v>
      </c>
      <c r="K79" s="69" t="s">
        <v>1215</v>
      </c>
      <c r="L79" s="69" t="s">
        <v>898</v>
      </c>
      <c r="M79" s="69" t="s">
        <v>1270</v>
      </c>
      <c r="N79" s="69" t="s">
        <v>898</v>
      </c>
      <c r="O79" s="69" t="s">
        <v>1281</v>
      </c>
      <c r="P79" s="69" t="s">
        <v>1219</v>
      </c>
      <c r="Q79" s="70" t="s">
        <v>1219</v>
      </c>
      <c r="R79" s="70" t="s">
        <v>1219</v>
      </c>
      <c r="S79" s="70" t="s">
        <v>1219</v>
      </c>
      <c r="T79" s="70" t="s">
        <v>1219</v>
      </c>
      <c r="U79" s="70" t="s">
        <v>1219</v>
      </c>
      <c r="V79" s="70" t="s">
        <v>1219</v>
      </c>
      <c r="W79" s="70"/>
      <c r="X79" s="70" t="str">
        <f t="shared" si="14"/>
        <v>Belum Dinilai</v>
      </c>
      <c r="Y79" s="70" t="s">
        <v>1219</v>
      </c>
      <c r="Z79" s="74" t="str">
        <f t="shared" si="16"/>
        <v/>
      </c>
      <c r="AA79" s="74" t="str">
        <f t="shared" si="17"/>
        <v/>
      </c>
      <c r="AB79" s="74" t="str">
        <f t="shared" si="18"/>
        <v/>
      </c>
      <c r="AC79" s="71" t="s">
        <v>1219</v>
      </c>
      <c r="AD79" s="71" t="s">
        <v>1219</v>
      </c>
      <c r="AE79" s="71" t="s">
        <v>1219</v>
      </c>
      <c r="AF79" s="71" t="s">
        <v>1219</v>
      </c>
      <c r="AG79" s="71" t="s">
        <v>1219</v>
      </c>
      <c r="AH79" s="71" t="s">
        <v>1219</v>
      </c>
      <c r="AI79" s="71" t="s">
        <v>1219</v>
      </c>
      <c r="AJ79" s="71" t="s">
        <v>1219</v>
      </c>
      <c r="AK79" s="71" t="s">
        <v>1219</v>
      </c>
      <c r="AL79" s="71"/>
      <c r="AM79" s="71" t="s">
        <v>1219</v>
      </c>
      <c r="AN79" s="71" t="str">
        <f t="shared" si="15"/>
        <v>Belum Dinilai</v>
      </c>
      <c r="AO79" s="71" t="str">
        <f t="shared" si="19"/>
        <v>Belum Dinilai</v>
      </c>
      <c r="AP79" s="71"/>
      <c r="AQ79" s="75" t="str">
        <f t="shared" si="20"/>
        <v/>
      </c>
      <c r="AR79" s="75" t="str">
        <f t="shared" si="21"/>
        <v/>
      </c>
      <c r="AS79" s="75" t="str">
        <f t="shared" si="22"/>
        <v/>
      </c>
      <c r="AT79" s="72" t="str">
        <f t="shared" si="23"/>
        <v>Belum Dapat Ditentukan</v>
      </c>
      <c r="AU79" s="69" t="s">
        <v>1193</v>
      </c>
      <c r="AV79" s="69" t="s">
        <v>1208</v>
      </c>
      <c r="AW79" s="69" t="s">
        <v>1194</v>
      </c>
      <c r="AX79" s="69"/>
      <c r="AY79" s="69"/>
      <c r="AZ79" s="69" t="s">
        <v>930</v>
      </c>
      <c r="BA79" s="69"/>
      <c r="BB79" s="76"/>
      <c r="BC79" s="77">
        <v>2026</v>
      </c>
      <c r="BD79" s="69" t="s">
        <v>1197</v>
      </c>
      <c r="BE79" s="76">
        <v>46218</v>
      </c>
      <c r="BF79" s="69" t="s">
        <v>1282</v>
      </c>
    </row>
    <row r="80" spans="1:58" ht="28">
      <c r="A80" s="69" t="s">
        <v>1604</v>
      </c>
      <c r="B80" s="69" t="s">
        <v>1605</v>
      </c>
      <c r="C80" s="69"/>
      <c r="D80" s="69"/>
      <c r="E80" s="69" t="s">
        <v>1606</v>
      </c>
      <c r="F80" s="69" t="s">
        <v>1363</v>
      </c>
      <c r="G80" s="69" t="s">
        <v>1293</v>
      </c>
      <c r="H80" s="69" t="s">
        <v>1185</v>
      </c>
      <c r="I80" s="69" t="s">
        <v>1607</v>
      </c>
      <c r="J80" s="69" t="s">
        <v>1267</v>
      </c>
      <c r="K80" s="69" t="s">
        <v>1215</v>
      </c>
      <c r="L80" s="69" t="s">
        <v>1219</v>
      </c>
      <c r="M80" s="69" t="s">
        <v>1281</v>
      </c>
      <c r="N80" s="69" t="s">
        <v>1219</v>
      </c>
      <c r="O80" s="69" t="s">
        <v>1217</v>
      </c>
      <c r="P80" s="69" t="s">
        <v>1219</v>
      </c>
      <c r="Q80" s="70" t="s">
        <v>1219</v>
      </c>
      <c r="R80" s="70" t="s">
        <v>1219</v>
      </c>
      <c r="S80" s="70" t="s">
        <v>1219</v>
      </c>
      <c r="T80" s="70" t="s">
        <v>1219</v>
      </c>
      <c r="U80" s="70" t="s">
        <v>1219</v>
      </c>
      <c r="V80" s="70" t="s">
        <v>1219</v>
      </c>
      <c r="W80" s="70"/>
      <c r="X80" s="70" t="str">
        <f t="shared" si="14"/>
        <v>Belum Dinilai</v>
      </c>
      <c r="Y80" s="70" t="s">
        <v>1219</v>
      </c>
      <c r="Z80" s="74" t="str">
        <f t="shared" si="16"/>
        <v/>
      </c>
      <c r="AA80" s="74" t="str">
        <f t="shared" si="17"/>
        <v/>
      </c>
      <c r="AB80" s="74" t="str">
        <f t="shared" si="18"/>
        <v/>
      </c>
      <c r="AC80" s="71" t="s">
        <v>1219</v>
      </c>
      <c r="AD80" s="71" t="s">
        <v>1219</v>
      </c>
      <c r="AE80" s="71" t="s">
        <v>1219</v>
      </c>
      <c r="AF80" s="71" t="s">
        <v>1219</v>
      </c>
      <c r="AG80" s="71" t="s">
        <v>1219</v>
      </c>
      <c r="AH80" s="71" t="s">
        <v>1219</v>
      </c>
      <c r="AI80" s="71" t="s">
        <v>1219</v>
      </c>
      <c r="AJ80" s="71" t="s">
        <v>1219</v>
      </c>
      <c r="AK80" s="71" t="s">
        <v>1219</v>
      </c>
      <c r="AL80" s="71"/>
      <c r="AM80" s="71" t="s">
        <v>1219</v>
      </c>
      <c r="AN80" s="71" t="str">
        <f t="shared" si="15"/>
        <v>Belum Dinilai</v>
      </c>
      <c r="AO80" s="71" t="str">
        <f t="shared" si="19"/>
        <v>Belum Dinilai</v>
      </c>
      <c r="AP80" s="71"/>
      <c r="AQ80" s="75" t="str">
        <f t="shared" si="20"/>
        <v/>
      </c>
      <c r="AR80" s="75" t="str">
        <f t="shared" si="21"/>
        <v/>
      </c>
      <c r="AS80" s="75" t="str">
        <f t="shared" si="22"/>
        <v/>
      </c>
      <c r="AT80" s="72" t="str">
        <f t="shared" si="23"/>
        <v>Belum Dapat Ditentukan</v>
      </c>
      <c r="AU80" s="69" t="s">
        <v>1193</v>
      </c>
      <c r="AV80" s="69" t="s">
        <v>1208</v>
      </c>
      <c r="AW80" s="69" t="s">
        <v>1194</v>
      </c>
      <c r="AX80" s="69"/>
      <c r="AY80" s="69"/>
      <c r="AZ80" s="69" t="s">
        <v>930</v>
      </c>
      <c r="BA80" s="69"/>
      <c r="BB80" s="76"/>
      <c r="BC80" s="77">
        <v>2026</v>
      </c>
      <c r="BD80" s="69" t="s">
        <v>1197</v>
      </c>
      <c r="BE80" s="76">
        <v>46218</v>
      </c>
      <c r="BF80" s="69" t="s">
        <v>1282</v>
      </c>
    </row>
    <row r="81" spans="1:58" ht="42">
      <c r="A81" s="69" t="s">
        <v>1608</v>
      </c>
      <c r="B81" s="69" t="s">
        <v>1609</v>
      </c>
      <c r="C81" s="69"/>
      <c r="D81" s="69"/>
      <c r="E81" s="69" t="s">
        <v>1610</v>
      </c>
      <c r="F81" s="69" t="s">
        <v>1551</v>
      </c>
      <c r="G81" s="69" t="s">
        <v>1358</v>
      </c>
      <c r="H81" s="69" t="s">
        <v>1185</v>
      </c>
      <c r="I81" s="69" t="s">
        <v>1611</v>
      </c>
      <c r="J81" s="69" t="s">
        <v>1214</v>
      </c>
      <c r="K81" s="69" t="s">
        <v>1187</v>
      </c>
      <c r="L81" s="69" t="s">
        <v>1219</v>
      </c>
      <c r="M81" s="69" t="s">
        <v>1270</v>
      </c>
      <c r="N81" s="69" t="s">
        <v>1219</v>
      </c>
      <c r="O81" s="69" t="s">
        <v>1217</v>
      </c>
      <c r="P81" s="69" t="s">
        <v>908</v>
      </c>
      <c r="Q81" s="70" t="s">
        <v>1219</v>
      </c>
      <c r="R81" s="70" t="s">
        <v>1219</v>
      </c>
      <c r="S81" s="70" t="s">
        <v>1219</v>
      </c>
      <c r="T81" s="70" t="s">
        <v>1219</v>
      </c>
      <c r="U81" s="70" t="s">
        <v>1219</v>
      </c>
      <c r="V81" s="70" t="s">
        <v>1219</v>
      </c>
      <c r="W81" s="70"/>
      <c r="X81" s="70" t="str">
        <f t="shared" si="14"/>
        <v>Belum Dinilai</v>
      </c>
      <c r="Y81" s="70" t="s">
        <v>1219</v>
      </c>
      <c r="Z81" s="74" t="str">
        <f t="shared" si="16"/>
        <v/>
      </c>
      <c r="AA81" s="74" t="str">
        <f t="shared" si="17"/>
        <v/>
      </c>
      <c r="AB81" s="74" t="str">
        <f t="shared" si="18"/>
        <v/>
      </c>
      <c r="AC81" s="71" t="s">
        <v>1219</v>
      </c>
      <c r="AD81" s="71" t="s">
        <v>1219</v>
      </c>
      <c r="AE81" s="71" t="s">
        <v>1219</v>
      </c>
      <c r="AF81" s="71" t="s">
        <v>1219</v>
      </c>
      <c r="AG81" s="71" t="s">
        <v>1219</v>
      </c>
      <c r="AH81" s="71" t="s">
        <v>1219</v>
      </c>
      <c r="AI81" s="71" t="s">
        <v>1219</v>
      </c>
      <c r="AJ81" s="71" t="s">
        <v>1219</v>
      </c>
      <c r="AK81" s="71" t="s">
        <v>1219</v>
      </c>
      <c r="AL81" s="71"/>
      <c r="AM81" s="71" t="s">
        <v>1219</v>
      </c>
      <c r="AN81" s="71" t="str">
        <f t="shared" si="15"/>
        <v>Belum Dinilai</v>
      </c>
      <c r="AO81" s="71" t="str">
        <f t="shared" si="19"/>
        <v>Belum Dinilai</v>
      </c>
      <c r="AP81" s="71"/>
      <c r="AQ81" s="75" t="str">
        <f t="shared" si="20"/>
        <v/>
      </c>
      <c r="AR81" s="75" t="str">
        <f t="shared" si="21"/>
        <v/>
      </c>
      <c r="AS81" s="75" t="str">
        <f t="shared" si="22"/>
        <v/>
      </c>
      <c r="AT81" s="72" t="str">
        <f t="shared" si="23"/>
        <v>Belum Dapat Ditentukan</v>
      </c>
      <c r="AU81" s="69" t="s">
        <v>1193</v>
      </c>
      <c r="AV81" s="69" t="s">
        <v>1208</v>
      </c>
      <c r="AW81" s="69" t="s">
        <v>1194</v>
      </c>
      <c r="AX81" s="69"/>
      <c r="AY81" s="69"/>
      <c r="AZ81" s="69" t="s">
        <v>930</v>
      </c>
      <c r="BA81" s="69"/>
      <c r="BB81" s="76"/>
      <c r="BC81" s="77">
        <v>2026</v>
      </c>
      <c r="BD81" s="69" t="s">
        <v>1197</v>
      </c>
      <c r="BE81" s="76">
        <v>46218</v>
      </c>
      <c r="BF81" s="69" t="s">
        <v>1282</v>
      </c>
    </row>
    <row r="82" spans="1:58" ht="28">
      <c r="A82" s="69" t="s">
        <v>1612</v>
      </c>
      <c r="B82" s="69" t="s">
        <v>1613</v>
      </c>
      <c r="C82" s="69"/>
      <c r="D82" s="69"/>
      <c r="E82" s="69" t="s">
        <v>1614</v>
      </c>
      <c r="F82" s="69" t="s">
        <v>1615</v>
      </c>
      <c r="G82" s="69" t="s">
        <v>1332</v>
      </c>
      <c r="H82" s="69" t="s">
        <v>1185</v>
      </c>
      <c r="I82" s="69" t="s">
        <v>1616</v>
      </c>
      <c r="J82" s="69" t="s">
        <v>1214</v>
      </c>
      <c r="K82" s="69" t="s">
        <v>1201</v>
      </c>
      <c r="L82" s="69" t="s">
        <v>1219</v>
      </c>
      <c r="M82" s="69" t="s">
        <v>1270</v>
      </c>
      <c r="N82" s="69" t="s">
        <v>1219</v>
      </c>
      <c r="O82" s="69" t="s">
        <v>1217</v>
      </c>
      <c r="P82" s="69" t="s">
        <v>908</v>
      </c>
      <c r="Q82" s="70" t="s">
        <v>1219</v>
      </c>
      <c r="R82" s="70" t="s">
        <v>1219</v>
      </c>
      <c r="S82" s="70" t="s">
        <v>1219</v>
      </c>
      <c r="T82" s="70" t="s">
        <v>1219</v>
      </c>
      <c r="U82" s="70" t="s">
        <v>1219</v>
      </c>
      <c r="V82" s="70" t="s">
        <v>1219</v>
      </c>
      <c r="W82" s="70"/>
      <c r="X82" s="70" t="str">
        <f t="shared" si="14"/>
        <v>Belum Dinilai</v>
      </c>
      <c r="Y82" s="70" t="s">
        <v>1219</v>
      </c>
      <c r="Z82" s="74" t="str">
        <f t="shared" si="16"/>
        <v/>
      </c>
      <c r="AA82" s="74" t="str">
        <f t="shared" si="17"/>
        <v/>
      </c>
      <c r="AB82" s="74" t="str">
        <f t="shared" si="18"/>
        <v/>
      </c>
      <c r="AC82" s="71" t="s">
        <v>1219</v>
      </c>
      <c r="AD82" s="71" t="s">
        <v>1219</v>
      </c>
      <c r="AE82" s="71" t="s">
        <v>1219</v>
      </c>
      <c r="AF82" s="71" t="s">
        <v>1219</v>
      </c>
      <c r="AG82" s="71" t="s">
        <v>1219</v>
      </c>
      <c r="AH82" s="71" t="s">
        <v>1219</v>
      </c>
      <c r="AI82" s="71" t="s">
        <v>1219</v>
      </c>
      <c r="AJ82" s="71" t="s">
        <v>1219</v>
      </c>
      <c r="AK82" s="71" t="s">
        <v>1219</v>
      </c>
      <c r="AL82" s="71"/>
      <c r="AM82" s="71" t="s">
        <v>1219</v>
      </c>
      <c r="AN82" s="71" t="str">
        <f t="shared" si="15"/>
        <v>Belum Dinilai</v>
      </c>
      <c r="AO82" s="71" t="str">
        <f t="shared" si="19"/>
        <v>Belum Dinilai</v>
      </c>
      <c r="AP82" s="71"/>
      <c r="AQ82" s="75" t="str">
        <f t="shared" si="20"/>
        <v/>
      </c>
      <c r="AR82" s="75" t="str">
        <f t="shared" si="21"/>
        <v/>
      </c>
      <c r="AS82" s="75" t="str">
        <f t="shared" si="22"/>
        <v/>
      </c>
      <c r="AT82" s="72" t="str">
        <f t="shared" si="23"/>
        <v>Belum Dapat Ditentukan</v>
      </c>
      <c r="AU82" s="69" t="s">
        <v>1193</v>
      </c>
      <c r="AV82" s="69" t="s">
        <v>1208</v>
      </c>
      <c r="AW82" s="69" t="s">
        <v>1194</v>
      </c>
      <c r="AX82" s="69"/>
      <c r="AY82" s="69"/>
      <c r="AZ82" s="69" t="s">
        <v>930</v>
      </c>
      <c r="BA82" s="69"/>
      <c r="BB82" s="76"/>
      <c r="BC82" s="77">
        <v>2026</v>
      </c>
      <c r="BD82" s="69" t="s">
        <v>1197</v>
      </c>
      <c r="BE82" s="76">
        <v>46218</v>
      </c>
      <c r="BF82" s="69" t="s">
        <v>1282</v>
      </c>
    </row>
    <row r="83" spans="1:58" ht="28">
      <c r="A83" s="69" t="s">
        <v>1617</v>
      </c>
      <c r="B83" s="69" t="s">
        <v>1618</v>
      </c>
      <c r="C83" s="69"/>
      <c r="D83" s="69"/>
      <c r="E83" s="69" t="s">
        <v>1614</v>
      </c>
      <c r="F83" s="69" t="s">
        <v>1615</v>
      </c>
      <c r="G83" s="69" t="s">
        <v>1332</v>
      </c>
      <c r="H83" s="69" t="s">
        <v>1199</v>
      </c>
      <c r="I83" s="69" t="s">
        <v>1619</v>
      </c>
      <c r="J83" s="69" t="s">
        <v>1267</v>
      </c>
      <c r="K83" s="69" t="s">
        <v>1281</v>
      </c>
      <c r="L83" s="69" t="s">
        <v>1219</v>
      </c>
      <c r="M83" s="69" t="s">
        <v>1281</v>
      </c>
      <c r="N83" s="69" t="s">
        <v>1219</v>
      </c>
      <c r="O83" s="69" t="s">
        <v>1281</v>
      </c>
      <c r="P83" s="69" t="s">
        <v>1219</v>
      </c>
      <c r="Q83" s="70" t="s">
        <v>1219</v>
      </c>
      <c r="R83" s="70" t="s">
        <v>1219</v>
      </c>
      <c r="S83" s="70" t="s">
        <v>1219</v>
      </c>
      <c r="T83" s="70" t="s">
        <v>1219</v>
      </c>
      <c r="U83" s="70" t="s">
        <v>1219</v>
      </c>
      <c r="V83" s="70" t="s">
        <v>1219</v>
      </c>
      <c r="W83" s="70"/>
      <c r="X83" s="70" t="str">
        <f t="shared" si="14"/>
        <v>Belum Dinilai</v>
      </c>
      <c r="Y83" s="70" t="s">
        <v>1219</v>
      </c>
      <c r="Z83" s="74" t="str">
        <f t="shared" si="16"/>
        <v/>
      </c>
      <c r="AA83" s="74" t="str">
        <f t="shared" si="17"/>
        <v/>
      </c>
      <c r="AB83" s="74" t="str">
        <f t="shared" si="18"/>
        <v/>
      </c>
      <c r="AC83" s="71" t="s">
        <v>1219</v>
      </c>
      <c r="AD83" s="71" t="s">
        <v>1219</v>
      </c>
      <c r="AE83" s="71" t="s">
        <v>1219</v>
      </c>
      <c r="AF83" s="71" t="s">
        <v>1219</v>
      </c>
      <c r="AG83" s="71" t="s">
        <v>1219</v>
      </c>
      <c r="AH83" s="71" t="s">
        <v>1219</v>
      </c>
      <c r="AI83" s="71" t="s">
        <v>1219</v>
      </c>
      <c r="AJ83" s="71" t="s">
        <v>1219</v>
      </c>
      <c r="AK83" s="71" t="s">
        <v>1219</v>
      </c>
      <c r="AL83" s="71"/>
      <c r="AM83" s="71" t="s">
        <v>1219</v>
      </c>
      <c r="AN83" s="71" t="str">
        <f t="shared" si="15"/>
        <v>Belum Dinilai</v>
      </c>
      <c r="AO83" s="71" t="str">
        <f t="shared" si="19"/>
        <v>Belum Dinilai</v>
      </c>
      <c r="AP83" s="71"/>
      <c r="AQ83" s="75" t="str">
        <f t="shared" si="20"/>
        <v/>
      </c>
      <c r="AR83" s="75" t="str">
        <f t="shared" si="21"/>
        <v/>
      </c>
      <c r="AS83" s="75" t="str">
        <f t="shared" si="22"/>
        <v/>
      </c>
      <c r="AT83" s="72" t="str">
        <f t="shared" si="23"/>
        <v>Belum Dapat Ditentukan</v>
      </c>
      <c r="AU83" s="69" t="s">
        <v>1193</v>
      </c>
      <c r="AV83" s="69" t="s">
        <v>1208</v>
      </c>
      <c r="AW83" s="69" t="s">
        <v>1194</v>
      </c>
      <c r="AX83" s="69"/>
      <c r="AY83" s="69"/>
      <c r="AZ83" s="69" t="s">
        <v>930</v>
      </c>
      <c r="BA83" s="69"/>
      <c r="BB83" s="76"/>
      <c r="BC83" s="77">
        <v>2026</v>
      </c>
      <c r="BD83" s="69" t="s">
        <v>1197</v>
      </c>
      <c r="BE83" s="76">
        <v>46218</v>
      </c>
      <c r="BF83" s="69" t="s">
        <v>1282</v>
      </c>
    </row>
    <row r="84" spans="1:58" ht="28">
      <c r="A84" s="69" t="s">
        <v>1620</v>
      </c>
      <c r="B84" s="69" t="s">
        <v>1621</v>
      </c>
      <c r="C84" s="69"/>
      <c r="D84" s="69"/>
      <c r="E84" s="69" t="s">
        <v>1622</v>
      </c>
      <c r="F84" s="69" t="s">
        <v>1623</v>
      </c>
      <c r="G84" s="69" t="s">
        <v>1332</v>
      </c>
      <c r="H84" s="69" t="s">
        <v>1185</v>
      </c>
      <c r="I84" s="69" t="s">
        <v>1624</v>
      </c>
      <c r="J84" s="69" t="s">
        <v>1267</v>
      </c>
      <c r="K84" s="69" t="s">
        <v>1297</v>
      </c>
      <c r="L84" s="69" t="s">
        <v>1219</v>
      </c>
      <c r="M84" s="69" t="s">
        <v>1281</v>
      </c>
      <c r="N84" s="69" t="s">
        <v>1219</v>
      </c>
      <c r="O84" s="69" t="s">
        <v>1281</v>
      </c>
      <c r="P84" s="69" t="s">
        <v>1219</v>
      </c>
      <c r="Q84" s="70" t="s">
        <v>1219</v>
      </c>
      <c r="R84" s="70" t="s">
        <v>1219</v>
      </c>
      <c r="S84" s="70" t="s">
        <v>1219</v>
      </c>
      <c r="T84" s="70" t="s">
        <v>1219</v>
      </c>
      <c r="U84" s="70" t="s">
        <v>1219</v>
      </c>
      <c r="V84" s="70" t="s">
        <v>1219</v>
      </c>
      <c r="W84" s="70"/>
      <c r="X84" s="70" t="str">
        <f t="shared" si="14"/>
        <v>Belum Dinilai</v>
      </c>
      <c r="Y84" s="70" t="s">
        <v>1219</v>
      </c>
      <c r="Z84" s="74" t="str">
        <f t="shared" si="16"/>
        <v/>
      </c>
      <c r="AA84" s="74" t="str">
        <f t="shared" si="17"/>
        <v/>
      </c>
      <c r="AB84" s="74" t="str">
        <f t="shared" si="18"/>
        <v/>
      </c>
      <c r="AC84" s="71" t="s">
        <v>1219</v>
      </c>
      <c r="AD84" s="71" t="s">
        <v>1219</v>
      </c>
      <c r="AE84" s="71" t="s">
        <v>1219</v>
      </c>
      <c r="AF84" s="71" t="s">
        <v>1219</v>
      </c>
      <c r="AG84" s="71" t="s">
        <v>1219</v>
      </c>
      <c r="AH84" s="71" t="s">
        <v>1219</v>
      </c>
      <c r="AI84" s="71" t="s">
        <v>1219</v>
      </c>
      <c r="AJ84" s="71" t="s">
        <v>1219</v>
      </c>
      <c r="AK84" s="71" t="s">
        <v>1219</v>
      </c>
      <c r="AL84" s="71"/>
      <c r="AM84" s="71" t="s">
        <v>1219</v>
      </c>
      <c r="AN84" s="71" t="str">
        <f t="shared" si="15"/>
        <v>Belum Dinilai</v>
      </c>
      <c r="AO84" s="71" t="str">
        <f t="shared" si="19"/>
        <v>Belum Dinilai</v>
      </c>
      <c r="AP84" s="71"/>
      <c r="AQ84" s="75" t="str">
        <f t="shared" si="20"/>
        <v/>
      </c>
      <c r="AR84" s="75" t="str">
        <f t="shared" si="21"/>
        <v/>
      </c>
      <c r="AS84" s="75" t="str">
        <f t="shared" si="22"/>
        <v/>
      </c>
      <c r="AT84" s="72" t="str">
        <f t="shared" si="23"/>
        <v>Belum Dapat Ditentukan</v>
      </c>
      <c r="AU84" s="69" t="s">
        <v>1207</v>
      </c>
      <c r="AV84" s="69" t="s">
        <v>1208</v>
      </c>
      <c r="AW84" s="69" t="s">
        <v>1271</v>
      </c>
      <c r="AX84" s="69" t="s">
        <v>1287</v>
      </c>
      <c r="AY84" s="69">
        <v>2024</v>
      </c>
      <c r="AZ84" s="69" t="s">
        <v>930</v>
      </c>
      <c r="BA84" s="69"/>
      <c r="BB84" s="76"/>
      <c r="BC84" s="77">
        <v>2026</v>
      </c>
      <c r="BD84" s="69" t="s">
        <v>1197</v>
      </c>
      <c r="BE84" s="76">
        <v>46218</v>
      </c>
      <c r="BF84" s="69" t="s">
        <v>1282</v>
      </c>
    </row>
    <row r="85" spans="1:58" ht="28">
      <c r="A85" s="69" t="s">
        <v>1625</v>
      </c>
      <c r="B85" s="69" t="s">
        <v>1626</v>
      </c>
      <c r="C85" s="69"/>
      <c r="D85" s="69"/>
      <c r="E85" s="69" t="s">
        <v>1542</v>
      </c>
      <c r="F85" s="69" t="s">
        <v>1487</v>
      </c>
      <c r="G85" s="69" t="s">
        <v>1317</v>
      </c>
      <c r="H85" s="69" t="s">
        <v>1199</v>
      </c>
      <c r="I85" s="69" t="s">
        <v>1627</v>
      </c>
      <c r="J85" s="69" t="s">
        <v>1267</v>
      </c>
      <c r="K85" s="69" t="s">
        <v>1281</v>
      </c>
      <c r="L85" s="69" t="s">
        <v>1219</v>
      </c>
      <c r="M85" s="69" t="s">
        <v>1281</v>
      </c>
      <c r="N85" s="69" t="s">
        <v>1219</v>
      </c>
      <c r="O85" s="69" t="s">
        <v>1189</v>
      </c>
      <c r="P85" s="69" t="s">
        <v>1219</v>
      </c>
      <c r="Q85" s="70" t="s">
        <v>1219</v>
      </c>
      <c r="R85" s="70" t="s">
        <v>1219</v>
      </c>
      <c r="S85" s="70" t="s">
        <v>1219</v>
      </c>
      <c r="T85" s="70" t="s">
        <v>1219</v>
      </c>
      <c r="U85" s="70" t="s">
        <v>1219</v>
      </c>
      <c r="V85" s="70" t="s">
        <v>1219</v>
      </c>
      <c r="W85" s="70"/>
      <c r="X85" s="70" t="str">
        <f t="shared" si="14"/>
        <v>Belum Dinilai</v>
      </c>
      <c r="Y85" s="70" t="s">
        <v>1219</v>
      </c>
      <c r="Z85" s="74" t="str">
        <f t="shared" si="16"/>
        <v/>
      </c>
      <c r="AA85" s="74" t="str">
        <f t="shared" si="17"/>
        <v/>
      </c>
      <c r="AB85" s="74" t="str">
        <f t="shared" si="18"/>
        <v/>
      </c>
      <c r="AC85" s="71" t="s">
        <v>1219</v>
      </c>
      <c r="AD85" s="71" t="s">
        <v>1219</v>
      </c>
      <c r="AE85" s="71" t="s">
        <v>1219</v>
      </c>
      <c r="AF85" s="71" t="s">
        <v>1219</v>
      </c>
      <c r="AG85" s="71" t="s">
        <v>1219</v>
      </c>
      <c r="AH85" s="71" t="s">
        <v>1219</v>
      </c>
      <c r="AI85" s="71" t="s">
        <v>1219</v>
      </c>
      <c r="AJ85" s="71" t="s">
        <v>1219</v>
      </c>
      <c r="AK85" s="71" t="s">
        <v>1219</v>
      </c>
      <c r="AL85" s="71"/>
      <c r="AM85" s="71" t="s">
        <v>1219</v>
      </c>
      <c r="AN85" s="71" t="str">
        <f t="shared" si="15"/>
        <v>Belum Dinilai</v>
      </c>
      <c r="AO85" s="71" t="str">
        <f t="shared" si="19"/>
        <v>Belum Dinilai</v>
      </c>
      <c r="AP85" s="71"/>
      <c r="AQ85" s="75" t="str">
        <f t="shared" si="20"/>
        <v/>
      </c>
      <c r="AR85" s="75" t="str">
        <f t="shared" si="21"/>
        <v/>
      </c>
      <c r="AS85" s="75" t="str">
        <f t="shared" si="22"/>
        <v/>
      </c>
      <c r="AT85" s="72" t="str">
        <f t="shared" si="23"/>
        <v>Belum Dapat Ditentukan</v>
      </c>
      <c r="AU85" s="69" t="s">
        <v>1193</v>
      </c>
      <c r="AV85" s="69" t="s">
        <v>1208</v>
      </c>
      <c r="AW85" s="69" t="s">
        <v>1194</v>
      </c>
      <c r="AX85" s="69"/>
      <c r="AY85" s="69"/>
      <c r="AZ85" s="69" t="s">
        <v>930</v>
      </c>
      <c r="BA85" s="69"/>
      <c r="BB85" s="76"/>
      <c r="BC85" s="77">
        <v>2026</v>
      </c>
      <c r="BD85" s="69" t="s">
        <v>1197</v>
      </c>
      <c r="BE85" s="76">
        <v>46218</v>
      </c>
      <c r="BF85" s="69" t="s">
        <v>1282</v>
      </c>
    </row>
    <row r="86" spans="1:58" ht="28">
      <c r="A86" s="69" t="s">
        <v>1628</v>
      </c>
      <c r="B86" s="69" t="s">
        <v>1629</v>
      </c>
      <c r="C86" s="69"/>
      <c r="D86" s="69"/>
      <c r="E86" s="69" t="s">
        <v>1630</v>
      </c>
      <c r="F86" s="69" t="s">
        <v>1487</v>
      </c>
      <c r="G86" s="69" t="s">
        <v>1317</v>
      </c>
      <c r="H86" s="69" t="s">
        <v>1199</v>
      </c>
      <c r="I86" s="69" t="s">
        <v>1631</v>
      </c>
      <c r="J86" s="69" t="s">
        <v>1186</v>
      </c>
      <c r="K86" s="69" t="s">
        <v>1281</v>
      </c>
      <c r="L86" s="69" t="s">
        <v>1219</v>
      </c>
      <c r="M86" s="69" t="s">
        <v>1216</v>
      </c>
      <c r="N86" s="69" t="s">
        <v>1219</v>
      </c>
      <c r="O86" s="69" t="s">
        <v>1217</v>
      </c>
      <c r="P86" s="69" t="s">
        <v>1219</v>
      </c>
      <c r="Q86" s="70" t="s">
        <v>1219</v>
      </c>
      <c r="R86" s="70" t="s">
        <v>1219</v>
      </c>
      <c r="S86" s="70" t="s">
        <v>1219</v>
      </c>
      <c r="T86" s="70" t="s">
        <v>1219</v>
      </c>
      <c r="U86" s="70" t="s">
        <v>1219</v>
      </c>
      <c r="V86" s="70" t="s">
        <v>1219</v>
      </c>
      <c r="W86" s="70"/>
      <c r="X86" s="70" t="str">
        <f t="shared" si="14"/>
        <v>Belum Dinilai</v>
      </c>
      <c r="Y86" s="70" t="s">
        <v>1219</v>
      </c>
      <c r="Z86" s="74" t="str">
        <f t="shared" si="16"/>
        <v/>
      </c>
      <c r="AA86" s="74" t="str">
        <f t="shared" si="17"/>
        <v/>
      </c>
      <c r="AB86" s="74" t="str">
        <f t="shared" si="18"/>
        <v/>
      </c>
      <c r="AC86" s="71" t="s">
        <v>1219</v>
      </c>
      <c r="AD86" s="71" t="s">
        <v>1219</v>
      </c>
      <c r="AE86" s="71" t="s">
        <v>1219</v>
      </c>
      <c r="AF86" s="71" t="s">
        <v>1219</v>
      </c>
      <c r="AG86" s="71" t="s">
        <v>1219</v>
      </c>
      <c r="AH86" s="71" t="s">
        <v>1219</v>
      </c>
      <c r="AI86" s="71" t="s">
        <v>1219</v>
      </c>
      <c r="AJ86" s="71" t="s">
        <v>1219</v>
      </c>
      <c r="AK86" s="71" t="s">
        <v>1219</v>
      </c>
      <c r="AL86" s="71"/>
      <c r="AM86" s="71" t="s">
        <v>1219</v>
      </c>
      <c r="AN86" s="71" t="str">
        <f t="shared" si="15"/>
        <v>Belum Dinilai</v>
      </c>
      <c r="AO86" s="71" t="str">
        <f t="shared" si="19"/>
        <v>Belum Dinilai</v>
      </c>
      <c r="AP86" s="71"/>
      <c r="AQ86" s="75" t="str">
        <f t="shared" si="20"/>
        <v/>
      </c>
      <c r="AR86" s="75" t="str">
        <f t="shared" si="21"/>
        <v/>
      </c>
      <c r="AS86" s="75" t="str">
        <f t="shared" si="22"/>
        <v/>
      </c>
      <c r="AT86" s="72" t="str">
        <f t="shared" si="23"/>
        <v>Belum Dapat Ditentukan</v>
      </c>
      <c r="AU86" s="69" t="s">
        <v>1193</v>
      </c>
      <c r="AV86" s="69" t="s">
        <v>1208</v>
      </c>
      <c r="AW86" s="69" t="s">
        <v>1194</v>
      </c>
      <c r="AX86" s="69"/>
      <c r="AY86" s="69"/>
      <c r="AZ86" s="69" t="s">
        <v>930</v>
      </c>
      <c r="BA86" s="69"/>
      <c r="BB86" s="76"/>
      <c r="BC86" s="77">
        <v>2026</v>
      </c>
      <c r="BD86" s="69" t="s">
        <v>1197</v>
      </c>
      <c r="BE86" s="76">
        <v>46218</v>
      </c>
      <c r="BF86" s="69" t="s">
        <v>1282</v>
      </c>
    </row>
    <row r="87" spans="1:58" ht="28">
      <c r="A87" s="69" t="s">
        <v>1632</v>
      </c>
      <c r="B87" s="69" t="s">
        <v>1371</v>
      </c>
      <c r="C87" s="69"/>
      <c r="D87" s="69"/>
      <c r="E87" s="69" t="s">
        <v>1630</v>
      </c>
      <c r="F87" s="69" t="s">
        <v>1487</v>
      </c>
      <c r="G87" s="69" t="s">
        <v>1317</v>
      </c>
      <c r="H87" s="69" t="s">
        <v>1185</v>
      </c>
      <c r="I87" s="69" t="s">
        <v>1633</v>
      </c>
      <c r="J87" s="69" t="s">
        <v>1214</v>
      </c>
      <c r="K87" s="69" t="s">
        <v>1281</v>
      </c>
      <c r="L87" s="69" t="s">
        <v>898</v>
      </c>
      <c r="M87" s="69" t="s">
        <v>1270</v>
      </c>
      <c r="N87" s="69" t="s">
        <v>898</v>
      </c>
      <c r="O87" s="69" t="s">
        <v>1217</v>
      </c>
      <c r="P87" s="69" t="s">
        <v>898</v>
      </c>
      <c r="Q87" s="70" t="s">
        <v>1219</v>
      </c>
      <c r="R87" s="70" t="s">
        <v>1219</v>
      </c>
      <c r="S87" s="70" t="s">
        <v>1219</v>
      </c>
      <c r="T87" s="70" t="s">
        <v>1219</v>
      </c>
      <c r="U87" s="70" t="s">
        <v>1219</v>
      </c>
      <c r="V87" s="70" t="s">
        <v>1219</v>
      </c>
      <c r="W87" s="70"/>
      <c r="X87" s="70" t="str">
        <f t="shared" si="14"/>
        <v>Belum Dinilai</v>
      </c>
      <c r="Y87" s="70" t="s">
        <v>1219</v>
      </c>
      <c r="Z87" s="74" t="str">
        <f t="shared" si="16"/>
        <v/>
      </c>
      <c r="AA87" s="74" t="str">
        <f t="shared" si="17"/>
        <v/>
      </c>
      <c r="AB87" s="74" t="str">
        <f t="shared" si="18"/>
        <v/>
      </c>
      <c r="AC87" s="71" t="s">
        <v>1219</v>
      </c>
      <c r="AD87" s="71" t="s">
        <v>1219</v>
      </c>
      <c r="AE87" s="71" t="s">
        <v>1219</v>
      </c>
      <c r="AF87" s="71" t="s">
        <v>1219</v>
      </c>
      <c r="AG87" s="71" t="s">
        <v>1219</v>
      </c>
      <c r="AH87" s="71" t="s">
        <v>1219</v>
      </c>
      <c r="AI87" s="71" t="s">
        <v>1219</v>
      </c>
      <c r="AJ87" s="71" t="s">
        <v>1219</v>
      </c>
      <c r="AK87" s="71" t="s">
        <v>1219</v>
      </c>
      <c r="AL87" s="71"/>
      <c r="AM87" s="71" t="s">
        <v>1219</v>
      </c>
      <c r="AN87" s="71" t="str">
        <f t="shared" si="15"/>
        <v>Belum Dinilai</v>
      </c>
      <c r="AO87" s="71" t="str">
        <f t="shared" si="19"/>
        <v>Belum Dinilai</v>
      </c>
      <c r="AP87" s="71"/>
      <c r="AQ87" s="75">
        <f t="shared" si="20"/>
        <v>57</v>
      </c>
      <c r="AR87" s="75" t="str">
        <f t="shared" si="21"/>
        <v/>
      </c>
      <c r="AS87" s="75" t="str">
        <f t="shared" si="22"/>
        <v/>
      </c>
      <c r="AT87" s="72" t="str">
        <f t="shared" si="23"/>
        <v>Belum Dapat Ditentukan</v>
      </c>
      <c r="AU87" s="69" t="s">
        <v>1193</v>
      </c>
      <c r="AV87" s="69" t="s">
        <v>1208</v>
      </c>
      <c r="AW87" s="69" t="s">
        <v>1271</v>
      </c>
      <c r="AX87" s="69" t="s">
        <v>1221</v>
      </c>
      <c r="AY87" s="69">
        <v>2023</v>
      </c>
      <c r="AZ87" s="69" t="s">
        <v>930</v>
      </c>
      <c r="BA87" s="69"/>
      <c r="BB87" s="76"/>
      <c r="BC87" s="77">
        <v>2026</v>
      </c>
      <c r="BD87" s="69" t="s">
        <v>1197</v>
      </c>
      <c r="BE87" s="76">
        <v>46218</v>
      </c>
      <c r="BF87" s="69" t="s">
        <v>1282</v>
      </c>
    </row>
    <row r="88" spans="1:58" ht="28">
      <c r="A88" s="69" t="s">
        <v>1634</v>
      </c>
      <c r="B88" s="69" t="s">
        <v>1635</v>
      </c>
      <c r="C88" s="69"/>
      <c r="D88" s="69"/>
      <c r="E88" s="69" t="s">
        <v>1636</v>
      </c>
      <c r="F88" s="69" t="s">
        <v>1487</v>
      </c>
      <c r="G88" s="69" t="s">
        <v>1317</v>
      </c>
      <c r="H88" s="69" t="s">
        <v>1185</v>
      </c>
      <c r="I88" s="69" t="s">
        <v>1637</v>
      </c>
      <c r="J88" s="69" t="s">
        <v>1214</v>
      </c>
      <c r="K88" s="69" t="s">
        <v>1281</v>
      </c>
      <c r="L88" s="69" t="s">
        <v>1219</v>
      </c>
      <c r="M88" s="69" t="s">
        <v>1270</v>
      </c>
      <c r="N88" s="69" t="s">
        <v>898</v>
      </c>
      <c r="O88" s="69" t="s">
        <v>1217</v>
      </c>
      <c r="P88" s="69" t="s">
        <v>898</v>
      </c>
      <c r="Q88" s="70" t="s">
        <v>1219</v>
      </c>
      <c r="R88" s="70" t="s">
        <v>1219</v>
      </c>
      <c r="S88" s="70" t="s">
        <v>1219</v>
      </c>
      <c r="T88" s="70" t="s">
        <v>1219</v>
      </c>
      <c r="U88" s="70" t="s">
        <v>1219</v>
      </c>
      <c r="V88" s="70" t="s">
        <v>1219</v>
      </c>
      <c r="W88" s="70"/>
      <c r="X88" s="70" t="str">
        <f t="shared" si="14"/>
        <v>Belum Dinilai</v>
      </c>
      <c r="Y88" s="70" t="s">
        <v>1219</v>
      </c>
      <c r="Z88" s="74" t="str">
        <f t="shared" si="16"/>
        <v/>
      </c>
      <c r="AA88" s="74" t="str">
        <f t="shared" si="17"/>
        <v/>
      </c>
      <c r="AB88" s="74" t="str">
        <f t="shared" si="18"/>
        <v/>
      </c>
      <c r="AC88" s="71" t="s">
        <v>1219</v>
      </c>
      <c r="AD88" s="71" t="s">
        <v>1219</v>
      </c>
      <c r="AE88" s="71" t="s">
        <v>1219</v>
      </c>
      <c r="AF88" s="71" t="s">
        <v>1219</v>
      </c>
      <c r="AG88" s="71" t="s">
        <v>1219</v>
      </c>
      <c r="AH88" s="71" t="s">
        <v>1219</v>
      </c>
      <c r="AI88" s="71" t="s">
        <v>1219</v>
      </c>
      <c r="AJ88" s="71" t="s">
        <v>1219</v>
      </c>
      <c r="AK88" s="71" t="s">
        <v>1219</v>
      </c>
      <c r="AL88" s="71"/>
      <c r="AM88" s="71" t="s">
        <v>1219</v>
      </c>
      <c r="AN88" s="71" t="str">
        <f t="shared" si="15"/>
        <v>Belum Dinilai</v>
      </c>
      <c r="AO88" s="71" t="str">
        <f t="shared" si="19"/>
        <v>Belum Dinilai</v>
      </c>
      <c r="AP88" s="71"/>
      <c r="AQ88" s="75" t="str">
        <f t="shared" si="20"/>
        <v/>
      </c>
      <c r="AR88" s="75" t="str">
        <f t="shared" si="21"/>
        <v/>
      </c>
      <c r="AS88" s="75" t="str">
        <f t="shared" si="22"/>
        <v/>
      </c>
      <c r="AT88" s="72" t="str">
        <f t="shared" si="23"/>
        <v>Belum Dapat Ditentukan</v>
      </c>
      <c r="AU88" s="69" t="s">
        <v>1193</v>
      </c>
      <c r="AV88" s="69" t="s">
        <v>1208</v>
      </c>
      <c r="AW88" s="69" t="s">
        <v>1194</v>
      </c>
      <c r="AX88" s="69"/>
      <c r="AY88" s="69"/>
      <c r="AZ88" s="69" t="s">
        <v>930</v>
      </c>
      <c r="BA88" s="69"/>
      <c r="BB88" s="76"/>
      <c r="BC88" s="77">
        <v>2026</v>
      </c>
      <c r="BD88" s="69" t="s">
        <v>1197</v>
      </c>
      <c r="BE88" s="76">
        <v>46218</v>
      </c>
      <c r="BF88" s="69" t="s">
        <v>1282</v>
      </c>
    </row>
    <row r="89" spans="1:58" ht="28">
      <c r="A89" s="69" t="s">
        <v>1638</v>
      </c>
      <c r="B89" s="69" t="s">
        <v>1639</v>
      </c>
      <c r="C89" s="69"/>
      <c r="D89" s="69"/>
      <c r="E89" s="69" t="s">
        <v>1640</v>
      </c>
      <c r="F89" s="69" t="s">
        <v>1641</v>
      </c>
      <c r="G89" s="69" t="s">
        <v>1317</v>
      </c>
      <c r="H89" s="69" t="s">
        <v>1185</v>
      </c>
      <c r="I89" s="69" t="s">
        <v>1637</v>
      </c>
      <c r="J89" s="69" t="s">
        <v>1214</v>
      </c>
      <c r="K89" s="69" t="s">
        <v>1281</v>
      </c>
      <c r="L89" s="69" t="s">
        <v>1219</v>
      </c>
      <c r="M89" s="69" t="s">
        <v>1270</v>
      </c>
      <c r="N89" s="69" t="s">
        <v>898</v>
      </c>
      <c r="O89" s="69" t="s">
        <v>1217</v>
      </c>
      <c r="P89" s="69" t="s">
        <v>898</v>
      </c>
      <c r="Q89" s="70" t="s">
        <v>1219</v>
      </c>
      <c r="R89" s="70" t="s">
        <v>1219</v>
      </c>
      <c r="S89" s="70" t="s">
        <v>1219</v>
      </c>
      <c r="T89" s="70" t="s">
        <v>1219</v>
      </c>
      <c r="U89" s="70" t="s">
        <v>1219</v>
      </c>
      <c r="V89" s="70" t="s">
        <v>1219</v>
      </c>
      <c r="W89" s="70"/>
      <c r="X89" s="70" t="str">
        <f t="shared" si="14"/>
        <v>Belum Dinilai</v>
      </c>
      <c r="Y89" s="70" t="s">
        <v>1219</v>
      </c>
      <c r="Z89" s="74" t="str">
        <f t="shared" si="16"/>
        <v/>
      </c>
      <c r="AA89" s="74" t="str">
        <f t="shared" si="17"/>
        <v/>
      </c>
      <c r="AB89" s="74" t="str">
        <f t="shared" si="18"/>
        <v/>
      </c>
      <c r="AC89" s="71" t="s">
        <v>1219</v>
      </c>
      <c r="AD89" s="71" t="s">
        <v>1219</v>
      </c>
      <c r="AE89" s="71" t="s">
        <v>1219</v>
      </c>
      <c r="AF89" s="71" t="s">
        <v>1219</v>
      </c>
      <c r="AG89" s="71" t="s">
        <v>1219</v>
      </c>
      <c r="AH89" s="71" t="s">
        <v>1219</v>
      </c>
      <c r="AI89" s="71" t="s">
        <v>1219</v>
      </c>
      <c r="AJ89" s="71" t="s">
        <v>1219</v>
      </c>
      <c r="AK89" s="71" t="s">
        <v>1219</v>
      </c>
      <c r="AL89" s="71"/>
      <c r="AM89" s="71" t="s">
        <v>1219</v>
      </c>
      <c r="AN89" s="71" t="str">
        <f t="shared" si="15"/>
        <v>Belum Dinilai</v>
      </c>
      <c r="AO89" s="71" t="str">
        <f t="shared" si="19"/>
        <v>Belum Dinilai</v>
      </c>
      <c r="AP89" s="71"/>
      <c r="AQ89" s="75" t="str">
        <f t="shared" si="20"/>
        <v/>
      </c>
      <c r="AR89" s="75" t="str">
        <f t="shared" si="21"/>
        <v/>
      </c>
      <c r="AS89" s="75" t="str">
        <f t="shared" si="22"/>
        <v/>
      </c>
      <c r="AT89" s="72" t="str">
        <f t="shared" si="23"/>
        <v>Belum Dapat Ditentukan</v>
      </c>
      <c r="AU89" s="69" t="s">
        <v>1193</v>
      </c>
      <c r="AV89" s="69" t="s">
        <v>1208</v>
      </c>
      <c r="AW89" s="69" t="s">
        <v>1271</v>
      </c>
      <c r="AX89" s="69" t="s">
        <v>1210</v>
      </c>
      <c r="AY89" s="69">
        <v>2021</v>
      </c>
      <c r="AZ89" s="69" t="s">
        <v>930</v>
      </c>
      <c r="BA89" s="69"/>
      <c r="BB89" s="76"/>
      <c r="BC89" s="77">
        <v>2026</v>
      </c>
      <c r="BD89" s="69" t="s">
        <v>1197</v>
      </c>
      <c r="BE89" s="76">
        <v>46218</v>
      </c>
      <c r="BF89" s="69" t="s">
        <v>1282</v>
      </c>
    </row>
    <row r="90" spans="1:58" ht="28">
      <c r="A90" s="69" t="s">
        <v>1642</v>
      </c>
      <c r="B90" s="69" t="s">
        <v>1643</v>
      </c>
      <c r="C90" s="69"/>
      <c r="D90" s="69"/>
      <c r="E90" s="69" t="s">
        <v>1644</v>
      </c>
      <c r="F90" s="69" t="s">
        <v>1641</v>
      </c>
      <c r="G90" s="69" t="s">
        <v>1317</v>
      </c>
      <c r="H90" s="69" t="s">
        <v>1185</v>
      </c>
      <c r="I90" s="69" t="s">
        <v>1637</v>
      </c>
      <c r="J90" s="69" t="s">
        <v>1214</v>
      </c>
      <c r="K90" s="69" t="s">
        <v>1281</v>
      </c>
      <c r="L90" s="69" t="s">
        <v>1219</v>
      </c>
      <c r="M90" s="69" t="s">
        <v>1270</v>
      </c>
      <c r="N90" s="69" t="s">
        <v>898</v>
      </c>
      <c r="O90" s="69" t="s">
        <v>1217</v>
      </c>
      <c r="P90" s="69" t="s">
        <v>898</v>
      </c>
      <c r="Q90" s="70" t="s">
        <v>1219</v>
      </c>
      <c r="R90" s="70" t="s">
        <v>1219</v>
      </c>
      <c r="S90" s="70" t="s">
        <v>1219</v>
      </c>
      <c r="T90" s="70" t="s">
        <v>1219</v>
      </c>
      <c r="U90" s="70" t="s">
        <v>1219</v>
      </c>
      <c r="V90" s="70" t="s">
        <v>1219</v>
      </c>
      <c r="W90" s="70"/>
      <c r="X90" s="70" t="str">
        <f t="shared" si="14"/>
        <v>Belum Dinilai</v>
      </c>
      <c r="Y90" s="70" t="s">
        <v>1219</v>
      </c>
      <c r="Z90" s="74" t="str">
        <f t="shared" si="16"/>
        <v/>
      </c>
      <c r="AA90" s="74" t="str">
        <f t="shared" si="17"/>
        <v/>
      </c>
      <c r="AB90" s="74" t="str">
        <f t="shared" si="18"/>
        <v/>
      </c>
      <c r="AC90" s="71" t="s">
        <v>1219</v>
      </c>
      <c r="AD90" s="71" t="s">
        <v>1219</v>
      </c>
      <c r="AE90" s="71" t="s">
        <v>1219</v>
      </c>
      <c r="AF90" s="71" t="s">
        <v>1219</v>
      </c>
      <c r="AG90" s="71" t="s">
        <v>1219</v>
      </c>
      <c r="AH90" s="71" t="s">
        <v>1219</v>
      </c>
      <c r="AI90" s="71" t="s">
        <v>1219</v>
      </c>
      <c r="AJ90" s="71" t="s">
        <v>1219</v>
      </c>
      <c r="AK90" s="71" t="s">
        <v>1219</v>
      </c>
      <c r="AL90" s="71"/>
      <c r="AM90" s="71" t="s">
        <v>1219</v>
      </c>
      <c r="AN90" s="71" t="str">
        <f t="shared" si="15"/>
        <v>Belum Dinilai</v>
      </c>
      <c r="AO90" s="71" t="str">
        <f t="shared" si="19"/>
        <v>Belum Dinilai</v>
      </c>
      <c r="AP90" s="71"/>
      <c r="AQ90" s="75" t="str">
        <f t="shared" si="20"/>
        <v/>
      </c>
      <c r="AR90" s="75" t="str">
        <f t="shared" si="21"/>
        <v/>
      </c>
      <c r="AS90" s="75" t="str">
        <f t="shared" si="22"/>
        <v/>
      </c>
      <c r="AT90" s="72" t="str">
        <f t="shared" si="23"/>
        <v>Belum Dapat Ditentukan</v>
      </c>
      <c r="AU90" s="69" t="s">
        <v>1193</v>
      </c>
      <c r="AV90" s="69" t="s">
        <v>1208</v>
      </c>
      <c r="AW90" s="69" t="s">
        <v>1271</v>
      </c>
      <c r="AX90" s="69" t="s">
        <v>1210</v>
      </c>
      <c r="AY90" s="69">
        <v>2022</v>
      </c>
      <c r="AZ90" s="69" t="s">
        <v>930</v>
      </c>
      <c r="BA90" s="69"/>
      <c r="BB90" s="76"/>
      <c r="BC90" s="77">
        <v>2026</v>
      </c>
      <c r="BD90" s="69" t="s">
        <v>1197</v>
      </c>
      <c r="BE90" s="76">
        <v>46218</v>
      </c>
      <c r="BF90" s="69" t="s">
        <v>1282</v>
      </c>
    </row>
    <row r="91" spans="1:58" ht="28">
      <c r="A91" s="69" t="s">
        <v>1645</v>
      </c>
      <c r="B91" s="69" t="s">
        <v>1646</v>
      </c>
      <c r="C91" s="69"/>
      <c r="D91" s="69"/>
      <c r="E91" s="69" t="s">
        <v>1647</v>
      </c>
      <c r="F91" s="69" t="s">
        <v>1641</v>
      </c>
      <c r="G91" s="69" t="s">
        <v>1317</v>
      </c>
      <c r="H91" s="69" t="s">
        <v>1185</v>
      </c>
      <c r="I91" s="69" t="s">
        <v>1648</v>
      </c>
      <c r="J91" s="69" t="s">
        <v>1214</v>
      </c>
      <c r="K91" s="69" t="s">
        <v>1281</v>
      </c>
      <c r="L91" s="69" t="s">
        <v>1219</v>
      </c>
      <c r="M91" s="69" t="s">
        <v>1270</v>
      </c>
      <c r="N91" s="69" t="s">
        <v>1219</v>
      </c>
      <c r="O91" s="69" t="s">
        <v>1285</v>
      </c>
      <c r="P91" s="69" t="s">
        <v>1286</v>
      </c>
      <c r="Q91" s="70" t="s">
        <v>1219</v>
      </c>
      <c r="R91" s="70" t="s">
        <v>1219</v>
      </c>
      <c r="S91" s="70" t="s">
        <v>1219</v>
      </c>
      <c r="T91" s="70" t="s">
        <v>1219</v>
      </c>
      <c r="U91" s="70" t="s">
        <v>1219</v>
      </c>
      <c r="V91" s="70" t="s">
        <v>1219</v>
      </c>
      <c r="W91" s="70"/>
      <c r="X91" s="70" t="str">
        <f t="shared" si="14"/>
        <v>Belum Dinilai</v>
      </c>
      <c r="Y91" s="70" t="s">
        <v>1219</v>
      </c>
      <c r="Z91" s="74" t="str">
        <f t="shared" si="16"/>
        <v/>
      </c>
      <c r="AA91" s="74" t="str">
        <f t="shared" si="17"/>
        <v/>
      </c>
      <c r="AB91" s="74" t="str">
        <f t="shared" si="18"/>
        <v/>
      </c>
      <c r="AC91" s="71" t="s">
        <v>1219</v>
      </c>
      <c r="AD91" s="71" t="s">
        <v>1219</v>
      </c>
      <c r="AE91" s="71" t="s">
        <v>1219</v>
      </c>
      <c r="AF91" s="71" t="s">
        <v>1219</v>
      </c>
      <c r="AG91" s="71" t="s">
        <v>1219</v>
      </c>
      <c r="AH91" s="71" t="s">
        <v>1219</v>
      </c>
      <c r="AI91" s="71" t="s">
        <v>1219</v>
      </c>
      <c r="AJ91" s="71" t="s">
        <v>1219</v>
      </c>
      <c r="AK91" s="71" t="s">
        <v>1219</v>
      </c>
      <c r="AL91" s="71"/>
      <c r="AM91" s="71" t="s">
        <v>1219</v>
      </c>
      <c r="AN91" s="71" t="str">
        <f t="shared" si="15"/>
        <v>Belum Dinilai</v>
      </c>
      <c r="AO91" s="71" t="str">
        <f t="shared" si="19"/>
        <v>Belum Dinilai</v>
      </c>
      <c r="AP91" s="71"/>
      <c r="AQ91" s="75" t="str">
        <f t="shared" si="20"/>
        <v/>
      </c>
      <c r="AR91" s="75" t="str">
        <f t="shared" si="21"/>
        <v/>
      </c>
      <c r="AS91" s="75" t="str">
        <f t="shared" si="22"/>
        <v/>
      </c>
      <c r="AT91" s="72" t="str">
        <f t="shared" si="23"/>
        <v>Belum Dapat Ditentukan</v>
      </c>
      <c r="AU91" s="69" t="s">
        <v>1193</v>
      </c>
      <c r="AV91" s="69" t="s">
        <v>1208</v>
      </c>
      <c r="AW91" s="69" t="s">
        <v>1271</v>
      </c>
      <c r="AX91" s="69" t="s">
        <v>1210</v>
      </c>
      <c r="AY91" s="69">
        <v>2022</v>
      </c>
      <c r="AZ91" s="69" t="s">
        <v>930</v>
      </c>
      <c r="BA91" s="69"/>
      <c r="BB91" s="76"/>
      <c r="BC91" s="77">
        <v>2026</v>
      </c>
      <c r="BD91" s="69" t="s">
        <v>1197</v>
      </c>
      <c r="BE91" s="76">
        <v>46218</v>
      </c>
      <c r="BF91" s="69" t="s">
        <v>1282</v>
      </c>
    </row>
    <row r="92" spans="1:58" ht="28">
      <c r="A92" s="69" t="s">
        <v>1649</v>
      </c>
      <c r="B92" s="69" t="s">
        <v>1650</v>
      </c>
      <c r="C92" s="69"/>
      <c r="D92" s="69"/>
      <c r="E92" s="69" t="s">
        <v>1651</v>
      </c>
      <c r="F92" s="69" t="s">
        <v>1641</v>
      </c>
      <c r="G92" s="69" t="s">
        <v>1317</v>
      </c>
      <c r="H92" s="69" t="s">
        <v>1185</v>
      </c>
      <c r="I92" s="69" t="s">
        <v>1294</v>
      </c>
      <c r="J92" s="69" t="s">
        <v>1214</v>
      </c>
      <c r="K92" s="69" t="s">
        <v>1281</v>
      </c>
      <c r="L92" s="69" t="s">
        <v>1219</v>
      </c>
      <c r="M92" s="69" t="s">
        <v>1270</v>
      </c>
      <c r="N92" s="69" t="s">
        <v>1219</v>
      </c>
      <c r="O92" s="69" t="s">
        <v>1281</v>
      </c>
      <c r="P92" s="69" t="s">
        <v>1219</v>
      </c>
      <c r="Q92" s="70" t="s">
        <v>1219</v>
      </c>
      <c r="R92" s="70" t="s">
        <v>1219</v>
      </c>
      <c r="S92" s="70" t="s">
        <v>1219</v>
      </c>
      <c r="T92" s="70" t="s">
        <v>1219</v>
      </c>
      <c r="U92" s="70" t="s">
        <v>1219</v>
      </c>
      <c r="V92" s="70" t="s">
        <v>1219</v>
      </c>
      <c r="W92" s="70"/>
      <c r="X92" s="70" t="str">
        <f t="shared" si="14"/>
        <v>Belum Dinilai</v>
      </c>
      <c r="Y92" s="70" t="s">
        <v>1219</v>
      </c>
      <c r="Z92" s="74" t="str">
        <f t="shared" si="16"/>
        <v/>
      </c>
      <c r="AA92" s="74" t="str">
        <f t="shared" si="17"/>
        <v/>
      </c>
      <c r="AB92" s="74" t="str">
        <f t="shared" si="18"/>
        <v/>
      </c>
      <c r="AC92" s="71" t="s">
        <v>1219</v>
      </c>
      <c r="AD92" s="71" t="s">
        <v>1219</v>
      </c>
      <c r="AE92" s="71" t="s">
        <v>1219</v>
      </c>
      <c r="AF92" s="71" t="s">
        <v>1219</v>
      </c>
      <c r="AG92" s="71" t="s">
        <v>1219</v>
      </c>
      <c r="AH92" s="71" t="s">
        <v>1219</v>
      </c>
      <c r="AI92" s="71" t="s">
        <v>1219</v>
      </c>
      <c r="AJ92" s="71" t="s">
        <v>1219</v>
      </c>
      <c r="AK92" s="71" t="s">
        <v>1219</v>
      </c>
      <c r="AL92" s="71"/>
      <c r="AM92" s="71" t="s">
        <v>1219</v>
      </c>
      <c r="AN92" s="71" t="str">
        <f t="shared" si="15"/>
        <v>Belum Dinilai</v>
      </c>
      <c r="AO92" s="71" t="str">
        <f t="shared" si="19"/>
        <v>Belum Dinilai</v>
      </c>
      <c r="AP92" s="71"/>
      <c r="AQ92" s="75" t="str">
        <f t="shared" si="20"/>
        <v/>
      </c>
      <c r="AR92" s="75" t="str">
        <f t="shared" si="21"/>
        <v/>
      </c>
      <c r="AS92" s="75" t="str">
        <f t="shared" si="22"/>
        <v/>
      </c>
      <c r="AT92" s="72" t="str">
        <f t="shared" si="23"/>
        <v>Belum Dapat Ditentukan</v>
      </c>
      <c r="AU92" s="69" t="s">
        <v>1193</v>
      </c>
      <c r="AV92" s="69" t="s">
        <v>1208</v>
      </c>
      <c r="AW92" s="69" t="s">
        <v>1194</v>
      </c>
      <c r="AX92" s="69"/>
      <c r="AY92" s="69"/>
      <c r="AZ92" s="69" t="s">
        <v>930</v>
      </c>
      <c r="BA92" s="69"/>
      <c r="BB92" s="76"/>
      <c r="BC92" s="77">
        <v>2026</v>
      </c>
      <c r="BD92" s="69" t="s">
        <v>1197</v>
      </c>
      <c r="BE92" s="76">
        <v>46218</v>
      </c>
      <c r="BF92" s="69" t="s">
        <v>1282</v>
      </c>
    </row>
    <row r="93" spans="1:58" ht="28">
      <c r="A93" s="69" t="s">
        <v>1652</v>
      </c>
      <c r="B93" s="69" t="s">
        <v>1483</v>
      </c>
      <c r="C93" s="69"/>
      <c r="D93" s="69"/>
      <c r="E93" s="69" t="s">
        <v>1653</v>
      </c>
      <c r="F93" s="69" t="s">
        <v>1435</v>
      </c>
      <c r="G93" s="69" t="s">
        <v>1317</v>
      </c>
      <c r="H93" s="69" t="s">
        <v>1199</v>
      </c>
      <c r="I93" s="69" t="s">
        <v>1654</v>
      </c>
      <c r="J93" s="69" t="s">
        <v>1186</v>
      </c>
      <c r="K93" s="69" t="s">
        <v>1281</v>
      </c>
      <c r="L93" s="69" t="s">
        <v>1219</v>
      </c>
      <c r="M93" s="69" t="s">
        <v>1216</v>
      </c>
      <c r="N93" s="69" t="s">
        <v>1219</v>
      </c>
      <c r="O93" s="69" t="s">
        <v>1281</v>
      </c>
      <c r="P93" s="69" t="s">
        <v>1219</v>
      </c>
      <c r="Q93" s="70" t="s">
        <v>1219</v>
      </c>
      <c r="R93" s="70" t="s">
        <v>1219</v>
      </c>
      <c r="S93" s="70" t="s">
        <v>1219</v>
      </c>
      <c r="T93" s="70" t="s">
        <v>1219</v>
      </c>
      <c r="U93" s="70" t="s">
        <v>1219</v>
      </c>
      <c r="V93" s="70" t="s">
        <v>1219</v>
      </c>
      <c r="W93" s="70"/>
      <c r="X93" s="70" t="str">
        <f t="shared" si="14"/>
        <v>Belum Dinilai</v>
      </c>
      <c r="Y93" s="70" t="s">
        <v>1219</v>
      </c>
      <c r="Z93" s="74" t="str">
        <f t="shared" si="16"/>
        <v/>
      </c>
      <c r="AA93" s="74" t="str">
        <f t="shared" si="17"/>
        <v/>
      </c>
      <c r="AB93" s="74" t="str">
        <f t="shared" si="18"/>
        <v/>
      </c>
      <c r="AC93" s="71" t="s">
        <v>1219</v>
      </c>
      <c r="AD93" s="71" t="s">
        <v>1219</v>
      </c>
      <c r="AE93" s="71" t="s">
        <v>1219</v>
      </c>
      <c r="AF93" s="71" t="s">
        <v>1219</v>
      </c>
      <c r="AG93" s="71" t="s">
        <v>1219</v>
      </c>
      <c r="AH93" s="71" t="s">
        <v>1219</v>
      </c>
      <c r="AI93" s="71" t="s">
        <v>1219</v>
      </c>
      <c r="AJ93" s="71" t="s">
        <v>1219</v>
      </c>
      <c r="AK93" s="71" t="s">
        <v>1219</v>
      </c>
      <c r="AL93" s="71"/>
      <c r="AM93" s="71" t="s">
        <v>1219</v>
      </c>
      <c r="AN93" s="71" t="str">
        <f t="shared" si="15"/>
        <v>Belum Dinilai</v>
      </c>
      <c r="AO93" s="71" t="str">
        <f t="shared" si="19"/>
        <v>Belum Dinilai</v>
      </c>
      <c r="AP93" s="71"/>
      <c r="AQ93" s="75" t="str">
        <f t="shared" si="20"/>
        <v/>
      </c>
      <c r="AR93" s="75" t="str">
        <f t="shared" si="21"/>
        <v/>
      </c>
      <c r="AS93" s="75" t="str">
        <f t="shared" si="22"/>
        <v/>
      </c>
      <c r="AT93" s="72" t="str">
        <f t="shared" si="23"/>
        <v>Belum Dapat Ditentukan</v>
      </c>
      <c r="AU93" s="69" t="s">
        <v>1193</v>
      </c>
      <c r="AV93" s="69" t="s">
        <v>1208</v>
      </c>
      <c r="AW93" s="69" t="s">
        <v>1194</v>
      </c>
      <c r="AX93" s="69"/>
      <c r="AY93" s="69"/>
      <c r="AZ93" s="69" t="s">
        <v>930</v>
      </c>
      <c r="BA93" s="69"/>
      <c r="BB93" s="76"/>
      <c r="BC93" s="77">
        <v>2026</v>
      </c>
      <c r="BD93" s="69" t="s">
        <v>1197</v>
      </c>
      <c r="BE93" s="76">
        <v>46218</v>
      </c>
      <c r="BF93" s="69" t="s">
        <v>1282</v>
      </c>
    </row>
    <row r="94" spans="1:58" ht="42">
      <c r="A94" s="69" t="s">
        <v>1655</v>
      </c>
      <c r="B94" s="69" t="s">
        <v>1656</v>
      </c>
      <c r="C94" s="69"/>
      <c r="D94" s="69"/>
      <c r="E94" s="69" t="s">
        <v>1657</v>
      </c>
      <c r="F94" s="69" t="s">
        <v>1658</v>
      </c>
      <c r="G94" s="69" t="s">
        <v>1279</v>
      </c>
      <c r="H94" s="69" t="s">
        <v>1266</v>
      </c>
      <c r="I94" s="69" t="s">
        <v>1659</v>
      </c>
      <c r="J94" s="69" t="s">
        <v>1267</v>
      </c>
      <c r="K94" s="69" t="s">
        <v>1281</v>
      </c>
      <c r="L94" s="69" t="s">
        <v>1219</v>
      </c>
      <c r="M94" s="69" t="s">
        <v>1281</v>
      </c>
      <c r="N94" s="69" t="s">
        <v>1219</v>
      </c>
      <c r="O94" s="69" t="s">
        <v>1281</v>
      </c>
      <c r="P94" s="69" t="s">
        <v>1219</v>
      </c>
      <c r="Q94" s="70" t="s">
        <v>1219</v>
      </c>
      <c r="R94" s="70" t="s">
        <v>1219</v>
      </c>
      <c r="S94" s="70" t="s">
        <v>1219</v>
      </c>
      <c r="T94" s="70" t="s">
        <v>1219</v>
      </c>
      <c r="U94" s="70" t="s">
        <v>1219</v>
      </c>
      <c r="V94" s="70" t="s">
        <v>1219</v>
      </c>
      <c r="W94" s="70"/>
      <c r="X94" s="70" t="str">
        <f t="shared" si="14"/>
        <v>Belum Dinilai</v>
      </c>
      <c r="Y94" s="70" t="s">
        <v>1219</v>
      </c>
      <c r="Z94" s="74" t="str">
        <f t="shared" si="16"/>
        <v/>
      </c>
      <c r="AA94" s="74" t="str">
        <f t="shared" si="17"/>
        <v/>
      </c>
      <c r="AB94" s="74" t="str">
        <f t="shared" si="18"/>
        <v/>
      </c>
      <c r="AC94" s="71" t="s">
        <v>1219</v>
      </c>
      <c r="AD94" s="71" t="s">
        <v>1219</v>
      </c>
      <c r="AE94" s="71" t="s">
        <v>1219</v>
      </c>
      <c r="AF94" s="71" t="s">
        <v>1219</v>
      </c>
      <c r="AG94" s="71" t="s">
        <v>1219</v>
      </c>
      <c r="AH94" s="71" t="s">
        <v>1219</v>
      </c>
      <c r="AI94" s="71" t="s">
        <v>1219</v>
      </c>
      <c r="AJ94" s="71" t="s">
        <v>1219</v>
      </c>
      <c r="AK94" s="71" t="s">
        <v>1219</v>
      </c>
      <c r="AL94" s="71"/>
      <c r="AM94" s="71" t="s">
        <v>1219</v>
      </c>
      <c r="AN94" s="71" t="str">
        <f t="shared" si="15"/>
        <v>Belum Dinilai</v>
      </c>
      <c r="AO94" s="71" t="str">
        <f t="shared" si="19"/>
        <v>Belum Dinilai</v>
      </c>
      <c r="AP94" s="71"/>
      <c r="AQ94" s="75" t="str">
        <f t="shared" si="20"/>
        <v/>
      </c>
      <c r="AR94" s="75" t="str">
        <f t="shared" si="21"/>
        <v/>
      </c>
      <c r="AS94" s="75" t="str">
        <f t="shared" si="22"/>
        <v/>
      </c>
      <c r="AT94" s="72" t="str">
        <f t="shared" si="23"/>
        <v>Belum Dapat Ditentukan</v>
      </c>
      <c r="AU94" s="69" t="s">
        <v>1193</v>
      </c>
      <c r="AV94" s="69" t="s">
        <v>1208</v>
      </c>
      <c r="AW94" s="69" t="s">
        <v>1194</v>
      </c>
      <c r="AX94" s="69"/>
      <c r="AY94" s="69"/>
      <c r="AZ94" s="69" t="s">
        <v>1222</v>
      </c>
      <c r="BA94" s="69"/>
      <c r="BB94" s="76"/>
      <c r="BC94" s="77">
        <v>2026</v>
      </c>
      <c r="BD94" s="69" t="s">
        <v>1197</v>
      </c>
      <c r="BE94" s="76">
        <v>46218</v>
      </c>
      <c r="BF94" s="69" t="s">
        <v>1282</v>
      </c>
    </row>
    <row r="95" spans="1:58" ht="42">
      <c r="A95" s="69" t="s">
        <v>1660</v>
      </c>
      <c r="B95" s="69" t="s">
        <v>1661</v>
      </c>
      <c r="C95" s="69"/>
      <c r="D95" s="69"/>
      <c r="E95" s="69" t="s">
        <v>1657</v>
      </c>
      <c r="F95" s="69" t="s">
        <v>1658</v>
      </c>
      <c r="G95" s="69" t="s">
        <v>1279</v>
      </c>
      <c r="H95" s="69" t="s">
        <v>1266</v>
      </c>
      <c r="I95" s="69" t="s">
        <v>1662</v>
      </c>
      <c r="J95" s="69" t="s">
        <v>1267</v>
      </c>
      <c r="K95" s="69" t="s">
        <v>1281</v>
      </c>
      <c r="L95" s="69" t="s">
        <v>1219</v>
      </c>
      <c r="M95" s="69" t="s">
        <v>1281</v>
      </c>
      <c r="N95" s="69" t="s">
        <v>1219</v>
      </c>
      <c r="O95" s="69" t="s">
        <v>1281</v>
      </c>
      <c r="P95" s="69" t="s">
        <v>1219</v>
      </c>
      <c r="Q95" s="70" t="s">
        <v>1219</v>
      </c>
      <c r="R95" s="70" t="s">
        <v>1219</v>
      </c>
      <c r="S95" s="70" t="s">
        <v>1219</v>
      </c>
      <c r="T95" s="70" t="s">
        <v>1219</v>
      </c>
      <c r="U95" s="70" t="s">
        <v>1219</v>
      </c>
      <c r="V95" s="70" t="s">
        <v>1219</v>
      </c>
      <c r="W95" s="70"/>
      <c r="X95" s="70" t="str">
        <f t="shared" si="14"/>
        <v>Belum Dinilai</v>
      </c>
      <c r="Y95" s="70" t="s">
        <v>1219</v>
      </c>
      <c r="Z95" s="74" t="str">
        <f t="shared" si="16"/>
        <v/>
      </c>
      <c r="AA95" s="74" t="str">
        <f t="shared" si="17"/>
        <v/>
      </c>
      <c r="AB95" s="74" t="str">
        <f t="shared" si="18"/>
        <v/>
      </c>
      <c r="AC95" s="71" t="s">
        <v>1219</v>
      </c>
      <c r="AD95" s="71" t="s">
        <v>1219</v>
      </c>
      <c r="AE95" s="71" t="s">
        <v>1219</v>
      </c>
      <c r="AF95" s="71" t="s">
        <v>1219</v>
      </c>
      <c r="AG95" s="71" t="s">
        <v>1219</v>
      </c>
      <c r="AH95" s="71" t="s">
        <v>1219</v>
      </c>
      <c r="AI95" s="71" t="s">
        <v>1219</v>
      </c>
      <c r="AJ95" s="71" t="s">
        <v>1219</v>
      </c>
      <c r="AK95" s="71" t="s">
        <v>1219</v>
      </c>
      <c r="AL95" s="71"/>
      <c r="AM95" s="71" t="s">
        <v>1219</v>
      </c>
      <c r="AN95" s="71" t="str">
        <f t="shared" si="15"/>
        <v>Belum Dinilai</v>
      </c>
      <c r="AO95" s="71" t="str">
        <f t="shared" si="19"/>
        <v>Belum Dinilai</v>
      </c>
      <c r="AP95" s="71"/>
      <c r="AQ95" s="75" t="str">
        <f t="shared" si="20"/>
        <v/>
      </c>
      <c r="AR95" s="75" t="str">
        <f t="shared" si="21"/>
        <v/>
      </c>
      <c r="AS95" s="75" t="str">
        <f t="shared" si="22"/>
        <v/>
      </c>
      <c r="AT95" s="72" t="str">
        <f t="shared" si="23"/>
        <v>Belum Dapat Ditentukan</v>
      </c>
      <c r="AU95" s="69" t="s">
        <v>1193</v>
      </c>
      <c r="AV95" s="69" t="s">
        <v>1208</v>
      </c>
      <c r="AW95" s="69" t="s">
        <v>1194</v>
      </c>
      <c r="AX95" s="69"/>
      <c r="AY95" s="69"/>
      <c r="AZ95" s="69" t="s">
        <v>930</v>
      </c>
      <c r="BA95" s="69"/>
      <c r="BB95" s="76"/>
      <c r="BC95" s="77">
        <v>2026</v>
      </c>
      <c r="BD95" s="69" t="s">
        <v>1197</v>
      </c>
      <c r="BE95" s="76">
        <v>46218</v>
      </c>
      <c r="BF95" s="69" t="s">
        <v>1282</v>
      </c>
    </row>
    <row r="96" spans="1:58" ht="28">
      <c r="A96" s="69" t="s">
        <v>1663</v>
      </c>
      <c r="B96" s="69" t="s">
        <v>1664</v>
      </c>
      <c r="C96" s="69"/>
      <c r="D96" s="69"/>
      <c r="E96" s="69" t="s">
        <v>1311</v>
      </c>
      <c r="F96" s="69" t="s">
        <v>1326</v>
      </c>
      <c r="G96" s="69" t="s">
        <v>1293</v>
      </c>
      <c r="H96" s="69" t="s">
        <v>1266</v>
      </c>
      <c r="I96" s="69" t="s">
        <v>1665</v>
      </c>
      <c r="J96" s="69" t="s">
        <v>1267</v>
      </c>
      <c r="K96" s="69" t="s">
        <v>1281</v>
      </c>
      <c r="L96" s="69" t="s">
        <v>1219</v>
      </c>
      <c r="M96" s="69" t="s">
        <v>1281</v>
      </c>
      <c r="N96" s="69" t="s">
        <v>1219</v>
      </c>
      <c r="O96" s="69" t="s">
        <v>1281</v>
      </c>
      <c r="P96" s="69" t="s">
        <v>1219</v>
      </c>
      <c r="Q96" s="70" t="s">
        <v>1219</v>
      </c>
      <c r="R96" s="70" t="s">
        <v>1219</v>
      </c>
      <c r="S96" s="70" t="s">
        <v>1219</v>
      </c>
      <c r="T96" s="70" t="s">
        <v>1219</v>
      </c>
      <c r="U96" s="70" t="s">
        <v>1219</v>
      </c>
      <c r="V96" s="70" t="s">
        <v>1219</v>
      </c>
      <c r="W96" s="70"/>
      <c r="X96" s="70" t="str">
        <f t="shared" si="14"/>
        <v>Belum Dinilai</v>
      </c>
      <c r="Y96" s="70" t="s">
        <v>1219</v>
      </c>
      <c r="Z96" s="74" t="str">
        <f t="shared" si="16"/>
        <v/>
      </c>
      <c r="AA96" s="74" t="str">
        <f t="shared" si="17"/>
        <v/>
      </c>
      <c r="AB96" s="74" t="str">
        <f t="shared" si="18"/>
        <v/>
      </c>
      <c r="AC96" s="71" t="s">
        <v>1219</v>
      </c>
      <c r="AD96" s="71" t="s">
        <v>1219</v>
      </c>
      <c r="AE96" s="71" t="s">
        <v>1219</v>
      </c>
      <c r="AF96" s="71" t="s">
        <v>1219</v>
      </c>
      <c r="AG96" s="71" t="s">
        <v>1219</v>
      </c>
      <c r="AH96" s="71" t="s">
        <v>1219</v>
      </c>
      <c r="AI96" s="71" t="s">
        <v>1219</v>
      </c>
      <c r="AJ96" s="71" t="s">
        <v>1219</v>
      </c>
      <c r="AK96" s="71" t="s">
        <v>1219</v>
      </c>
      <c r="AL96" s="71"/>
      <c r="AM96" s="71" t="s">
        <v>1219</v>
      </c>
      <c r="AN96" s="71" t="str">
        <f t="shared" si="15"/>
        <v>Belum Dinilai</v>
      </c>
      <c r="AO96" s="71" t="str">
        <f t="shared" si="19"/>
        <v>Belum Dinilai</v>
      </c>
      <c r="AP96" s="71"/>
      <c r="AQ96" s="75" t="str">
        <f t="shared" si="20"/>
        <v/>
      </c>
      <c r="AR96" s="75" t="str">
        <f t="shared" si="21"/>
        <v/>
      </c>
      <c r="AS96" s="75" t="str">
        <f t="shared" si="22"/>
        <v/>
      </c>
      <c r="AT96" s="72" t="str">
        <f t="shared" si="23"/>
        <v>Belum Dapat Ditentukan</v>
      </c>
      <c r="AU96" s="69" t="s">
        <v>1193</v>
      </c>
      <c r="AV96" s="69" t="s">
        <v>1208</v>
      </c>
      <c r="AW96" s="69" t="s">
        <v>1194</v>
      </c>
      <c r="AX96" s="69"/>
      <c r="AY96" s="69"/>
      <c r="AZ96" s="69" t="s">
        <v>930</v>
      </c>
      <c r="BA96" s="69"/>
      <c r="BB96" s="76"/>
      <c r="BC96" s="77">
        <v>2026</v>
      </c>
      <c r="BD96" s="69" t="s">
        <v>1197</v>
      </c>
      <c r="BE96" s="76">
        <v>46218</v>
      </c>
      <c r="BF96" s="69" t="s">
        <v>1282</v>
      </c>
    </row>
    <row r="97" spans="1:58" ht="28">
      <c r="A97" s="69" t="s">
        <v>1666</v>
      </c>
      <c r="B97" s="69" t="s">
        <v>1667</v>
      </c>
      <c r="C97" s="69"/>
      <c r="D97" s="69"/>
      <c r="E97" s="69" t="s">
        <v>1668</v>
      </c>
      <c r="F97" s="69" t="s">
        <v>1487</v>
      </c>
      <c r="G97" s="69" t="s">
        <v>1317</v>
      </c>
      <c r="H97" s="69" t="s">
        <v>1266</v>
      </c>
      <c r="I97" s="69" t="s">
        <v>1669</v>
      </c>
      <c r="J97" s="69" t="s">
        <v>1267</v>
      </c>
      <c r="K97" s="69" t="s">
        <v>1281</v>
      </c>
      <c r="L97" s="69" t="s">
        <v>1219</v>
      </c>
      <c r="M97" s="69" t="s">
        <v>1281</v>
      </c>
      <c r="N97" s="69" t="s">
        <v>1219</v>
      </c>
      <c r="O97" s="69" t="s">
        <v>1281</v>
      </c>
      <c r="P97" s="69" t="s">
        <v>1219</v>
      </c>
      <c r="Q97" s="70" t="s">
        <v>1219</v>
      </c>
      <c r="R97" s="70" t="s">
        <v>1219</v>
      </c>
      <c r="S97" s="70" t="s">
        <v>1219</v>
      </c>
      <c r="T97" s="70" t="s">
        <v>1219</v>
      </c>
      <c r="U97" s="70" t="s">
        <v>1219</v>
      </c>
      <c r="V97" s="70" t="s">
        <v>1219</v>
      </c>
      <c r="W97" s="70"/>
      <c r="X97" s="70" t="str">
        <f t="shared" si="14"/>
        <v>Belum Dinilai</v>
      </c>
      <c r="Y97" s="70" t="s">
        <v>1219</v>
      </c>
      <c r="Z97" s="74" t="str">
        <f t="shared" si="16"/>
        <v/>
      </c>
      <c r="AA97" s="74" t="str">
        <f t="shared" si="17"/>
        <v/>
      </c>
      <c r="AB97" s="74" t="str">
        <f t="shared" si="18"/>
        <v/>
      </c>
      <c r="AC97" s="71" t="s">
        <v>1219</v>
      </c>
      <c r="AD97" s="71" t="s">
        <v>1219</v>
      </c>
      <c r="AE97" s="71" t="s">
        <v>1219</v>
      </c>
      <c r="AF97" s="71" t="s">
        <v>1219</v>
      </c>
      <c r="AG97" s="71" t="s">
        <v>1219</v>
      </c>
      <c r="AH97" s="71" t="s">
        <v>1219</v>
      </c>
      <c r="AI97" s="71" t="s">
        <v>1219</v>
      </c>
      <c r="AJ97" s="71" t="s">
        <v>1219</v>
      </c>
      <c r="AK97" s="71" t="s">
        <v>1219</v>
      </c>
      <c r="AL97" s="71"/>
      <c r="AM97" s="71" t="s">
        <v>1219</v>
      </c>
      <c r="AN97" s="71" t="str">
        <f t="shared" si="15"/>
        <v>Belum Dinilai</v>
      </c>
      <c r="AO97" s="71" t="str">
        <f t="shared" si="19"/>
        <v>Belum Dinilai</v>
      </c>
      <c r="AP97" s="71"/>
      <c r="AQ97" s="75" t="str">
        <f t="shared" si="20"/>
        <v/>
      </c>
      <c r="AR97" s="75" t="str">
        <f t="shared" si="21"/>
        <v/>
      </c>
      <c r="AS97" s="75" t="str">
        <f t="shared" si="22"/>
        <v/>
      </c>
      <c r="AT97" s="72" t="str">
        <f t="shared" si="23"/>
        <v>Belum Dapat Ditentukan</v>
      </c>
      <c r="AU97" s="69" t="s">
        <v>1193</v>
      </c>
      <c r="AV97" s="69" t="s">
        <v>1208</v>
      </c>
      <c r="AW97" s="69" t="s">
        <v>1194</v>
      </c>
      <c r="AX97" s="69"/>
      <c r="AY97" s="69"/>
      <c r="AZ97" s="69" t="s">
        <v>1222</v>
      </c>
      <c r="BA97" s="69"/>
      <c r="BB97" s="76"/>
      <c r="BC97" s="77">
        <v>2026</v>
      </c>
      <c r="BD97" s="69" t="s">
        <v>1197</v>
      </c>
      <c r="BE97" s="76">
        <v>46218</v>
      </c>
      <c r="BF97" s="69" t="s">
        <v>1282</v>
      </c>
    </row>
    <row r="98" spans="1:58" ht="42">
      <c r="A98" s="69" t="s">
        <v>1670</v>
      </c>
      <c r="B98" s="69" t="s">
        <v>1671</v>
      </c>
      <c r="C98" s="69"/>
      <c r="D98" s="69"/>
      <c r="E98" s="69" t="s">
        <v>1311</v>
      </c>
      <c r="F98" s="69" t="s">
        <v>1487</v>
      </c>
      <c r="G98" s="69" t="s">
        <v>1317</v>
      </c>
      <c r="H98" s="69" t="s">
        <v>1266</v>
      </c>
      <c r="I98" s="69" t="s">
        <v>1672</v>
      </c>
      <c r="J98" s="69" t="s">
        <v>1214</v>
      </c>
      <c r="K98" s="69" t="s">
        <v>1281</v>
      </c>
      <c r="L98" s="69" t="s">
        <v>898</v>
      </c>
      <c r="M98" s="69" t="s">
        <v>1270</v>
      </c>
      <c r="N98" s="69" t="s">
        <v>898</v>
      </c>
      <c r="O98" s="69" t="s">
        <v>1217</v>
      </c>
      <c r="P98" s="69" t="s">
        <v>898</v>
      </c>
      <c r="Q98" s="70" t="s">
        <v>1219</v>
      </c>
      <c r="R98" s="70" t="s">
        <v>1219</v>
      </c>
      <c r="S98" s="70" t="s">
        <v>1219</v>
      </c>
      <c r="T98" s="70" t="s">
        <v>1219</v>
      </c>
      <c r="U98" s="70" t="s">
        <v>1219</v>
      </c>
      <c r="V98" s="70" t="s">
        <v>1219</v>
      </c>
      <c r="W98" s="70"/>
      <c r="X98" s="70" t="str">
        <f t="shared" si="14"/>
        <v>Belum Dinilai</v>
      </c>
      <c r="Y98" s="70" t="s">
        <v>1219</v>
      </c>
      <c r="Z98" s="74" t="str">
        <f t="shared" si="16"/>
        <v/>
      </c>
      <c r="AA98" s="74" t="str">
        <f t="shared" si="17"/>
        <v/>
      </c>
      <c r="AB98" s="74" t="str">
        <f t="shared" si="18"/>
        <v/>
      </c>
      <c r="AC98" s="71" t="s">
        <v>1219</v>
      </c>
      <c r="AD98" s="71" t="s">
        <v>1219</v>
      </c>
      <c r="AE98" s="71" t="s">
        <v>1219</v>
      </c>
      <c r="AF98" s="71" t="s">
        <v>1219</v>
      </c>
      <c r="AG98" s="71" t="s">
        <v>1219</v>
      </c>
      <c r="AH98" s="71" t="s">
        <v>1219</v>
      </c>
      <c r="AI98" s="71" t="s">
        <v>1219</v>
      </c>
      <c r="AJ98" s="71" t="s">
        <v>1219</v>
      </c>
      <c r="AK98" s="71" t="s">
        <v>1219</v>
      </c>
      <c r="AL98" s="71"/>
      <c r="AM98" s="71" t="s">
        <v>1219</v>
      </c>
      <c r="AN98" s="71" t="str">
        <f t="shared" si="15"/>
        <v>Belum Dinilai</v>
      </c>
      <c r="AO98" s="71" t="str">
        <f t="shared" si="19"/>
        <v>Belum Dinilai</v>
      </c>
      <c r="AP98" s="71"/>
      <c r="AQ98" s="75">
        <f t="shared" si="20"/>
        <v>57</v>
      </c>
      <c r="AR98" s="75" t="str">
        <f t="shared" si="21"/>
        <v/>
      </c>
      <c r="AS98" s="75" t="str">
        <f t="shared" si="22"/>
        <v/>
      </c>
      <c r="AT98" s="72" t="str">
        <f t="shared" si="23"/>
        <v>Belum Dapat Ditentukan</v>
      </c>
      <c r="AU98" s="69" t="s">
        <v>1193</v>
      </c>
      <c r="AV98" s="69" t="s">
        <v>1208</v>
      </c>
      <c r="AW98" s="69" t="s">
        <v>1194</v>
      </c>
      <c r="AX98" s="69"/>
      <c r="AY98" s="69"/>
      <c r="AZ98" s="69" t="s">
        <v>1211</v>
      </c>
      <c r="BA98" s="69"/>
      <c r="BB98" s="76"/>
      <c r="BC98" s="77">
        <v>2026</v>
      </c>
      <c r="BD98" s="69" t="s">
        <v>1197</v>
      </c>
      <c r="BE98" s="76">
        <v>46218</v>
      </c>
      <c r="BF98" s="69" t="s">
        <v>1282</v>
      </c>
    </row>
    <row r="99" spans="1:58" ht="28">
      <c r="A99" s="69" t="s">
        <v>1673</v>
      </c>
      <c r="B99" s="69" t="s">
        <v>1674</v>
      </c>
      <c r="C99" s="69"/>
      <c r="D99" s="69"/>
      <c r="E99" s="69" t="s">
        <v>1675</v>
      </c>
      <c r="F99" s="69" t="s">
        <v>1487</v>
      </c>
      <c r="G99" s="69" t="s">
        <v>1317</v>
      </c>
      <c r="H99" s="69" t="s">
        <v>1185</v>
      </c>
      <c r="I99" s="69" t="s">
        <v>1676</v>
      </c>
      <c r="J99" s="69" t="s">
        <v>1214</v>
      </c>
      <c r="K99" s="69" t="s">
        <v>1281</v>
      </c>
      <c r="L99" s="69" t="s">
        <v>1219</v>
      </c>
      <c r="M99" s="69" t="s">
        <v>1270</v>
      </c>
      <c r="N99" s="69" t="s">
        <v>1219</v>
      </c>
      <c r="O99" s="69" t="s">
        <v>1217</v>
      </c>
      <c r="P99" s="69" t="s">
        <v>1219</v>
      </c>
      <c r="Q99" s="70" t="s">
        <v>1219</v>
      </c>
      <c r="R99" s="70" t="s">
        <v>1219</v>
      </c>
      <c r="S99" s="70" t="s">
        <v>1219</v>
      </c>
      <c r="T99" s="70" t="s">
        <v>1219</v>
      </c>
      <c r="U99" s="70" t="s">
        <v>1219</v>
      </c>
      <c r="V99" s="70" t="s">
        <v>1219</v>
      </c>
      <c r="W99" s="70"/>
      <c r="X99" s="70" t="str">
        <f t="shared" si="14"/>
        <v>Belum Dinilai</v>
      </c>
      <c r="Y99" s="70" t="s">
        <v>1219</v>
      </c>
      <c r="Z99" s="74" t="str">
        <f t="shared" si="16"/>
        <v/>
      </c>
      <c r="AA99" s="74" t="str">
        <f t="shared" si="17"/>
        <v/>
      </c>
      <c r="AB99" s="74" t="str">
        <f t="shared" si="18"/>
        <v/>
      </c>
      <c r="AC99" s="71" t="s">
        <v>1219</v>
      </c>
      <c r="AD99" s="71" t="s">
        <v>1219</v>
      </c>
      <c r="AE99" s="71" t="s">
        <v>1219</v>
      </c>
      <c r="AF99" s="71" t="s">
        <v>1219</v>
      </c>
      <c r="AG99" s="71" t="s">
        <v>1219</v>
      </c>
      <c r="AH99" s="71" t="s">
        <v>1219</v>
      </c>
      <c r="AI99" s="71" t="s">
        <v>1219</v>
      </c>
      <c r="AJ99" s="71" t="s">
        <v>1219</v>
      </c>
      <c r="AK99" s="71" t="s">
        <v>1219</v>
      </c>
      <c r="AL99" s="71"/>
      <c r="AM99" s="71" t="s">
        <v>1219</v>
      </c>
      <c r="AN99" s="71" t="str">
        <f t="shared" si="15"/>
        <v>Belum Dinilai</v>
      </c>
      <c r="AO99" s="71" t="str">
        <f t="shared" si="19"/>
        <v>Belum Dinilai</v>
      </c>
      <c r="AP99" s="71"/>
      <c r="AQ99" s="75" t="str">
        <f t="shared" si="20"/>
        <v/>
      </c>
      <c r="AR99" s="75" t="str">
        <f t="shared" si="21"/>
        <v/>
      </c>
      <c r="AS99" s="75" t="str">
        <f t="shared" si="22"/>
        <v/>
      </c>
      <c r="AT99" s="72" t="str">
        <f t="shared" si="23"/>
        <v>Belum Dapat Ditentukan</v>
      </c>
      <c r="AU99" s="69" t="s">
        <v>1207</v>
      </c>
      <c r="AV99" s="69" t="s">
        <v>1208</v>
      </c>
      <c r="AW99" s="69" t="s">
        <v>1271</v>
      </c>
      <c r="AX99" s="69" t="s">
        <v>1221</v>
      </c>
      <c r="AY99" s="69">
        <v>2023</v>
      </c>
      <c r="AZ99" s="69" t="s">
        <v>930</v>
      </c>
      <c r="BA99" s="69"/>
      <c r="BB99" s="76"/>
      <c r="BC99" s="77">
        <v>2026</v>
      </c>
      <c r="BD99" s="69" t="s">
        <v>1197</v>
      </c>
      <c r="BE99" s="76">
        <v>46218</v>
      </c>
      <c r="BF99" s="69" t="s">
        <v>1282</v>
      </c>
    </row>
    <row r="100" spans="1:58" ht="28">
      <c r="A100" s="69" t="s">
        <v>1677</v>
      </c>
      <c r="B100" s="69" t="s">
        <v>1678</v>
      </c>
      <c r="C100" s="69"/>
      <c r="D100" s="69"/>
      <c r="E100" s="69" t="s">
        <v>1311</v>
      </c>
      <c r="F100" s="69" t="s">
        <v>1487</v>
      </c>
      <c r="G100" s="69" t="s">
        <v>1317</v>
      </c>
      <c r="H100" s="69" t="s">
        <v>1185</v>
      </c>
      <c r="I100" s="69" t="s">
        <v>1679</v>
      </c>
      <c r="J100" s="69" t="s">
        <v>1214</v>
      </c>
      <c r="K100" s="69" t="s">
        <v>1281</v>
      </c>
      <c r="L100" s="69" t="s">
        <v>898</v>
      </c>
      <c r="M100" s="69" t="s">
        <v>1270</v>
      </c>
      <c r="N100" s="69" t="s">
        <v>898</v>
      </c>
      <c r="O100" s="69" t="s">
        <v>1217</v>
      </c>
      <c r="P100" s="69" t="s">
        <v>898</v>
      </c>
      <c r="Q100" s="70" t="s">
        <v>1219</v>
      </c>
      <c r="R100" s="70" t="s">
        <v>1219</v>
      </c>
      <c r="S100" s="70" t="s">
        <v>1219</v>
      </c>
      <c r="T100" s="70" t="s">
        <v>1219</v>
      </c>
      <c r="U100" s="70" t="s">
        <v>1219</v>
      </c>
      <c r="V100" s="70" t="s">
        <v>1219</v>
      </c>
      <c r="W100" s="70"/>
      <c r="X100" s="70" t="str">
        <f t="shared" si="14"/>
        <v>Belum Dinilai</v>
      </c>
      <c r="Y100" s="70" t="s">
        <v>1219</v>
      </c>
      <c r="Z100" s="74" t="str">
        <f t="shared" si="16"/>
        <v/>
      </c>
      <c r="AA100" s="74" t="str">
        <f t="shared" si="17"/>
        <v/>
      </c>
      <c r="AB100" s="74" t="str">
        <f t="shared" si="18"/>
        <v/>
      </c>
      <c r="AC100" s="71" t="s">
        <v>1219</v>
      </c>
      <c r="AD100" s="71" t="s">
        <v>1219</v>
      </c>
      <c r="AE100" s="71" t="s">
        <v>1219</v>
      </c>
      <c r="AF100" s="71" t="s">
        <v>1219</v>
      </c>
      <c r="AG100" s="71" t="s">
        <v>1219</v>
      </c>
      <c r="AH100" s="71" t="s">
        <v>1219</v>
      </c>
      <c r="AI100" s="71" t="s">
        <v>1219</v>
      </c>
      <c r="AJ100" s="71" t="s">
        <v>1219</v>
      </c>
      <c r="AK100" s="71" t="s">
        <v>1219</v>
      </c>
      <c r="AL100" s="71"/>
      <c r="AM100" s="71" t="s">
        <v>1219</v>
      </c>
      <c r="AN100" s="71" t="str">
        <f t="shared" si="15"/>
        <v>Belum Dinilai</v>
      </c>
      <c r="AO100" s="71" t="str">
        <f t="shared" si="19"/>
        <v>Belum Dinilai</v>
      </c>
      <c r="AP100" s="71"/>
      <c r="AQ100" s="75">
        <f t="shared" si="20"/>
        <v>57</v>
      </c>
      <c r="AR100" s="75" t="str">
        <f t="shared" si="21"/>
        <v/>
      </c>
      <c r="AS100" s="75" t="str">
        <f t="shared" si="22"/>
        <v/>
      </c>
      <c r="AT100" s="72" t="str">
        <f t="shared" si="23"/>
        <v>Belum Dapat Ditentukan</v>
      </c>
      <c r="AU100" s="69" t="s">
        <v>1207</v>
      </c>
      <c r="AV100" s="69" t="s">
        <v>1208</v>
      </c>
      <c r="AW100" s="69" t="s">
        <v>1194</v>
      </c>
      <c r="AX100" s="69"/>
      <c r="AY100" s="69"/>
      <c r="AZ100" s="69" t="s">
        <v>930</v>
      </c>
      <c r="BA100" s="69"/>
      <c r="BB100" s="76"/>
      <c r="BC100" s="77">
        <v>2026</v>
      </c>
      <c r="BD100" s="69" t="s">
        <v>1197</v>
      </c>
      <c r="BE100" s="76">
        <v>46218</v>
      </c>
      <c r="BF100" s="69" t="s">
        <v>1282</v>
      </c>
    </row>
    <row r="101" spans="1:58" ht="28">
      <c r="A101" s="69" t="s">
        <v>1680</v>
      </c>
      <c r="B101" s="69" t="s">
        <v>1582</v>
      </c>
      <c r="C101" s="69"/>
      <c r="D101" s="69"/>
      <c r="E101" s="69" t="s">
        <v>1681</v>
      </c>
      <c r="F101" s="69" t="s">
        <v>1363</v>
      </c>
      <c r="G101" s="69" t="s">
        <v>1293</v>
      </c>
      <c r="H101" s="69" t="s">
        <v>1199</v>
      </c>
      <c r="I101" s="69" t="s">
        <v>1682</v>
      </c>
      <c r="J101" s="69" t="s">
        <v>1186</v>
      </c>
      <c r="K101" s="69" t="s">
        <v>1281</v>
      </c>
      <c r="L101" s="69" t="s">
        <v>1219</v>
      </c>
      <c r="M101" s="69" t="s">
        <v>1216</v>
      </c>
      <c r="N101" s="69" t="s">
        <v>1219</v>
      </c>
      <c r="O101" s="69" t="s">
        <v>1217</v>
      </c>
      <c r="P101" s="69" t="s">
        <v>1219</v>
      </c>
      <c r="Q101" s="70" t="s">
        <v>1219</v>
      </c>
      <c r="R101" s="70" t="s">
        <v>1219</v>
      </c>
      <c r="S101" s="70" t="s">
        <v>1219</v>
      </c>
      <c r="T101" s="70" t="s">
        <v>1219</v>
      </c>
      <c r="U101" s="70" t="s">
        <v>1219</v>
      </c>
      <c r="V101" s="70" t="s">
        <v>1219</v>
      </c>
      <c r="W101" s="70"/>
      <c r="X101" s="70" t="str">
        <f t="shared" si="14"/>
        <v>Belum Dinilai</v>
      </c>
      <c r="Y101" s="70" t="s">
        <v>1219</v>
      </c>
      <c r="Z101" s="74" t="str">
        <f t="shared" si="16"/>
        <v/>
      </c>
      <c r="AA101" s="74" t="str">
        <f t="shared" si="17"/>
        <v/>
      </c>
      <c r="AB101" s="74" t="str">
        <f t="shared" si="18"/>
        <v/>
      </c>
      <c r="AC101" s="71" t="s">
        <v>1219</v>
      </c>
      <c r="AD101" s="71" t="s">
        <v>1219</v>
      </c>
      <c r="AE101" s="71" t="s">
        <v>1219</v>
      </c>
      <c r="AF101" s="71" t="s">
        <v>1219</v>
      </c>
      <c r="AG101" s="71" t="s">
        <v>1219</v>
      </c>
      <c r="AH101" s="71" t="s">
        <v>1219</v>
      </c>
      <c r="AI101" s="71" t="s">
        <v>1219</v>
      </c>
      <c r="AJ101" s="71" t="s">
        <v>1219</v>
      </c>
      <c r="AK101" s="71" t="s">
        <v>1219</v>
      </c>
      <c r="AL101" s="71"/>
      <c r="AM101" s="71" t="s">
        <v>1219</v>
      </c>
      <c r="AN101" s="71" t="str">
        <f t="shared" si="15"/>
        <v>Belum Dinilai</v>
      </c>
      <c r="AO101" s="71" t="str">
        <f t="shared" si="19"/>
        <v>Belum Dinilai</v>
      </c>
      <c r="AP101" s="71"/>
      <c r="AQ101" s="75" t="str">
        <f t="shared" si="20"/>
        <v/>
      </c>
      <c r="AR101" s="75" t="str">
        <f t="shared" si="21"/>
        <v/>
      </c>
      <c r="AS101" s="75" t="str">
        <f t="shared" si="22"/>
        <v/>
      </c>
      <c r="AT101" s="72" t="str">
        <f t="shared" si="23"/>
        <v>Belum Dapat Ditentukan</v>
      </c>
      <c r="AU101" s="69" t="s">
        <v>1193</v>
      </c>
      <c r="AV101" s="69" t="s">
        <v>1208</v>
      </c>
      <c r="AW101" s="69" t="s">
        <v>1271</v>
      </c>
      <c r="AX101" s="69" t="s">
        <v>1210</v>
      </c>
      <c r="AY101" s="69">
        <v>2021</v>
      </c>
      <c r="AZ101" s="69" t="s">
        <v>930</v>
      </c>
      <c r="BA101" s="69"/>
      <c r="BB101" s="76"/>
      <c r="BC101" s="77">
        <v>2026</v>
      </c>
      <c r="BD101" s="69" t="s">
        <v>1197</v>
      </c>
      <c r="BE101" s="76">
        <v>46218</v>
      </c>
      <c r="BF101" s="69" t="s">
        <v>1282</v>
      </c>
    </row>
    <row r="102" spans="1:58" ht="28">
      <c r="A102" s="69" t="s">
        <v>1683</v>
      </c>
      <c r="B102" s="69" t="s">
        <v>1684</v>
      </c>
      <c r="C102" s="69"/>
      <c r="D102" s="69"/>
      <c r="E102" s="69" t="s">
        <v>1685</v>
      </c>
      <c r="F102" s="69" t="s">
        <v>1363</v>
      </c>
      <c r="G102" s="69" t="s">
        <v>1293</v>
      </c>
      <c r="H102" s="69" t="s">
        <v>1266</v>
      </c>
      <c r="I102" s="69" t="s">
        <v>1686</v>
      </c>
      <c r="J102" s="69" t="s">
        <v>1214</v>
      </c>
      <c r="K102" s="69" t="s">
        <v>1281</v>
      </c>
      <c r="L102" s="69" t="s">
        <v>1219</v>
      </c>
      <c r="M102" s="69" t="s">
        <v>1270</v>
      </c>
      <c r="N102" s="69" t="s">
        <v>1219</v>
      </c>
      <c r="O102" s="69" t="s">
        <v>1281</v>
      </c>
      <c r="P102" s="69" t="s">
        <v>1219</v>
      </c>
      <c r="Q102" s="70" t="s">
        <v>1219</v>
      </c>
      <c r="R102" s="70" t="s">
        <v>1219</v>
      </c>
      <c r="S102" s="70" t="s">
        <v>1219</v>
      </c>
      <c r="T102" s="70" t="s">
        <v>1219</v>
      </c>
      <c r="U102" s="70" t="s">
        <v>1219</v>
      </c>
      <c r="V102" s="70" t="s">
        <v>1219</v>
      </c>
      <c r="W102" s="70"/>
      <c r="X102" s="70" t="str">
        <f t="shared" si="14"/>
        <v>Belum Dinilai</v>
      </c>
      <c r="Y102" s="70" t="s">
        <v>1219</v>
      </c>
      <c r="Z102" s="74" t="str">
        <f t="shared" si="16"/>
        <v/>
      </c>
      <c r="AA102" s="74" t="str">
        <f t="shared" si="17"/>
        <v/>
      </c>
      <c r="AB102" s="74" t="str">
        <f t="shared" si="18"/>
        <v/>
      </c>
      <c r="AC102" s="71" t="s">
        <v>1219</v>
      </c>
      <c r="AD102" s="71" t="s">
        <v>1219</v>
      </c>
      <c r="AE102" s="71" t="s">
        <v>1219</v>
      </c>
      <c r="AF102" s="71" t="s">
        <v>1219</v>
      </c>
      <c r="AG102" s="71" t="s">
        <v>1219</v>
      </c>
      <c r="AH102" s="71" t="s">
        <v>1219</v>
      </c>
      <c r="AI102" s="71" t="s">
        <v>1219</v>
      </c>
      <c r="AJ102" s="71" t="s">
        <v>1219</v>
      </c>
      <c r="AK102" s="71" t="s">
        <v>1219</v>
      </c>
      <c r="AL102" s="71"/>
      <c r="AM102" s="71" t="s">
        <v>1219</v>
      </c>
      <c r="AN102" s="71" t="str">
        <f t="shared" si="15"/>
        <v>Belum Dinilai</v>
      </c>
      <c r="AO102" s="71" t="str">
        <f t="shared" si="19"/>
        <v>Belum Dinilai</v>
      </c>
      <c r="AP102" s="71"/>
      <c r="AQ102" s="75" t="str">
        <f t="shared" si="20"/>
        <v/>
      </c>
      <c r="AR102" s="75" t="str">
        <f t="shared" si="21"/>
        <v/>
      </c>
      <c r="AS102" s="75" t="str">
        <f t="shared" si="22"/>
        <v/>
      </c>
      <c r="AT102" s="72" t="str">
        <f t="shared" si="23"/>
        <v>Belum Dapat Ditentukan</v>
      </c>
      <c r="AU102" s="69" t="s">
        <v>1207</v>
      </c>
      <c r="AV102" s="69" t="s">
        <v>1208</v>
      </c>
      <c r="AW102" s="69" t="s">
        <v>1194</v>
      </c>
      <c r="AX102" s="69"/>
      <c r="AY102" s="69"/>
      <c r="AZ102" s="69" t="s">
        <v>930</v>
      </c>
      <c r="BA102" s="69"/>
      <c r="BB102" s="76"/>
      <c r="BC102" s="77">
        <v>2026</v>
      </c>
      <c r="BD102" s="69" t="s">
        <v>1197</v>
      </c>
      <c r="BE102" s="76">
        <v>46218</v>
      </c>
      <c r="BF102" s="69" t="s">
        <v>1282</v>
      </c>
    </row>
    <row r="103" spans="1:58" ht="28">
      <c r="A103" s="69" t="s">
        <v>1687</v>
      </c>
      <c r="B103" s="69" t="s">
        <v>1688</v>
      </c>
      <c r="C103" s="69"/>
      <c r="D103" s="69"/>
      <c r="E103" s="69" t="s">
        <v>1681</v>
      </c>
      <c r="F103" s="69" t="s">
        <v>1363</v>
      </c>
      <c r="G103" s="69" t="s">
        <v>1293</v>
      </c>
      <c r="H103" s="69" t="s">
        <v>1185</v>
      </c>
      <c r="I103" s="69" t="s">
        <v>1689</v>
      </c>
      <c r="J103" s="69" t="s">
        <v>1186</v>
      </c>
      <c r="K103" s="69" t="s">
        <v>1281</v>
      </c>
      <c r="L103" s="69" t="s">
        <v>1219</v>
      </c>
      <c r="M103" s="69" t="s">
        <v>1216</v>
      </c>
      <c r="N103" s="69" t="s">
        <v>1219</v>
      </c>
      <c r="O103" s="69" t="s">
        <v>1281</v>
      </c>
      <c r="P103" s="69" t="s">
        <v>1219</v>
      </c>
      <c r="Q103" s="70" t="s">
        <v>1219</v>
      </c>
      <c r="R103" s="70" t="s">
        <v>1219</v>
      </c>
      <c r="S103" s="70" t="s">
        <v>1219</v>
      </c>
      <c r="T103" s="70" t="s">
        <v>1219</v>
      </c>
      <c r="U103" s="70" t="s">
        <v>1219</v>
      </c>
      <c r="V103" s="70" t="s">
        <v>1219</v>
      </c>
      <c r="W103" s="70"/>
      <c r="X103" s="70" t="str">
        <f t="shared" si="14"/>
        <v>Belum Dinilai</v>
      </c>
      <c r="Y103" s="70" t="s">
        <v>1219</v>
      </c>
      <c r="Z103" s="74" t="str">
        <f t="shared" si="16"/>
        <v/>
      </c>
      <c r="AA103" s="74" t="str">
        <f t="shared" si="17"/>
        <v/>
      </c>
      <c r="AB103" s="74" t="str">
        <f t="shared" si="18"/>
        <v/>
      </c>
      <c r="AC103" s="71" t="s">
        <v>1219</v>
      </c>
      <c r="AD103" s="71" t="s">
        <v>1219</v>
      </c>
      <c r="AE103" s="71" t="s">
        <v>1219</v>
      </c>
      <c r="AF103" s="71" t="s">
        <v>1219</v>
      </c>
      <c r="AG103" s="71" t="s">
        <v>1219</v>
      </c>
      <c r="AH103" s="71" t="s">
        <v>1219</v>
      </c>
      <c r="AI103" s="71" t="s">
        <v>1219</v>
      </c>
      <c r="AJ103" s="71" t="s">
        <v>1219</v>
      </c>
      <c r="AK103" s="71" t="s">
        <v>1219</v>
      </c>
      <c r="AL103" s="71"/>
      <c r="AM103" s="71" t="s">
        <v>1219</v>
      </c>
      <c r="AN103" s="71" t="str">
        <f t="shared" si="15"/>
        <v>Belum Dinilai</v>
      </c>
      <c r="AO103" s="71" t="str">
        <f t="shared" si="19"/>
        <v>Belum Dinilai</v>
      </c>
      <c r="AP103" s="71"/>
      <c r="AQ103" s="75" t="str">
        <f t="shared" si="20"/>
        <v/>
      </c>
      <c r="AR103" s="75" t="str">
        <f t="shared" si="21"/>
        <v/>
      </c>
      <c r="AS103" s="75" t="str">
        <f t="shared" si="22"/>
        <v/>
      </c>
      <c r="AT103" s="72" t="str">
        <f t="shared" si="23"/>
        <v>Belum Dapat Ditentukan</v>
      </c>
      <c r="AU103" s="69" t="s">
        <v>1193</v>
      </c>
      <c r="AV103" s="69" t="s">
        <v>1208</v>
      </c>
      <c r="AW103" s="69" t="s">
        <v>1271</v>
      </c>
      <c r="AX103" s="69" t="s">
        <v>1210</v>
      </c>
      <c r="AY103" s="69">
        <v>2021</v>
      </c>
      <c r="AZ103" s="69" t="s">
        <v>930</v>
      </c>
      <c r="BA103" s="69"/>
      <c r="BB103" s="76"/>
      <c r="BC103" s="77">
        <v>2026</v>
      </c>
      <c r="BD103" s="69" t="s">
        <v>1197</v>
      </c>
      <c r="BE103" s="76">
        <v>46218</v>
      </c>
      <c r="BF103" s="69" t="s">
        <v>1282</v>
      </c>
    </row>
    <row r="104" spans="1:58" ht="28">
      <c r="A104" s="69" t="s">
        <v>1690</v>
      </c>
      <c r="B104" s="69" t="s">
        <v>1691</v>
      </c>
      <c r="C104" s="69"/>
      <c r="D104" s="69"/>
      <c r="E104" s="69" t="s">
        <v>1692</v>
      </c>
      <c r="F104" s="69" t="s">
        <v>1363</v>
      </c>
      <c r="G104" s="69" t="s">
        <v>1293</v>
      </c>
      <c r="H104" s="69" t="s">
        <v>1199</v>
      </c>
      <c r="I104" s="69" t="s">
        <v>1686</v>
      </c>
      <c r="J104" s="69" t="s">
        <v>1214</v>
      </c>
      <c r="K104" s="69" t="s">
        <v>1281</v>
      </c>
      <c r="L104" s="69" t="s">
        <v>1219</v>
      </c>
      <c r="M104" s="69" t="s">
        <v>1270</v>
      </c>
      <c r="N104" s="69" t="s">
        <v>1219</v>
      </c>
      <c r="O104" s="69" t="s">
        <v>1281</v>
      </c>
      <c r="P104" s="69" t="s">
        <v>1219</v>
      </c>
      <c r="Q104" s="70" t="s">
        <v>1219</v>
      </c>
      <c r="R104" s="70" t="s">
        <v>1219</v>
      </c>
      <c r="S104" s="70" t="s">
        <v>1219</v>
      </c>
      <c r="T104" s="70" t="s">
        <v>1219</v>
      </c>
      <c r="U104" s="70" t="s">
        <v>1219</v>
      </c>
      <c r="V104" s="70" t="s">
        <v>1219</v>
      </c>
      <c r="W104" s="70"/>
      <c r="X104" s="70" t="str">
        <f t="shared" si="14"/>
        <v>Belum Dinilai</v>
      </c>
      <c r="Y104" s="70" t="s">
        <v>1219</v>
      </c>
      <c r="Z104" s="74" t="str">
        <f t="shared" si="16"/>
        <v/>
      </c>
      <c r="AA104" s="74" t="str">
        <f t="shared" si="17"/>
        <v/>
      </c>
      <c r="AB104" s="74" t="str">
        <f t="shared" si="18"/>
        <v/>
      </c>
      <c r="AC104" s="71" t="s">
        <v>1219</v>
      </c>
      <c r="AD104" s="71" t="s">
        <v>1219</v>
      </c>
      <c r="AE104" s="71" t="s">
        <v>1219</v>
      </c>
      <c r="AF104" s="71" t="s">
        <v>1219</v>
      </c>
      <c r="AG104" s="71" t="s">
        <v>1219</v>
      </c>
      <c r="AH104" s="71" t="s">
        <v>1219</v>
      </c>
      <c r="AI104" s="71" t="s">
        <v>1219</v>
      </c>
      <c r="AJ104" s="71" t="s">
        <v>1219</v>
      </c>
      <c r="AK104" s="71" t="s">
        <v>1219</v>
      </c>
      <c r="AL104" s="71"/>
      <c r="AM104" s="71" t="s">
        <v>1219</v>
      </c>
      <c r="AN104" s="71" t="str">
        <f t="shared" si="15"/>
        <v>Belum Dinilai</v>
      </c>
      <c r="AO104" s="71" t="str">
        <f t="shared" si="19"/>
        <v>Belum Dinilai</v>
      </c>
      <c r="AP104" s="71"/>
      <c r="AQ104" s="75" t="str">
        <f t="shared" si="20"/>
        <v/>
      </c>
      <c r="AR104" s="75" t="str">
        <f t="shared" si="21"/>
        <v/>
      </c>
      <c r="AS104" s="75" t="str">
        <f t="shared" si="22"/>
        <v/>
      </c>
      <c r="AT104" s="72" t="str">
        <f t="shared" si="23"/>
        <v>Belum Dapat Ditentukan</v>
      </c>
      <c r="AU104" s="69" t="s">
        <v>1193</v>
      </c>
      <c r="AV104" s="69" t="s">
        <v>1208</v>
      </c>
      <c r="AW104" s="69" t="s">
        <v>1271</v>
      </c>
      <c r="AX104" s="69" t="s">
        <v>1210</v>
      </c>
      <c r="AY104" s="69">
        <v>2022</v>
      </c>
      <c r="AZ104" s="69" t="s">
        <v>930</v>
      </c>
      <c r="BA104" s="69"/>
      <c r="BB104" s="76"/>
      <c r="BC104" s="77">
        <v>2026</v>
      </c>
      <c r="BD104" s="69" t="s">
        <v>1197</v>
      </c>
      <c r="BE104" s="76">
        <v>46218</v>
      </c>
      <c r="BF104" s="69" t="s">
        <v>1282</v>
      </c>
    </row>
    <row r="105" spans="1:58" ht="28">
      <c r="A105" s="69" t="s">
        <v>1693</v>
      </c>
      <c r="B105" s="69" t="s">
        <v>1694</v>
      </c>
      <c r="C105" s="69"/>
      <c r="D105" s="69"/>
      <c r="E105" s="69" t="s">
        <v>1695</v>
      </c>
      <c r="F105" s="69" t="s">
        <v>1396</v>
      </c>
      <c r="G105" s="69" t="s">
        <v>1293</v>
      </c>
      <c r="H105" s="69" t="s">
        <v>1185</v>
      </c>
      <c r="I105" s="69" t="s">
        <v>1686</v>
      </c>
      <c r="J105" s="69" t="s">
        <v>1214</v>
      </c>
      <c r="K105" s="69" t="s">
        <v>1281</v>
      </c>
      <c r="L105" s="69" t="s">
        <v>1219</v>
      </c>
      <c r="M105" s="69" t="s">
        <v>1270</v>
      </c>
      <c r="N105" s="69" t="s">
        <v>1219</v>
      </c>
      <c r="O105" s="69" t="s">
        <v>1281</v>
      </c>
      <c r="P105" s="69" t="s">
        <v>1219</v>
      </c>
      <c r="Q105" s="70" t="s">
        <v>1219</v>
      </c>
      <c r="R105" s="70" t="s">
        <v>1219</v>
      </c>
      <c r="S105" s="70" t="s">
        <v>1219</v>
      </c>
      <c r="T105" s="70" t="s">
        <v>1219</v>
      </c>
      <c r="U105" s="70" t="s">
        <v>1219</v>
      </c>
      <c r="V105" s="70" t="s">
        <v>1219</v>
      </c>
      <c r="W105" s="70"/>
      <c r="X105" s="70" t="str">
        <f t="shared" si="14"/>
        <v>Belum Dinilai</v>
      </c>
      <c r="Y105" s="70" t="s">
        <v>1219</v>
      </c>
      <c r="Z105" s="74" t="str">
        <f t="shared" si="16"/>
        <v/>
      </c>
      <c r="AA105" s="74" t="str">
        <f t="shared" si="17"/>
        <v/>
      </c>
      <c r="AB105" s="74" t="str">
        <f t="shared" si="18"/>
        <v/>
      </c>
      <c r="AC105" s="71" t="s">
        <v>1219</v>
      </c>
      <c r="AD105" s="71" t="s">
        <v>1219</v>
      </c>
      <c r="AE105" s="71" t="s">
        <v>1219</v>
      </c>
      <c r="AF105" s="71" t="s">
        <v>1219</v>
      </c>
      <c r="AG105" s="71" t="s">
        <v>1219</v>
      </c>
      <c r="AH105" s="71" t="s">
        <v>1219</v>
      </c>
      <c r="AI105" s="71" t="s">
        <v>1219</v>
      </c>
      <c r="AJ105" s="71" t="s">
        <v>1219</v>
      </c>
      <c r="AK105" s="71" t="s">
        <v>1219</v>
      </c>
      <c r="AL105" s="71"/>
      <c r="AM105" s="71" t="s">
        <v>1219</v>
      </c>
      <c r="AN105" s="71" t="str">
        <f t="shared" si="15"/>
        <v>Belum Dinilai</v>
      </c>
      <c r="AO105" s="71" t="str">
        <f t="shared" si="19"/>
        <v>Belum Dinilai</v>
      </c>
      <c r="AP105" s="71"/>
      <c r="AQ105" s="75" t="str">
        <f t="shared" si="20"/>
        <v/>
      </c>
      <c r="AR105" s="75" t="str">
        <f t="shared" si="21"/>
        <v/>
      </c>
      <c r="AS105" s="75" t="str">
        <f t="shared" si="22"/>
        <v/>
      </c>
      <c r="AT105" s="72" t="str">
        <f t="shared" si="23"/>
        <v>Belum Dapat Ditentukan</v>
      </c>
      <c r="AU105" s="69" t="s">
        <v>1193</v>
      </c>
      <c r="AV105" s="69" t="s">
        <v>1208</v>
      </c>
      <c r="AW105" s="69" t="s">
        <v>1271</v>
      </c>
      <c r="AX105" s="69" t="s">
        <v>1210</v>
      </c>
      <c r="AY105" s="69">
        <v>2023</v>
      </c>
      <c r="AZ105" s="69" t="s">
        <v>930</v>
      </c>
      <c r="BA105" s="69"/>
      <c r="BB105" s="76"/>
      <c r="BC105" s="77">
        <v>2026</v>
      </c>
      <c r="BD105" s="69" t="s">
        <v>1197</v>
      </c>
      <c r="BE105" s="76">
        <v>46218</v>
      </c>
      <c r="BF105" s="69" t="s">
        <v>1282</v>
      </c>
    </row>
    <row r="106" spans="1:58" ht="28">
      <c r="A106" s="69" t="s">
        <v>1696</v>
      </c>
      <c r="B106" s="69" t="s">
        <v>1697</v>
      </c>
      <c r="C106" s="69"/>
      <c r="D106" s="69"/>
      <c r="E106" s="69" t="s">
        <v>1698</v>
      </c>
      <c r="F106" s="69" t="s">
        <v>1396</v>
      </c>
      <c r="G106" s="69" t="s">
        <v>1293</v>
      </c>
      <c r="H106" s="69" t="s">
        <v>1199</v>
      </c>
      <c r="I106" s="69" t="s">
        <v>1699</v>
      </c>
      <c r="J106" s="69" t="s">
        <v>1267</v>
      </c>
      <c r="K106" s="69" t="s">
        <v>1281</v>
      </c>
      <c r="L106" s="69" t="s">
        <v>898</v>
      </c>
      <c r="M106" s="69" t="s">
        <v>1281</v>
      </c>
      <c r="N106" s="69" t="s">
        <v>1219</v>
      </c>
      <c r="O106" s="69" t="s">
        <v>1281</v>
      </c>
      <c r="P106" s="69" t="s">
        <v>1219</v>
      </c>
      <c r="Q106" s="70" t="s">
        <v>1219</v>
      </c>
      <c r="R106" s="70" t="s">
        <v>1219</v>
      </c>
      <c r="S106" s="70" t="s">
        <v>1219</v>
      </c>
      <c r="T106" s="70" t="s">
        <v>1219</v>
      </c>
      <c r="U106" s="70" t="s">
        <v>1219</v>
      </c>
      <c r="V106" s="70" t="s">
        <v>1219</v>
      </c>
      <c r="W106" s="70"/>
      <c r="X106" s="70" t="str">
        <f t="shared" si="14"/>
        <v>Belum Dinilai</v>
      </c>
      <c r="Y106" s="70" t="s">
        <v>1219</v>
      </c>
      <c r="Z106" s="74" t="str">
        <f t="shared" si="16"/>
        <v/>
      </c>
      <c r="AA106" s="74" t="str">
        <f t="shared" si="17"/>
        <v/>
      </c>
      <c r="AB106" s="74" t="str">
        <f t="shared" si="18"/>
        <v/>
      </c>
      <c r="AC106" s="71" t="s">
        <v>1219</v>
      </c>
      <c r="AD106" s="71" t="s">
        <v>1219</v>
      </c>
      <c r="AE106" s="71" t="s">
        <v>1219</v>
      </c>
      <c r="AF106" s="71" t="s">
        <v>1219</v>
      </c>
      <c r="AG106" s="71" t="s">
        <v>1219</v>
      </c>
      <c r="AH106" s="71" t="s">
        <v>1219</v>
      </c>
      <c r="AI106" s="71" t="s">
        <v>1219</v>
      </c>
      <c r="AJ106" s="71" t="s">
        <v>1219</v>
      </c>
      <c r="AK106" s="71" t="s">
        <v>1219</v>
      </c>
      <c r="AL106" s="71"/>
      <c r="AM106" s="71" t="s">
        <v>1219</v>
      </c>
      <c r="AN106" s="71" t="str">
        <f t="shared" si="15"/>
        <v>Belum Dinilai</v>
      </c>
      <c r="AO106" s="71" t="str">
        <f t="shared" si="19"/>
        <v>Belum Dinilai</v>
      </c>
      <c r="AP106" s="71"/>
      <c r="AQ106" s="75" t="str">
        <f t="shared" si="20"/>
        <v/>
      </c>
      <c r="AR106" s="75" t="str">
        <f t="shared" si="21"/>
        <v/>
      </c>
      <c r="AS106" s="75" t="str">
        <f t="shared" si="22"/>
        <v/>
      </c>
      <c r="AT106" s="72" t="str">
        <f t="shared" si="23"/>
        <v>Belum Dapat Ditentukan</v>
      </c>
      <c r="AU106" s="69" t="s">
        <v>1207</v>
      </c>
      <c r="AV106" s="69" t="s">
        <v>1208</v>
      </c>
      <c r="AW106" s="69" t="s">
        <v>1194</v>
      </c>
      <c r="AX106" s="69"/>
      <c r="AY106" s="69"/>
      <c r="AZ106" s="69" t="s">
        <v>930</v>
      </c>
      <c r="BA106" s="69"/>
      <c r="BB106" s="76"/>
      <c r="BC106" s="77">
        <v>2026</v>
      </c>
      <c r="BD106" s="69" t="s">
        <v>1197</v>
      </c>
      <c r="BE106" s="76">
        <v>46218</v>
      </c>
      <c r="BF106" s="69" t="s">
        <v>1282</v>
      </c>
    </row>
    <row r="107" spans="1:58" ht="28">
      <c r="A107" s="69" t="s">
        <v>1700</v>
      </c>
      <c r="B107" s="69" t="s">
        <v>1701</v>
      </c>
      <c r="C107" s="69"/>
      <c r="D107" s="69"/>
      <c r="E107" s="69" t="s">
        <v>1311</v>
      </c>
      <c r="F107" s="69" t="s">
        <v>1396</v>
      </c>
      <c r="G107" s="69" t="s">
        <v>1293</v>
      </c>
      <c r="H107" s="69" t="s">
        <v>1266</v>
      </c>
      <c r="I107" s="69" t="s">
        <v>1423</v>
      </c>
      <c r="J107" s="69" t="s">
        <v>1186</v>
      </c>
      <c r="K107" s="69" t="s">
        <v>1281</v>
      </c>
      <c r="L107" s="69" t="s">
        <v>1219</v>
      </c>
      <c r="M107" s="69" t="s">
        <v>1269</v>
      </c>
      <c r="N107" s="69" t="s">
        <v>1219</v>
      </c>
      <c r="O107" s="69" t="s">
        <v>1281</v>
      </c>
      <c r="P107" s="69" t="s">
        <v>1219</v>
      </c>
      <c r="Q107" s="70" t="s">
        <v>1219</v>
      </c>
      <c r="R107" s="70" t="s">
        <v>1219</v>
      </c>
      <c r="S107" s="70" t="s">
        <v>1219</v>
      </c>
      <c r="T107" s="70" t="s">
        <v>1219</v>
      </c>
      <c r="U107" s="70" t="s">
        <v>1219</v>
      </c>
      <c r="V107" s="70" t="s">
        <v>1219</v>
      </c>
      <c r="W107" s="70"/>
      <c r="X107" s="70" t="str">
        <f t="shared" si="14"/>
        <v>Belum Dinilai</v>
      </c>
      <c r="Y107" s="70" t="s">
        <v>1219</v>
      </c>
      <c r="Z107" s="74" t="str">
        <f t="shared" si="16"/>
        <v/>
      </c>
      <c r="AA107" s="74" t="str">
        <f t="shared" si="17"/>
        <v/>
      </c>
      <c r="AB107" s="74" t="str">
        <f t="shared" si="18"/>
        <v/>
      </c>
      <c r="AC107" s="71" t="s">
        <v>1219</v>
      </c>
      <c r="AD107" s="71" t="s">
        <v>1219</v>
      </c>
      <c r="AE107" s="71" t="s">
        <v>1219</v>
      </c>
      <c r="AF107" s="71" t="s">
        <v>1219</v>
      </c>
      <c r="AG107" s="71" t="s">
        <v>1219</v>
      </c>
      <c r="AH107" s="71" t="s">
        <v>1219</v>
      </c>
      <c r="AI107" s="71" t="s">
        <v>1219</v>
      </c>
      <c r="AJ107" s="71" t="s">
        <v>1219</v>
      </c>
      <c r="AK107" s="71" t="s">
        <v>1219</v>
      </c>
      <c r="AL107" s="71"/>
      <c r="AM107" s="71" t="s">
        <v>1219</v>
      </c>
      <c r="AN107" s="71" t="str">
        <f t="shared" si="15"/>
        <v>Belum Dinilai</v>
      </c>
      <c r="AO107" s="71" t="str">
        <f t="shared" si="19"/>
        <v>Belum Dinilai</v>
      </c>
      <c r="AP107" s="71"/>
      <c r="AQ107" s="75" t="str">
        <f t="shared" si="20"/>
        <v/>
      </c>
      <c r="AR107" s="75" t="str">
        <f t="shared" si="21"/>
        <v/>
      </c>
      <c r="AS107" s="75" t="str">
        <f t="shared" si="22"/>
        <v/>
      </c>
      <c r="AT107" s="72" t="str">
        <f t="shared" si="23"/>
        <v>Belum Dapat Ditentukan</v>
      </c>
      <c r="AU107" s="69" t="s">
        <v>1207</v>
      </c>
      <c r="AV107" s="69" t="s">
        <v>1208</v>
      </c>
      <c r="AW107" s="69" t="s">
        <v>1194</v>
      </c>
      <c r="AX107" s="69"/>
      <c r="AY107" s="69"/>
      <c r="AZ107" s="69" t="s">
        <v>930</v>
      </c>
      <c r="BA107" s="69"/>
      <c r="BB107" s="76"/>
      <c r="BC107" s="77">
        <v>2026</v>
      </c>
      <c r="BD107" s="69" t="s">
        <v>1197</v>
      </c>
      <c r="BE107" s="76">
        <v>46218</v>
      </c>
      <c r="BF107" s="69" t="s">
        <v>1282</v>
      </c>
    </row>
    <row r="108" spans="1:58" ht="28">
      <c r="A108" s="69" t="s">
        <v>1702</v>
      </c>
      <c r="B108" s="69" t="s">
        <v>1703</v>
      </c>
      <c r="C108" s="69"/>
      <c r="D108" s="69"/>
      <c r="E108" s="69" t="s">
        <v>1311</v>
      </c>
      <c r="F108" s="69" t="s">
        <v>1322</v>
      </c>
      <c r="G108" s="69" t="s">
        <v>1293</v>
      </c>
      <c r="H108" s="69" t="s">
        <v>1266</v>
      </c>
      <c r="I108" s="69" t="s">
        <v>1704</v>
      </c>
      <c r="J108" s="69" t="s">
        <v>1214</v>
      </c>
      <c r="K108" s="69" t="s">
        <v>1281</v>
      </c>
      <c r="L108" s="69" t="s">
        <v>1219</v>
      </c>
      <c r="M108" s="69" t="s">
        <v>1270</v>
      </c>
      <c r="N108" s="69" t="s">
        <v>1219</v>
      </c>
      <c r="O108" s="69" t="s">
        <v>1285</v>
      </c>
      <c r="P108" s="69" t="s">
        <v>1286</v>
      </c>
      <c r="Q108" s="70" t="s">
        <v>1219</v>
      </c>
      <c r="R108" s="70" t="s">
        <v>1219</v>
      </c>
      <c r="S108" s="70" t="s">
        <v>1219</v>
      </c>
      <c r="T108" s="70" t="s">
        <v>1219</v>
      </c>
      <c r="U108" s="70" t="s">
        <v>1219</v>
      </c>
      <c r="V108" s="70" t="s">
        <v>1219</v>
      </c>
      <c r="W108" s="70"/>
      <c r="X108" s="70" t="str">
        <f t="shared" si="14"/>
        <v>Belum Dinilai</v>
      </c>
      <c r="Y108" s="70" t="s">
        <v>1219</v>
      </c>
      <c r="Z108" s="74" t="str">
        <f t="shared" si="16"/>
        <v/>
      </c>
      <c r="AA108" s="74" t="str">
        <f t="shared" si="17"/>
        <v/>
      </c>
      <c r="AB108" s="74" t="str">
        <f t="shared" si="18"/>
        <v/>
      </c>
      <c r="AC108" s="71" t="s">
        <v>1219</v>
      </c>
      <c r="AD108" s="71" t="s">
        <v>1219</v>
      </c>
      <c r="AE108" s="71" t="s">
        <v>1219</v>
      </c>
      <c r="AF108" s="71" t="s">
        <v>1219</v>
      </c>
      <c r="AG108" s="71" t="s">
        <v>1219</v>
      </c>
      <c r="AH108" s="71" t="s">
        <v>1219</v>
      </c>
      <c r="AI108" s="71" t="s">
        <v>1219</v>
      </c>
      <c r="AJ108" s="71" t="s">
        <v>1219</v>
      </c>
      <c r="AK108" s="71" t="s">
        <v>1219</v>
      </c>
      <c r="AL108" s="71"/>
      <c r="AM108" s="71" t="s">
        <v>1219</v>
      </c>
      <c r="AN108" s="71" t="str">
        <f t="shared" si="15"/>
        <v>Belum Dinilai</v>
      </c>
      <c r="AO108" s="71" t="str">
        <f t="shared" si="19"/>
        <v>Belum Dinilai</v>
      </c>
      <c r="AP108" s="71"/>
      <c r="AQ108" s="75" t="str">
        <f t="shared" si="20"/>
        <v/>
      </c>
      <c r="AR108" s="75" t="str">
        <f t="shared" si="21"/>
        <v/>
      </c>
      <c r="AS108" s="75" t="str">
        <f t="shared" si="22"/>
        <v/>
      </c>
      <c r="AT108" s="72" t="str">
        <f t="shared" si="23"/>
        <v>Belum Dapat Ditentukan</v>
      </c>
      <c r="AU108" s="69" t="s">
        <v>1193</v>
      </c>
      <c r="AV108" s="69" t="s">
        <v>1208</v>
      </c>
      <c r="AW108" s="69" t="s">
        <v>1194</v>
      </c>
      <c r="AX108" s="69"/>
      <c r="AY108" s="69"/>
      <c r="AZ108" s="69" t="s">
        <v>930</v>
      </c>
      <c r="BA108" s="69"/>
      <c r="BB108" s="76"/>
      <c r="BC108" s="77">
        <v>2026</v>
      </c>
      <c r="BD108" s="69" t="s">
        <v>1197</v>
      </c>
      <c r="BE108" s="76">
        <v>46218</v>
      </c>
      <c r="BF108" s="69" t="s">
        <v>1282</v>
      </c>
    </row>
    <row r="109" spans="1:58" ht="28">
      <c r="A109" s="69" t="s">
        <v>1705</v>
      </c>
      <c r="B109" s="69" t="s">
        <v>1703</v>
      </c>
      <c r="C109" s="69"/>
      <c r="D109" s="69"/>
      <c r="E109" s="69" t="s">
        <v>1311</v>
      </c>
      <c r="F109" s="69" t="s">
        <v>1322</v>
      </c>
      <c r="G109" s="69" t="s">
        <v>1293</v>
      </c>
      <c r="H109" s="69" t="s">
        <v>1266</v>
      </c>
      <c r="I109" s="69" t="s">
        <v>1706</v>
      </c>
      <c r="J109" s="69" t="s">
        <v>1267</v>
      </c>
      <c r="K109" s="69" t="s">
        <v>1281</v>
      </c>
      <c r="L109" s="69" t="s">
        <v>1219</v>
      </c>
      <c r="M109" s="69" t="s">
        <v>1281</v>
      </c>
      <c r="N109" s="69" t="s">
        <v>1219</v>
      </c>
      <c r="O109" s="69" t="s">
        <v>1281</v>
      </c>
      <c r="P109" s="69" t="s">
        <v>1219</v>
      </c>
      <c r="Q109" s="70" t="s">
        <v>1219</v>
      </c>
      <c r="R109" s="70" t="s">
        <v>1219</v>
      </c>
      <c r="S109" s="70" t="s">
        <v>1219</v>
      </c>
      <c r="T109" s="70" t="s">
        <v>1219</v>
      </c>
      <c r="U109" s="70" t="s">
        <v>1219</v>
      </c>
      <c r="V109" s="70" t="s">
        <v>1219</v>
      </c>
      <c r="W109" s="70"/>
      <c r="X109" s="70" t="str">
        <f t="shared" si="14"/>
        <v>Belum Dinilai</v>
      </c>
      <c r="Y109" s="70" t="s">
        <v>1219</v>
      </c>
      <c r="Z109" s="74" t="str">
        <f t="shared" si="16"/>
        <v/>
      </c>
      <c r="AA109" s="74" t="str">
        <f t="shared" si="17"/>
        <v/>
      </c>
      <c r="AB109" s="74" t="str">
        <f t="shared" si="18"/>
        <v/>
      </c>
      <c r="AC109" s="71" t="s">
        <v>1219</v>
      </c>
      <c r="AD109" s="71" t="s">
        <v>1219</v>
      </c>
      <c r="AE109" s="71" t="s">
        <v>1219</v>
      </c>
      <c r="AF109" s="71" t="s">
        <v>1219</v>
      </c>
      <c r="AG109" s="71" t="s">
        <v>1219</v>
      </c>
      <c r="AH109" s="71" t="s">
        <v>1219</v>
      </c>
      <c r="AI109" s="71" t="s">
        <v>1219</v>
      </c>
      <c r="AJ109" s="71" t="s">
        <v>1219</v>
      </c>
      <c r="AK109" s="71" t="s">
        <v>1219</v>
      </c>
      <c r="AL109" s="71"/>
      <c r="AM109" s="71" t="s">
        <v>1219</v>
      </c>
      <c r="AN109" s="71" t="str">
        <f t="shared" si="15"/>
        <v>Belum Dinilai</v>
      </c>
      <c r="AO109" s="71" t="str">
        <f t="shared" si="19"/>
        <v>Belum Dinilai</v>
      </c>
      <c r="AP109" s="71"/>
      <c r="AQ109" s="75" t="str">
        <f t="shared" si="20"/>
        <v/>
      </c>
      <c r="AR109" s="75" t="str">
        <f t="shared" si="21"/>
        <v/>
      </c>
      <c r="AS109" s="75" t="str">
        <f t="shared" si="22"/>
        <v/>
      </c>
      <c r="AT109" s="72" t="str">
        <f t="shared" si="23"/>
        <v>Belum Dapat Ditentukan</v>
      </c>
      <c r="AU109" s="69" t="s">
        <v>1207</v>
      </c>
      <c r="AV109" s="69" t="s">
        <v>1208</v>
      </c>
      <c r="AW109" s="69" t="s">
        <v>1194</v>
      </c>
      <c r="AX109" s="69"/>
      <c r="AY109" s="69"/>
      <c r="AZ109" s="69" t="s">
        <v>930</v>
      </c>
      <c r="BA109" s="69"/>
      <c r="BB109" s="76"/>
      <c r="BC109" s="77">
        <v>2026</v>
      </c>
      <c r="BD109" s="69" t="s">
        <v>1197</v>
      </c>
      <c r="BE109" s="76">
        <v>46218</v>
      </c>
      <c r="BF109" s="69" t="s">
        <v>1282</v>
      </c>
    </row>
    <row r="110" spans="1:58" ht="28">
      <c r="A110" s="69" t="s">
        <v>1707</v>
      </c>
      <c r="B110" s="69" t="s">
        <v>1708</v>
      </c>
      <c r="C110" s="69"/>
      <c r="D110" s="69"/>
      <c r="E110" s="69" t="s">
        <v>1709</v>
      </c>
      <c r="F110" s="69" t="s">
        <v>1487</v>
      </c>
      <c r="G110" s="69" t="s">
        <v>1317</v>
      </c>
      <c r="H110" s="69" t="s">
        <v>1199</v>
      </c>
      <c r="I110" s="69" t="s">
        <v>1710</v>
      </c>
      <c r="J110" s="69" t="s">
        <v>1186</v>
      </c>
      <c r="K110" s="69" t="s">
        <v>1281</v>
      </c>
      <c r="L110" s="69" t="s">
        <v>1219</v>
      </c>
      <c r="M110" s="69" t="s">
        <v>1216</v>
      </c>
      <c r="N110" s="69" t="s">
        <v>1219</v>
      </c>
      <c r="O110" s="69" t="s">
        <v>1217</v>
      </c>
      <c r="P110" s="69" t="s">
        <v>1219</v>
      </c>
      <c r="Q110" s="70" t="s">
        <v>1219</v>
      </c>
      <c r="R110" s="70" t="s">
        <v>1219</v>
      </c>
      <c r="S110" s="70" t="s">
        <v>1219</v>
      </c>
      <c r="T110" s="70" t="s">
        <v>1219</v>
      </c>
      <c r="U110" s="70" t="s">
        <v>1219</v>
      </c>
      <c r="V110" s="70" t="s">
        <v>1219</v>
      </c>
      <c r="W110" s="70"/>
      <c r="X110" s="70" t="str">
        <f t="shared" si="14"/>
        <v>Belum Dinilai</v>
      </c>
      <c r="Y110" s="70" t="s">
        <v>1219</v>
      </c>
      <c r="Z110" s="74" t="str">
        <f t="shared" si="16"/>
        <v/>
      </c>
      <c r="AA110" s="74" t="str">
        <f t="shared" si="17"/>
        <v/>
      </c>
      <c r="AB110" s="74" t="str">
        <f t="shared" si="18"/>
        <v/>
      </c>
      <c r="AC110" s="71" t="s">
        <v>1219</v>
      </c>
      <c r="AD110" s="71" t="s">
        <v>1219</v>
      </c>
      <c r="AE110" s="71" t="s">
        <v>1219</v>
      </c>
      <c r="AF110" s="71" t="s">
        <v>1219</v>
      </c>
      <c r="AG110" s="71" t="s">
        <v>1219</v>
      </c>
      <c r="AH110" s="71" t="s">
        <v>1219</v>
      </c>
      <c r="AI110" s="71" t="s">
        <v>1219</v>
      </c>
      <c r="AJ110" s="71" t="s">
        <v>1219</v>
      </c>
      <c r="AK110" s="71" t="s">
        <v>1219</v>
      </c>
      <c r="AL110" s="71"/>
      <c r="AM110" s="71" t="s">
        <v>1219</v>
      </c>
      <c r="AN110" s="71" t="str">
        <f t="shared" si="15"/>
        <v>Belum Dinilai</v>
      </c>
      <c r="AO110" s="71" t="str">
        <f t="shared" si="19"/>
        <v>Belum Dinilai</v>
      </c>
      <c r="AP110" s="71"/>
      <c r="AQ110" s="75" t="str">
        <f t="shared" si="20"/>
        <v/>
      </c>
      <c r="AR110" s="75" t="str">
        <f t="shared" si="21"/>
        <v/>
      </c>
      <c r="AS110" s="75" t="str">
        <f t="shared" si="22"/>
        <v/>
      </c>
      <c r="AT110" s="72" t="str">
        <f t="shared" si="23"/>
        <v>Belum Dapat Ditentukan</v>
      </c>
      <c r="AU110" s="69" t="s">
        <v>1207</v>
      </c>
      <c r="AV110" s="69" t="s">
        <v>1208</v>
      </c>
      <c r="AW110" s="69" t="s">
        <v>1271</v>
      </c>
      <c r="AX110" s="69" t="s">
        <v>1221</v>
      </c>
      <c r="AY110" s="69">
        <v>2023</v>
      </c>
      <c r="AZ110" s="69" t="s">
        <v>930</v>
      </c>
      <c r="BA110" s="69"/>
      <c r="BB110" s="76"/>
      <c r="BC110" s="77">
        <v>2026</v>
      </c>
      <c r="BD110" s="69" t="s">
        <v>1197</v>
      </c>
      <c r="BE110" s="76">
        <v>46218</v>
      </c>
      <c r="BF110" s="69" t="s">
        <v>1282</v>
      </c>
    </row>
    <row r="111" spans="1:58" ht="28">
      <c r="A111" s="69" t="s">
        <v>1711</v>
      </c>
      <c r="B111" s="69" t="s">
        <v>1712</v>
      </c>
      <c r="C111" s="69"/>
      <c r="D111" s="69"/>
      <c r="E111" s="69" t="s">
        <v>1311</v>
      </c>
      <c r="F111" s="69" t="s">
        <v>1487</v>
      </c>
      <c r="G111" s="69" t="s">
        <v>1317</v>
      </c>
      <c r="H111" s="69" t="s">
        <v>1199</v>
      </c>
      <c r="I111" s="69" t="s">
        <v>1713</v>
      </c>
      <c r="J111" s="69" t="s">
        <v>1186</v>
      </c>
      <c r="K111" s="69" t="s">
        <v>1281</v>
      </c>
      <c r="L111" s="69" t="s">
        <v>1219</v>
      </c>
      <c r="M111" s="69" t="s">
        <v>1216</v>
      </c>
      <c r="N111" s="69" t="s">
        <v>1219</v>
      </c>
      <c r="O111" s="69" t="s">
        <v>1281</v>
      </c>
      <c r="P111" s="69" t="s">
        <v>1219</v>
      </c>
      <c r="Q111" s="70" t="s">
        <v>1219</v>
      </c>
      <c r="R111" s="70" t="s">
        <v>1219</v>
      </c>
      <c r="S111" s="70" t="s">
        <v>1219</v>
      </c>
      <c r="T111" s="70" t="s">
        <v>1219</v>
      </c>
      <c r="U111" s="70" t="s">
        <v>1219</v>
      </c>
      <c r="V111" s="70" t="s">
        <v>1219</v>
      </c>
      <c r="W111" s="70"/>
      <c r="X111" s="70" t="str">
        <f t="shared" si="14"/>
        <v>Belum Dinilai</v>
      </c>
      <c r="Y111" s="70" t="s">
        <v>1219</v>
      </c>
      <c r="Z111" s="74" t="str">
        <f t="shared" si="16"/>
        <v/>
      </c>
      <c r="AA111" s="74" t="str">
        <f t="shared" si="17"/>
        <v/>
      </c>
      <c r="AB111" s="74" t="str">
        <f t="shared" si="18"/>
        <v/>
      </c>
      <c r="AC111" s="71" t="s">
        <v>1219</v>
      </c>
      <c r="AD111" s="71" t="s">
        <v>1219</v>
      </c>
      <c r="AE111" s="71" t="s">
        <v>1219</v>
      </c>
      <c r="AF111" s="71" t="s">
        <v>1219</v>
      </c>
      <c r="AG111" s="71" t="s">
        <v>1219</v>
      </c>
      <c r="AH111" s="71" t="s">
        <v>1219</v>
      </c>
      <c r="AI111" s="71" t="s">
        <v>1219</v>
      </c>
      <c r="AJ111" s="71" t="s">
        <v>1219</v>
      </c>
      <c r="AK111" s="71" t="s">
        <v>1219</v>
      </c>
      <c r="AL111" s="71"/>
      <c r="AM111" s="71" t="s">
        <v>1219</v>
      </c>
      <c r="AN111" s="71" t="str">
        <f t="shared" si="15"/>
        <v>Belum Dinilai</v>
      </c>
      <c r="AO111" s="71" t="str">
        <f t="shared" si="19"/>
        <v>Belum Dinilai</v>
      </c>
      <c r="AP111" s="71"/>
      <c r="AQ111" s="75" t="str">
        <f t="shared" si="20"/>
        <v/>
      </c>
      <c r="AR111" s="75" t="str">
        <f t="shared" si="21"/>
        <v/>
      </c>
      <c r="AS111" s="75" t="str">
        <f t="shared" si="22"/>
        <v/>
      </c>
      <c r="AT111" s="72" t="str">
        <f t="shared" si="23"/>
        <v>Belum Dapat Ditentukan</v>
      </c>
      <c r="AU111" s="69" t="s">
        <v>1193</v>
      </c>
      <c r="AV111" s="69" t="s">
        <v>1208</v>
      </c>
      <c r="AW111" s="69" t="s">
        <v>1194</v>
      </c>
      <c r="AX111" s="69"/>
      <c r="AY111" s="69"/>
      <c r="AZ111" s="69" t="s">
        <v>930</v>
      </c>
      <c r="BA111" s="69"/>
      <c r="BB111" s="76"/>
      <c r="BC111" s="77">
        <v>2026</v>
      </c>
      <c r="BD111" s="69" t="s">
        <v>1197</v>
      </c>
      <c r="BE111" s="76">
        <v>46218</v>
      </c>
      <c r="BF111" s="69" t="s">
        <v>1282</v>
      </c>
    </row>
    <row r="112" spans="1:58" ht="28">
      <c r="A112" s="69" t="s">
        <v>1714</v>
      </c>
      <c r="B112" s="69" t="s">
        <v>1715</v>
      </c>
      <c r="C112" s="69"/>
      <c r="D112" s="69"/>
      <c r="E112" s="69" t="s">
        <v>1716</v>
      </c>
      <c r="F112" s="69" t="s">
        <v>1487</v>
      </c>
      <c r="G112" s="69" t="s">
        <v>1317</v>
      </c>
      <c r="H112" s="69" t="s">
        <v>1199</v>
      </c>
      <c r="I112" s="69" t="s">
        <v>1713</v>
      </c>
      <c r="J112" s="69" t="s">
        <v>1186</v>
      </c>
      <c r="K112" s="69" t="s">
        <v>1281</v>
      </c>
      <c r="L112" s="69" t="s">
        <v>1219</v>
      </c>
      <c r="M112" s="69" t="s">
        <v>1216</v>
      </c>
      <c r="N112" s="69" t="s">
        <v>1219</v>
      </c>
      <c r="O112" s="69" t="s">
        <v>1281</v>
      </c>
      <c r="P112" s="69" t="s">
        <v>1219</v>
      </c>
      <c r="Q112" s="70" t="s">
        <v>1219</v>
      </c>
      <c r="R112" s="70" t="s">
        <v>1219</v>
      </c>
      <c r="S112" s="70" t="s">
        <v>1219</v>
      </c>
      <c r="T112" s="70" t="s">
        <v>1219</v>
      </c>
      <c r="U112" s="70" t="s">
        <v>1219</v>
      </c>
      <c r="V112" s="70" t="s">
        <v>1219</v>
      </c>
      <c r="W112" s="70"/>
      <c r="X112" s="70" t="str">
        <f t="shared" si="14"/>
        <v>Belum Dinilai</v>
      </c>
      <c r="Y112" s="70" t="s">
        <v>1219</v>
      </c>
      <c r="Z112" s="74" t="str">
        <f t="shared" si="16"/>
        <v/>
      </c>
      <c r="AA112" s="74" t="str">
        <f t="shared" si="17"/>
        <v/>
      </c>
      <c r="AB112" s="74" t="str">
        <f t="shared" si="18"/>
        <v/>
      </c>
      <c r="AC112" s="71" t="s">
        <v>1219</v>
      </c>
      <c r="AD112" s="71" t="s">
        <v>1219</v>
      </c>
      <c r="AE112" s="71" t="s">
        <v>1219</v>
      </c>
      <c r="AF112" s="71" t="s">
        <v>1219</v>
      </c>
      <c r="AG112" s="71" t="s">
        <v>1219</v>
      </c>
      <c r="AH112" s="71" t="s">
        <v>1219</v>
      </c>
      <c r="AI112" s="71" t="s">
        <v>1219</v>
      </c>
      <c r="AJ112" s="71" t="s">
        <v>1219</v>
      </c>
      <c r="AK112" s="71" t="s">
        <v>1219</v>
      </c>
      <c r="AL112" s="71"/>
      <c r="AM112" s="71" t="s">
        <v>1219</v>
      </c>
      <c r="AN112" s="71" t="str">
        <f t="shared" si="15"/>
        <v>Belum Dinilai</v>
      </c>
      <c r="AO112" s="71" t="str">
        <f t="shared" si="19"/>
        <v>Belum Dinilai</v>
      </c>
      <c r="AP112" s="71"/>
      <c r="AQ112" s="75" t="str">
        <f t="shared" si="20"/>
        <v/>
      </c>
      <c r="AR112" s="75" t="str">
        <f t="shared" si="21"/>
        <v/>
      </c>
      <c r="AS112" s="75" t="str">
        <f t="shared" si="22"/>
        <v/>
      </c>
      <c r="AT112" s="72" t="str">
        <f t="shared" si="23"/>
        <v>Belum Dapat Ditentukan</v>
      </c>
      <c r="AU112" s="69" t="s">
        <v>1207</v>
      </c>
      <c r="AV112" s="69" t="s">
        <v>1208</v>
      </c>
      <c r="AW112" s="69" t="s">
        <v>1194</v>
      </c>
      <c r="AX112" s="69"/>
      <c r="AY112" s="69"/>
      <c r="AZ112" s="69" t="s">
        <v>930</v>
      </c>
      <c r="BA112" s="69"/>
      <c r="BB112" s="76"/>
      <c r="BC112" s="77">
        <v>2026</v>
      </c>
      <c r="BD112" s="69" t="s">
        <v>1197</v>
      </c>
      <c r="BE112" s="76">
        <v>46218</v>
      </c>
      <c r="BF112" s="69" t="s">
        <v>1282</v>
      </c>
    </row>
    <row r="113" spans="1:58" ht="28">
      <c r="A113" s="69" t="s">
        <v>1717</v>
      </c>
      <c r="B113" s="69" t="s">
        <v>1718</v>
      </c>
      <c r="C113" s="69"/>
      <c r="D113" s="69"/>
      <c r="E113" s="69" t="s">
        <v>1719</v>
      </c>
      <c r="F113" s="69" t="s">
        <v>1658</v>
      </c>
      <c r="G113" s="69" t="s">
        <v>1279</v>
      </c>
      <c r="H113" s="69" t="s">
        <v>1185</v>
      </c>
      <c r="I113" s="69" t="s">
        <v>1294</v>
      </c>
      <c r="J113" s="69" t="s">
        <v>1214</v>
      </c>
      <c r="K113" s="69" t="s">
        <v>1281</v>
      </c>
      <c r="L113" s="69" t="s">
        <v>1219</v>
      </c>
      <c r="M113" s="69" t="s">
        <v>1270</v>
      </c>
      <c r="N113" s="69" t="s">
        <v>1219</v>
      </c>
      <c r="O113" s="69" t="s">
        <v>1281</v>
      </c>
      <c r="P113" s="69" t="s">
        <v>1219</v>
      </c>
      <c r="Q113" s="70" t="s">
        <v>1219</v>
      </c>
      <c r="R113" s="70" t="s">
        <v>1219</v>
      </c>
      <c r="S113" s="70" t="s">
        <v>1219</v>
      </c>
      <c r="T113" s="70" t="s">
        <v>1219</v>
      </c>
      <c r="U113" s="70" t="s">
        <v>1219</v>
      </c>
      <c r="V113" s="70" t="s">
        <v>1219</v>
      </c>
      <c r="W113" s="70"/>
      <c r="X113" s="70" t="str">
        <f t="shared" si="14"/>
        <v>Belum Dinilai</v>
      </c>
      <c r="Y113" s="70" t="s">
        <v>1219</v>
      </c>
      <c r="Z113" s="74" t="str">
        <f t="shared" si="16"/>
        <v/>
      </c>
      <c r="AA113" s="74" t="str">
        <f t="shared" si="17"/>
        <v/>
      </c>
      <c r="AB113" s="74" t="str">
        <f t="shared" si="18"/>
        <v/>
      </c>
      <c r="AC113" s="71" t="s">
        <v>1219</v>
      </c>
      <c r="AD113" s="71" t="s">
        <v>1219</v>
      </c>
      <c r="AE113" s="71" t="s">
        <v>1219</v>
      </c>
      <c r="AF113" s="71" t="s">
        <v>1219</v>
      </c>
      <c r="AG113" s="71" t="s">
        <v>1219</v>
      </c>
      <c r="AH113" s="71" t="s">
        <v>1219</v>
      </c>
      <c r="AI113" s="71" t="s">
        <v>1219</v>
      </c>
      <c r="AJ113" s="71" t="s">
        <v>1219</v>
      </c>
      <c r="AK113" s="71" t="s">
        <v>1219</v>
      </c>
      <c r="AL113" s="71"/>
      <c r="AM113" s="71" t="s">
        <v>1219</v>
      </c>
      <c r="AN113" s="71" t="str">
        <f t="shared" si="15"/>
        <v>Belum Dinilai</v>
      </c>
      <c r="AO113" s="71" t="str">
        <f t="shared" si="19"/>
        <v>Belum Dinilai</v>
      </c>
      <c r="AP113" s="71"/>
      <c r="AQ113" s="75" t="str">
        <f t="shared" si="20"/>
        <v/>
      </c>
      <c r="AR113" s="75" t="str">
        <f t="shared" si="21"/>
        <v/>
      </c>
      <c r="AS113" s="75" t="str">
        <f t="shared" si="22"/>
        <v/>
      </c>
      <c r="AT113" s="72" t="str">
        <f t="shared" si="23"/>
        <v>Belum Dapat Ditentukan</v>
      </c>
      <c r="AU113" s="69" t="s">
        <v>1207</v>
      </c>
      <c r="AV113" s="69" t="s">
        <v>1208</v>
      </c>
      <c r="AW113" s="69" t="s">
        <v>1194</v>
      </c>
      <c r="AX113" s="69"/>
      <c r="AY113" s="69"/>
      <c r="AZ113" s="69" t="s">
        <v>930</v>
      </c>
      <c r="BA113" s="69"/>
      <c r="BB113" s="76"/>
      <c r="BC113" s="77">
        <v>2026</v>
      </c>
      <c r="BD113" s="69" t="s">
        <v>1197</v>
      </c>
      <c r="BE113" s="76">
        <v>46218</v>
      </c>
      <c r="BF113" s="69" t="s">
        <v>1282</v>
      </c>
    </row>
    <row r="114" spans="1:58" ht="28">
      <c r="A114" s="69" t="s">
        <v>1720</v>
      </c>
      <c r="B114" s="69" t="s">
        <v>1721</v>
      </c>
      <c r="C114" s="69"/>
      <c r="D114" s="69"/>
      <c r="E114" s="69" t="s">
        <v>1719</v>
      </c>
      <c r="F114" s="69" t="s">
        <v>1658</v>
      </c>
      <c r="G114" s="69" t="s">
        <v>1279</v>
      </c>
      <c r="H114" s="69" t="s">
        <v>1185</v>
      </c>
      <c r="I114" s="69" t="s">
        <v>1722</v>
      </c>
      <c r="J114" s="69" t="s">
        <v>1214</v>
      </c>
      <c r="K114" s="69" t="s">
        <v>1281</v>
      </c>
      <c r="L114" s="69" t="s">
        <v>1219</v>
      </c>
      <c r="M114" s="69" t="s">
        <v>1270</v>
      </c>
      <c r="N114" s="69" t="s">
        <v>1219</v>
      </c>
      <c r="O114" s="69" t="s">
        <v>1281</v>
      </c>
      <c r="P114" s="69" t="s">
        <v>1219</v>
      </c>
      <c r="Q114" s="70" t="s">
        <v>1219</v>
      </c>
      <c r="R114" s="70" t="s">
        <v>1219</v>
      </c>
      <c r="S114" s="70" t="s">
        <v>1219</v>
      </c>
      <c r="T114" s="70" t="s">
        <v>1219</v>
      </c>
      <c r="U114" s="70" t="s">
        <v>1219</v>
      </c>
      <c r="V114" s="70" t="s">
        <v>1219</v>
      </c>
      <c r="W114" s="70"/>
      <c r="X114" s="70" t="str">
        <f t="shared" si="14"/>
        <v>Belum Dinilai</v>
      </c>
      <c r="Y114" s="70" t="s">
        <v>1219</v>
      </c>
      <c r="Z114" s="74" t="str">
        <f t="shared" si="16"/>
        <v/>
      </c>
      <c r="AA114" s="74" t="str">
        <f t="shared" si="17"/>
        <v/>
      </c>
      <c r="AB114" s="74" t="str">
        <f t="shared" si="18"/>
        <v/>
      </c>
      <c r="AC114" s="71" t="s">
        <v>1219</v>
      </c>
      <c r="AD114" s="71" t="s">
        <v>1219</v>
      </c>
      <c r="AE114" s="71" t="s">
        <v>1219</v>
      </c>
      <c r="AF114" s="71" t="s">
        <v>1219</v>
      </c>
      <c r="AG114" s="71" t="s">
        <v>1219</v>
      </c>
      <c r="AH114" s="71" t="s">
        <v>1219</v>
      </c>
      <c r="AI114" s="71" t="s">
        <v>1219</v>
      </c>
      <c r="AJ114" s="71" t="s">
        <v>1219</v>
      </c>
      <c r="AK114" s="71" t="s">
        <v>1219</v>
      </c>
      <c r="AL114" s="71"/>
      <c r="AM114" s="71" t="s">
        <v>1219</v>
      </c>
      <c r="AN114" s="71" t="str">
        <f t="shared" si="15"/>
        <v>Belum Dinilai</v>
      </c>
      <c r="AO114" s="71" t="str">
        <f t="shared" si="19"/>
        <v>Belum Dinilai</v>
      </c>
      <c r="AP114" s="71"/>
      <c r="AQ114" s="75" t="str">
        <f t="shared" si="20"/>
        <v/>
      </c>
      <c r="AR114" s="75" t="str">
        <f t="shared" si="21"/>
        <v/>
      </c>
      <c r="AS114" s="75" t="str">
        <f t="shared" si="22"/>
        <v/>
      </c>
      <c r="AT114" s="72" t="str">
        <f t="shared" si="23"/>
        <v>Belum Dapat Ditentukan</v>
      </c>
      <c r="AU114" s="69" t="s">
        <v>1207</v>
      </c>
      <c r="AV114" s="69" t="s">
        <v>1208</v>
      </c>
      <c r="AW114" s="69" t="s">
        <v>1194</v>
      </c>
      <c r="AX114" s="69"/>
      <c r="AY114" s="69"/>
      <c r="AZ114" s="69" t="s">
        <v>930</v>
      </c>
      <c r="BA114" s="69"/>
      <c r="BB114" s="76"/>
      <c r="BC114" s="77">
        <v>2026</v>
      </c>
      <c r="BD114" s="69" t="s">
        <v>1197</v>
      </c>
      <c r="BE114" s="76">
        <v>46218</v>
      </c>
      <c r="BF114" s="69" t="s">
        <v>1282</v>
      </c>
    </row>
    <row r="115" spans="1:58" ht="28">
      <c r="A115" s="69" t="s">
        <v>1723</v>
      </c>
      <c r="B115" s="69" t="s">
        <v>1724</v>
      </c>
      <c r="C115" s="69"/>
      <c r="D115" s="69"/>
      <c r="E115" s="69" t="s">
        <v>1719</v>
      </c>
      <c r="F115" s="69" t="s">
        <v>1658</v>
      </c>
      <c r="G115" s="69" t="s">
        <v>1279</v>
      </c>
      <c r="H115" s="69" t="s">
        <v>1185</v>
      </c>
      <c r="I115" s="69" t="s">
        <v>1725</v>
      </c>
      <c r="J115" s="69" t="s">
        <v>1214</v>
      </c>
      <c r="K115" s="69" t="s">
        <v>1281</v>
      </c>
      <c r="L115" s="69" t="s">
        <v>1219</v>
      </c>
      <c r="M115" s="69" t="s">
        <v>1270</v>
      </c>
      <c r="N115" s="69" t="s">
        <v>1219</v>
      </c>
      <c r="O115" s="69" t="s">
        <v>1217</v>
      </c>
      <c r="P115" s="69" t="s">
        <v>1219</v>
      </c>
      <c r="Q115" s="70" t="s">
        <v>1219</v>
      </c>
      <c r="R115" s="70" t="s">
        <v>1219</v>
      </c>
      <c r="S115" s="70" t="s">
        <v>1219</v>
      </c>
      <c r="T115" s="70" t="s">
        <v>1219</v>
      </c>
      <c r="U115" s="70" t="s">
        <v>1219</v>
      </c>
      <c r="V115" s="70" t="s">
        <v>1219</v>
      </c>
      <c r="W115" s="70"/>
      <c r="X115" s="70" t="str">
        <f t="shared" si="14"/>
        <v>Belum Dinilai</v>
      </c>
      <c r="Y115" s="70" t="s">
        <v>1219</v>
      </c>
      <c r="Z115" s="74" t="str">
        <f t="shared" si="16"/>
        <v/>
      </c>
      <c r="AA115" s="74" t="str">
        <f t="shared" si="17"/>
        <v/>
      </c>
      <c r="AB115" s="74" t="str">
        <f t="shared" si="18"/>
        <v/>
      </c>
      <c r="AC115" s="71" t="s">
        <v>1219</v>
      </c>
      <c r="AD115" s="71" t="s">
        <v>1219</v>
      </c>
      <c r="AE115" s="71" t="s">
        <v>1219</v>
      </c>
      <c r="AF115" s="71" t="s">
        <v>1219</v>
      </c>
      <c r="AG115" s="71" t="s">
        <v>1219</v>
      </c>
      <c r="AH115" s="71" t="s">
        <v>1219</v>
      </c>
      <c r="AI115" s="71" t="s">
        <v>1219</v>
      </c>
      <c r="AJ115" s="71" t="s">
        <v>1219</v>
      </c>
      <c r="AK115" s="71" t="s">
        <v>1219</v>
      </c>
      <c r="AL115" s="71"/>
      <c r="AM115" s="71" t="s">
        <v>1219</v>
      </c>
      <c r="AN115" s="71" t="str">
        <f t="shared" si="15"/>
        <v>Belum Dinilai</v>
      </c>
      <c r="AO115" s="71" t="str">
        <f t="shared" si="19"/>
        <v>Belum Dinilai</v>
      </c>
      <c r="AP115" s="71"/>
      <c r="AQ115" s="75" t="str">
        <f t="shared" si="20"/>
        <v/>
      </c>
      <c r="AR115" s="75" t="str">
        <f t="shared" si="21"/>
        <v/>
      </c>
      <c r="AS115" s="75" t="str">
        <f t="shared" si="22"/>
        <v/>
      </c>
      <c r="AT115" s="72" t="str">
        <f t="shared" si="23"/>
        <v>Belum Dapat Ditentukan</v>
      </c>
      <c r="AU115" s="69" t="s">
        <v>1193</v>
      </c>
      <c r="AV115" s="69" t="s">
        <v>1208</v>
      </c>
      <c r="AW115" s="69" t="s">
        <v>1271</v>
      </c>
      <c r="AX115" s="69" t="s">
        <v>1210</v>
      </c>
      <c r="AY115" s="69">
        <v>2021</v>
      </c>
      <c r="AZ115" s="69" t="s">
        <v>930</v>
      </c>
      <c r="BA115" s="69"/>
      <c r="BB115" s="76"/>
      <c r="BC115" s="77">
        <v>2026</v>
      </c>
      <c r="BD115" s="69" t="s">
        <v>1197</v>
      </c>
      <c r="BE115" s="76">
        <v>46218</v>
      </c>
      <c r="BF115" s="69" t="s">
        <v>1282</v>
      </c>
    </row>
    <row r="116" spans="1:58" ht="28">
      <c r="A116" s="69" t="s">
        <v>1726</v>
      </c>
      <c r="B116" s="69" t="s">
        <v>1727</v>
      </c>
      <c r="C116" s="69"/>
      <c r="D116" s="69"/>
      <c r="E116" s="69" t="s">
        <v>1719</v>
      </c>
      <c r="F116" s="69" t="s">
        <v>1658</v>
      </c>
      <c r="G116" s="69" t="s">
        <v>1279</v>
      </c>
      <c r="H116" s="69" t="s">
        <v>1185</v>
      </c>
      <c r="I116" s="69" t="s">
        <v>1725</v>
      </c>
      <c r="J116" s="69" t="s">
        <v>1214</v>
      </c>
      <c r="K116" s="69" t="s">
        <v>1281</v>
      </c>
      <c r="L116" s="69" t="s">
        <v>1219</v>
      </c>
      <c r="M116" s="69" t="s">
        <v>1270</v>
      </c>
      <c r="N116" s="69" t="s">
        <v>1219</v>
      </c>
      <c r="O116" s="69" t="s">
        <v>1217</v>
      </c>
      <c r="P116" s="69" t="s">
        <v>1219</v>
      </c>
      <c r="Q116" s="70" t="s">
        <v>1219</v>
      </c>
      <c r="R116" s="70" t="s">
        <v>1219</v>
      </c>
      <c r="S116" s="70" t="s">
        <v>1219</v>
      </c>
      <c r="T116" s="70" t="s">
        <v>1219</v>
      </c>
      <c r="U116" s="70" t="s">
        <v>1219</v>
      </c>
      <c r="V116" s="70" t="s">
        <v>1219</v>
      </c>
      <c r="W116" s="70"/>
      <c r="X116" s="70" t="str">
        <f t="shared" si="14"/>
        <v>Belum Dinilai</v>
      </c>
      <c r="Y116" s="70" t="s">
        <v>1219</v>
      </c>
      <c r="Z116" s="74" t="str">
        <f t="shared" si="16"/>
        <v/>
      </c>
      <c r="AA116" s="74" t="str">
        <f t="shared" si="17"/>
        <v/>
      </c>
      <c r="AB116" s="74" t="str">
        <f t="shared" si="18"/>
        <v/>
      </c>
      <c r="AC116" s="71" t="s">
        <v>1219</v>
      </c>
      <c r="AD116" s="71" t="s">
        <v>1219</v>
      </c>
      <c r="AE116" s="71" t="s">
        <v>1219</v>
      </c>
      <c r="AF116" s="71" t="s">
        <v>1219</v>
      </c>
      <c r="AG116" s="71" t="s">
        <v>1219</v>
      </c>
      <c r="AH116" s="71" t="s">
        <v>1219</v>
      </c>
      <c r="AI116" s="71" t="s">
        <v>1219</v>
      </c>
      <c r="AJ116" s="71" t="s">
        <v>1219</v>
      </c>
      <c r="AK116" s="71" t="s">
        <v>1219</v>
      </c>
      <c r="AL116" s="71"/>
      <c r="AM116" s="71" t="s">
        <v>1219</v>
      </c>
      <c r="AN116" s="71" t="str">
        <f t="shared" si="15"/>
        <v>Belum Dinilai</v>
      </c>
      <c r="AO116" s="71" t="str">
        <f t="shared" si="19"/>
        <v>Belum Dinilai</v>
      </c>
      <c r="AP116" s="71"/>
      <c r="AQ116" s="75" t="str">
        <f t="shared" si="20"/>
        <v/>
      </c>
      <c r="AR116" s="75" t="str">
        <f t="shared" si="21"/>
        <v/>
      </c>
      <c r="AS116" s="75" t="str">
        <f t="shared" si="22"/>
        <v/>
      </c>
      <c r="AT116" s="72" t="str">
        <f t="shared" si="23"/>
        <v>Belum Dapat Ditentukan</v>
      </c>
      <c r="AU116" s="69" t="s">
        <v>1193</v>
      </c>
      <c r="AV116" s="69" t="s">
        <v>1208</v>
      </c>
      <c r="AW116" s="69" t="s">
        <v>1194</v>
      </c>
      <c r="AX116" s="69"/>
      <c r="AY116" s="69"/>
      <c r="AZ116" s="69" t="s">
        <v>930</v>
      </c>
      <c r="BA116" s="69"/>
      <c r="BB116" s="76"/>
      <c r="BC116" s="77">
        <v>2026</v>
      </c>
      <c r="BD116" s="69" t="s">
        <v>1197</v>
      </c>
      <c r="BE116" s="76">
        <v>46218</v>
      </c>
      <c r="BF116" s="69" t="s">
        <v>1282</v>
      </c>
    </row>
    <row r="117" spans="1:58" ht="28">
      <c r="A117" s="69" t="s">
        <v>1728</v>
      </c>
      <c r="B117" s="69" t="s">
        <v>1729</v>
      </c>
      <c r="C117" s="69"/>
      <c r="D117" s="69"/>
      <c r="E117" s="69" t="s">
        <v>1719</v>
      </c>
      <c r="F117" s="69" t="s">
        <v>1658</v>
      </c>
      <c r="G117" s="69" t="s">
        <v>1279</v>
      </c>
      <c r="H117" s="69" t="s">
        <v>1185</v>
      </c>
      <c r="I117" s="69" t="s">
        <v>1730</v>
      </c>
      <c r="J117" s="69" t="s">
        <v>1214</v>
      </c>
      <c r="K117" s="69" t="s">
        <v>1281</v>
      </c>
      <c r="L117" s="69" t="s">
        <v>1219</v>
      </c>
      <c r="M117" s="69" t="s">
        <v>1270</v>
      </c>
      <c r="N117" s="69" t="s">
        <v>1219</v>
      </c>
      <c r="O117" s="69" t="s">
        <v>1270</v>
      </c>
      <c r="P117" s="69" t="s">
        <v>1219</v>
      </c>
      <c r="Q117" s="70" t="s">
        <v>1219</v>
      </c>
      <c r="R117" s="70" t="s">
        <v>1219</v>
      </c>
      <c r="S117" s="70" t="s">
        <v>1219</v>
      </c>
      <c r="T117" s="70" t="s">
        <v>1219</v>
      </c>
      <c r="U117" s="70" t="s">
        <v>1219</v>
      </c>
      <c r="V117" s="70" t="s">
        <v>1219</v>
      </c>
      <c r="W117" s="70"/>
      <c r="X117" s="70" t="str">
        <f t="shared" si="14"/>
        <v>Belum Dinilai</v>
      </c>
      <c r="Y117" s="70" t="s">
        <v>1219</v>
      </c>
      <c r="Z117" s="74" t="str">
        <f t="shared" si="16"/>
        <v/>
      </c>
      <c r="AA117" s="74" t="str">
        <f t="shared" si="17"/>
        <v/>
      </c>
      <c r="AB117" s="74" t="str">
        <f t="shared" si="18"/>
        <v/>
      </c>
      <c r="AC117" s="71" t="s">
        <v>1219</v>
      </c>
      <c r="AD117" s="71" t="s">
        <v>1219</v>
      </c>
      <c r="AE117" s="71" t="s">
        <v>1219</v>
      </c>
      <c r="AF117" s="71" t="s">
        <v>1219</v>
      </c>
      <c r="AG117" s="71" t="s">
        <v>1219</v>
      </c>
      <c r="AH117" s="71" t="s">
        <v>1219</v>
      </c>
      <c r="AI117" s="71" t="s">
        <v>1219</v>
      </c>
      <c r="AJ117" s="71" t="s">
        <v>1219</v>
      </c>
      <c r="AK117" s="71" t="s">
        <v>1219</v>
      </c>
      <c r="AL117" s="71"/>
      <c r="AM117" s="71" t="s">
        <v>1219</v>
      </c>
      <c r="AN117" s="71" t="str">
        <f t="shared" si="15"/>
        <v>Belum Dinilai</v>
      </c>
      <c r="AO117" s="71" t="str">
        <f t="shared" si="19"/>
        <v>Belum Dinilai</v>
      </c>
      <c r="AP117" s="71"/>
      <c r="AQ117" s="75" t="str">
        <f t="shared" si="20"/>
        <v/>
      </c>
      <c r="AR117" s="75" t="str">
        <f t="shared" si="21"/>
        <v/>
      </c>
      <c r="AS117" s="75" t="str">
        <f t="shared" si="22"/>
        <v/>
      </c>
      <c r="AT117" s="72" t="str">
        <f t="shared" si="23"/>
        <v>Belum Dapat Ditentukan</v>
      </c>
      <c r="AU117" s="69" t="s">
        <v>1193</v>
      </c>
      <c r="AV117" s="69" t="s">
        <v>1208</v>
      </c>
      <c r="AW117" s="69" t="s">
        <v>1194</v>
      </c>
      <c r="AX117" s="69"/>
      <c r="AY117" s="69"/>
      <c r="AZ117" s="69" t="s">
        <v>930</v>
      </c>
      <c r="BA117" s="69"/>
      <c r="BB117" s="76"/>
      <c r="BC117" s="77">
        <v>2026</v>
      </c>
      <c r="BD117" s="69" t="s">
        <v>1197</v>
      </c>
      <c r="BE117" s="76">
        <v>46218</v>
      </c>
      <c r="BF117" s="69" t="s">
        <v>1282</v>
      </c>
    </row>
    <row r="118" spans="1:58" ht="28">
      <c r="A118" s="69" t="s">
        <v>1731</v>
      </c>
      <c r="B118" s="69" t="s">
        <v>1732</v>
      </c>
      <c r="C118" s="69"/>
      <c r="D118" s="69"/>
      <c r="E118" s="69" t="s">
        <v>1733</v>
      </c>
      <c r="F118" s="69" t="s">
        <v>1278</v>
      </c>
      <c r="G118" s="69" t="s">
        <v>1279</v>
      </c>
      <c r="H118" s="69" t="s">
        <v>1185</v>
      </c>
      <c r="I118" s="69" t="s">
        <v>1734</v>
      </c>
      <c r="J118" s="69" t="s">
        <v>1267</v>
      </c>
      <c r="K118" s="69" t="s">
        <v>1281</v>
      </c>
      <c r="L118" s="69" t="s">
        <v>1219</v>
      </c>
      <c r="M118" s="69" t="s">
        <v>1281</v>
      </c>
      <c r="N118" s="69" t="s">
        <v>1219</v>
      </c>
      <c r="O118" s="69" t="s">
        <v>1217</v>
      </c>
      <c r="P118" s="69" t="s">
        <v>1219</v>
      </c>
      <c r="Q118" s="70" t="s">
        <v>1219</v>
      </c>
      <c r="R118" s="70" t="s">
        <v>1219</v>
      </c>
      <c r="S118" s="70" t="s">
        <v>1219</v>
      </c>
      <c r="T118" s="70" t="s">
        <v>1219</v>
      </c>
      <c r="U118" s="70" t="s">
        <v>1219</v>
      </c>
      <c r="V118" s="70" t="s">
        <v>1219</v>
      </c>
      <c r="W118" s="70"/>
      <c r="X118" s="70" t="str">
        <f t="shared" si="14"/>
        <v>Belum Dinilai</v>
      </c>
      <c r="Y118" s="70" t="s">
        <v>1219</v>
      </c>
      <c r="Z118" s="74" t="str">
        <f t="shared" si="16"/>
        <v/>
      </c>
      <c r="AA118" s="74" t="str">
        <f t="shared" si="17"/>
        <v/>
      </c>
      <c r="AB118" s="74" t="str">
        <f t="shared" si="18"/>
        <v/>
      </c>
      <c r="AC118" s="71" t="s">
        <v>1219</v>
      </c>
      <c r="AD118" s="71" t="s">
        <v>1219</v>
      </c>
      <c r="AE118" s="71" t="s">
        <v>1219</v>
      </c>
      <c r="AF118" s="71" t="s">
        <v>1219</v>
      </c>
      <c r="AG118" s="71" t="s">
        <v>1219</v>
      </c>
      <c r="AH118" s="71" t="s">
        <v>1219</v>
      </c>
      <c r="AI118" s="71" t="s">
        <v>1219</v>
      </c>
      <c r="AJ118" s="71" t="s">
        <v>1219</v>
      </c>
      <c r="AK118" s="71" t="s">
        <v>1219</v>
      </c>
      <c r="AL118" s="71"/>
      <c r="AM118" s="71" t="s">
        <v>1219</v>
      </c>
      <c r="AN118" s="71" t="str">
        <f t="shared" si="15"/>
        <v>Belum Dinilai</v>
      </c>
      <c r="AO118" s="71" t="str">
        <f t="shared" si="19"/>
        <v>Belum Dinilai</v>
      </c>
      <c r="AP118" s="71"/>
      <c r="AQ118" s="75" t="str">
        <f t="shared" si="20"/>
        <v/>
      </c>
      <c r="AR118" s="75" t="str">
        <f t="shared" si="21"/>
        <v/>
      </c>
      <c r="AS118" s="75" t="str">
        <f t="shared" si="22"/>
        <v/>
      </c>
      <c r="AT118" s="72" t="str">
        <f t="shared" si="23"/>
        <v>Belum Dapat Ditentukan</v>
      </c>
      <c r="AU118" s="69" t="s">
        <v>1193</v>
      </c>
      <c r="AV118" s="69" t="s">
        <v>1208</v>
      </c>
      <c r="AW118" s="69" t="s">
        <v>1271</v>
      </c>
      <c r="AX118" s="69" t="s">
        <v>1210</v>
      </c>
      <c r="AY118" s="69">
        <v>2021</v>
      </c>
      <c r="AZ118" s="69" t="s">
        <v>930</v>
      </c>
      <c r="BA118" s="69"/>
      <c r="BB118" s="76"/>
      <c r="BC118" s="77">
        <v>2026</v>
      </c>
      <c r="BD118" s="69" t="s">
        <v>1197</v>
      </c>
      <c r="BE118" s="76">
        <v>46218</v>
      </c>
      <c r="BF118" s="69" t="s">
        <v>1282</v>
      </c>
    </row>
    <row r="119" spans="1:58" ht="28">
      <c r="A119" s="69" t="s">
        <v>1735</v>
      </c>
      <c r="B119" s="69" t="s">
        <v>1736</v>
      </c>
      <c r="C119" s="69"/>
      <c r="D119" s="69"/>
      <c r="E119" s="69" t="s">
        <v>1737</v>
      </c>
      <c r="F119" s="69" t="s">
        <v>1278</v>
      </c>
      <c r="G119" s="69" t="s">
        <v>1279</v>
      </c>
      <c r="H119" s="69" t="s">
        <v>1199</v>
      </c>
      <c r="I119" s="69" t="s">
        <v>1738</v>
      </c>
      <c r="J119" s="69" t="s">
        <v>1200</v>
      </c>
      <c r="K119" s="69" t="s">
        <v>1281</v>
      </c>
      <c r="L119" s="69" t="s">
        <v>1219</v>
      </c>
      <c r="M119" s="69" t="s">
        <v>1312</v>
      </c>
      <c r="N119" s="69" t="s">
        <v>1219</v>
      </c>
      <c r="O119" s="69" t="s">
        <v>1217</v>
      </c>
      <c r="P119" s="69" t="s">
        <v>1219</v>
      </c>
      <c r="Q119" s="70" t="s">
        <v>1219</v>
      </c>
      <c r="R119" s="70" t="s">
        <v>1219</v>
      </c>
      <c r="S119" s="70" t="s">
        <v>1219</v>
      </c>
      <c r="T119" s="70" t="s">
        <v>1219</v>
      </c>
      <c r="U119" s="70" t="s">
        <v>1219</v>
      </c>
      <c r="V119" s="70" t="s">
        <v>1219</v>
      </c>
      <c r="W119" s="70"/>
      <c r="X119" s="70" t="str">
        <f t="shared" si="14"/>
        <v>Belum Dinilai</v>
      </c>
      <c r="Y119" s="70" t="s">
        <v>1219</v>
      </c>
      <c r="Z119" s="74" t="str">
        <f t="shared" si="16"/>
        <v/>
      </c>
      <c r="AA119" s="74" t="str">
        <f t="shared" si="17"/>
        <v/>
      </c>
      <c r="AB119" s="74" t="str">
        <f t="shared" si="18"/>
        <v/>
      </c>
      <c r="AC119" s="71" t="s">
        <v>1219</v>
      </c>
      <c r="AD119" s="71" t="s">
        <v>1219</v>
      </c>
      <c r="AE119" s="71" t="s">
        <v>1219</v>
      </c>
      <c r="AF119" s="71" t="s">
        <v>1219</v>
      </c>
      <c r="AG119" s="71" t="s">
        <v>1219</v>
      </c>
      <c r="AH119" s="71" t="s">
        <v>1219</v>
      </c>
      <c r="AI119" s="71" t="s">
        <v>1219</v>
      </c>
      <c r="AJ119" s="71" t="s">
        <v>1219</v>
      </c>
      <c r="AK119" s="71" t="s">
        <v>1219</v>
      </c>
      <c r="AL119" s="71"/>
      <c r="AM119" s="71" t="s">
        <v>1219</v>
      </c>
      <c r="AN119" s="71" t="str">
        <f t="shared" si="15"/>
        <v>Belum Dinilai</v>
      </c>
      <c r="AO119" s="71" t="str">
        <f t="shared" si="19"/>
        <v>Belum Dinilai</v>
      </c>
      <c r="AP119" s="71"/>
      <c r="AQ119" s="75" t="str">
        <f t="shared" si="20"/>
        <v/>
      </c>
      <c r="AR119" s="75" t="str">
        <f t="shared" si="21"/>
        <v/>
      </c>
      <c r="AS119" s="75" t="str">
        <f t="shared" si="22"/>
        <v/>
      </c>
      <c r="AT119" s="72" t="str">
        <f t="shared" si="23"/>
        <v>Belum Dapat Ditentukan</v>
      </c>
      <c r="AU119" s="69" t="s">
        <v>1193</v>
      </c>
      <c r="AV119" s="69" t="s">
        <v>1208</v>
      </c>
      <c r="AW119" s="69" t="s">
        <v>1271</v>
      </c>
      <c r="AX119" s="69" t="s">
        <v>1210</v>
      </c>
      <c r="AY119" s="69">
        <v>2021</v>
      </c>
      <c r="AZ119" s="69" t="s">
        <v>930</v>
      </c>
      <c r="BA119" s="69"/>
      <c r="BB119" s="76"/>
      <c r="BC119" s="77">
        <v>2026</v>
      </c>
      <c r="BD119" s="69" t="s">
        <v>1197</v>
      </c>
      <c r="BE119" s="76">
        <v>46218</v>
      </c>
      <c r="BF119" s="69" t="s">
        <v>1282</v>
      </c>
    </row>
    <row r="120" spans="1:58" ht="28">
      <c r="A120" s="69" t="s">
        <v>1739</v>
      </c>
      <c r="B120" s="69" t="s">
        <v>1740</v>
      </c>
      <c r="C120" s="69"/>
      <c r="D120" s="69"/>
      <c r="E120" s="69" t="s">
        <v>1741</v>
      </c>
      <c r="F120" s="69" t="s">
        <v>1278</v>
      </c>
      <c r="G120" s="69" t="s">
        <v>1279</v>
      </c>
      <c r="H120" s="69" t="s">
        <v>1185</v>
      </c>
      <c r="I120" s="69" t="s">
        <v>1742</v>
      </c>
      <c r="J120" s="69" t="s">
        <v>1200</v>
      </c>
      <c r="K120" s="69" t="s">
        <v>1281</v>
      </c>
      <c r="L120" s="69" t="s">
        <v>1219</v>
      </c>
      <c r="M120" s="69" t="s">
        <v>1312</v>
      </c>
      <c r="N120" s="69" t="s">
        <v>1219</v>
      </c>
      <c r="O120" s="69" t="s">
        <v>1217</v>
      </c>
      <c r="P120" s="69" t="s">
        <v>1219</v>
      </c>
      <c r="Q120" s="70" t="s">
        <v>1219</v>
      </c>
      <c r="R120" s="70" t="s">
        <v>1219</v>
      </c>
      <c r="S120" s="70" t="s">
        <v>1219</v>
      </c>
      <c r="T120" s="70" t="s">
        <v>1219</v>
      </c>
      <c r="U120" s="70" t="s">
        <v>1219</v>
      </c>
      <c r="V120" s="70" t="s">
        <v>1219</v>
      </c>
      <c r="W120" s="70"/>
      <c r="X120" s="70" t="str">
        <f t="shared" si="14"/>
        <v>Belum Dinilai</v>
      </c>
      <c r="Y120" s="70" t="s">
        <v>1219</v>
      </c>
      <c r="Z120" s="74" t="str">
        <f t="shared" si="16"/>
        <v/>
      </c>
      <c r="AA120" s="74" t="str">
        <f t="shared" si="17"/>
        <v/>
      </c>
      <c r="AB120" s="74" t="str">
        <f t="shared" si="18"/>
        <v/>
      </c>
      <c r="AC120" s="71" t="s">
        <v>1219</v>
      </c>
      <c r="AD120" s="71" t="s">
        <v>1219</v>
      </c>
      <c r="AE120" s="71" t="s">
        <v>1219</v>
      </c>
      <c r="AF120" s="71" t="s">
        <v>1219</v>
      </c>
      <c r="AG120" s="71" t="s">
        <v>1219</v>
      </c>
      <c r="AH120" s="71" t="s">
        <v>1219</v>
      </c>
      <c r="AI120" s="71" t="s">
        <v>1219</v>
      </c>
      <c r="AJ120" s="71" t="s">
        <v>1219</v>
      </c>
      <c r="AK120" s="71" t="s">
        <v>1219</v>
      </c>
      <c r="AL120" s="71"/>
      <c r="AM120" s="71" t="s">
        <v>1219</v>
      </c>
      <c r="AN120" s="71" t="str">
        <f t="shared" si="15"/>
        <v>Belum Dinilai</v>
      </c>
      <c r="AO120" s="71" t="str">
        <f t="shared" si="19"/>
        <v>Belum Dinilai</v>
      </c>
      <c r="AP120" s="71"/>
      <c r="AQ120" s="75" t="str">
        <f t="shared" si="20"/>
        <v/>
      </c>
      <c r="AR120" s="75" t="str">
        <f t="shared" si="21"/>
        <v/>
      </c>
      <c r="AS120" s="75" t="str">
        <f t="shared" si="22"/>
        <v/>
      </c>
      <c r="AT120" s="72" t="str">
        <f t="shared" si="23"/>
        <v>Belum Dapat Ditentukan</v>
      </c>
      <c r="AU120" s="69" t="s">
        <v>1193</v>
      </c>
      <c r="AV120" s="69" t="s">
        <v>1208</v>
      </c>
      <c r="AW120" s="69" t="s">
        <v>1271</v>
      </c>
      <c r="AX120" s="69" t="s">
        <v>1210</v>
      </c>
      <c r="AY120" s="69">
        <v>2023</v>
      </c>
      <c r="AZ120" s="69" t="s">
        <v>930</v>
      </c>
      <c r="BA120" s="69"/>
      <c r="BB120" s="76"/>
      <c r="BC120" s="77">
        <v>2026</v>
      </c>
      <c r="BD120" s="69" t="s">
        <v>1197</v>
      </c>
      <c r="BE120" s="76">
        <v>46218</v>
      </c>
      <c r="BF120" s="69" t="s">
        <v>1282</v>
      </c>
    </row>
    <row r="121" spans="1:58" ht="28">
      <c r="A121" s="69" t="s">
        <v>1743</v>
      </c>
      <c r="B121" s="69" t="s">
        <v>1744</v>
      </c>
      <c r="C121" s="69"/>
      <c r="D121" s="69"/>
      <c r="E121" s="69" t="s">
        <v>1741</v>
      </c>
      <c r="F121" s="69" t="s">
        <v>1278</v>
      </c>
      <c r="G121" s="69" t="s">
        <v>1279</v>
      </c>
      <c r="H121" s="69" t="s">
        <v>1185</v>
      </c>
      <c r="I121" s="69" t="s">
        <v>1742</v>
      </c>
      <c r="J121" s="69" t="s">
        <v>1200</v>
      </c>
      <c r="K121" s="69" t="s">
        <v>1281</v>
      </c>
      <c r="L121" s="69" t="s">
        <v>1219</v>
      </c>
      <c r="M121" s="69" t="s">
        <v>1312</v>
      </c>
      <c r="N121" s="69" t="s">
        <v>1219</v>
      </c>
      <c r="O121" s="69" t="s">
        <v>1217</v>
      </c>
      <c r="P121" s="69" t="s">
        <v>1219</v>
      </c>
      <c r="Q121" s="70" t="s">
        <v>1219</v>
      </c>
      <c r="R121" s="70" t="s">
        <v>1219</v>
      </c>
      <c r="S121" s="70" t="s">
        <v>1219</v>
      </c>
      <c r="T121" s="70" t="s">
        <v>1219</v>
      </c>
      <c r="U121" s="70" t="s">
        <v>1219</v>
      </c>
      <c r="V121" s="70" t="s">
        <v>1219</v>
      </c>
      <c r="W121" s="70"/>
      <c r="X121" s="70" t="str">
        <f t="shared" si="14"/>
        <v>Belum Dinilai</v>
      </c>
      <c r="Y121" s="70" t="s">
        <v>1219</v>
      </c>
      <c r="Z121" s="74" t="str">
        <f t="shared" si="16"/>
        <v/>
      </c>
      <c r="AA121" s="74" t="str">
        <f t="shared" si="17"/>
        <v/>
      </c>
      <c r="AB121" s="74" t="str">
        <f t="shared" si="18"/>
        <v/>
      </c>
      <c r="AC121" s="71" t="s">
        <v>1219</v>
      </c>
      <c r="AD121" s="71" t="s">
        <v>1219</v>
      </c>
      <c r="AE121" s="71" t="s">
        <v>1219</v>
      </c>
      <c r="AF121" s="71" t="s">
        <v>1219</v>
      </c>
      <c r="AG121" s="71" t="s">
        <v>1219</v>
      </c>
      <c r="AH121" s="71" t="s">
        <v>1219</v>
      </c>
      <c r="AI121" s="71" t="s">
        <v>1219</v>
      </c>
      <c r="AJ121" s="71" t="s">
        <v>1219</v>
      </c>
      <c r="AK121" s="71" t="s">
        <v>1219</v>
      </c>
      <c r="AL121" s="71"/>
      <c r="AM121" s="71" t="s">
        <v>1219</v>
      </c>
      <c r="AN121" s="71" t="str">
        <f t="shared" si="15"/>
        <v>Belum Dinilai</v>
      </c>
      <c r="AO121" s="71" t="str">
        <f t="shared" si="19"/>
        <v>Belum Dinilai</v>
      </c>
      <c r="AP121" s="71"/>
      <c r="AQ121" s="75" t="str">
        <f t="shared" si="20"/>
        <v/>
      </c>
      <c r="AR121" s="75" t="str">
        <f t="shared" si="21"/>
        <v/>
      </c>
      <c r="AS121" s="75" t="str">
        <f t="shared" si="22"/>
        <v/>
      </c>
      <c r="AT121" s="72" t="str">
        <f t="shared" si="23"/>
        <v>Belum Dapat Ditentukan</v>
      </c>
      <c r="AU121" s="69" t="s">
        <v>1193</v>
      </c>
      <c r="AV121" s="69" t="s">
        <v>1208</v>
      </c>
      <c r="AW121" s="69" t="s">
        <v>1271</v>
      </c>
      <c r="AX121" s="69" t="s">
        <v>1210</v>
      </c>
      <c r="AY121" s="69">
        <v>2023</v>
      </c>
      <c r="AZ121" s="69" t="s">
        <v>930</v>
      </c>
      <c r="BA121" s="69"/>
      <c r="BB121" s="76"/>
      <c r="BC121" s="77">
        <v>2026</v>
      </c>
      <c r="BD121" s="69" t="s">
        <v>1197</v>
      </c>
      <c r="BE121" s="76">
        <v>46218</v>
      </c>
      <c r="BF121" s="69" t="s">
        <v>1282</v>
      </c>
    </row>
    <row r="122" spans="1:58" ht="28">
      <c r="A122" s="69" t="s">
        <v>1745</v>
      </c>
      <c r="B122" s="69" t="s">
        <v>1746</v>
      </c>
      <c r="C122" s="69"/>
      <c r="D122" s="69"/>
      <c r="E122" s="69" t="s">
        <v>1747</v>
      </c>
      <c r="F122" s="69" t="s">
        <v>1579</v>
      </c>
      <c r="G122" s="69" t="s">
        <v>1279</v>
      </c>
      <c r="H122" s="69" t="s">
        <v>1185</v>
      </c>
      <c r="I122" s="69" t="s">
        <v>1748</v>
      </c>
      <c r="J122" s="69" t="s">
        <v>1214</v>
      </c>
      <c r="K122" s="69" t="s">
        <v>1281</v>
      </c>
      <c r="L122" s="69" t="s">
        <v>1219</v>
      </c>
      <c r="M122" s="69" t="s">
        <v>1270</v>
      </c>
      <c r="N122" s="69" t="s">
        <v>1219</v>
      </c>
      <c r="O122" s="69" t="s">
        <v>1217</v>
      </c>
      <c r="P122" s="69" t="s">
        <v>1219</v>
      </c>
      <c r="Q122" s="70" t="s">
        <v>1219</v>
      </c>
      <c r="R122" s="70" t="s">
        <v>1219</v>
      </c>
      <c r="S122" s="70" t="s">
        <v>1219</v>
      </c>
      <c r="T122" s="70" t="s">
        <v>1219</v>
      </c>
      <c r="U122" s="70" t="s">
        <v>1219</v>
      </c>
      <c r="V122" s="70" t="s">
        <v>1219</v>
      </c>
      <c r="W122" s="70"/>
      <c r="X122" s="70" t="str">
        <f t="shared" si="14"/>
        <v>Belum Dinilai</v>
      </c>
      <c r="Y122" s="70" t="s">
        <v>1219</v>
      </c>
      <c r="Z122" s="74" t="str">
        <f t="shared" si="16"/>
        <v/>
      </c>
      <c r="AA122" s="74" t="str">
        <f t="shared" si="17"/>
        <v/>
      </c>
      <c r="AB122" s="74" t="str">
        <f t="shared" si="18"/>
        <v/>
      </c>
      <c r="AC122" s="71" t="s">
        <v>1219</v>
      </c>
      <c r="AD122" s="71" t="s">
        <v>1219</v>
      </c>
      <c r="AE122" s="71" t="s">
        <v>1219</v>
      </c>
      <c r="AF122" s="71" t="s">
        <v>1219</v>
      </c>
      <c r="AG122" s="71" t="s">
        <v>1219</v>
      </c>
      <c r="AH122" s="71" t="s">
        <v>1219</v>
      </c>
      <c r="AI122" s="71" t="s">
        <v>1219</v>
      </c>
      <c r="AJ122" s="71" t="s">
        <v>1219</v>
      </c>
      <c r="AK122" s="71" t="s">
        <v>1219</v>
      </c>
      <c r="AL122" s="71"/>
      <c r="AM122" s="71" t="s">
        <v>1219</v>
      </c>
      <c r="AN122" s="71" t="str">
        <f t="shared" si="15"/>
        <v>Belum Dinilai</v>
      </c>
      <c r="AO122" s="71" t="str">
        <f t="shared" si="19"/>
        <v>Belum Dinilai</v>
      </c>
      <c r="AP122" s="71"/>
      <c r="AQ122" s="75" t="str">
        <f t="shared" si="20"/>
        <v/>
      </c>
      <c r="AR122" s="75" t="str">
        <f t="shared" si="21"/>
        <v/>
      </c>
      <c r="AS122" s="75" t="str">
        <f t="shared" si="22"/>
        <v/>
      </c>
      <c r="AT122" s="72" t="str">
        <f t="shared" si="23"/>
        <v>Belum Dapat Ditentukan</v>
      </c>
      <c r="AU122" s="69" t="s">
        <v>1207</v>
      </c>
      <c r="AV122" s="69" t="s">
        <v>1208</v>
      </c>
      <c r="AW122" s="69" t="s">
        <v>1194</v>
      </c>
      <c r="AX122" s="69"/>
      <c r="AY122" s="69"/>
      <c r="AZ122" s="69" t="s">
        <v>930</v>
      </c>
      <c r="BA122" s="69"/>
      <c r="BB122" s="76"/>
      <c r="BC122" s="77">
        <v>2026</v>
      </c>
      <c r="BD122" s="69" t="s">
        <v>1197</v>
      </c>
      <c r="BE122" s="76">
        <v>46218</v>
      </c>
      <c r="BF122" s="69" t="s">
        <v>1282</v>
      </c>
    </row>
    <row r="123" spans="1:58" ht="42">
      <c r="A123" s="69" t="s">
        <v>1749</v>
      </c>
      <c r="B123" s="69" t="s">
        <v>1750</v>
      </c>
      <c r="C123" s="69"/>
      <c r="D123" s="69"/>
      <c r="E123" s="69" t="s">
        <v>1751</v>
      </c>
      <c r="F123" s="69" t="s">
        <v>1579</v>
      </c>
      <c r="G123" s="69" t="s">
        <v>1279</v>
      </c>
      <c r="H123" s="69" t="s">
        <v>1185</v>
      </c>
      <c r="I123" s="69" t="s">
        <v>1752</v>
      </c>
      <c r="J123" s="69" t="s">
        <v>1214</v>
      </c>
      <c r="K123" s="69" t="s">
        <v>1201</v>
      </c>
      <c r="L123" s="69" t="s">
        <v>1219</v>
      </c>
      <c r="M123" s="69" t="s">
        <v>1270</v>
      </c>
      <c r="N123" s="69" t="s">
        <v>1219</v>
      </c>
      <c r="O123" s="69" t="s">
        <v>1281</v>
      </c>
      <c r="P123" s="69" t="s">
        <v>1219</v>
      </c>
      <c r="Q123" s="70" t="s">
        <v>1219</v>
      </c>
      <c r="R123" s="70" t="s">
        <v>1219</v>
      </c>
      <c r="S123" s="70" t="s">
        <v>1219</v>
      </c>
      <c r="T123" s="70" t="s">
        <v>1219</v>
      </c>
      <c r="U123" s="70" t="s">
        <v>1219</v>
      </c>
      <c r="V123" s="70" t="s">
        <v>1219</v>
      </c>
      <c r="W123" s="70"/>
      <c r="X123" s="70" t="str">
        <f t="shared" si="14"/>
        <v>Belum Dinilai</v>
      </c>
      <c r="Y123" s="70" t="s">
        <v>1219</v>
      </c>
      <c r="Z123" s="74" t="str">
        <f t="shared" si="16"/>
        <v/>
      </c>
      <c r="AA123" s="74" t="str">
        <f t="shared" si="17"/>
        <v/>
      </c>
      <c r="AB123" s="74" t="str">
        <f t="shared" si="18"/>
        <v/>
      </c>
      <c r="AC123" s="71" t="s">
        <v>1219</v>
      </c>
      <c r="AD123" s="71" t="s">
        <v>1219</v>
      </c>
      <c r="AE123" s="71" t="s">
        <v>1219</v>
      </c>
      <c r="AF123" s="71" t="s">
        <v>1219</v>
      </c>
      <c r="AG123" s="71" t="s">
        <v>1219</v>
      </c>
      <c r="AH123" s="71" t="s">
        <v>1219</v>
      </c>
      <c r="AI123" s="71" t="s">
        <v>1219</v>
      </c>
      <c r="AJ123" s="71" t="s">
        <v>1219</v>
      </c>
      <c r="AK123" s="71" t="s">
        <v>1219</v>
      </c>
      <c r="AL123" s="71"/>
      <c r="AM123" s="71" t="s">
        <v>1219</v>
      </c>
      <c r="AN123" s="71" t="str">
        <f t="shared" si="15"/>
        <v>Belum Dinilai</v>
      </c>
      <c r="AO123" s="71" t="str">
        <f t="shared" si="19"/>
        <v>Belum Dinilai</v>
      </c>
      <c r="AP123" s="71"/>
      <c r="AQ123" s="75" t="str">
        <f t="shared" si="20"/>
        <v/>
      </c>
      <c r="AR123" s="75" t="str">
        <f t="shared" si="21"/>
        <v/>
      </c>
      <c r="AS123" s="75" t="str">
        <f t="shared" si="22"/>
        <v/>
      </c>
      <c r="AT123" s="72" t="str">
        <f t="shared" si="23"/>
        <v>Belum Dapat Ditentukan</v>
      </c>
      <c r="AU123" s="69" t="s">
        <v>1193</v>
      </c>
      <c r="AV123" s="69" t="s">
        <v>1208</v>
      </c>
      <c r="AW123" s="69" t="s">
        <v>1271</v>
      </c>
      <c r="AX123" s="69" t="s">
        <v>1210</v>
      </c>
      <c r="AY123" s="69">
        <v>2022</v>
      </c>
      <c r="AZ123" s="69" t="s">
        <v>1211</v>
      </c>
      <c r="BA123" s="69"/>
      <c r="BB123" s="76"/>
      <c r="BC123" s="77">
        <v>2026</v>
      </c>
      <c r="BD123" s="69" t="s">
        <v>1197</v>
      </c>
      <c r="BE123" s="76">
        <v>46218</v>
      </c>
      <c r="BF123" s="69" t="s">
        <v>1282</v>
      </c>
    </row>
    <row r="124" spans="1:58" ht="28">
      <c r="A124" s="69" t="s">
        <v>1753</v>
      </c>
      <c r="B124" s="69" t="s">
        <v>1754</v>
      </c>
      <c r="C124" s="69"/>
      <c r="D124" s="69"/>
      <c r="E124" s="69" t="s">
        <v>1311</v>
      </c>
      <c r="F124" s="69" t="s">
        <v>1322</v>
      </c>
      <c r="G124" s="69" t="s">
        <v>1293</v>
      </c>
      <c r="H124" s="69" t="s">
        <v>1199</v>
      </c>
      <c r="I124" s="69" t="s">
        <v>1755</v>
      </c>
      <c r="J124" s="69" t="s">
        <v>1186</v>
      </c>
      <c r="K124" s="69" t="s">
        <v>1201</v>
      </c>
      <c r="L124" s="69" t="s">
        <v>1219</v>
      </c>
      <c r="M124" s="69" t="s">
        <v>1216</v>
      </c>
      <c r="N124" s="69" t="s">
        <v>1219</v>
      </c>
      <c r="O124" s="69" t="s">
        <v>1217</v>
      </c>
      <c r="P124" s="69" t="s">
        <v>1219</v>
      </c>
      <c r="Q124" s="70" t="s">
        <v>1219</v>
      </c>
      <c r="R124" s="70" t="s">
        <v>1219</v>
      </c>
      <c r="S124" s="70" t="s">
        <v>1219</v>
      </c>
      <c r="T124" s="70" t="s">
        <v>1219</v>
      </c>
      <c r="U124" s="70" t="s">
        <v>1219</v>
      </c>
      <c r="V124" s="70" t="s">
        <v>1219</v>
      </c>
      <c r="W124" s="70"/>
      <c r="X124" s="70" t="str">
        <f t="shared" si="14"/>
        <v>Belum Dinilai</v>
      </c>
      <c r="Y124" s="70" t="s">
        <v>1219</v>
      </c>
      <c r="Z124" s="74" t="str">
        <f t="shared" si="16"/>
        <v/>
      </c>
      <c r="AA124" s="74" t="str">
        <f t="shared" si="17"/>
        <v/>
      </c>
      <c r="AB124" s="74" t="str">
        <f t="shared" si="18"/>
        <v/>
      </c>
      <c r="AC124" s="71" t="s">
        <v>1219</v>
      </c>
      <c r="AD124" s="71" t="s">
        <v>1219</v>
      </c>
      <c r="AE124" s="71" t="s">
        <v>1219</v>
      </c>
      <c r="AF124" s="71" t="s">
        <v>1219</v>
      </c>
      <c r="AG124" s="71" t="s">
        <v>1219</v>
      </c>
      <c r="AH124" s="71" t="s">
        <v>1219</v>
      </c>
      <c r="AI124" s="71" t="s">
        <v>1219</v>
      </c>
      <c r="AJ124" s="71" t="s">
        <v>1219</v>
      </c>
      <c r="AK124" s="71" t="s">
        <v>1219</v>
      </c>
      <c r="AL124" s="71"/>
      <c r="AM124" s="71" t="s">
        <v>1219</v>
      </c>
      <c r="AN124" s="71" t="str">
        <f t="shared" si="15"/>
        <v>Belum Dinilai</v>
      </c>
      <c r="AO124" s="71" t="str">
        <f t="shared" si="19"/>
        <v>Belum Dinilai</v>
      </c>
      <c r="AP124" s="71"/>
      <c r="AQ124" s="75" t="str">
        <f t="shared" si="20"/>
        <v/>
      </c>
      <c r="AR124" s="75" t="str">
        <f t="shared" si="21"/>
        <v/>
      </c>
      <c r="AS124" s="75" t="str">
        <f t="shared" si="22"/>
        <v/>
      </c>
      <c r="AT124" s="72" t="str">
        <f t="shared" si="23"/>
        <v>Belum Dapat Ditentukan</v>
      </c>
      <c r="AU124" s="69" t="s">
        <v>1193</v>
      </c>
      <c r="AV124" s="69" t="s">
        <v>1208</v>
      </c>
      <c r="AW124" s="69" t="s">
        <v>1271</v>
      </c>
      <c r="AX124" s="69" t="s">
        <v>1210</v>
      </c>
      <c r="AY124" s="69">
        <v>2021</v>
      </c>
      <c r="AZ124" s="69" t="s">
        <v>930</v>
      </c>
      <c r="BA124" s="69"/>
      <c r="BB124" s="76"/>
      <c r="BC124" s="77">
        <v>2026</v>
      </c>
      <c r="BD124" s="69" t="s">
        <v>1197</v>
      </c>
      <c r="BE124" s="76">
        <v>46218</v>
      </c>
      <c r="BF124" s="69" t="s">
        <v>1282</v>
      </c>
    </row>
    <row r="125" spans="1:58" ht="42">
      <c r="A125" s="69" t="s">
        <v>1756</v>
      </c>
      <c r="B125" s="69" t="s">
        <v>1757</v>
      </c>
      <c r="C125" s="69"/>
      <c r="D125" s="69"/>
      <c r="E125" s="69" t="s">
        <v>1758</v>
      </c>
      <c r="F125" s="69" t="s">
        <v>1292</v>
      </c>
      <c r="G125" s="69" t="s">
        <v>1293</v>
      </c>
      <c r="H125" s="69" t="s">
        <v>1185</v>
      </c>
      <c r="I125" s="69" t="s">
        <v>1759</v>
      </c>
      <c r="J125" s="69" t="s">
        <v>1214</v>
      </c>
      <c r="K125" s="69" t="s">
        <v>1281</v>
      </c>
      <c r="L125" s="69" t="s">
        <v>894</v>
      </c>
      <c r="M125" s="69" t="s">
        <v>1270</v>
      </c>
      <c r="N125" s="69" t="s">
        <v>894</v>
      </c>
      <c r="O125" s="69" t="s">
        <v>1217</v>
      </c>
      <c r="P125" s="69" t="s">
        <v>894</v>
      </c>
      <c r="Q125" s="70" t="s">
        <v>1219</v>
      </c>
      <c r="R125" s="70" t="s">
        <v>1219</v>
      </c>
      <c r="S125" s="70" t="s">
        <v>1219</v>
      </c>
      <c r="T125" s="70" t="s">
        <v>1219</v>
      </c>
      <c r="U125" s="70" t="s">
        <v>1219</v>
      </c>
      <c r="V125" s="70" t="s">
        <v>1219</v>
      </c>
      <c r="W125" s="70"/>
      <c r="X125" s="70" t="str">
        <f t="shared" si="14"/>
        <v>Belum Dinilai</v>
      </c>
      <c r="Y125" s="70" t="s">
        <v>1219</v>
      </c>
      <c r="Z125" s="74" t="str">
        <f t="shared" si="16"/>
        <v/>
      </c>
      <c r="AA125" s="74" t="str">
        <f t="shared" si="17"/>
        <v/>
      </c>
      <c r="AB125" s="74" t="str">
        <f t="shared" si="18"/>
        <v/>
      </c>
      <c r="AC125" s="71" t="s">
        <v>1219</v>
      </c>
      <c r="AD125" s="71" t="s">
        <v>1219</v>
      </c>
      <c r="AE125" s="71" t="s">
        <v>1219</v>
      </c>
      <c r="AF125" s="71" t="s">
        <v>1219</v>
      </c>
      <c r="AG125" s="71" t="s">
        <v>1219</v>
      </c>
      <c r="AH125" s="71" t="s">
        <v>1219</v>
      </c>
      <c r="AI125" s="71" t="s">
        <v>1219</v>
      </c>
      <c r="AJ125" s="71" t="s">
        <v>1219</v>
      </c>
      <c r="AK125" s="71" t="s">
        <v>1219</v>
      </c>
      <c r="AL125" s="71"/>
      <c r="AM125" s="71" t="s">
        <v>1219</v>
      </c>
      <c r="AN125" s="71" t="str">
        <f t="shared" si="15"/>
        <v>Belum Dinilai</v>
      </c>
      <c r="AO125" s="71" t="str">
        <f t="shared" si="19"/>
        <v>Belum Dinilai</v>
      </c>
      <c r="AP125" s="71"/>
      <c r="AQ125" s="75">
        <f t="shared" si="20"/>
        <v>29</v>
      </c>
      <c r="AR125" s="75" t="str">
        <f t="shared" si="21"/>
        <v/>
      </c>
      <c r="AS125" s="75" t="str">
        <f t="shared" si="22"/>
        <v/>
      </c>
      <c r="AT125" s="72" t="str">
        <f t="shared" si="23"/>
        <v>Belum Dapat Ditentukan</v>
      </c>
      <c r="AU125" s="69" t="s">
        <v>1193</v>
      </c>
      <c r="AV125" s="69" t="s">
        <v>1208</v>
      </c>
      <c r="AW125" s="69" t="s">
        <v>1271</v>
      </c>
      <c r="AX125" s="69" t="s">
        <v>1210</v>
      </c>
      <c r="AY125" s="69">
        <v>2022</v>
      </c>
      <c r="AZ125" s="69" t="s">
        <v>930</v>
      </c>
      <c r="BA125" s="69"/>
      <c r="BB125" s="76"/>
      <c r="BC125" s="77">
        <v>2026</v>
      </c>
      <c r="BD125" s="69" t="s">
        <v>1197</v>
      </c>
      <c r="BE125" s="76">
        <v>46218</v>
      </c>
      <c r="BF125" s="69" t="s">
        <v>1282</v>
      </c>
    </row>
    <row r="126" spans="1:58" ht="42">
      <c r="A126" s="69" t="s">
        <v>1760</v>
      </c>
      <c r="B126" s="69" t="s">
        <v>1761</v>
      </c>
      <c r="C126" s="69"/>
      <c r="D126" s="69"/>
      <c r="E126" s="69" t="s">
        <v>1762</v>
      </c>
      <c r="F126" s="69" t="s">
        <v>1292</v>
      </c>
      <c r="G126" s="69" t="s">
        <v>1293</v>
      </c>
      <c r="H126" s="69" t="s">
        <v>1199</v>
      </c>
      <c r="I126" s="69" t="s">
        <v>1763</v>
      </c>
      <c r="J126" s="69" t="s">
        <v>1200</v>
      </c>
      <c r="K126" s="69" t="s">
        <v>1201</v>
      </c>
      <c r="L126" s="69" t="s">
        <v>894</v>
      </c>
      <c r="M126" s="69" t="s">
        <v>1270</v>
      </c>
      <c r="N126" s="69" t="s">
        <v>894</v>
      </c>
      <c r="O126" s="69" t="s">
        <v>1281</v>
      </c>
      <c r="P126" s="69" t="s">
        <v>1219</v>
      </c>
      <c r="Q126" s="70" t="s">
        <v>1219</v>
      </c>
      <c r="R126" s="70" t="s">
        <v>1219</v>
      </c>
      <c r="S126" s="70" t="s">
        <v>1219</v>
      </c>
      <c r="T126" s="70" t="s">
        <v>1219</v>
      </c>
      <c r="U126" s="70" t="s">
        <v>1219</v>
      </c>
      <c r="V126" s="70" t="s">
        <v>1219</v>
      </c>
      <c r="W126" s="70"/>
      <c r="X126" s="70" t="str">
        <f t="shared" si="14"/>
        <v>Belum Dinilai</v>
      </c>
      <c r="Y126" s="70" t="s">
        <v>1219</v>
      </c>
      <c r="Z126" s="74" t="str">
        <f t="shared" si="16"/>
        <v/>
      </c>
      <c r="AA126" s="74" t="str">
        <f t="shared" si="17"/>
        <v/>
      </c>
      <c r="AB126" s="74" t="str">
        <f t="shared" si="18"/>
        <v/>
      </c>
      <c r="AC126" s="71" t="s">
        <v>1219</v>
      </c>
      <c r="AD126" s="71" t="s">
        <v>1219</v>
      </c>
      <c r="AE126" s="71" t="s">
        <v>1219</v>
      </c>
      <c r="AF126" s="71" t="s">
        <v>1219</v>
      </c>
      <c r="AG126" s="71" t="s">
        <v>1219</v>
      </c>
      <c r="AH126" s="71" t="s">
        <v>1219</v>
      </c>
      <c r="AI126" s="71" t="s">
        <v>1219</v>
      </c>
      <c r="AJ126" s="71" t="s">
        <v>1219</v>
      </c>
      <c r="AK126" s="71" t="s">
        <v>1219</v>
      </c>
      <c r="AL126" s="71"/>
      <c r="AM126" s="71" t="s">
        <v>1219</v>
      </c>
      <c r="AN126" s="71" t="str">
        <f t="shared" si="15"/>
        <v>Belum Dinilai</v>
      </c>
      <c r="AO126" s="71" t="str">
        <f t="shared" si="19"/>
        <v>Belum Dinilai</v>
      </c>
      <c r="AP126" s="71"/>
      <c r="AQ126" s="75" t="str">
        <f t="shared" si="20"/>
        <v/>
      </c>
      <c r="AR126" s="75" t="str">
        <f t="shared" si="21"/>
        <v/>
      </c>
      <c r="AS126" s="75" t="str">
        <f t="shared" si="22"/>
        <v/>
      </c>
      <c r="AT126" s="72" t="str">
        <f t="shared" si="23"/>
        <v>Belum Dapat Ditentukan</v>
      </c>
      <c r="AU126" s="69" t="s">
        <v>1193</v>
      </c>
      <c r="AV126" s="69" t="s">
        <v>1208</v>
      </c>
      <c r="AW126" s="69" t="s">
        <v>1194</v>
      </c>
      <c r="AX126" s="69"/>
      <c r="AY126" s="69"/>
      <c r="AZ126" s="69" t="s">
        <v>930</v>
      </c>
      <c r="BA126" s="69"/>
      <c r="BB126" s="76"/>
      <c r="BC126" s="77">
        <v>2026</v>
      </c>
      <c r="BD126" s="69" t="s">
        <v>1197</v>
      </c>
      <c r="BE126" s="76">
        <v>46218</v>
      </c>
      <c r="BF126" s="69" t="s">
        <v>1282</v>
      </c>
    </row>
    <row r="127" spans="1:58" ht="42">
      <c r="A127" s="69" t="s">
        <v>1764</v>
      </c>
      <c r="B127" s="69" t="s">
        <v>1433</v>
      </c>
      <c r="C127" s="69"/>
      <c r="D127" s="69"/>
      <c r="E127" s="69" t="s">
        <v>1311</v>
      </c>
      <c r="F127" s="69" t="s">
        <v>1435</v>
      </c>
      <c r="G127" s="69" t="s">
        <v>1317</v>
      </c>
      <c r="H127" s="69" t="s">
        <v>1185</v>
      </c>
      <c r="I127" s="69" t="s">
        <v>1765</v>
      </c>
      <c r="J127" s="69" t="s">
        <v>1214</v>
      </c>
      <c r="K127" s="69" t="s">
        <v>1281</v>
      </c>
      <c r="L127" s="69" t="s">
        <v>894</v>
      </c>
      <c r="M127" s="69" t="s">
        <v>1270</v>
      </c>
      <c r="N127" s="69" t="s">
        <v>894</v>
      </c>
      <c r="O127" s="69" t="s">
        <v>1217</v>
      </c>
      <c r="P127" s="69" t="s">
        <v>894</v>
      </c>
      <c r="Q127" s="70" t="s">
        <v>1219</v>
      </c>
      <c r="R127" s="70" t="s">
        <v>1219</v>
      </c>
      <c r="S127" s="70" t="s">
        <v>1219</v>
      </c>
      <c r="T127" s="70" t="s">
        <v>1219</v>
      </c>
      <c r="U127" s="70" t="s">
        <v>1219</v>
      </c>
      <c r="V127" s="70" t="s">
        <v>1219</v>
      </c>
      <c r="W127" s="70"/>
      <c r="X127" s="70" t="str">
        <f t="shared" si="14"/>
        <v>Belum Dinilai</v>
      </c>
      <c r="Y127" s="70" t="s">
        <v>1219</v>
      </c>
      <c r="Z127" s="74" t="str">
        <f t="shared" si="16"/>
        <v/>
      </c>
      <c r="AA127" s="74" t="str">
        <f t="shared" si="17"/>
        <v/>
      </c>
      <c r="AB127" s="74" t="str">
        <f t="shared" si="18"/>
        <v/>
      </c>
      <c r="AC127" s="71" t="s">
        <v>1219</v>
      </c>
      <c r="AD127" s="71" t="s">
        <v>1219</v>
      </c>
      <c r="AE127" s="71" t="s">
        <v>1219</v>
      </c>
      <c r="AF127" s="71" t="s">
        <v>1219</v>
      </c>
      <c r="AG127" s="71" t="s">
        <v>1219</v>
      </c>
      <c r="AH127" s="71" t="s">
        <v>1219</v>
      </c>
      <c r="AI127" s="71" t="s">
        <v>1219</v>
      </c>
      <c r="AJ127" s="71" t="s">
        <v>1219</v>
      </c>
      <c r="AK127" s="71" t="s">
        <v>1219</v>
      </c>
      <c r="AL127" s="71"/>
      <c r="AM127" s="71" t="s">
        <v>1219</v>
      </c>
      <c r="AN127" s="71" t="str">
        <f t="shared" si="15"/>
        <v>Belum Dinilai</v>
      </c>
      <c r="AO127" s="71" t="str">
        <f t="shared" si="19"/>
        <v>Belum Dinilai</v>
      </c>
      <c r="AP127" s="71"/>
      <c r="AQ127" s="75">
        <f t="shared" si="20"/>
        <v>29</v>
      </c>
      <c r="AR127" s="75" t="str">
        <f t="shared" si="21"/>
        <v/>
      </c>
      <c r="AS127" s="75" t="str">
        <f t="shared" si="22"/>
        <v/>
      </c>
      <c r="AT127" s="72" t="str">
        <f t="shared" si="23"/>
        <v>Belum Dapat Ditentukan</v>
      </c>
      <c r="AU127" s="69" t="s">
        <v>1207</v>
      </c>
      <c r="AV127" s="69" t="s">
        <v>1208</v>
      </c>
      <c r="AW127" s="69" t="s">
        <v>1194</v>
      </c>
      <c r="AX127" s="69"/>
      <c r="AY127" s="69"/>
      <c r="AZ127" s="69" t="s">
        <v>930</v>
      </c>
      <c r="BA127" s="69"/>
      <c r="BB127" s="76"/>
      <c r="BC127" s="77">
        <v>2026</v>
      </c>
      <c r="BD127" s="69" t="s">
        <v>1197</v>
      </c>
      <c r="BE127" s="76">
        <v>46218</v>
      </c>
      <c r="BF127" s="69" t="s">
        <v>1282</v>
      </c>
    </row>
    <row r="128" spans="1:58" ht="28">
      <c r="A128" s="69" t="s">
        <v>1766</v>
      </c>
      <c r="B128" s="69" t="s">
        <v>1376</v>
      </c>
      <c r="C128" s="69"/>
      <c r="D128" s="69"/>
      <c r="E128" s="69" t="s">
        <v>1767</v>
      </c>
      <c r="F128" s="69" t="s">
        <v>1326</v>
      </c>
      <c r="G128" s="69" t="s">
        <v>1293</v>
      </c>
      <c r="H128" s="69" t="s">
        <v>1185</v>
      </c>
      <c r="I128" s="69" t="s">
        <v>1706</v>
      </c>
      <c r="J128" s="69" t="s">
        <v>1267</v>
      </c>
      <c r="K128" s="69" t="s">
        <v>1281</v>
      </c>
      <c r="L128" s="69" t="s">
        <v>1219</v>
      </c>
      <c r="M128" s="69" t="s">
        <v>1281</v>
      </c>
      <c r="N128" s="69" t="s">
        <v>1219</v>
      </c>
      <c r="O128" s="69" t="s">
        <v>1281</v>
      </c>
      <c r="P128" s="69" t="s">
        <v>1219</v>
      </c>
      <c r="Q128" s="70" t="s">
        <v>1219</v>
      </c>
      <c r="R128" s="70" t="s">
        <v>1219</v>
      </c>
      <c r="S128" s="70" t="s">
        <v>1219</v>
      </c>
      <c r="T128" s="70" t="s">
        <v>1219</v>
      </c>
      <c r="U128" s="70" t="s">
        <v>1219</v>
      </c>
      <c r="V128" s="70" t="s">
        <v>1219</v>
      </c>
      <c r="W128" s="70"/>
      <c r="X128" s="70" t="str">
        <f t="shared" si="14"/>
        <v>Belum Dinilai</v>
      </c>
      <c r="Y128" s="70" t="s">
        <v>1219</v>
      </c>
      <c r="Z128" s="74" t="str">
        <f t="shared" si="16"/>
        <v/>
      </c>
      <c r="AA128" s="74" t="str">
        <f t="shared" si="17"/>
        <v/>
      </c>
      <c r="AB128" s="74" t="str">
        <f t="shared" si="18"/>
        <v/>
      </c>
      <c r="AC128" s="71" t="s">
        <v>1219</v>
      </c>
      <c r="AD128" s="71" t="s">
        <v>1219</v>
      </c>
      <c r="AE128" s="71" t="s">
        <v>1219</v>
      </c>
      <c r="AF128" s="71" t="s">
        <v>1219</v>
      </c>
      <c r="AG128" s="71" t="s">
        <v>1219</v>
      </c>
      <c r="AH128" s="71" t="s">
        <v>1219</v>
      </c>
      <c r="AI128" s="71" t="s">
        <v>1219</v>
      </c>
      <c r="AJ128" s="71" t="s">
        <v>1219</v>
      </c>
      <c r="AK128" s="71" t="s">
        <v>1219</v>
      </c>
      <c r="AL128" s="71"/>
      <c r="AM128" s="71" t="s">
        <v>1219</v>
      </c>
      <c r="AN128" s="71" t="str">
        <f t="shared" si="15"/>
        <v>Belum Dinilai</v>
      </c>
      <c r="AO128" s="71" t="str">
        <f t="shared" si="19"/>
        <v>Belum Dinilai</v>
      </c>
      <c r="AP128" s="71"/>
      <c r="AQ128" s="75" t="str">
        <f t="shared" si="20"/>
        <v/>
      </c>
      <c r="AR128" s="75" t="str">
        <f t="shared" si="21"/>
        <v/>
      </c>
      <c r="AS128" s="75" t="str">
        <f t="shared" si="22"/>
        <v/>
      </c>
      <c r="AT128" s="72" t="str">
        <f t="shared" si="23"/>
        <v>Belum Dapat Ditentukan</v>
      </c>
      <c r="AU128" s="69" t="s">
        <v>1193</v>
      </c>
      <c r="AV128" s="69" t="s">
        <v>1208</v>
      </c>
      <c r="AW128" s="69" t="s">
        <v>1194</v>
      </c>
      <c r="AX128" s="69"/>
      <c r="AY128" s="69"/>
      <c r="AZ128" s="69" t="s">
        <v>930</v>
      </c>
      <c r="BA128" s="69"/>
      <c r="BB128" s="76"/>
      <c r="BC128" s="77">
        <v>2026</v>
      </c>
      <c r="BD128" s="69" t="s">
        <v>1197</v>
      </c>
      <c r="BE128" s="76">
        <v>46218</v>
      </c>
      <c r="BF128" s="69" t="s">
        <v>1282</v>
      </c>
    </row>
    <row r="129" spans="1:58" ht="42">
      <c r="A129" s="69" t="s">
        <v>1768</v>
      </c>
      <c r="B129" s="69" t="s">
        <v>1769</v>
      </c>
      <c r="C129" s="69"/>
      <c r="D129" s="69"/>
      <c r="E129" s="69" t="s">
        <v>1770</v>
      </c>
      <c r="F129" s="69" t="s">
        <v>1326</v>
      </c>
      <c r="G129" s="69" t="s">
        <v>1293</v>
      </c>
      <c r="H129" s="69" t="s">
        <v>1185</v>
      </c>
      <c r="I129" s="69" t="s">
        <v>1771</v>
      </c>
      <c r="J129" s="69" t="s">
        <v>1214</v>
      </c>
      <c r="K129" s="69" t="s">
        <v>1201</v>
      </c>
      <c r="L129" s="69" t="s">
        <v>894</v>
      </c>
      <c r="M129" s="69" t="s">
        <v>1270</v>
      </c>
      <c r="N129" s="69" t="s">
        <v>894</v>
      </c>
      <c r="O129" s="69" t="s">
        <v>1189</v>
      </c>
      <c r="P129" s="69" t="s">
        <v>894</v>
      </c>
      <c r="Q129" s="70" t="s">
        <v>1219</v>
      </c>
      <c r="R129" s="70" t="s">
        <v>1219</v>
      </c>
      <c r="S129" s="70" t="s">
        <v>1219</v>
      </c>
      <c r="T129" s="70" t="s">
        <v>1219</v>
      </c>
      <c r="U129" s="70" t="s">
        <v>1219</v>
      </c>
      <c r="V129" s="70" t="s">
        <v>1219</v>
      </c>
      <c r="W129" s="70"/>
      <c r="X129" s="70" t="str">
        <f t="shared" si="14"/>
        <v>Belum Dinilai</v>
      </c>
      <c r="Y129" s="70" t="s">
        <v>1219</v>
      </c>
      <c r="Z129" s="74" t="str">
        <f t="shared" si="16"/>
        <v/>
      </c>
      <c r="AA129" s="74" t="str">
        <f t="shared" si="17"/>
        <v/>
      </c>
      <c r="AB129" s="74" t="str">
        <f t="shared" si="18"/>
        <v/>
      </c>
      <c r="AC129" s="71" t="s">
        <v>1219</v>
      </c>
      <c r="AD129" s="71" t="s">
        <v>1219</v>
      </c>
      <c r="AE129" s="71" t="s">
        <v>1219</v>
      </c>
      <c r="AF129" s="71" t="s">
        <v>1219</v>
      </c>
      <c r="AG129" s="71" t="s">
        <v>1219</v>
      </c>
      <c r="AH129" s="71" t="s">
        <v>1219</v>
      </c>
      <c r="AI129" s="71" t="s">
        <v>1219</v>
      </c>
      <c r="AJ129" s="71" t="s">
        <v>1219</v>
      </c>
      <c r="AK129" s="71" t="s">
        <v>1219</v>
      </c>
      <c r="AL129" s="71"/>
      <c r="AM129" s="71" t="s">
        <v>1219</v>
      </c>
      <c r="AN129" s="71" t="str">
        <f t="shared" si="15"/>
        <v>Belum Dinilai</v>
      </c>
      <c r="AO129" s="71" t="str">
        <f t="shared" si="19"/>
        <v>Belum Dinilai</v>
      </c>
      <c r="AP129" s="71"/>
      <c r="AQ129" s="75">
        <f t="shared" si="20"/>
        <v>29</v>
      </c>
      <c r="AR129" s="75" t="str">
        <f t="shared" si="21"/>
        <v/>
      </c>
      <c r="AS129" s="75" t="str">
        <f t="shared" si="22"/>
        <v/>
      </c>
      <c r="AT129" s="72" t="str">
        <f t="shared" si="23"/>
        <v>Belum Dapat Ditentukan</v>
      </c>
      <c r="AU129" s="69" t="s">
        <v>1193</v>
      </c>
      <c r="AV129" s="69" t="s">
        <v>1208</v>
      </c>
      <c r="AW129" s="69" t="s">
        <v>1194</v>
      </c>
      <c r="AX129" s="69"/>
      <c r="AY129" s="69"/>
      <c r="AZ129" s="69" t="s">
        <v>930</v>
      </c>
      <c r="BA129" s="69"/>
      <c r="BB129" s="76"/>
      <c r="BC129" s="77">
        <v>2026</v>
      </c>
      <c r="BD129" s="69" t="s">
        <v>1197</v>
      </c>
      <c r="BE129" s="76">
        <v>46218</v>
      </c>
      <c r="BF129" s="69" t="s">
        <v>1282</v>
      </c>
    </row>
    <row r="130" spans="1:58" ht="56">
      <c r="A130" s="69" t="s">
        <v>1772</v>
      </c>
      <c r="B130" s="69" t="s">
        <v>1773</v>
      </c>
      <c r="C130" s="69"/>
      <c r="D130" s="69"/>
      <c r="E130" s="69" t="s">
        <v>1774</v>
      </c>
      <c r="F130" s="69" t="s">
        <v>1487</v>
      </c>
      <c r="G130" s="69" t="s">
        <v>1317</v>
      </c>
      <c r="H130" s="69" t="s">
        <v>1199</v>
      </c>
      <c r="I130" s="69" t="s">
        <v>1775</v>
      </c>
      <c r="J130" s="69" t="s">
        <v>1200</v>
      </c>
      <c r="K130" s="69" t="s">
        <v>1297</v>
      </c>
      <c r="L130" s="69" t="s">
        <v>894</v>
      </c>
      <c r="M130" s="69" t="s">
        <v>1312</v>
      </c>
      <c r="N130" s="69" t="s">
        <v>894</v>
      </c>
      <c r="O130" s="69" t="s">
        <v>1217</v>
      </c>
      <c r="P130" s="69" t="s">
        <v>894</v>
      </c>
      <c r="Q130" s="70" t="s">
        <v>1219</v>
      </c>
      <c r="R130" s="70" t="s">
        <v>1219</v>
      </c>
      <c r="S130" s="70" t="s">
        <v>1219</v>
      </c>
      <c r="T130" s="70" t="s">
        <v>1219</v>
      </c>
      <c r="U130" s="70" t="s">
        <v>1219</v>
      </c>
      <c r="V130" s="70" t="s">
        <v>1219</v>
      </c>
      <c r="W130" s="70"/>
      <c r="X130" s="70" t="str">
        <f t="shared" si="14"/>
        <v>Belum Dinilai</v>
      </c>
      <c r="Y130" s="70" t="s">
        <v>1219</v>
      </c>
      <c r="Z130" s="74" t="str">
        <f t="shared" si="16"/>
        <v/>
      </c>
      <c r="AA130" s="74" t="str">
        <f t="shared" si="17"/>
        <v/>
      </c>
      <c r="AB130" s="74" t="str">
        <f t="shared" si="18"/>
        <v/>
      </c>
      <c r="AC130" s="71" t="s">
        <v>1219</v>
      </c>
      <c r="AD130" s="71" t="s">
        <v>1219</v>
      </c>
      <c r="AE130" s="71" t="s">
        <v>1219</v>
      </c>
      <c r="AF130" s="71" t="s">
        <v>1219</v>
      </c>
      <c r="AG130" s="71" t="s">
        <v>1219</v>
      </c>
      <c r="AH130" s="71" t="s">
        <v>1219</v>
      </c>
      <c r="AI130" s="71" t="s">
        <v>1219</v>
      </c>
      <c r="AJ130" s="71" t="s">
        <v>1219</v>
      </c>
      <c r="AK130" s="71" t="s">
        <v>1219</v>
      </c>
      <c r="AL130" s="71"/>
      <c r="AM130" s="71" t="s">
        <v>1219</v>
      </c>
      <c r="AN130" s="71" t="str">
        <f t="shared" si="15"/>
        <v>Belum Dinilai</v>
      </c>
      <c r="AO130" s="71" t="str">
        <f t="shared" si="19"/>
        <v>Belum Dinilai</v>
      </c>
      <c r="AP130" s="71"/>
      <c r="AQ130" s="75">
        <f t="shared" si="20"/>
        <v>22</v>
      </c>
      <c r="AR130" s="75" t="str">
        <f t="shared" si="21"/>
        <v/>
      </c>
      <c r="AS130" s="75" t="str">
        <f t="shared" si="22"/>
        <v/>
      </c>
      <c r="AT130" s="72" t="str">
        <f t="shared" si="23"/>
        <v>Belum Dapat Ditentukan</v>
      </c>
      <c r="AU130" s="69" t="s">
        <v>1193</v>
      </c>
      <c r="AV130" s="69" t="s">
        <v>1208</v>
      </c>
      <c r="AW130" s="69" t="s">
        <v>1194</v>
      </c>
      <c r="AX130" s="69"/>
      <c r="AY130" s="69"/>
      <c r="AZ130" s="69" t="s">
        <v>930</v>
      </c>
      <c r="BA130" s="69"/>
      <c r="BB130" s="76"/>
      <c r="BC130" s="77">
        <v>2026</v>
      </c>
      <c r="BD130" s="69" t="s">
        <v>1197</v>
      </c>
      <c r="BE130" s="76">
        <v>46218</v>
      </c>
      <c r="BF130" s="69" t="s">
        <v>1282</v>
      </c>
    </row>
    <row r="131" spans="1:58" ht="28">
      <c r="A131" s="69" t="s">
        <v>1776</v>
      </c>
      <c r="B131" s="69" t="s">
        <v>1777</v>
      </c>
      <c r="C131" s="69"/>
      <c r="D131" s="69"/>
      <c r="E131" s="69" t="s">
        <v>1778</v>
      </c>
      <c r="F131" s="69" t="s">
        <v>1487</v>
      </c>
      <c r="G131" s="69" t="s">
        <v>1317</v>
      </c>
      <c r="H131" s="69" t="s">
        <v>1199</v>
      </c>
      <c r="I131" s="69" t="s">
        <v>1779</v>
      </c>
      <c r="J131" s="69" t="s">
        <v>1200</v>
      </c>
      <c r="K131" s="69" t="s">
        <v>1281</v>
      </c>
      <c r="L131" s="69" t="s">
        <v>1219</v>
      </c>
      <c r="M131" s="69" t="s">
        <v>1312</v>
      </c>
      <c r="N131" s="69" t="s">
        <v>1219</v>
      </c>
      <c r="O131" s="69" t="s">
        <v>1281</v>
      </c>
      <c r="P131" s="69" t="s">
        <v>1219</v>
      </c>
      <c r="Q131" s="70" t="s">
        <v>1219</v>
      </c>
      <c r="R131" s="70" t="s">
        <v>1219</v>
      </c>
      <c r="S131" s="70" t="s">
        <v>1219</v>
      </c>
      <c r="T131" s="70" t="s">
        <v>1219</v>
      </c>
      <c r="U131" s="70" t="s">
        <v>1219</v>
      </c>
      <c r="V131" s="70" t="s">
        <v>1219</v>
      </c>
      <c r="W131" s="70"/>
      <c r="X131" s="70" t="str">
        <f t="shared" si="14"/>
        <v>Belum Dinilai</v>
      </c>
      <c r="Y131" s="70" t="s">
        <v>1219</v>
      </c>
      <c r="Z131" s="74" t="str">
        <f t="shared" si="16"/>
        <v/>
      </c>
      <c r="AA131" s="74" t="str">
        <f t="shared" si="17"/>
        <v/>
      </c>
      <c r="AB131" s="74" t="str">
        <f t="shared" si="18"/>
        <v/>
      </c>
      <c r="AC131" s="71" t="s">
        <v>1219</v>
      </c>
      <c r="AD131" s="71" t="s">
        <v>1219</v>
      </c>
      <c r="AE131" s="71" t="s">
        <v>1219</v>
      </c>
      <c r="AF131" s="71" t="s">
        <v>1219</v>
      </c>
      <c r="AG131" s="71" t="s">
        <v>1219</v>
      </c>
      <c r="AH131" s="71" t="s">
        <v>1219</v>
      </c>
      <c r="AI131" s="71" t="s">
        <v>1219</v>
      </c>
      <c r="AJ131" s="71" t="s">
        <v>1219</v>
      </c>
      <c r="AK131" s="71" t="s">
        <v>1219</v>
      </c>
      <c r="AL131" s="71"/>
      <c r="AM131" s="71" t="s">
        <v>1219</v>
      </c>
      <c r="AN131" s="71" t="str">
        <f t="shared" si="15"/>
        <v>Belum Dinilai</v>
      </c>
      <c r="AO131" s="71" t="str">
        <f t="shared" si="19"/>
        <v>Belum Dinilai</v>
      </c>
      <c r="AP131" s="71"/>
      <c r="AQ131" s="75" t="str">
        <f t="shared" si="20"/>
        <v/>
      </c>
      <c r="AR131" s="75" t="str">
        <f t="shared" si="21"/>
        <v/>
      </c>
      <c r="AS131" s="75" t="str">
        <f t="shared" si="22"/>
        <v/>
      </c>
      <c r="AT131" s="72" t="str">
        <f t="shared" si="23"/>
        <v>Belum Dapat Ditentukan</v>
      </c>
      <c r="AU131" s="69" t="s">
        <v>1193</v>
      </c>
      <c r="AV131" s="69" t="s">
        <v>1208</v>
      </c>
      <c r="AW131" s="69" t="s">
        <v>1194</v>
      </c>
      <c r="AX131" s="69"/>
      <c r="AY131" s="69"/>
      <c r="AZ131" s="69" t="s">
        <v>930</v>
      </c>
      <c r="BA131" s="69"/>
      <c r="BB131" s="76"/>
      <c r="BC131" s="77">
        <v>2026</v>
      </c>
      <c r="BD131" s="69" t="s">
        <v>1197</v>
      </c>
      <c r="BE131" s="76">
        <v>46218</v>
      </c>
      <c r="BF131" s="69" t="s">
        <v>1282</v>
      </c>
    </row>
    <row r="132" spans="1:58" ht="42">
      <c r="A132" s="69" t="s">
        <v>1780</v>
      </c>
      <c r="B132" s="69" t="s">
        <v>1781</v>
      </c>
      <c r="C132" s="69"/>
      <c r="D132" s="69"/>
      <c r="E132" s="69" t="s">
        <v>1782</v>
      </c>
      <c r="F132" s="69" t="s">
        <v>1487</v>
      </c>
      <c r="G132" s="69" t="s">
        <v>1317</v>
      </c>
      <c r="H132" s="69" t="s">
        <v>1185</v>
      </c>
      <c r="I132" s="69" t="s">
        <v>1783</v>
      </c>
      <c r="J132" s="69" t="s">
        <v>1200</v>
      </c>
      <c r="K132" s="69" t="s">
        <v>1201</v>
      </c>
      <c r="L132" s="69" t="s">
        <v>894</v>
      </c>
      <c r="M132" s="69" t="s">
        <v>1270</v>
      </c>
      <c r="N132" s="69" t="s">
        <v>894</v>
      </c>
      <c r="O132" s="69" t="s">
        <v>1189</v>
      </c>
      <c r="P132" s="69" t="s">
        <v>894</v>
      </c>
      <c r="Q132" s="70" t="s">
        <v>1219</v>
      </c>
      <c r="R132" s="70" t="s">
        <v>1219</v>
      </c>
      <c r="S132" s="70" t="s">
        <v>1219</v>
      </c>
      <c r="T132" s="70" t="s">
        <v>1219</v>
      </c>
      <c r="U132" s="70" t="s">
        <v>1219</v>
      </c>
      <c r="V132" s="70" t="s">
        <v>1219</v>
      </c>
      <c r="W132" s="70"/>
      <c r="X132" s="70" t="str">
        <f t="shared" si="14"/>
        <v>Belum Dinilai</v>
      </c>
      <c r="Y132" s="70" t="s">
        <v>1219</v>
      </c>
      <c r="Z132" s="74" t="str">
        <f t="shared" si="16"/>
        <v/>
      </c>
      <c r="AA132" s="74" t="str">
        <f t="shared" si="17"/>
        <v/>
      </c>
      <c r="AB132" s="74" t="str">
        <f t="shared" si="18"/>
        <v/>
      </c>
      <c r="AC132" s="71" t="s">
        <v>1219</v>
      </c>
      <c r="AD132" s="71" t="s">
        <v>1219</v>
      </c>
      <c r="AE132" s="71" t="s">
        <v>1219</v>
      </c>
      <c r="AF132" s="71" t="s">
        <v>1219</v>
      </c>
      <c r="AG132" s="71" t="s">
        <v>1219</v>
      </c>
      <c r="AH132" s="71" t="s">
        <v>1219</v>
      </c>
      <c r="AI132" s="71" t="s">
        <v>1219</v>
      </c>
      <c r="AJ132" s="71" t="s">
        <v>1219</v>
      </c>
      <c r="AK132" s="71" t="s">
        <v>1219</v>
      </c>
      <c r="AL132" s="71"/>
      <c r="AM132" s="71" t="s">
        <v>1219</v>
      </c>
      <c r="AN132" s="71" t="str">
        <f t="shared" si="15"/>
        <v>Belum Dinilai</v>
      </c>
      <c r="AO132" s="71" t="str">
        <f t="shared" si="19"/>
        <v>Belum Dinilai</v>
      </c>
      <c r="AP132" s="71"/>
      <c r="AQ132" s="75">
        <f t="shared" si="20"/>
        <v>22</v>
      </c>
      <c r="AR132" s="75" t="str">
        <f t="shared" si="21"/>
        <v/>
      </c>
      <c r="AS132" s="75" t="str">
        <f t="shared" si="22"/>
        <v/>
      </c>
      <c r="AT132" s="72" t="str">
        <f t="shared" si="23"/>
        <v>Belum Dapat Ditentukan</v>
      </c>
      <c r="AU132" s="69" t="s">
        <v>1193</v>
      </c>
      <c r="AV132" s="69" t="s">
        <v>1208</v>
      </c>
      <c r="AW132" s="69" t="s">
        <v>1194</v>
      </c>
      <c r="AX132" s="69"/>
      <c r="AY132" s="69"/>
      <c r="AZ132" s="69" t="s">
        <v>930</v>
      </c>
      <c r="BA132" s="69"/>
      <c r="BB132" s="76"/>
      <c r="BC132" s="77">
        <v>2026</v>
      </c>
      <c r="BD132" s="69" t="s">
        <v>1197</v>
      </c>
      <c r="BE132" s="76">
        <v>46218</v>
      </c>
      <c r="BF132" s="69" t="s">
        <v>1282</v>
      </c>
    </row>
    <row r="133" spans="1:58" ht="28">
      <c r="A133" s="69" t="s">
        <v>1784</v>
      </c>
      <c r="B133" s="69" t="s">
        <v>1785</v>
      </c>
      <c r="C133" s="69"/>
      <c r="D133" s="69"/>
      <c r="E133" s="69" t="s">
        <v>1786</v>
      </c>
      <c r="F133" s="69" t="s">
        <v>1487</v>
      </c>
      <c r="G133" s="69" t="s">
        <v>1317</v>
      </c>
      <c r="H133" s="69" t="s">
        <v>1185</v>
      </c>
      <c r="I133" s="69" t="s">
        <v>1787</v>
      </c>
      <c r="J133" s="69" t="s">
        <v>1267</v>
      </c>
      <c r="K133" s="69" t="s">
        <v>1281</v>
      </c>
      <c r="L133" s="69" t="s">
        <v>1219</v>
      </c>
      <c r="M133" s="69" t="s">
        <v>1281</v>
      </c>
      <c r="N133" s="69" t="s">
        <v>1219</v>
      </c>
      <c r="O133" s="69" t="s">
        <v>1281</v>
      </c>
      <c r="P133" s="69" t="s">
        <v>1219</v>
      </c>
      <c r="Q133" s="70" t="s">
        <v>1219</v>
      </c>
      <c r="R133" s="70" t="s">
        <v>1219</v>
      </c>
      <c r="S133" s="70" t="s">
        <v>1219</v>
      </c>
      <c r="T133" s="70" t="s">
        <v>1219</v>
      </c>
      <c r="U133" s="70" t="s">
        <v>1219</v>
      </c>
      <c r="V133" s="70" t="s">
        <v>1219</v>
      </c>
      <c r="W133" s="70"/>
      <c r="X133" s="70" t="str">
        <f t="shared" si="14"/>
        <v>Belum Dinilai</v>
      </c>
      <c r="Y133" s="70" t="s">
        <v>1219</v>
      </c>
      <c r="Z133" s="74" t="str">
        <f t="shared" si="16"/>
        <v/>
      </c>
      <c r="AA133" s="74" t="str">
        <f t="shared" si="17"/>
        <v/>
      </c>
      <c r="AB133" s="74" t="str">
        <f t="shared" si="18"/>
        <v/>
      </c>
      <c r="AC133" s="71" t="s">
        <v>1219</v>
      </c>
      <c r="AD133" s="71" t="s">
        <v>1219</v>
      </c>
      <c r="AE133" s="71" t="s">
        <v>1219</v>
      </c>
      <c r="AF133" s="71" t="s">
        <v>1219</v>
      </c>
      <c r="AG133" s="71" t="s">
        <v>1219</v>
      </c>
      <c r="AH133" s="71" t="s">
        <v>1219</v>
      </c>
      <c r="AI133" s="71" t="s">
        <v>1219</v>
      </c>
      <c r="AJ133" s="71" t="s">
        <v>1219</v>
      </c>
      <c r="AK133" s="71" t="s">
        <v>1219</v>
      </c>
      <c r="AL133" s="71"/>
      <c r="AM133" s="71" t="s">
        <v>1219</v>
      </c>
      <c r="AN133" s="71" t="str">
        <f t="shared" si="15"/>
        <v>Belum Dinilai</v>
      </c>
      <c r="AO133" s="71" t="str">
        <f t="shared" si="19"/>
        <v>Belum Dinilai</v>
      </c>
      <c r="AP133" s="71"/>
      <c r="AQ133" s="75" t="str">
        <f t="shared" si="20"/>
        <v/>
      </c>
      <c r="AR133" s="75" t="str">
        <f t="shared" si="21"/>
        <v/>
      </c>
      <c r="AS133" s="75" t="str">
        <f t="shared" si="22"/>
        <v/>
      </c>
      <c r="AT133" s="72" t="str">
        <f t="shared" si="23"/>
        <v>Belum Dapat Ditentukan</v>
      </c>
      <c r="AU133" s="69" t="s">
        <v>1193</v>
      </c>
      <c r="AV133" s="69" t="s">
        <v>1208</v>
      </c>
      <c r="AW133" s="69" t="s">
        <v>1271</v>
      </c>
      <c r="AX133" s="69" t="s">
        <v>1221</v>
      </c>
      <c r="AY133" s="69">
        <v>2023</v>
      </c>
      <c r="AZ133" s="69" t="s">
        <v>930</v>
      </c>
      <c r="BA133" s="69"/>
      <c r="BB133" s="76"/>
      <c r="BC133" s="77">
        <v>2026</v>
      </c>
      <c r="BD133" s="69" t="s">
        <v>1197</v>
      </c>
      <c r="BE133" s="76">
        <v>46218</v>
      </c>
      <c r="BF133" s="69" t="s">
        <v>1282</v>
      </c>
    </row>
    <row r="134" spans="1:58" ht="42">
      <c r="A134" s="69" t="s">
        <v>1788</v>
      </c>
      <c r="B134" s="69" t="s">
        <v>1789</v>
      </c>
      <c r="C134" s="69"/>
      <c r="D134" s="69"/>
      <c r="E134" s="69" t="s">
        <v>1790</v>
      </c>
      <c r="F134" s="69" t="s">
        <v>1487</v>
      </c>
      <c r="G134" s="69" t="s">
        <v>1317</v>
      </c>
      <c r="H134" s="69" t="s">
        <v>1199</v>
      </c>
      <c r="I134" s="69" t="s">
        <v>1791</v>
      </c>
      <c r="J134" s="69" t="s">
        <v>1200</v>
      </c>
      <c r="K134" s="69" t="s">
        <v>1215</v>
      </c>
      <c r="L134" s="69" t="s">
        <v>894</v>
      </c>
      <c r="M134" s="69" t="s">
        <v>1312</v>
      </c>
      <c r="N134" s="69" t="s">
        <v>894</v>
      </c>
      <c r="O134" s="69" t="s">
        <v>1217</v>
      </c>
      <c r="P134" s="69" t="s">
        <v>894</v>
      </c>
      <c r="Q134" s="70" t="s">
        <v>1219</v>
      </c>
      <c r="R134" s="70" t="s">
        <v>1219</v>
      </c>
      <c r="S134" s="70" t="s">
        <v>1219</v>
      </c>
      <c r="T134" s="70" t="s">
        <v>1219</v>
      </c>
      <c r="U134" s="70" t="s">
        <v>1219</v>
      </c>
      <c r="V134" s="70" t="s">
        <v>1219</v>
      </c>
      <c r="W134" s="70"/>
      <c r="X134" s="70" t="str">
        <f t="shared" ref="X134:X197" si="24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0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74" t="str">
        <f t="shared" si="16"/>
        <v/>
      </c>
      <c r="AA134" s="74" t="str">
        <f t="shared" si="17"/>
        <v/>
      </c>
      <c r="AB134" s="74" t="str">
        <f t="shared" si="18"/>
        <v/>
      </c>
      <c r="AC134" s="71" t="s">
        <v>1219</v>
      </c>
      <c r="AD134" s="71" t="s">
        <v>1219</v>
      </c>
      <c r="AE134" s="71" t="s">
        <v>1219</v>
      </c>
      <c r="AF134" s="71" t="s">
        <v>1219</v>
      </c>
      <c r="AG134" s="71" t="s">
        <v>1219</v>
      </c>
      <c r="AH134" s="71" t="s">
        <v>1219</v>
      </c>
      <c r="AI134" s="71" t="s">
        <v>1219</v>
      </c>
      <c r="AJ134" s="71" t="s">
        <v>1219</v>
      </c>
      <c r="AK134" s="71" t="s">
        <v>1219</v>
      </c>
      <c r="AL134" s="71"/>
      <c r="AM134" s="71" t="s">
        <v>1219</v>
      </c>
      <c r="AN134" s="71" t="str">
        <f t="shared" ref="AN134:AN197" si="25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1" t="str">
        <f t="shared" si="19"/>
        <v>Belum Dinilai</v>
      </c>
      <c r="AP134" s="71"/>
      <c r="AQ134" s="75">
        <f t="shared" si="20"/>
        <v>22</v>
      </c>
      <c r="AR134" s="75" t="str">
        <f t="shared" si="21"/>
        <v/>
      </c>
      <c r="AS134" s="75" t="str">
        <f t="shared" si="22"/>
        <v/>
      </c>
      <c r="AT134" s="72" t="str">
        <f t="shared" si="23"/>
        <v>Belum Dapat Ditentukan</v>
      </c>
      <c r="AU134" s="69" t="s">
        <v>1193</v>
      </c>
      <c r="AV134" s="69" t="s">
        <v>1208</v>
      </c>
      <c r="AW134" s="69" t="s">
        <v>1194</v>
      </c>
      <c r="AX134" s="69"/>
      <c r="AY134" s="69"/>
      <c r="AZ134" s="69" t="s">
        <v>930</v>
      </c>
      <c r="BA134" s="69"/>
      <c r="BB134" s="76"/>
      <c r="BC134" s="77">
        <v>2026</v>
      </c>
      <c r="BD134" s="69" t="s">
        <v>1197</v>
      </c>
      <c r="BE134" s="76">
        <v>46218</v>
      </c>
      <c r="BF134" s="69" t="s">
        <v>1282</v>
      </c>
    </row>
    <row r="135" spans="1:58" ht="56">
      <c r="A135" s="69" t="s">
        <v>1792</v>
      </c>
      <c r="B135" s="69" t="s">
        <v>1793</v>
      </c>
      <c r="C135" s="69"/>
      <c r="D135" s="69"/>
      <c r="E135" s="69" t="s">
        <v>1794</v>
      </c>
      <c r="F135" s="69" t="s">
        <v>1487</v>
      </c>
      <c r="G135" s="69" t="s">
        <v>1317</v>
      </c>
      <c r="H135" s="69" t="s">
        <v>1185</v>
      </c>
      <c r="I135" s="69" t="s">
        <v>1795</v>
      </c>
      <c r="J135" s="69" t="s">
        <v>1200</v>
      </c>
      <c r="K135" s="69" t="s">
        <v>1281</v>
      </c>
      <c r="L135" s="69" t="s">
        <v>894</v>
      </c>
      <c r="M135" s="69" t="s">
        <v>1270</v>
      </c>
      <c r="N135" s="69" t="s">
        <v>894</v>
      </c>
      <c r="O135" s="69" t="s">
        <v>1217</v>
      </c>
      <c r="P135" s="69" t="s">
        <v>894</v>
      </c>
      <c r="Q135" s="70" t="s">
        <v>1219</v>
      </c>
      <c r="R135" s="70" t="s">
        <v>1219</v>
      </c>
      <c r="S135" s="70" t="s">
        <v>1219</v>
      </c>
      <c r="T135" s="70" t="s">
        <v>1219</v>
      </c>
      <c r="U135" s="70" t="s">
        <v>1219</v>
      </c>
      <c r="V135" s="70" t="s">
        <v>1219</v>
      </c>
      <c r="W135" s="70"/>
      <c r="X135" s="70" t="str">
        <f t="shared" si="24"/>
        <v>Belum Dinilai</v>
      </c>
      <c r="Y135" s="70" t="s">
        <v>1219</v>
      </c>
      <c r="Z135" s="74" t="str">
        <f t="shared" ref="Z135:Z171" si="26">IF(OR(Q135="",Q135="Belum Dinilai"),"",IF(Q135="Terverifikasi DTKS/P3KE/MBR",10,IF(Q135="Diusulkan, Belum Terverifikasi",5,0)))</f>
        <v/>
      </c>
      <c r="AA135" s="74" t="str">
        <f t="shared" ref="AA135:AA171" si="27">IF(COUNTIF(R135:V135,"Belum Dinilai")&gt;0,"",IF(COUNTIF(R135:V135,"Ya")=0,0,IF(COUNTIF(R135:V135,"Ya")=1,5,10)))</f>
        <v/>
      </c>
      <c r="AB135" s="74" t="str">
        <f t="shared" ref="AB135:AB171" si="28">IF(OR(Z135="",AA135=""),"",Z135+AA135)</f>
        <v/>
      </c>
      <c r="AC135" s="71" t="s">
        <v>1219</v>
      </c>
      <c r="AD135" s="71" t="s">
        <v>1219</v>
      </c>
      <c r="AE135" s="71" t="s">
        <v>1219</v>
      </c>
      <c r="AF135" s="71" t="s">
        <v>1219</v>
      </c>
      <c r="AG135" s="71" t="s">
        <v>1219</v>
      </c>
      <c r="AH135" s="71" t="s">
        <v>1219</v>
      </c>
      <c r="AI135" s="71" t="s">
        <v>1219</v>
      </c>
      <c r="AJ135" s="71" t="s">
        <v>1219</v>
      </c>
      <c r="AK135" s="71" t="s">
        <v>1219</v>
      </c>
      <c r="AL135" s="71"/>
      <c r="AM135" s="71" t="s">
        <v>1219</v>
      </c>
      <c r="AN135" s="71" t="str">
        <f t="shared" si="25"/>
        <v>Belum Dinilai</v>
      </c>
      <c r="AO135" s="71" t="str">
        <f t="shared" ref="AO135:AO171" si="29">IF(AR135="","Belum Dinilai",IF(AR135=10,"Risiko Tinggi/Darurat",IF(AR135=5,"Risiko Sedang","Tidak Ada Risiko Khusus")))</f>
        <v>Belum Dinilai</v>
      </c>
      <c r="AP135" s="71"/>
      <c r="AQ135" s="75">
        <f t="shared" si="20"/>
        <v>22</v>
      </c>
      <c r="AR135" s="75" t="str">
        <f t="shared" si="21"/>
        <v/>
      </c>
      <c r="AS135" s="75" t="str">
        <f t="shared" si="22"/>
        <v/>
      </c>
      <c r="AT135" s="72" t="str">
        <f t="shared" si="23"/>
        <v>Belum Dapat Ditentukan</v>
      </c>
      <c r="AU135" s="69" t="s">
        <v>1193</v>
      </c>
      <c r="AV135" s="69" t="s">
        <v>1208</v>
      </c>
      <c r="AW135" s="69" t="s">
        <v>1194</v>
      </c>
      <c r="AX135" s="69"/>
      <c r="AY135" s="69"/>
      <c r="AZ135" s="69" t="s">
        <v>930</v>
      </c>
      <c r="BA135" s="69"/>
      <c r="BB135" s="76"/>
      <c r="BC135" s="77">
        <v>2026</v>
      </c>
      <c r="BD135" s="69" t="s">
        <v>1197</v>
      </c>
      <c r="BE135" s="76">
        <v>46218</v>
      </c>
      <c r="BF135" s="69" t="s">
        <v>1282</v>
      </c>
    </row>
    <row r="136" spans="1:58" ht="42">
      <c r="A136" s="69" t="s">
        <v>1796</v>
      </c>
      <c r="B136" s="69" t="s">
        <v>1797</v>
      </c>
      <c r="C136" s="69"/>
      <c r="D136" s="69"/>
      <c r="E136" s="69" t="s">
        <v>1798</v>
      </c>
      <c r="F136" s="69" t="s">
        <v>1487</v>
      </c>
      <c r="G136" s="69" t="s">
        <v>1317</v>
      </c>
      <c r="H136" s="69" t="s">
        <v>1185</v>
      </c>
      <c r="I136" s="69" t="s">
        <v>1799</v>
      </c>
      <c r="J136" s="69" t="s">
        <v>1214</v>
      </c>
      <c r="K136" s="69" t="s">
        <v>1201</v>
      </c>
      <c r="L136" s="69" t="s">
        <v>894</v>
      </c>
      <c r="M136" s="69" t="s">
        <v>1270</v>
      </c>
      <c r="N136" s="69" t="s">
        <v>894</v>
      </c>
      <c r="O136" s="69" t="s">
        <v>1281</v>
      </c>
      <c r="P136" s="69" t="s">
        <v>894</v>
      </c>
      <c r="Q136" s="70" t="s">
        <v>1219</v>
      </c>
      <c r="R136" s="70" t="s">
        <v>1219</v>
      </c>
      <c r="S136" s="70" t="s">
        <v>1219</v>
      </c>
      <c r="T136" s="70" t="s">
        <v>1219</v>
      </c>
      <c r="U136" s="70" t="s">
        <v>1219</v>
      </c>
      <c r="V136" s="70" t="s">
        <v>1219</v>
      </c>
      <c r="W136" s="70"/>
      <c r="X136" s="70" t="str">
        <f t="shared" si="24"/>
        <v>Belum Dinilai</v>
      </c>
      <c r="Y136" s="70" t="s">
        <v>1219</v>
      </c>
      <c r="Z136" s="74" t="str">
        <f t="shared" si="26"/>
        <v/>
      </c>
      <c r="AA136" s="74" t="str">
        <f t="shared" si="27"/>
        <v/>
      </c>
      <c r="AB136" s="74" t="str">
        <f t="shared" si="28"/>
        <v/>
      </c>
      <c r="AC136" s="71" t="s">
        <v>1219</v>
      </c>
      <c r="AD136" s="71" t="s">
        <v>1219</v>
      </c>
      <c r="AE136" s="71" t="s">
        <v>1219</v>
      </c>
      <c r="AF136" s="71" t="s">
        <v>1219</v>
      </c>
      <c r="AG136" s="71" t="s">
        <v>1219</v>
      </c>
      <c r="AH136" s="71" t="s">
        <v>1219</v>
      </c>
      <c r="AI136" s="71" t="s">
        <v>1219</v>
      </c>
      <c r="AJ136" s="71" t="s">
        <v>1219</v>
      </c>
      <c r="AK136" s="71" t="s">
        <v>1219</v>
      </c>
      <c r="AL136" s="71"/>
      <c r="AM136" s="71" t="s">
        <v>1219</v>
      </c>
      <c r="AN136" s="71" t="str">
        <f t="shared" si="25"/>
        <v>Belum Dinilai</v>
      </c>
      <c r="AO136" s="71" t="str">
        <f t="shared" si="29"/>
        <v>Belum Dinilai</v>
      </c>
      <c r="AP136" s="71"/>
      <c r="AQ136" s="75">
        <f t="shared" si="20"/>
        <v>29</v>
      </c>
      <c r="AR136" s="75" t="str">
        <f t="shared" si="21"/>
        <v/>
      </c>
      <c r="AS136" s="75" t="str">
        <f t="shared" si="22"/>
        <v/>
      </c>
      <c r="AT136" s="72" t="str">
        <f t="shared" si="23"/>
        <v>Belum Dapat Ditentukan</v>
      </c>
      <c r="AU136" s="69" t="s">
        <v>1193</v>
      </c>
      <c r="AV136" s="69" t="s">
        <v>1208</v>
      </c>
      <c r="AW136" s="69" t="s">
        <v>1194</v>
      </c>
      <c r="AX136" s="69"/>
      <c r="AY136" s="69"/>
      <c r="AZ136" s="69" t="s">
        <v>930</v>
      </c>
      <c r="BA136" s="69"/>
      <c r="BB136" s="76"/>
      <c r="BC136" s="77">
        <v>2026</v>
      </c>
      <c r="BD136" s="69" t="s">
        <v>1197</v>
      </c>
      <c r="BE136" s="76">
        <v>46218</v>
      </c>
      <c r="BF136" s="69" t="s">
        <v>1282</v>
      </c>
    </row>
    <row r="137" spans="1:58" ht="42">
      <c r="A137" s="69" t="s">
        <v>1800</v>
      </c>
      <c r="B137" s="69" t="s">
        <v>1801</v>
      </c>
      <c r="C137" s="69"/>
      <c r="D137" s="69"/>
      <c r="E137" s="69" t="s">
        <v>1802</v>
      </c>
      <c r="F137" s="69" t="s">
        <v>1487</v>
      </c>
      <c r="G137" s="69" t="s">
        <v>1317</v>
      </c>
      <c r="H137" s="69" t="s">
        <v>1266</v>
      </c>
      <c r="I137" s="69" t="s">
        <v>1803</v>
      </c>
      <c r="J137" s="69" t="s">
        <v>1214</v>
      </c>
      <c r="K137" s="69" t="s">
        <v>1215</v>
      </c>
      <c r="L137" s="69" t="s">
        <v>894</v>
      </c>
      <c r="M137" s="69" t="s">
        <v>1270</v>
      </c>
      <c r="N137" s="69" t="s">
        <v>894</v>
      </c>
      <c r="O137" s="69" t="s">
        <v>1189</v>
      </c>
      <c r="P137" s="69" t="s">
        <v>894</v>
      </c>
      <c r="Q137" s="70" t="s">
        <v>1219</v>
      </c>
      <c r="R137" s="70" t="s">
        <v>1219</v>
      </c>
      <c r="S137" s="70" t="s">
        <v>1219</v>
      </c>
      <c r="T137" s="70" t="s">
        <v>1219</v>
      </c>
      <c r="U137" s="70" t="s">
        <v>1219</v>
      </c>
      <c r="V137" s="70" t="s">
        <v>1219</v>
      </c>
      <c r="W137" s="70"/>
      <c r="X137" s="70" t="str">
        <f t="shared" si="24"/>
        <v>Belum Dinilai</v>
      </c>
      <c r="Y137" s="70" t="s">
        <v>1219</v>
      </c>
      <c r="Z137" s="74" t="str">
        <f t="shared" si="26"/>
        <v/>
      </c>
      <c r="AA137" s="74" t="str">
        <f t="shared" si="27"/>
        <v/>
      </c>
      <c r="AB137" s="74" t="str">
        <f t="shared" si="28"/>
        <v/>
      </c>
      <c r="AC137" s="71" t="s">
        <v>1219</v>
      </c>
      <c r="AD137" s="71" t="s">
        <v>1219</v>
      </c>
      <c r="AE137" s="71" t="s">
        <v>1219</v>
      </c>
      <c r="AF137" s="71" t="s">
        <v>1219</v>
      </c>
      <c r="AG137" s="71" t="s">
        <v>1219</v>
      </c>
      <c r="AH137" s="71" t="s">
        <v>1219</v>
      </c>
      <c r="AI137" s="71" t="s">
        <v>1219</v>
      </c>
      <c r="AJ137" s="71" t="s">
        <v>1219</v>
      </c>
      <c r="AK137" s="71" t="s">
        <v>1219</v>
      </c>
      <c r="AL137" s="71"/>
      <c r="AM137" s="71" t="s">
        <v>1219</v>
      </c>
      <c r="AN137" s="71" t="str">
        <f t="shared" si="25"/>
        <v>Belum Dinilai</v>
      </c>
      <c r="AO137" s="71" t="str">
        <f t="shared" si="29"/>
        <v>Belum Dinilai</v>
      </c>
      <c r="AP137" s="71"/>
      <c r="AQ137" s="75">
        <f t="shared" si="20"/>
        <v>29</v>
      </c>
      <c r="AR137" s="75" t="str">
        <f t="shared" si="21"/>
        <v/>
      </c>
      <c r="AS137" s="75" t="str">
        <f t="shared" si="22"/>
        <v/>
      </c>
      <c r="AT137" s="72" t="str">
        <f t="shared" si="23"/>
        <v>Belum Dapat Ditentukan</v>
      </c>
      <c r="AU137" s="69" t="s">
        <v>1207</v>
      </c>
      <c r="AV137" s="69" t="s">
        <v>1208</v>
      </c>
      <c r="AW137" s="69" t="s">
        <v>1194</v>
      </c>
      <c r="AX137" s="69"/>
      <c r="AY137" s="69"/>
      <c r="AZ137" s="69" t="s">
        <v>930</v>
      </c>
      <c r="BA137" s="69"/>
      <c r="BB137" s="76"/>
      <c r="BC137" s="77">
        <v>2026</v>
      </c>
      <c r="BD137" s="69" t="s">
        <v>1197</v>
      </c>
      <c r="BE137" s="76">
        <v>46218</v>
      </c>
      <c r="BF137" s="69" t="s">
        <v>1282</v>
      </c>
    </row>
    <row r="138" spans="1:58" ht="28">
      <c r="A138" s="69" t="s">
        <v>1804</v>
      </c>
      <c r="B138" s="69" t="s">
        <v>1517</v>
      </c>
      <c r="C138" s="69"/>
      <c r="D138" s="69"/>
      <c r="E138" s="69" t="s">
        <v>1805</v>
      </c>
      <c r="F138" s="69" t="s">
        <v>1519</v>
      </c>
      <c r="G138" s="69" t="s">
        <v>1293</v>
      </c>
      <c r="H138" s="69" t="s">
        <v>1266</v>
      </c>
      <c r="I138" s="69" t="s">
        <v>1806</v>
      </c>
      <c r="J138" s="69" t="s">
        <v>1267</v>
      </c>
      <c r="K138" s="69" t="s">
        <v>1281</v>
      </c>
      <c r="L138" s="69" t="s">
        <v>1219</v>
      </c>
      <c r="M138" s="69" t="s">
        <v>1281</v>
      </c>
      <c r="N138" s="69" t="s">
        <v>1219</v>
      </c>
      <c r="O138" s="69" t="s">
        <v>1281</v>
      </c>
      <c r="P138" s="69" t="s">
        <v>1219</v>
      </c>
      <c r="Q138" s="70" t="s">
        <v>1219</v>
      </c>
      <c r="R138" s="70" t="s">
        <v>1219</v>
      </c>
      <c r="S138" s="70" t="s">
        <v>1219</v>
      </c>
      <c r="T138" s="70" t="s">
        <v>1219</v>
      </c>
      <c r="U138" s="70" t="s">
        <v>1219</v>
      </c>
      <c r="V138" s="70" t="s">
        <v>1219</v>
      </c>
      <c r="W138" s="70"/>
      <c r="X138" s="70" t="str">
        <f t="shared" si="24"/>
        <v>Belum Dinilai</v>
      </c>
      <c r="Y138" s="70" t="s">
        <v>1219</v>
      </c>
      <c r="Z138" s="74" t="str">
        <f t="shared" si="26"/>
        <v/>
      </c>
      <c r="AA138" s="74" t="str">
        <f t="shared" si="27"/>
        <v/>
      </c>
      <c r="AB138" s="74" t="str">
        <f t="shared" si="28"/>
        <v/>
      </c>
      <c r="AC138" s="71" t="s">
        <v>1219</v>
      </c>
      <c r="AD138" s="71" t="s">
        <v>1219</v>
      </c>
      <c r="AE138" s="71" t="s">
        <v>1219</v>
      </c>
      <c r="AF138" s="71" t="s">
        <v>1219</v>
      </c>
      <c r="AG138" s="71" t="s">
        <v>1219</v>
      </c>
      <c r="AH138" s="71" t="s">
        <v>1219</v>
      </c>
      <c r="AI138" s="71" t="s">
        <v>1219</v>
      </c>
      <c r="AJ138" s="71" t="s">
        <v>1219</v>
      </c>
      <c r="AK138" s="71" t="s">
        <v>1219</v>
      </c>
      <c r="AL138" s="71"/>
      <c r="AM138" s="71" t="s">
        <v>1219</v>
      </c>
      <c r="AN138" s="71" t="str">
        <f t="shared" si="25"/>
        <v>Belum Dinilai</v>
      </c>
      <c r="AO138" s="71" t="str">
        <f t="shared" si="29"/>
        <v>Belum Dinilai</v>
      </c>
      <c r="AP138" s="71"/>
      <c r="AQ138" s="75" t="str">
        <f t="shared" si="20"/>
        <v/>
      </c>
      <c r="AR138" s="75" t="str">
        <f t="shared" si="21"/>
        <v/>
      </c>
      <c r="AS138" s="75" t="str">
        <f t="shared" si="22"/>
        <v/>
      </c>
      <c r="AT138" s="72" t="str">
        <f t="shared" si="23"/>
        <v>Belum Dapat Ditentukan</v>
      </c>
      <c r="AU138" s="69" t="s">
        <v>1207</v>
      </c>
      <c r="AV138" s="69" t="s">
        <v>1208</v>
      </c>
      <c r="AW138" s="69" t="s">
        <v>1194</v>
      </c>
      <c r="AX138" s="69"/>
      <c r="AY138" s="69"/>
      <c r="AZ138" s="69" t="s">
        <v>930</v>
      </c>
      <c r="BA138" s="69"/>
      <c r="BB138" s="76"/>
      <c r="BC138" s="77">
        <v>2026</v>
      </c>
      <c r="BD138" s="69" t="s">
        <v>1197</v>
      </c>
      <c r="BE138" s="76">
        <v>46218</v>
      </c>
      <c r="BF138" s="69" t="s">
        <v>1282</v>
      </c>
    </row>
    <row r="139" spans="1:58" ht="28">
      <c r="A139" s="69" t="s">
        <v>1807</v>
      </c>
      <c r="B139" s="69" t="s">
        <v>1808</v>
      </c>
      <c r="C139" s="69"/>
      <c r="D139" s="69"/>
      <c r="E139" s="69" t="s">
        <v>1809</v>
      </c>
      <c r="F139" s="69" t="s">
        <v>1579</v>
      </c>
      <c r="G139" s="69" t="s">
        <v>1279</v>
      </c>
      <c r="H139" s="69" t="s">
        <v>1266</v>
      </c>
      <c r="I139" s="69" t="s">
        <v>1810</v>
      </c>
      <c r="J139" s="69" t="s">
        <v>1186</v>
      </c>
      <c r="K139" s="69" t="s">
        <v>1281</v>
      </c>
      <c r="L139" s="69" t="s">
        <v>1219</v>
      </c>
      <c r="M139" s="69" t="s">
        <v>1269</v>
      </c>
      <c r="N139" s="69" t="s">
        <v>1219</v>
      </c>
      <c r="O139" s="69" t="s">
        <v>1281</v>
      </c>
      <c r="P139" s="69" t="s">
        <v>1219</v>
      </c>
      <c r="Q139" s="70" t="s">
        <v>1219</v>
      </c>
      <c r="R139" s="70" t="s">
        <v>1219</v>
      </c>
      <c r="S139" s="70" t="s">
        <v>1219</v>
      </c>
      <c r="T139" s="70" t="s">
        <v>1219</v>
      </c>
      <c r="U139" s="70" t="s">
        <v>1219</v>
      </c>
      <c r="V139" s="70" t="s">
        <v>1219</v>
      </c>
      <c r="W139" s="70"/>
      <c r="X139" s="70" t="str">
        <f t="shared" si="24"/>
        <v>Belum Dinilai</v>
      </c>
      <c r="Y139" s="70" t="s">
        <v>1219</v>
      </c>
      <c r="Z139" s="74" t="str">
        <f t="shared" si="26"/>
        <v/>
      </c>
      <c r="AA139" s="74" t="str">
        <f t="shared" si="27"/>
        <v/>
      </c>
      <c r="AB139" s="74" t="str">
        <f t="shared" si="28"/>
        <v/>
      </c>
      <c r="AC139" s="71" t="s">
        <v>1219</v>
      </c>
      <c r="AD139" s="71" t="s">
        <v>1219</v>
      </c>
      <c r="AE139" s="71" t="s">
        <v>1219</v>
      </c>
      <c r="AF139" s="71" t="s">
        <v>1219</v>
      </c>
      <c r="AG139" s="71" t="s">
        <v>1219</v>
      </c>
      <c r="AH139" s="71" t="s">
        <v>1219</v>
      </c>
      <c r="AI139" s="71" t="s">
        <v>1219</v>
      </c>
      <c r="AJ139" s="71" t="s">
        <v>1219</v>
      </c>
      <c r="AK139" s="71" t="s">
        <v>1219</v>
      </c>
      <c r="AL139" s="71"/>
      <c r="AM139" s="71" t="s">
        <v>1219</v>
      </c>
      <c r="AN139" s="71" t="str">
        <f t="shared" si="25"/>
        <v>Belum Dinilai</v>
      </c>
      <c r="AO139" s="71" t="str">
        <f t="shared" si="29"/>
        <v>Belum Dinilai</v>
      </c>
      <c r="AP139" s="71"/>
      <c r="AQ139" s="75" t="str">
        <f t="shared" ref="AQ139:AQ171" si="30">IF(OR(J139="",J139="Belum Dapat Ditentukan",L139="",L139="Belum Dinilai",N139="",N139="Belum Dinilai",P139="",P139="Belum Dinilai"),"",IF(J139="Permanen",0,IF(J139="Semipermanen",8,IF(J139="Nonpermanen",15,0)))+IF(L139="Baik",0,IF(L139="Rusak Ringan",5,IF(L139="Rusak Sedang",10,IF(L139="Rusak Berat",15,IF(L139="Tidak Ada/Terbuka",20,0)))))+IF(N139="Baik",0,IF(N139="Rusak Ringan",5,IF(N139="Rusak Sedang",10,IF(N139="Rusak Berat",15,IF(N139="Tidak Ada/Terbuka",20,0)))))+IF(P139="Baik",0,IF(P139="Rusak Ringan",4,IF(P139="Rusak Sedang",8,IF(P139="Rusak Berat",12,IF(P139="Tidak Layak",15,0))))))</f>
        <v/>
      </c>
      <c r="AR139" s="75" t="str">
        <f t="shared" ref="AR139:AR171" si="31">IF(COUNTIF(AC139:AH139,"Ya")&gt;0,10,IF(COUNTIF(AI139:AK139,"Ya")&gt;=2,10,IF(COUNTIF(AI139:AK139,"Ya")=1,MAX(5,IF(AM139="Risiko Tinggi/Darurat",10,IF(AM139="Risiko Sedang",5,0))),IF(AL139&lt;&gt;"",IF(AM139="Risiko Tinggi/Darurat",10,IF(AM139="Risiko Sedang",5,"")),IF(COUNTIF(AC139:AK139,"Belum Dinilai")&gt;0,"",0)))))</f>
        <v/>
      </c>
      <c r="AS139" s="75" t="str">
        <f t="shared" ref="AS139:AS171" si="32">IF(OR(AQ139="",AB139="",AR139=""),"",AQ139+AB139+AR139)</f>
        <v/>
      </c>
      <c r="AT139" s="72" t="str">
        <f t="shared" ref="AT139:AT171" si="33">IF(AS139="","Belum Dapat Ditentukan",IF(AS139&gt;=80,"Sangat Tinggi",IF(OR(AO139="Risiko Tinggi/Darurat",(IF(L139="Rusak Berat",1,0)+IF(L139="Tidak Ada/Terbuka",1,0)+IF(N139="Rusak Berat",1,0)+IF(N139="Tidak Ada/Terbuka",1,0)+IF(P139="Rusak Berat",1,0)+IF(P139="Tidak Layak",1,0))&gt;=2),"Tinggi",IF(AS139&gt;=65,"Tinggi",IF(AS139&gt;=50,"Sedang","Rendah")))))</f>
        <v>Belum Dapat Ditentukan</v>
      </c>
      <c r="AU139" s="69" t="s">
        <v>1193</v>
      </c>
      <c r="AV139" s="69" t="s">
        <v>1208</v>
      </c>
      <c r="AW139" s="69" t="s">
        <v>1194</v>
      </c>
      <c r="AX139" s="69"/>
      <c r="AY139" s="69"/>
      <c r="AZ139" s="69" t="s">
        <v>930</v>
      </c>
      <c r="BA139" s="69"/>
      <c r="BB139" s="76"/>
      <c r="BC139" s="77">
        <v>2026</v>
      </c>
      <c r="BD139" s="69" t="s">
        <v>1197</v>
      </c>
      <c r="BE139" s="76">
        <v>46218</v>
      </c>
      <c r="BF139" s="69" t="s">
        <v>1282</v>
      </c>
    </row>
    <row r="140" spans="1:58" ht="42">
      <c r="A140" s="69" t="s">
        <v>1811</v>
      </c>
      <c r="B140" s="69" t="s">
        <v>1812</v>
      </c>
      <c r="C140" s="69"/>
      <c r="D140" s="69"/>
      <c r="E140" s="69" t="s">
        <v>1813</v>
      </c>
      <c r="F140" s="69" t="s">
        <v>1579</v>
      </c>
      <c r="G140" s="69" t="s">
        <v>1279</v>
      </c>
      <c r="H140" s="69" t="s">
        <v>1266</v>
      </c>
      <c r="I140" s="69" t="s">
        <v>1814</v>
      </c>
      <c r="J140" s="69" t="s">
        <v>1200</v>
      </c>
      <c r="K140" s="69" t="s">
        <v>1215</v>
      </c>
      <c r="L140" s="69" t="s">
        <v>894</v>
      </c>
      <c r="M140" s="69" t="s">
        <v>1312</v>
      </c>
      <c r="N140" s="69" t="s">
        <v>1219</v>
      </c>
      <c r="O140" s="69" t="s">
        <v>1217</v>
      </c>
      <c r="P140" s="69" t="s">
        <v>894</v>
      </c>
      <c r="Q140" s="70" t="s">
        <v>1219</v>
      </c>
      <c r="R140" s="70" t="s">
        <v>1219</v>
      </c>
      <c r="S140" s="70" t="s">
        <v>1219</v>
      </c>
      <c r="T140" s="70" t="s">
        <v>1219</v>
      </c>
      <c r="U140" s="70" t="s">
        <v>1219</v>
      </c>
      <c r="V140" s="70" t="s">
        <v>1219</v>
      </c>
      <c r="W140" s="70"/>
      <c r="X140" s="70" t="str">
        <f t="shared" si="24"/>
        <v>Belum Dinilai</v>
      </c>
      <c r="Y140" s="70" t="s">
        <v>1219</v>
      </c>
      <c r="Z140" s="74" t="str">
        <f t="shared" si="26"/>
        <v/>
      </c>
      <c r="AA140" s="74" t="str">
        <f t="shared" si="27"/>
        <v/>
      </c>
      <c r="AB140" s="74" t="str">
        <f t="shared" si="28"/>
        <v/>
      </c>
      <c r="AC140" s="71" t="s">
        <v>1219</v>
      </c>
      <c r="AD140" s="71" t="s">
        <v>1219</v>
      </c>
      <c r="AE140" s="71" t="s">
        <v>1219</v>
      </c>
      <c r="AF140" s="71" t="s">
        <v>1219</v>
      </c>
      <c r="AG140" s="71" t="s">
        <v>1219</v>
      </c>
      <c r="AH140" s="71" t="s">
        <v>1219</v>
      </c>
      <c r="AI140" s="71" t="s">
        <v>1219</v>
      </c>
      <c r="AJ140" s="71" t="s">
        <v>1219</v>
      </c>
      <c r="AK140" s="71" t="s">
        <v>1219</v>
      </c>
      <c r="AL140" s="71"/>
      <c r="AM140" s="71" t="s">
        <v>1219</v>
      </c>
      <c r="AN140" s="71" t="str">
        <f t="shared" si="25"/>
        <v>Belum Dinilai</v>
      </c>
      <c r="AO140" s="71" t="str">
        <f t="shared" si="29"/>
        <v>Belum Dinilai</v>
      </c>
      <c r="AP140" s="71"/>
      <c r="AQ140" s="75" t="str">
        <f t="shared" si="30"/>
        <v/>
      </c>
      <c r="AR140" s="75" t="str">
        <f t="shared" si="31"/>
        <v/>
      </c>
      <c r="AS140" s="75" t="str">
        <f t="shared" si="32"/>
        <v/>
      </c>
      <c r="AT140" s="72" t="str">
        <f t="shared" si="33"/>
        <v>Belum Dapat Ditentukan</v>
      </c>
      <c r="AU140" s="69" t="s">
        <v>1207</v>
      </c>
      <c r="AV140" s="69" t="s">
        <v>1208</v>
      </c>
      <c r="AW140" s="69" t="s">
        <v>1194</v>
      </c>
      <c r="AX140" s="69"/>
      <c r="AY140" s="69"/>
      <c r="AZ140" s="69" t="s">
        <v>930</v>
      </c>
      <c r="BA140" s="69"/>
      <c r="BB140" s="76"/>
      <c r="BC140" s="77">
        <v>2026</v>
      </c>
      <c r="BD140" s="69" t="s">
        <v>1197</v>
      </c>
      <c r="BE140" s="76">
        <v>46218</v>
      </c>
      <c r="BF140" s="69" t="s">
        <v>1282</v>
      </c>
    </row>
    <row r="141" spans="1:58" ht="56">
      <c r="A141" s="69" t="s">
        <v>1815</v>
      </c>
      <c r="B141" s="69" t="s">
        <v>1816</v>
      </c>
      <c r="C141" s="69"/>
      <c r="D141" s="69"/>
      <c r="E141" s="69" t="s">
        <v>1813</v>
      </c>
      <c r="F141" s="69" t="s">
        <v>1579</v>
      </c>
      <c r="G141" s="69" t="s">
        <v>1279</v>
      </c>
      <c r="H141" s="69" t="s">
        <v>1266</v>
      </c>
      <c r="I141" s="69" t="s">
        <v>1817</v>
      </c>
      <c r="J141" s="69" t="s">
        <v>1214</v>
      </c>
      <c r="K141" s="69" t="s">
        <v>1201</v>
      </c>
      <c r="L141" s="69" t="s">
        <v>894</v>
      </c>
      <c r="M141" s="69" t="s">
        <v>1270</v>
      </c>
      <c r="N141" s="69" t="s">
        <v>894</v>
      </c>
      <c r="O141" s="69" t="s">
        <v>1217</v>
      </c>
      <c r="P141" s="69" t="s">
        <v>894</v>
      </c>
      <c r="Q141" s="70" t="s">
        <v>1219</v>
      </c>
      <c r="R141" s="70" t="s">
        <v>1219</v>
      </c>
      <c r="S141" s="70" t="s">
        <v>1219</v>
      </c>
      <c r="T141" s="70" t="s">
        <v>1219</v>
      </c>
      <c r="U141" s="70" t="s">
        <v>1219</v>
      </c>
      <c r="V141" s="70" t="s">
        <v>1219</v>
      </c>
      <c r="W141" s="70"/>
      <c r="X141" s="70" t="str">
        <f t="shared" si="24"/>
        <v>Belum Dinilai</v>
      </c>
      <c r="Y141" s="70" t="s">
        <v>1219</v>
      </c>
      <c r="Z141" s="74" t="str">
        <f t="shared" si="26"/>
        <v/>
      </c>
      <c r="AA141" s="74" t="str">
        <f t="shared" si="27"/>
        <v/>
      </c>
      <c r="AB141" s="74" t="str">
        <f t="shared" si="28"/>
        <v/>
      </c>
      <c r="AC141" s="71" t="s">
        <v>1219</v>
      </c>
      <c r="AD141" s="71" t="s">
        <v>1219</v>
      </c>
      <c r="AE141" s="71" t="s">
        <v>1219</v>
      </c>
      <c r="AF141" s="71" t="s">
        <v>1219</v>
      </c>
      <c r="AG141" s="71" t="s">
        <v>1219</v>
      </c>
      <c r="AH141" s="71" t="s">
        <v>1219</v>
      </c>
      <c r="AI141" s="71" t="s">
        <v>1219</v>
      </c>
      <c r="AJ141" s="71" t="s">
        <v>1219</v>
      </c>
      <c r="AK141" s="71" t="s">
        <v>1219</v>
      </c>
      <c r="AL141" s="71"/>
      <c r="AM141" s="71" t="s">
        <v>1219</v>
      </c>
      <c r="AN141" s="71" t="str">
        <f t="shared" si="25"/>
        <v>Belum Dinilai</v>
      </c>
      <c r="AO141" s="71" t="str">
        <f t="shared" si="29"/>
        <v>Belum Dinilai</v>
      </c>
      <c r="AP141" s="71"/>
      <c r="AQ141" s="75">
        <f t="shared" si="30"/>
        <v>29</v>
      </c>
      <c r="AR141" s="75" t="str">
        <f t="shared" si="31"/>
        <v/>
      </c>
      <c r="AS141" s="75" t="str">
        <f t="shared" si="32"/>
        <v/>
      </c>
      <c r="AT141" s="72" t="str">
        <f t="shared" si="33"/>
        <v>Belum Dapat Ditentukan</v>
      </c>
      <c r="AU141" s="69" t="s">
        <v>1193</v>
      </c>
      <c r="AV141" s="69" t="s">
        <v>1208</v>
      </c>
      <c r="AW141" s="69" t="s">
        <v>1194</v>
      </c>
      <c r="AX141" s="69"/>
      <c r="AY141" s="69"/>
      <c r="AZ141" s="69" t="s">
        <v>930</v>
      </c>
      <c r="BA141" s="69"/>
      <c r="BB141" s="76"/>
      <c r="BC141" s="77">
        <v>2026</v>
      </c>
      <c r="BD141" s="69" t="s">
        <v>1197</v>
      </c>
      <c r="BE141" s="76">
        <v>46218</v>
      </c>
      <c r="BF141" s="69" t="s">
        <v>1282</v>
      </c>
    </row>
    <row r="142" spans="1:58" ht="56">
      <c r="A142" s="69" t="s">
        <v>1818</v>
      </c>
      <c r="B142" s="69" t="s">
        <v>1819</v>
      </c>
      <c r="C142" s="69"/>
      <c r="D142" s="69"/>
      <c r="E142" s="69" t="s">
        <v>1747</v>
      </c>
      <c r="F142" s="69" t="s">
        <v>1579</v>
      </c>
      <c r="G142" s="69" t="s">
        <v>1279</v>
      </c>
      <c r="H142" s="69" t="s">
        <v>1185</v>
      </c>
      <c r="I142" s="69" t="s">
        <v>1820</v>
      </c>
      <c r="J142" s="69" t="s">
        <v>1214</v>
      </c>
      <c r="K142" s="69" t="s">
        <v>1201</v>
      </c>
      <c r="L142" s="69" t="s">
        <v>894</v>
      </c>
      <c r="M142" s="69" t="s">
        <v>1270</v>
      </c>
      <c r="N142" s="69" t="s">
        <v>894</v>
      </c>
      <c r="O142" s="69" t="s">
        <v>1217</v>
      </c>
      <c r="P142" s="69" t="s">
        <v>894</v>
      </c>
      <c r="Q142" s="70" t="s">
        <v>1219</v>
      </c>
      <c r="R142" s="70" t="s">
        <v>1219</v>
      </c>
      <c r="S142" s="70" t="s">
        <v>1219</v>
      </c>
      <c r="T142" s="70" t="s">
        <v>1219</v>
      </c>
      <c r="U142" s="70" t="s">
        <v>1219</v>
      </c>
      <c r="V142" s="70" t="s">
        <v>1219</v>
      </c>
      <c r="W142" s="70"/>
      <c r="X142" s="70" t="str">
        <f t="shared" si="24"/>
        <v>Belum Dinilai</v>
      </c>
      <c r="Y142" s="70" t="s">
        <v>1219</v>
      </c>
      <c r="Z142" s="74" t="str">
        <f t="shared" si="26"/>
        <v/>
      </c>
      <c r="AA142" s="74" t="str">
        <f t="shared" si="27"/>
        <v/>
      </c>
      <c r="AB142" s="74" t="str">
        <f t="shared" si="28"/>
        <v/>
      </c>
      <c r="AC142" s="71" t="s">
        <v>1219</v>
      </c>
      <c r="AD142" s="71" t="s">
        <v>1219</v>
      </c>
      <c r="AE142" s="71" t="s">
        <v>1219</v>
      </c>
      <c r="AF142" s="71" t="s">
        <v>1219</v>
      </c>
      <c r="AG142" s="71" t="s">
        <v>1219</v>
      </c>
      <c r="AH142" s="71" t="s">
        <v>1219</v>
      </c>
      <c r="AI142" s="71" t="s">
        <v>1219</v>
      </c>
      <c r="AJ142" s="71" t="s">
        <v>1219</v>
      </c>
      <c r="AK142" s="71" t="s">
        <v>1219</v>
      </c>
      <c r="AL142" s="71"/>
      <c r="AM142" s="71" t="s">
        <v>1219</v>
      </c>
      <c r="AN142" s="71" t="str">
        <f t="shared" si="25"/>
        <v>Belum Dinilai</v>
      </c>
      <c r="AO142" s="71" t="str">
        <f t="shared" si="29"/>
        <v>Belum Dinilai</v>
      </c>
      <c r="AP142" s="71"/>
      <c r="AQ142" s="75">
        <f t="shared" si="30"/>
        <v>29</v>
      </c>
      <c r="AR142" s="75" t="str">
        <f t="shared" si="31"/>
        <v/>
      </c>
      <c r="AS142" s="75" t="str">
        <f t="shared" si="32"/>
        <v/>
      </c>
      <c r="AT142" s="72" t="str">
        <f t="shared" si="33"/>
        <v>Belum Dapat Ditentukan</v>
      </c>
      <c r="AU142" s="69" t="s">
        <v>1193</v>
      </c>
      <c r="AV142" s="69" t="s">
        <v>1208</v>
      </c>
      <c r="AW142" s="69" t="s">
        <v>1271</v>
      </c>
      <c r="AX142" s="69" t="s">
        <v>1210</v>
      </c>
      <c r="AY142" s="69">
        <v>2022</v>
      </c>
      <c r="AZ142" s="69" t="s">
        <v>930</v>
      </c>
      <c r="BA142" s="69"/>
      <c r="BB142" s="76"/>
      <c r="BC142" s="77">
        <v>2026</v>
      </c>
      <c r="BD142" s="69" t="s">
        <v>1197</v>
      </c>
      <c r="BE142" s="76">
        <v>46218</v>
      </c>
      <c r="BF142" s="69" t="s">
        <v>1282</v>
      </c>
    </row>
    <row r="143" spans="1:58" ht="70">
      <c r="A143" s="69" t="s">
        <v>1821</v>
      </c>
      <c r="B143" s="69" t="s">
        <v>1822</v>
      </c>
      <c r="C143" s="69"/>
      <c r="D143" s="69"/>
      <c r="E143" s="69" t="s">
        <v>1823</v>
      </c>
      <c r="F143" s="69" t="s">
        <v>1579</v>
      </c>
      <c r="G143" s="69" t="s">
        <v>1279</v>
      </c>
      <c r="H143" s="69" t="s">
        <v>1185</v>
      </c>
      <c r="I143" s="69" t="s">
        <v>1824</v>
      </c>
      <c r="J143" s="69" t="s">
        <v>1200</v>
      </c>
      <c r="K143" s="69" t="s">
        <v>1281</v>
      </c>
      <c r="L143" s="69" t="s">
        <v>894</v>
      </c>
      <c r="M143" s="69" t="s">
        <v>1270</v>
      </c>
      <c r="N143" s="69" t="s">
        <v>894</v>
      </c>
      <c r="O143" s="69" t="s">
        <v>1217</v>
      </c>
      <c r="P143" s="69" t="s">
        <v>894</v>
      </c>
      <c r="Q143" s="70" t="s">
        <v>1219</v>
      </c>
      <c r="R143" s="70" t="s">
        <v>1219</v>
      </c>
      <c r="S143" s="70" t="s">
        <v>1219</v>
      </c>
      <c r="T143" s="70" t="s">
        <v>1219</v>
      </c>
      <c r="U143" s="70" t="s">
        <v>1219</v>
      </c>
      <c r="V143" s="70" t="s">
        <v>1219</v>
      </c>
      <c r="W143" s="70"/>
      <c r="X143" s="70" t="str">
        <f t="shared" si="24"/>
        <v>Belum Dinilai</v>
      </c>
      <c r="Y143" s="70" t="s">
        <v>1219</v>
      </c>
      <c r="Z143" s="74" t="str">
        <f t="shared" si="26"/>
        <v/>
      </c>
      <c r="AA143" s="74" t="str">
        <f t="shared" si="27"/>
        <v/>
      </c>
      <c r="AB143" s="74" t="str">
        <f t="shared" si="28"/>
        <v/>
      </c>
      <c r="AC143" s="71" t="s">
        <v>1219</v>
      </c>
      <c r="AD143" s="71" t="s">
        <v>1219</v>
      </c>
      <c r="AE143" s="71" t="s">
        <v>1219</v>
      </c>
      <c r="AF143" s="71" t="s">
        <v>1219</v>
      </c>
      <c r="AG143" s="71" t="s">
        <v>1219</v>
      </c>
      <c r="AH143" s="71" t="s">
        <v>1219</v>
      </c>
      <c r="AI143" s="71" t="s">
        <v>1219</v>
      </c>
      <c r="AJ143" s="71" t="s">
        <v>1219</v>
      </c>
      <c r="AK143" s="71" t="s">
        <v>1219</v>
      </c>
      <c r="AL143" s="71"/>
      <c r="AM143" s="71" t="s">
        <v>1219</v>
      </c>
      <c r="AN143" s="71" t="str">
        <f t="shared" si="25"/>
        <v>Belum Dinilai</v>
      </c>
      <c r="AO143" s="71" t="str">
        <f t="shared" si="29"/>
        <v>Belum Dinilai</v>
      </c>
      <c r="AP143" s="71"/>
      <c r="AQ143" s="75">
        <f t="shared" si="30"/>
        <v>22</v>
      </c>
      <c r="AR143" s="75" t="str">
        <f t="shared" si="31"/>
        <v/>
      </c>
      <c r="AS143" s="75" t="str">
        <f t="shared" si="32"/>
        <v/>
      </c>
      <c r="AT143" s="72" t="str">
        <f t="shared" si="33"/>
        <v>Belum Dapat Ditentukan</v>
      </c>
      <c r="AU143" s="69" t="s">
        <v>1193</v>
      </c>
      <c r="AV143" s="69" t="s">
        <v>1208</v>
      </c>
      <c r="AW143" s="69" t="s">
        <v>1271</v>
      </c>
      <c r="AX143" s="69" t="s">
        <v>1210</v>
      </c>
      <c r="AY143" s="69">
        <v>2022</v>
      </c>
      <c r="AZ143" s="69" t="s">
        <v>930</v>
      </c>
      <c r="BA143" s="69"/>
      <c r="BB143" s="76"/>
      <c r="BC143" s="77">
        <v>2026</v>
      </c>
      <c r="BD143" s="69" t="s">
        <v>1197</v>
      </c>
      <c r="BE143" s="76">
        <v>46218</v>
      </c>
      <c r="BF143" s="69" t="s">
        <v>1282</v>
      </c>
    </row>
    <row r="144" spans="1:58" ht="42">
      <c r="A144" s="69" t="s">
        <v>1825</v>
      </c>
      <c r="B144" s="69" t="s">
        <v>1826</v>
      </c>
      <c r="C144" s="69"/>
      <c r="D144" s="69"/>
      <c r="E144" s="69" t="s">
        <v>1827</v>
      </c>
      <c r="F144" s="69" t="s">
        <v>1470</v>
      </c>
      <c r="G144" s="69" t="s">
        <v>1317</v>
      </c>
      <c r="H144" s="69" t="s">
        <v>1199</v>
      </c>
      <c r="I144" s="69" t="s">
        <v>1828</v>
      </c>
      <c r="J144" s="69" t="s">
        <v>1186</v>
      </c>
      <c r="K144" s="69" t="s">
        <v>1201</v>
      </c>
      <c r="L144" s="69" t="s">
        <v>894</v>
      </c>
      <c r="M144" s="69" t="s">
        <v>1269</v>
      </c>
      <c r="N144" s="69" t="s">
        <v>894</v>
      </c>
      <c r="O144" s="69" t="s">
        <v>1217</v>
      </c>
      <c r="P144" s="69" t="s">
        <v>894</v>
      </c>
      <c r="Q144" s="70" t="s">
        <v>1219</v>
      </c>
      <c r="R144" s="70" t="s">
        <v>1219</v>
      </c>
      <c r="S144" s="70" t="s">
        <v>1219</v>
      </c>
      <c r="T144" s="70" t="s">
        <v>1219</v>
      </c>
      <c r="U144" s="70" t="s">
        <v>1219</v>
      </c>
      <c r="V144" s="70" t="s">
        <v>1219</v>
      </c>
      <c r="W144" s="70"/>
      <c r="X144" s="70" t="str">
        <f t="shared" si="24"/>
        <v>Belum Dinilai</v>
      </c>
      <c r="Y144" s="70" t="s">
        <v>1219</v>
      </c>
      <c r="Z144" s="74" t="str">
        <f t="shared" si="26"/>
        <v/>
      </c>
      <c r="AA144" s="74" t="str">
        <f t="shared" si="27"/>
        <v/>
      </c>
      <c r="AB144" s="74" t="str">
        <f t="shared" si="28"/>
        <v/>
      </c>
      <c r="AC144" s="71" t="s">
        <v>1219</v>
      </c>
      <c r="AD144" s="71" t="s">
        <v>1219</v>
      </c>
      <c r="AE144" s="71" t="s">
        <v>1219</v>
      </c>
      <c r="AF144" s="71" t="s">
        <v>1219</v>
      </c>
      <c r="AG144" s="71" t="s">
        <v>1219</v>
      </c>
      <c r="AH144" s="71" t="s">
        <v>1219</v>
      </c>
      <c r="AI144" s="71" t="s">
        <v>1219</v>
      </c>
      <c r="AJ144" s="71" t="s">
        <v>1219</v>
      </c>
      <c r="AK144" s="71" t="s">
        <v>1219</v>
      </c>
      <c r="AL144" s="71"/>
      <c r="AM144" s="71" t="s">
        <v>1219</v>
      </c>
      <c r="AN144" s="71" t="str">
        <f t="shared" si="25"/>
        <v>Belum Dinilai</v>
      </c>
      <c r="AO144" s="71" t="str">
        <f t="shared" si="29"/>
        <v>Belum Dinilai</v>
      </c>
      <c r="AP144" s="71"/>
      <c r="AQ144" s="75">
        <f t="shared" si="30"/>
        <v>14</v>
      </c>
      <c r="AR144" s="75" t="str">
        <f t="shared" si="31"/>
        <v/>
      </c>
      <c r="AS144" s="75" t="str">
        <f t="shared" si="32"/>
        <v/>
      </c>
      <c r="AT144" s="72" t="str">
        <f t="shared" si="33"/>
        <v>Belum Dapat Ditentukan</v>
      </c>
      <c r="AU144" s="69" t="s">
        <v>1193</v>
      </c>
      <c r="AV144" s="69" t="s">
        <v>1208</v>
      </c>
      <c r="AW144" s="69" t="s">
        <v>1271</v>
      </c>
      <c r="AX144" s="69" t="s">
        <v>1210</v>
      </c>
      <c r="AY144" s="69">
        <v>2023</v>
      </c>
      <c r="AZ144" s="69" t="s">
        <v>930</v>
      </c>
      <c r="BA144" s="69"/>
      <c r="BB144" s="76"/>
      <c r="BC144" s="77">
        <v>2026</v>
      </c>
      <c r="BD144" s="69" t="s">
        <v>1197</v>
      </c>
      <c r="BE144" s="76">
        <v>46218</v>
      </c>
      <c r="BF144" s="69" t="s">
        <v>1282</v>
      </c>
    </row>
    <row r="145" spans="1:58" ht="28">
      <c r="A145" s="69" t="s">
        <v>1829</v>
      </c>
      <c r="B145" s="69" t="s">
        <v>1830</v>
      </c>
      <c r="C145" s="69"/>
      <c r="D145" s="69"/>
      <c r="E145" s="69" t="s">
        <v>1831</v>
      </c>
      <c r="F145" s="69" t="s">
        <v>1363</v>
      </c>
      <c r="G145" s="69" t="s">
        <v>1293</v>
      </c>
      <c r="H145" s="69" t="s">
        <v>1185</v>
      </c>
      <c r="I145" s="69" t="s">
        <v>1832</v>
      </c>
      <c r="J145" s="69" t="s">
        <v>1214</v>
      </c>
      <c r="K145" s="69" t="s">
        <v>1215</v>
      </c>
      <c r="L145" s="69" t="s">
        <v>894</v>
      </c>
      <c r="M145" s="69" t="s">
        <v>1270</v>
      </c>
      <c r="N145" s="69" t="s">
        <v>894</v>
      </c>
      <c r="O145" s="69" t="s">
        <v>1217</v>
      </c>
      <c r="P145" s="69" t="s">
        <v>894</v>
      </c>
      <c r="Q145" s="70" t="s">
        <v>1219</v>
      </c>
      <c r="R145" s="70" t="s">
        <v>1219</v>
      </c>
      <c r="S145" s="70" t="s">
        <v>1219</v>
      </c>
      <c r="T145" s="70" t="s">
        <v>1219</v>
      </c>
      <c r="U145" s="70" t="s">
        <v>1219</v>
      </c>
      <c r="V145" s="70" t="s">
        <v>1219</v>
      </c>
      <c r="W145" s="70"/>
      <c r="X145" s="70" t="str">
        <f t="shared" si="24"/>
        <v>Belum Dinilai</v>
      </c>
      <c r="Y145" s="70" t="s">
        <v>1219</v>
      </c>
      <c r="Z145" s="74" t="str">
        <f t="shared" si="26"/>
        <v/>
      </c>
      <c r="AA145" s="74" t="str">
        <f t="shared" si="27"/>
        <v/>
      </c>
      <c r="AB145" s="74" t="str">
        <f t="shared" si="28"/>
        <v/>
      </c>
      <c r="AC145" s="71" t="s">
        <v>1219</v>
      </c>
      <c r="AD145" s="71" t="s">
        <v>1219</v>
      </c>
      <c r="AE145" s="71" t="s">
        <v>1219</v>
      </c>
      <c r="AF145" s="71" t="s">
        <v>1219</v>
      </c>
      <c r="AG145" s="71" t="s">
        <v>1219</v>
      </c>
      <c r="AH145" s="71" t="s">
        <v>1219</v>
      </c>
      <c r="AI145" s="71" t="s">
        <v>1219</v>
      </c>
      <c r="AJ145" s="71" t="s">
        <v>1219</v>
      </c>
      <c r="AK145" s="71" t="s">
        <v>1219</v>
      </c>
      <c r="AL145" s="71"/>
      <c r="AM145" s="71" t="s">
        <v>1219</v>
      </c>
      <c r="AN145" s="71" t="str">
        <f t="shared" si="25"/>
        <v>Belum Dinilai</v>
      </c>
      <c r="AO145" s="71" t="str">
        <f t="shared" si="29"/>
        <v>Belum Dinilai</v>
      </c>
      <c r="AP145" s="71"/>
      <c r="AQ145" s="75">
        <f t="shared" si="30"/>
        <v>29</v>
      </c>
      <c r="AR145" s="75" t="str">
        <f t="shared" si="31"/>
        <v/>
      </c>
      <c r="AS145" s="75" t="str">
        <f t="shared" si="32"/>
        <v/>
      </c>
      <c r="AT145" s="72" t="str">
        <f t="shared" si="33"/>
        <v>Belum Dapat Ditentukan</v>
      </c>
      <c r="AU145" s="69" t="s">
        <v>1193</v>
      </c>
      <c r="AV145" s="69" t="s">
        <v>1208</v>
      </c>
      <c r="AW145" s="69" t="s">
        <v>1271</v>
      </c>
      <c r="AX145" s="69" t="s">
        <v>1210</v>
      </c>
      <c r="AY145" s="69">
        <v>2022</v>
      </c>
      <c r="AZ145" s="69" t="s">
        <v>930</v>
      </c>
      <c r="BA145" s="69"/>
      <c r="BB145" s="76"/>
      <c r="BC145" s="77">
        <v>2026</v>
      </c>
      <c r="BD145" s="69" t="s">
        <v>1197</v>
      </c>
      <c r="BE145" s="76">
        <v>46218</v>
      </c>
      <c r="BF145" s="69" t="s">
        <v>1282</v>
      </c>
    </row>
    <row r="146" spans="1:58" ht="28">
      <c r="A146" s="69" t="s">
        <v>1833</v>
      </c>
      <c r="B146" s="69" t="s">
        <v>1834</v>
      </c>
      <c r="C146" s="69"/>
      <c r="D146" s="69"/>
      <c r="E146" s="69" t="s">
        <v>1831</v>
      </c>
      <c r="F146" s="69" t="s">
        <v>1396</v>
      </c>
      <c r="G146" s="69" t="s">
        <v>1293</v>
      </c>
      <c r="H146" s="69" t="s">
        <v>1185</v>
      </c>
      <c r="I146" s="69" t="s">
        <v>1835</v>
      </c>
      <c r="J146" s="69" t="s">
        <v>1200</v>
      </c>
      <c r="K146" s="69" t="s">
        <v>1281</v>
      </c>
      <c r="L146" s="69" t="s">
        <v>1219</v>
      </c>
      <c r="M146" s="69" t="s">
        <v>1270</v>
      </c>
      <c r="N146" s="69" t="s">
        <v>1219</v>
      </c>
      <c r="O146" s="69" t="s">
        <v>1281</v>
      </c>
      <c r="P146" s="69" t="s">
        <v>1219</v>
      </c>
      <c r="Q146" s="70" t="s">
        <v>1219</v>
      </c>
      <c r="R146" s="70" t="s">
        <v>1219</v>
      </c>
      <c r="S146" s="70" t="s">
        <v>1219</v>
      </c>
      <c r="T146" s="70" t="s">
        <v>1219</v>
      </c>
      <c r="U146" s="70" t="s">
        <v>1219</v>
      </c>
      <c r="V146" s="70" t="s">
        <v>1219</v>
      </c>
      <c r="W146" s="70"/>
      <c r="X146" s="70" t="str">
        <f t="shared" si="24"/>
        <v>Belum Dinilai</v>
      </c>
      <c r="Y146" s="70" t="s">
        <v>1219</v>
      </c>
      <c r="Z146" s="74" t="str">
        <f t="shared" si="26"/>
        <v/>
      </c>
      <c r="AA146" s="74" t="str">
        <f t="shared" si="27"/>
        <v/>
      </c>
      <c r="AB146" s="74" t="str">
        <f t="shared" si="28"/>
        <v/>
      </c>
      <c r="AC146" s="71" t="s">
        <v>1219</v>
      </c>
      <c r="AD146" s="71" t="s">
        <v>1219</v>
      </c>
      <c r="AE146" s="71" t="s">
        <v>1219</v>
      </c>
      <c r="AF146" s="71" t="s">
        <v>1219</v>
      </c>
      <c r="AG146" s="71" t="s">
        <v>1219</v>
      </c>
      <c r="AH146" s="71" t="s">
        <v>1219</v>
      </c>
      <c r="AI146" s="71" t="s">
        <v>1219</v>
      </c>
      <c r="AJ146" s="71" t="s">
        <v>1219</v>
      </c>
      <c r="AK146" s="71" t="s">
        <v>1219</v>
      </c>
      <c r="AL146" s="71"/>
      <c r="AM146" s="71" t="s">
        <v>1219</v>
      </c>
      <c r="AN146" s="71" t="str">
        <f t="shared" si="25"/>
        <v>Belum Dinilai</v>
      </c>
      <c r="AO146" s="71" t="str">
        <f t="shared" si="29"/>
        <v>Belum Dinilai</v>
      </c>
      <c r="AP146" s="71"/>
      <c r="AQ146" s="75" t="str">
        <f t="shared" si="30"/>
        <v/>
      </c>
      <c r="AR146" s="75" t="str">
        <f t="shared" si="31"/>
        <v/>
      </c>
      <c r="AS146" s="75" t="str">
        <f t="shared" si="32"/>
        <v/>
      </c>
      <c r="AT146" s="72" t="str">
        <f t="shared" si="33"/>
        <v>Belum Dapat Ditentukan</v>
      </c>
      <c r="AU146" s="69" t="s">
        <v>1193</v>
      </c>
      <c r="AV146" s="69" t="s">
        <v>1208</v>
      </c>
      <c r="AW146" s="69" t="s">
        <v>1194</v>
      </c>
      <c r="AX146" s="69"/>
      <c r="AY146" s="69"/>
      <c r="AZ146" s="69" t="s">
        <v>930</v>
      </c>
      <c r="BA146" s="69"/>
      <c r="BB146" s="76"/>
      <c r="BC146" s="77">
        <v>2026</v>
      </c>
      <c r="BD146" s="69" t="s">
        <v>1197</v>
      </c>
      <c r="BE146" s="76">
        <v>46218</v>
      </c>
      <c r="BF146" s="69" t="s">
        <v>1282</v>
      </c>
    </row>
    <row r="147" spans="1:58" ht="42">
      <c r="A147" s="69" t="s">
        <v>1836</v>
      </c>
      <c r="B147" s="69" t="s">
        <v>1837</v>
      </c>
      <c r="C147" s="69"/>
      <c r="D147" s="69"/>
      <c r="E147" s="69" t="s">
        <v>1838</v>
      </c>
      <c r="F147" s="69" t="s">
        <v>1363</v>
      </c>
      <c r="G147" s="69" t="s">
        <v>1293</v>
      </c>
      <c r="H147" s="69" t="s">
        <v>1199</v>
      </c>
      <c r="I147" s="69" t="s">
        <v>1839</v>
      </c>
      <c r="J147" s="69" t="s">
        <v>1200</v>
      </c>
      <c r="K147" s="69" t="s">
        <v>1281</v>
      </c>
      <c r="L147" s="69" t="s">
        <v>1219</v>
      </c>
      <c r="M147" s="69" t="s">
        <v>1270</v>
      </c>
      <c r="N147" s="69" t="s">
        <v>1219</v>
      </c>
      <c r="O147" s="69" t="s">
        <v>1281</v>
      </c>
      <c r="P147" s="69" t="s">
        <v>1219</v>
      </c>
      <c r="Q147" s="70" t="s">
        <v>1219</v>
      </c>
      <c r="R147" s="70" t="s">
        <v>1219</v>
      </c>
      <c r="S147" s="70" t="s">
        <v>1219</v>
      </c>
      <c r="T147" s="70" t="s">
        <v>1219</v>
      </c>
      <c r="U147" s="70" t="s">
        <v>1219</v>
      </c>
      <c r="V147" s="70" t="s">
        <v>1219</v>
      </c>
      <c r="W147" s="70"/>
      <c r="X147" s="70" t="str">
        <f t="shared" si="24"/>
        <v>Belum Dinilai</v>
      </c>
      <c r="Y147" s="70" t="s">
        <v>1219</v>
      </c>
      <c r="Z147" s="74" t="str">
        <f t="shared" si="26"/>
        <v/>
      </c>
      <c r="AA147" s="74" t="str">
        <f t="shared" si="27"/>
        <v/>
      </c>
      <c r="AB147" s="74" t="str">
        <f t="shared" si="28"/>
        <v/>
      </c>
      <c r="AC147" s="71" t="s">
        <v>1219</v>
      </c>
      <c r="AD147" s="71" t="s">
        <v>1219</v>
      </c>
      <c r="AE147" s="71" t="s">
        <v>1219</v>
      </c>
      <c r="AF147" s="71" t="s">
        <v>1219</v>
      </c>
      <c r="AG147" s="71" t="s">
        <v>1219</v>
      </c>
      <c r="AH147" s="71" t="s">
        <v>1219</v>
      </c>
      <c r="AI147" s="71" t="s">
        <v>1219</v>
      </c>
      <c r="AJ147" s="71" t="s">
        <v>1219</v>
      </c>
      <c r="AK147" s="71" t="s">
        <v>1219</v>
      </c>
      <c r="AL147" s="71"/>
      <c r="AM147" s="71" t="s">
        <v>1219</v>
      </c>
      <c r="AN147" s="71" t="str">
        <f t="shared" si="25"/>
        <v>Belum Dinilai</v>
      </c>
      <c r="AO147" s="71" t="str">
        <f t="shared" si="29"/>
        <v>Belum Dinilai</v>
      </c>
      <c r="AP147" s="71"/>
      <c r="AQ147" s="75" t="str">
        <f t="shared" si="30"/>
        <v/>
      </c>
      <c r="AR147" s="75" t="str">
        <f t="shared" si="31"/>
        <v/>
      </c>
      <c r="AS147" s="75" t="str">
        <f t="shared" si="32"/>
        <v/>
      </c>
      <c r="AT147" s="72" t="str">
        <f t="shared" si="33"/>
        <v>Belum Dapat Ditentukan</v>
      </c>
      <c r="AU147" s="69" t="s">
        <v>1207</v>
      </c>
      <c r="AV147" s="69" t="s">
        <v>1208</v>
      </c>
      <c r="AW147" s="69" t="s">
        <v>1194</v>
      </c>
      <c r="AX147" s="69"/>
      <c r="AY147" s="69"/>
      <c r="AZ147" s="69" t="s">
        <v>1211</v>
      </c>
      <c r="BA147" s="69"/>
      <c r="BB147" s="76"/>
      <c r="BC147" s="77">
        <v>2026</v>
      </c>
      <c r="BD147" s="69" t="s">
        <v>1197</v>
      </c>
      <c r="BE147" s="76">
        <v>46218</v>
      </c>
      <c r="BF147" s="69" t="s">
        <v>1282</v>
      </c>
    </row>
    <row r="148" spans="1:58" ht="42">
      <c r="A148" s="69" t="s">
        <v>1840</v>
      </c>
      <c r="B148" s="69" t="s">
        <v>1841</v>
      </c>
      <c r="C148" s="69"/>
      <c r="D148" s="69"/>
      <c r="E148" s="69" t="s">
        <v>1842</v>
      </c>
      <c r="F148" s="69" t="s">
        <v>1641</v>
      </c>
      <c r="G148" s="69" t="s">
        <v>1317</v>
      </c>
      <c r="H148" s="69" t="s">
        <v>1185</v>
      </c>
      <c r="I148" s="69" t="s">
        <v>1843</v>
      </c>
      <c r="J148" s="69" t="s">
        <v>1186</v>
      </c>
      <c r="K148" s="69" t="s">
        <v>1201</v>
      </c>
      <c r="L148" s="69" t="s">
        <v>1219</v>
      </c>
      <c r="M148" s="69" t="s">
        <v>1269</v>
      </c>
      <c r="N148" s="69" t="s">
        <v>1219</v>
      </c>
      <c r="O148" s="69" t="s">
        <v>1217</v>
      </c>
      <c r="P148" s="69" t="s">
        <v>1219</v>
      </c>
      <c r="Q148" s="70" t="s">
        <v>1219</v>
      </c>
      <c r="R148" s="70" t="s">
        <v>1219</v>
      </c>
      <c r="S148" s="70" t="s">
        <v>1219</v>
      </c>
      <c r="T148" s="70" t="s">
        <v>1219</v>
      </c>
      <c r="U148" s="70" t="s">
        <v>1219</v>
      </c>
      <c r="V148" s="70" t="s">
        <v>1219</v>
      </c>
      <c r="W148" s="70"/>
      <c r="X148" s="70" t="str">
        <f t="shared" si="24"/>
        <v>Belum Dinilai</v>
      </c>
      <c r="Y148" s="70" t="s">
        <v>1219</v>
      </c>
      <c r="Z148" s="74" t="str">
        <f t="shared" si="26"/>
        <v/>
      </c>
      <c r="AA148" s="74" t="str">
        <f t="shared" si="27"/>
        <v/>
      </c>
      <c r="AB148" s="74" t="str">
        <f t="shared" si="28"/>
        <v/>
      </c>
      <c r="AC148" s="71" t="s">
        <v>1219</v>
      </c>
      <c r="AD148" s="71" t="s">
        <v>1219</v>
      </c>
      <c r="AE148" s="71" t="s">
        <v>1219</v>
      </c>
      <c r="AF148" s="71" t="s">
        <v>1219</v>
      </c>
      <c r="AG148" s="71" t="s">
        <v>1219</v>
      </c>
      <c r="AH148" s="71" t="s">
        <v>1219</v>
      </c>
      <c r="AI148" s="71" t="s">
        <v>1219</v>
      </c>
      <c r="AJ148" s="71" t="s">
        <v>1219</v>
      </c>
      <c r="AK148" s="71" t="s">
        <v>1219</v>
      </c>
      <c r="AL148" s="71"/>
      <c r="AM148" s="71" t="s">
        <v>1219</v>
      </c>
      <c r="AN148" s="71" t="str">
        <f t="shared" si="25"/>
        <v>Belum Dinilai</v>
      </c>
      <c r="AO148" s="71" t="str">
        <f t="shared" si="29"/>
        <v>Belum Dinilai</v>
      </c>
      <c r="AP148" s="71"/>
      <c r="AQ148" s="75" t="str">
        <f t="shared" si="30"/>
        <v/>
      </c>
      <c r="AR148" s="75" t="str">
        <f t="shared" si="31"/>
        <v/>
      </c>
      <c r="AS148" s="75" t="str">
        <f t="shared" si="32"/>
        <v/>
      </c>
      <c r="AT148" s="72" t="str">
        <f t="shared" si="33"/>
        <v>Belum Dapat Ditentukan</v>
      </c>
      <c r="AU148" s="69" t="s">
        <v>1193</v>
      </c>
      <c r="AV148" s="69" t="s">
        <v>1208</v>
      </c>
      <c r="AW148" s="69" t="s">
        <v>1194</v>
      </c>
      <c r="AX148" s="69"/>
      <c r="AY148" s="69"/>
      <c r="AZ148" s="69" t="s">
        <v>930</v>
      </c>
      <c r="BA148" s="69"/>
      <c r="BB148" s="76"/>
      <c r="BC148" s="77">
        <v>2026</v>
      </c>
      <c r="BD148" s="69" t="s">
        <v>1197</v>
      </c>
      <c r="BE148" s="76">
        <v>46218</v>
      </c>
      <c r="BF148" s="69" t="s">
        <v>1282</v>
      </c>
    </row>
    <row r="149" spans="1:58" ht="28">
      <c r="A149" s="69" t="s">
        <v>1844</v>
      </c>
      <c r="B149" s="69" t="s">
        <v>1845</v>
      </c>
      <c r="C149" s="69"/>
      <c r="D149" s="69"/>
      <c r="E149" s="69" t="s">
        <v>1846</v>
      </c>
      <c r="F149" s="69" t="s">
        <v>1363</v>
      </c>
      <c r="G149" s="69" t="s">
        <v>1293</v>
      </c>
      <c r="H149" s="69" t="s">
        <v>1185</v>
      </c>
      <c r="I149" s="69" t="s">
        <v>1847</v>
      </c>
      <c r="J149" s="69" t="s">
        <v>1214</v>
      </c>
      <c r="K149" s="69" t="s">
        <v>1201</v>
      </c>
      <c r="L149" s="69" t="s">
        <v>1219</v>
      </c>
      <c r="M149" s="69" t="s">
        <v>1270</v>
      </c>
      <c r="N149" s="69" t="s">
        <v>1219</v>
      </c>
      <c r="O149" s="69" t="s">
        <v>1217</v>
      </c>
      <c r="P149" s="69" t="s">
        <v>1219</v>
      </c>
      <c r="Q149" s="70" t="s">
        <v>1219</v>
      </c>
      <c r="R149" s="70" t="s">
        <v>1219</v>
      </c>
      <c r="S149" s="70" t="s">
        <v>1219</v>
      </c>
      <c r="T149" s="70" t="s">
        <v>1219</v>
      </c>
      <c r="U149" s="70" t="s">
        <v>1219</v>
      </c>
      <c r="V149" s="70" t="s">
        <v>1219</v>
      </c>
      <c r="W149" s="70"/>
      <c r="X149" s="70" t="str">
        <f t="shared" si="24"/>
        <v>Belum Dinilai</v>
      </c>
      <c r="Y149" s="70" t="s">
        <v>1219</v>
      </c>
      <c r="Z149" s="74" t="str">
        <f t="shared" si="26"/>
        <v/>
      </c>
      <c r="AA149" s="74" t="str">
        <f t="shared" si="27"/>
        <v/>
      </c>
      <c r="AB149" s="74" t="str">
        <f t="shared" si="28"/>
        <v/>
      </c>
      <c r="AC149" s="71" t="s">
        <v>1219</v>
      </c>
      <c r="AD149" s="71" t="s">
        <v>1219</v>
      </c>
      <c r="AE149" s="71" t="s">
        <v>1219</v>
      </c>
      <c r="AF149" s="71" t="s">
        <v>1219</v>
      </c>
      <c r="AG149" s="71" t="s">
        <v>1219</v>
      </c>
      <c r="AH149" s="71" t="s">
        <v>1219</v>
      </c>
      <c r="AI149" s="71" t="s">
        <v>1219</v>
      </c>
      <c r="AJ149" s="71" t="s">
        <v>1219</v>
      </c>
      <c r="AK149" s="71" t="s">
        <v>1219</v>
      </c>
      <c r="AL149" s="71"/>
      <c r="AM149" s="71" t="s">
        <v>1219</v>
      </c>
      <c r="AN149" s="71" t="str">
        <f t="shared" si="25"/>
        <v>Belum Dinilai</v>
      </c>
      <c r="AO149" s="71" t="str">
        <f t="shared" si="29"/>
        <v>Belum Dinilai</v>
      </c>
      <c r="AP149" s="71"/>
      <c r="AQ149" s="75" t="str">
        <f t="shared" si="30"/>
        <v/>
      </c>
      <c r="AR149" s="75" t="str">
        <f t="shared" si="31"/>
        <v/>
      </c>
      <c r="AS149" s="75" t="str">
        <f t="shared" si="32"/>
        <v/>
      </c>
      <c r="AT149" s="72" t="str">
        <f t="shared" si="33"/>
        <v>Belum Dapat Ditentukan</v>
      </c>
      <c r="AU149" s="69" t="s">
        <v>1193</v>
      </c>
      <c r="AV149" s="69" t="s">
        <v>1208</v>
      </c>
      <c r="AW149" s="69" t="s">
        <v>1271</v>
      </c>
      <c r="AX149" s="69" t="s">
        <v>1210</v>
      </c>
      <c r="AY149" s="69">
        <v>2023</v>
      </c>
      <c r="AZ149" s="69" t="s">
        <v>930</v>
      </c>
      <c r="BA149" s="69"/>
      <c r="BB149" s="76"/>
      <c r="BC149" s="77">
        <v>2026</v>
      </c>
      <c r="BD149" s="69" t="s">
        <v>1197</v>
      </c>
      <c r="BE149" s="76">
        <v>46218</v>
      </c>
      <c r="BF149" s="69" t="s">
        <v>1282</v>
      </c>
    </row>
    <row r="150" spans="1:58" ht="28">
      <c r="A150" s="69" t="s">
        <v>1848</v>
      </c>
      <c r="B150" s="69" t="s">
        <v>1849</v>
      </c>
      <c r="C150" s="69"/>
      <c r="D150" s="69"/>
      <c r="E150" s="69" t="s">
        <v>1311</v>
      </c>
      <c r="F150" s="69" t="s">
        <v>1363</v>
      </c>
      <c r="G150" s="69" t="s">
        <v>1293</v>
      </c>
      <c r="H150" s="69" t="s">
        <v>1185</v>
      </c>
      <c r="I150" s="69" t="s">
        <v>1850</v>
      </c>
      <c r="J150" s="69" t="s">
        <v>1214</v>
      </c>
      <c r="K150" s="69" t="s">
        <v>1201</v>
      </c>
      <c r="L150" s="69" t="s">
        <v>1219</v>
      </c>
      <c r="M150" s="69" t="s">
        <v>1270</v>
      </c>
      <c r="N150" s="69" t="s">
        <v>1219</v>
      </c>
      <c r="O150" s="69" t="s">
        <v>1217</v>
      </c>
      <c r="P150" s="69" t="s">
        <v>1219</v>
      </c>
      <c r="Q150" s="70" t="s">
        <v>1219</v>
      </c>
      <c r="R150" s="70" t="s">
        <v>1219</v>
      </c>
      <c r="S150" s="70" t="s">
        <v>1219</v>
      </c>
      <c r="T150" s="70" t="s">
        <v>1219</v>
      </c>
      <c r="U150" s="70" t="s">
        <v>1219</v>
      </c>
      <c r="V150" s="70" t="s">
        <v>1219</v>
      </c>
      <c r="W150" s="70"/>
      <c r="X150" s="70" t="str">
        <f t="shared" si="24"/>
        <v>Belum Dinilai</v>
      </c>
      <c r="Y150" s="70" t="s">
        <v>1219</v>
      </c>
      <c r="Z150" s="74" t="str">
        <f t="shared" si="26"/>
        <v/>
      </c>
      <c r="AA150" s="74" t="str">
        <f t="shared" si="27"/>
        <v/>
      </c>
      <c r="AB150" s="74" t="str">
        <f t="shared" si="28"/>
        <v/>
      </c>
      <c r="AC150" s="71" t="s">
        <v>1219</v>
      </c>
      <c r="AD150" s="71" t="s">
        <v>1219</v>
      </c>
      <c r="AE150" s="71" t="s">
        <v>1219</v>
      </c>
      <c r="AF150" s="71" t="s">
        <v>1219</v>
      </c>
      <c r="AG150" s="71" t="s">
        <v>1219</v>
      </c>
      <c r="AH150" s="71" t="s">
        <v>1219</v>
      </c>
      <c r="AI150" s="71" t="s">
        <v>1219</v>
      </c>
      <c r="AJ150" s="71" t="s">
        <v>1219</v>
      </c>
      <c r="AK150" s="71" t="s">
        <v>1219</v>
      </c>
      <c r="AL150" s="71"/>
      <c r="AM150" s="71" t="s">
        <v>1219</v>
      </c>
      <c r="AN150" s="71" t="str">
        <f t="shared" si="25"/>
        <v>Belum Dinilai</v>
      </c>
      <c r="AO150" s="71" t="str">
        <f t="shared" si="29"/>
        <v>Belum Dinilai</v>
      </c>
      <c r="AP150" s="71"/>
      <c r="AQ150" s="75" t="str">
        <f t="shared" si="30"/>
        <v/>
      </c>
      <c r="AR150" s="75" t="str">
        <f t="shared" si="31"/>
        <v/>
      </c>
      <c r="AS150" s="75" t="str">
        <f t="shared" si="32"/>
        <v/>
      </c>
      <c r="AT150" s="72" t="str">
        <f t="shared" si="33"/>
        <v>Belum Dapat Ditentukan</v>
      </c>
      <c r="AU150" s="69" t="s">
        <v>1193</v>
      </c>
      <c r="AV150" s="69" t="s">
        <v>1208</v>
      </c>
      <c r="AW150" s="69" t="s">
        <v>1271</v>
      </c>
      <c r="AX150" s="69" t="s">
        <v>1210</v>
      </c>
      <c r="AY150" s="69">
        <v>2024</v>
      </c>
      <c r="AZ150" s="69" t="s">
        <v>930</v>
      </c>
      <c r="BA150" s="69"/>
      <c r="BB150" s="76"/>
      <c r="BC150" s="77">
        <v>2026</v>
      </c>
      <c r="BD150" s="69" t="s">
        <v>1197</v>
      </c>
      <c r="BE150" s="76">
        <v>46218</v>
      </c>
      <c r="BF150" s="69" t="s">
        <v>1282</v>
      </c>
    </row>
    <row r="151" spans="1:58" ht="28">
      <c r="A151" s="69" t="s">
        <v>1851</v>
      </c>
      <c r="B151" s="69" t="s">
        <v>1852</v>
      </c>
      <c r="C151" s="69"/>
      <c r="D151" s="69"/>
      <c r="E151" s="69" t="s">
        <v>1853</v>
      </c>
      <c r="F151" s="69" t="s">
        <v>1363</v>
      </c>
      <c r="G151" s="69" t="s">
        <v>1293</v>
      </c>
      <c r="H151" s="69" t="s">
        <v>1185</v>
      </c>
      <c r="I151" s="69" t="s">
        <v>1854</v>
      </c>
      <c r="J151" s="69" t="s">
        <v>1200</v>
      </c>
      <c r="K151" s="69" t="s">
        <v>1187</v>
      </c>
      <c r="L151" s="69" t="s">
        <v>1219</v>
      </c>
      <c r="M151" s="69" t="s">
        <v>1270</v>
      </c>
      <c r="N151" s="69" t="s">
        <v>1219</v>
      </c>
      <c r="O151" s="69" t="s">
        <v>1281</v>
      </c>
      <c r="P151" s="69" t="s">
        <v>1219</v>
      </c>
      <c r="Q151" s="70" t="s">
        <v>1219</v>
      </c>
      <c r="R151" s="70" t="s">
        <v>1219</v>
      </c>
      <c r="S151" s="70" t="s">
        <v>1219</v>
      </c>
      <c r="T151" s="70" t="s">
        <v>1219</v>
      </c>
      <c r="U151" s="70" t="s">
        <v>1219</v>
      </c>
      <c r="V151" s="70" t="s">
        <v>1219</v>
      </c>
      <c r="W151" s="70"/>
      <c r="X151" s="70" t="str">
        <f t="shared" si="24"/>
        <v>Belum Dinilai</v>
      </c>
      <c r="Y151" s="70" t="s">
        <v>1219</v>
      </c>
      <c r="Z151" s="74" t="str">
        <f t="shared" si="26"/>
        <v/>
      </c>
      <c r="AA151" s="74" t="str">
        <f t="shared" si="27"/>
        <v/>
      </c>
      <c r="AB151" s="74" t="str">
        <f t="shared" si="28"/>
        <v/>
      </c>
      <c r="AC151" s="71" t="s">
        <v>1219</v>
      </c>
      <c r="AD151" s="71" t="s">
        <v>1219</v>
      </c>
      <c r="AE151" s="71" t="s">
        <v>1219</v>
      </c>
      <c r="AF151" s="71" t="s">
        <v>1219</v>
      </c>
      <c r="AG151" s="71" t="s">
        <v>1219</v>
      </c>
      <c r="AH151" s="71" t="s">
        <v>1219</v>
      </c>
      <c r="AI151" s="71" t="s">
        <v>1219</v>
      </c>
      <c r="AJ151" s="71" t="s">
        <v>1219</v>
      </c>
      <c r="AK151" s="71" t="s">
        <v>1219</v>
      </c>
      <c r="AL151" s="71"/>
      <c r="AM151" s="71" t="s">
        <v>1219</v>
      </c>
      <c r="AN151" s="71" t="str">
        <f t="shared" si="25"/>
        <v>Belum Dinilai</v>
      </c>
      <c r="AO151" s="71" t="str">
        <f t="shared" si="29"/>
        <v>Belum Dinilai</v>
      </c>
      <c r="AP151" s="71"/>
      <c r="AQ151" s="75" t="str">
        <f t="shared" si="30"/>
        <v/>
      </c>
      <c r="AR151" s="75" t="str">
        <f t="shared" si="31"/>
        <v/>
      </c>
      <c r="AS151" s="75" t="str">
        <f t="shared" si="32"/>
        <v/>
      </c>
      <c r="AT151" s="72" t="str">
        <f t="shared" si="33"/>
        <v>Belum Dapat Ditentukan</v>
      </c>
      <c r="AU151" s="69" t="s">
        <v>1193</v>
      </c>
      <c r="AV151" s="69" t="s">
        <v>1208</v>
      </c>
      <c r="AW151" s="69" t="s">
        <v>1194</v>
      </c>
      <c r="AX151" s="69"/>
      <c r="AY151" s="69"/>
      <c r="AZ151" s="69" t="s">
        <v>930</v>
      </c>
      <c r="BA151" s="69"/>
      <c r="BB151" s="76"/>
      <c r="BC151" s="77">
        <v>2026</v>
      </c>
      <c r="BD151" s="69" t="s">
        <v>1197</v>
      </c>
      <c r="BE151" s="76">
        <v>46218</v>
      </c>
      <c r="BF151" s="69" t="s">
        <v>1282</v>
      </c>
    </row>
    <row r="152" spans="1:58" ht="28">
      <c r="A152" s="69" t="s">
        <v>1855</v>
      </c>
      <c r="B152" s="69" t="s">
        <v>1856</v>
      </c>
      <c r="C152" s="69"/>
      <c r="D152" s="69"/>
      <c r="E152" s="69" t="s">
        <v>1857</v>
      </c>
      <c r="F152" s="69" t="s">
        <v>1363</v>
      </c>
      <c r="G152" s="69" t="s">
        <v>1293</v>
      </c>
      <c r="H152" s="69" t="s">
        <v>1266</v>
      </c>
      <c r="I152" s="69" t="s">
        <v>1858</v>
      </c>
      <c r="J152" s="69" t="s">
        <v>1186</v>
      </c>
      <c r="K152" s="69" t="s">
        <v>1281</v>
      </c>
      <c r="L152" s="69" t="s">
        <v>1219</v>
      </c>
      <c r="M152" s="69" t="s">
        <v>1269</v>
      </c>
      <c r="N152" s="69" t="s">
        <v>1219</v>
      </c>
      <c r="O152" s="69" t="s">
        <v>1281</v>
      </c>
      <c r="P152" s="69" t="s">
        <v>1219</v>
      </c>
      <c r="Q152" s="70" t="s">
        <v>1219</v>
      </c>
      <c r="R152" s="70" t="s">
        <v>1219</v>
      </c>
      <c r="S152" s="70" t="s">
        <v>1219</v>
      </c>
      <c r="T152" s="70" t="s">
        <v>1219</v>
      </c>
      <c r="U152" s="70" t="s">
        <v>1219</v>
      </c>
      <c r="V152" s="70" t="s">
        <v>1219</v>
      </c>
      <c r="W152" s="70"/>
      <c r="X152" s="70" t="str">
        <f t="shared" si="24"/>
        <v>Belum Dinilai</v>
      </c>
      <c r="Y152" s="70" t="s">
        <v>1219</v>
      </c>
      <c r="Z152" s="74" t="str">
        <f t="shared" si="26"/>
        <v/>
      </c>
      <c r="AA152" s="74" t="str">
        <f t="shared" si="27"/>
        <v/>
      </c>
      <c r="AB152" s="74" t="str">
        <f t="shared" si="28"/>
        <v/>
      </c>
      <c r="AC152" s="71" t="s">
        <v>1219</v>
      </c>
      <c r="AD152" s="71" t="s">
        <v>1219</v>
      </c>
      <c r="AE152" s="71" t="s">
        <v>1219</v>
      </c>
      <c r="AF152" s="71" t="s">
        <v>1219</v>
      </c>
      <c r="AG152" s="71" t="s">
        <v>1219</v>
      </c>
      <c r="AH152" s="71" t="s">
        <v>1219</v>
      </c>
      <c r="AI152" s="71" t="s">
        <v>1219</v>
      </c>
      <c r="AJ152" s="71" t="s">
        <v>1219</v>
      </c>
      <c r="AK152" s="71" t="s">
        <v>1219</v>
      </c>
      <c r="AL152" s="71"/>
      <c r="AM152" s="71" t="s">
        <v>1219</v>
      </c>
      <c r="AN152" s="71" t="str">
        <f t="shared" si="25"/>
        <v>Belum Dinilai</v>
      </c>
      <c r="AO152" s="71" t="str">
        <f t="shared" si="29"/>
        <v>Belum Dinilai</v>
      </c>
      <c r="AP152" s="71"/>
      <c r="AQ152" s="75" t="str">
        <f t="shared" si="30"/>
        <v/>
      </c>
      <c r="AR152" s="75" t="str">
        <f t="shared" si="31"/>
        <v/>
      </c>
      <c r="AS152" s="75" t="str">
        <f t="shared" si="32"/>
        <v/>
      </c>
      <c r="AT152" s="72" t="str">
        <f t="shared" si="33"/>
        <v>Belum Dapat Ditentukan</v>
      </c>
      <c r="AU152" s="69" t="s">
        <v>1193</v>
      </c>
      <c r="AV152" s="69" t="s">
        <v>1208</v>
      </c>
      <c r="AW152" s="69" t="s">
        <v>1194</v>
      </c>
      <c r="AX152" s="69"/>
      <c r="AY152" s="69"/>
      <c r="AZ152" s="69" t="s">
        <v>930</v>
      </c>
      <c r="BA152" s="69"/>
      <c r="BB152" s="76"/>
      <c r="BC152" s="77">
        <v>2026</v>
      </c>
      <c r="BD152" s="69" t="s">
        <v>1197</v>
      </c>
      <c r="BE152" s="76">
        <v>46218</v>
      </c>
      <c r="BF152" s="69" t="s">
        <v>1282</v>
      </c>
    </row>
    <row r="153" spans="1:58" ht="28">
      <c r="A153" s="69" t="s">
        <v>1859</v>
      </c>
      <c r="B153" s="69" t="s">
        <v>1860</v>
      </c>
      <c r="C153" s="69"/>
      <c r="D153" s="69"/>
      <c r="E153" s="69" t="s">
        <v>1861</v>
      </c>
      <c r="F153" s="69" t="s">
        <v>1292</v>
      </c>
      <c r="G153" s="69" t="s">
        <v>1293</v>
      </c>
      <c r="H153" s="69" t="s">
        <v>1266</v>
      </c>
      <c r="I153" s="69" t="s">
        <v>1423</v>
      </c>
      <c r="J153" s="69" t="s">
        <v>1186</v>
      </c>
      <c r="K153" s="69" t="s">
        <v>1281</v>
      </c>
      <c r="L153" s="69" t="s">
        <v>1219</v>
      </c>
      <c r="M153" s="69" t="s">
        <v>1269</v>
      </c>
      <c r="N153" s="69" t="s">
        <v>1219</v>
      </c>
      <c r="O153" s="69" t="s">
        <v>1281</v>
      </c>
      <c r="P153" s="69" t="s">
        <v>1219</v>
      </c>
      <c r="Q153" s="70" t="s">
        <v>1219</v>
      </c>
      <c r="R153" s="70" t="s">
        <v>1219</v>
      </c>
      <c r="S153" s="70" t="s">
        <v>1219</v>
      </c>
      <c r="T153" s="70" t="s">
        <v>1219</v>
      </c>
      <c r="U153" s="70" t="s">
        <v>1219</v>
      </c>
      <c r="V153" s="70" t="s">
        <v>1219</v>
      </c>
      <c r="W153" s="70"/>
      <c r="X153" s="70" t="str">
        <f t="shared" si="24"/>
        <v>Belum Dinilai</v>
      </c>
      <c r="Y153" s="70" t="s">
        <v>1219</v>
      </c>
      <c r="Z153" s="74" t="str">
        <f t="shared" si="26"/>
        <v/>
      </c>
      <c r="AA153" s="74" t="str">
        <f t="shared" si="27"/>
        <v/>
      </c>
      <c r="AB153" s="74" t="str">
        <f t="shared" si="28"/>
        <v/>
      </c>
      <c r="AC153" s="71" t="s">
        <v>1219</v>
      </c>
      <c r="AD153" s="71" t="s">
        <v>1219</v>
      </c>
      <c r="AE153" s="71" t="s">
        <v>1219</v>
      </c>
      <c r="AF153" s="71" t="s">
        <v>1219</v>
      </c>
      <c r="AG153" s="71" t="s">
        <v>1219</v>
      </c>
      <c r="AH153" s="71" t="s">
        <v>1219</v>
      </c>
      <c r="AI153" s="71" t="s">
        <v>1219</v>
      </c>
      <c r="AJ153" s="71" t="s">
        <v>1219</v>
      </c>
      <c r="AK153" s="71" t="s">
        <v>1219</v>
      </c>
      <c r="AL153" s="71"/>
      <c r="AM153" s="71" t="s">
        <v>1219</v>
      </c>
      <c r="AN153" s="71" t="str">
        <f t="shared" si="25"/>
        <v>Belum Dinilai</v>
      </c>
      <c r="AO153" s="71" t="str">
        <f t="shared" si="29"/>
        <v>Belum Dinilai</v>
      </c>
      <c r="AP153" s="71"/>
      <c r="AQ153" s="75" t="str">
        <f t="shared" si="30"/>
        <v/>
      </c>
      <c r="AR153" s="75" t="str">
        <f t="shared" si="31"/>
        <v/>
      </c>
      <c r="AS153" s="75" t="str">
        <f t="shared" si="32"/>
        <v/>
      </c>
      <c r="AT153" s="72" t="str">
        <f t="shared" si="33"/>
        <v>Belum Dapat Ditentukan</v>
      </c>
      <c r="AU153" s="69" t="s">
        <v>1207</v>
      </c>
      <c r="AV153" s="69" t="s">
        <v>1208</v>
      </c>
      <c r="AW153" s="69" t="s">
        <v>1194</v>
      </c>
      <c r="AX153" s="69"/>
      <c r="AY153" s="69"/>
      <c r="AZ153" s="69" t="s">
        <v>930</v>
      </c>
      <c r="BA153" s="69"/>
      <c r="BB153" s="76"/>
      <c r="BC153" s="77">
        <v>2026</v>
      </c>
      <c r="BD153" s="69" t="s">
        <v>1197</v>
      </c>
      <c r="BE153" s="76">
        <v>46218</v>
      </c>
      <c r="BF153" s="69" t="s">
        <v>1282</v>
      </c>
    </row>
    <row r="154" spans="1:58" ht="28">
      <c r="A154" s="69" t="s">
        <v>1862</v>
      </c>
      <c r="B154" s="69" t="s">
        <v>1863</v>
      </c>
      <c r="C154" s="69"/>
      <c r="D154" s="69"/>
      <c r="E154" s="69" t="s">
        <v>1864</v>
      </c>
      <c r="F154" s="69" t="s">
        <v>1470</v>
      </c>
      <c r="G154" s="69" t="s">
        <v>1317</v>
      </c>
      <c r="H154" s="69" t="s">
        <v>1266</v>
      </c>
      <c r="I154" s="69" t="s">
        <v>1423</v>
      </c>
      <c r="J154" s="69" t="s">
        <v>1186</v>
      </c>
      <c r="K154" s="69" t="s">
        <v>1281</v>
      </c>
      <c r="L154" s="69" t="s">
        <v>1219</v>
      </c>
      <c r="M154" s="69" t="s">
        <v>1269</v>
      </c>
      <c r="N154" s="69" t="s">
        <v>1219</v>
      </c>
      <c r="O154" s="69" t="s">
        <v>1281</v>
      </c>
      <c r="P154" s="69" t="s">
        <v>1219</v>
      </c>
      <c r="Q154" s="70" t="s">
        <v>1219</v>
      </c>
      <c r="R154" s="70" t="s">
        <v>1219</v>
      </c>
      <c r="S154" s="70" t="s">
        <v>1219</v>
      </c>
      <c r="T154" s="70" t="s">
        <v>1219</v>
      </c>
      <c r="U154" s="70" t="s">
        <v>1219</v>
      </c>
      <c r="V154" s="70" t="s">
        <v>1219</v>
      </c>
      <c r="W154" s="70"/>
      <c r="X154" s="70" t="str">
        <f t="shared" si="24"/>
        <v>Belum Dinilai</v>
      </c>
      <c r="Y154" s="70" t="s">
        <v>1219</v>
      </c>
      <c r="Z154" s="74" t="str">
        <f t="shared" si="26"/>
        <v/>
      </c>
      <c r="AA154" s="74" t="str">
        <f t="shared" si="27"/>
        <v/>
      </c>
      <c r="AB154" s="74" t="str">
        <f t="shared" si="28"/>
        <v/>
      </c>
      <c r="AC154" s="71" t="s">
        <v>1219</v>
      </c>
      <c r="AD154" s="71" t="s">
        <v>1219</v>
      </c>
      <c r="AE154" s="71" t="s">
        <v>1219</v>
      </c>
      <c r="AF154" s="71" t="s">
        <v>1219</v>
      </c>
      <c r="AG154" s="71" t="s">
        <v>1219</v>
      </c>
      <c r="AH154" s="71" t="s">
        <v>1219</v>
      </c>
      <c r="AI154" s="71" t="s">
        <v>1219</v>
      </c>
      <c r="AJ154" s="71" t="s">
        <v>1219</v>
      </c>
      <c r="AK154" s="71" t="s">
        <v>1219</v>
      </c>
      <c r="AL154" s="71"/>
      <c r="AM154" s="71" t="s">
        <v>1219</v>
      </c>
      <c r="AN154" s="71" t="str">
        <f t="shared" si="25"/>
        <v>Belum Dinilai</v>
      </c>
      <c r="AO154" s="71" t="str">
        <f t="shared" si="29"/>
        <v>Belum Dinilai</v>
      </c>
      <c r="AP154" s="71"/>
      <c r="AQ154" s="75" t="str">
        <f t="shared" si="30"/>
        <v/>
      </c>
      <c r="AR154" s="75" t="str">
        <f t="shared" si="31"/>
        <v/>
      </c>
      <c r="AS154" s="75" t="str">
        <f t="shared" si="32"/>
        <v/>
      </c>
      <c r="AT154" s="72" t="str">
        <f t="shared" si="33"/>
        <v>Belum Dapat Ditentukan</v>
      </c>
      <c r="AU154" s="69" t="s">
        <v>1193</v>
      </c>
      <c r="AV154" s="69" t="s">
        <v>1208</v>
      </c>
      <c r="AW154" s="69" t="s">
        <v>1194</v>
      </c>
      <c r="AX154" s="69"/>
      <c r="AY154" s="69"/>
      <c r="AZ154" s="69" t="s">
        <v>930</v>
      </c>
      <c r="BA154" s="69"/>
      <c r="BB154" s="76"/>
      <c r="BC154" s="77">
        <v>2026</v>
      </c>
      <c r="BD154" s="69" t="s">
        <v>1197</v>
      </c>
      <c r="BE154" s="76">
        <v>46218</v>
      </c>
      <c r="BF154" s="69" t="s">
        <v>1282</v>
      </c>
    </row>
    <row r="155" spans="1:58" ht="28">
      <c r="A155" s="69" t="s">
        <v>1865</v>
      </c>
      <c r="B155" s="69" t="s">
        <v>1866</v>
      </c>
      <c r="C155" s="69"/>
      <c r="D155" s="69"/>
      <c r="E155" s="69" t="s">
        <v>1864</v>
      </c>
      <c r="F155" s="69" t="s">
        <v>1470</v>
      </c>
      <c r="G155" s="69" t="s">
        <v>1317</v>
      </c>
      <c r="H155" s="69" t="s">
        <v>1199</v>
      </c>
      <c r="I155" s="69" t="s">
        <v>1867</v>
      </c>
      <c r="J155" s="69" t="s">
        <v>1200</v>
      </c>
      <c r="K155" s="69" t="s">
        <v>1281</v>
      </c>
      <c r="L155" s="69" t="s">
        <v>1219</v>
      </c>
      <c r="M155" s="69" t="s">
        <v>1270</v>
      </c>
      <c r="N155" s="69" t="s">
        <v>1219</v>
      </c>
      <c r="O155" s="69" t="s">
        <v>1281</v>
      </c>
      <c r="P155" s="69" t="s">
        <v>1219</v>
      </c>
      <c r="Q155" s="70" t="s">
        <v>1219</v>
      </c>
      <c r="R155" s="70" t="s">
        <v>1219</v>
      </c>
      <c r="S155" s="70" t="s">
        <v>1219</v>
      </c>
      <c r="T155" s="70" t="s">
        <v>1219</v>
      </c>
      <c r="U155" s="70" t="s">
        <v>1219</v>
      </c>
      <c r="V155" s="70" t="s">
        <v>1219</v>
      </c>
      <c r="W155" s="70"/>
      <c r="X155" s="70" t="str">
        <f t="shared" si="24"/>
        <v>Belum Dinilai</v>
      </c>
      <c r="Y155" s="70" t="s">
        <v>1219</v>
      </c>
      <c r="Z155" s="74" t="str">
        <f t="shared" si="26"/>
        <v/>
      </c>
      <c r="AA155" s="74" t="str">
        <f t="shared" si="27"/>
        <v/>
      </c>
      <c r="AB155" s="74" t="str">
        <f t="shared" si="28"/>
        <v/>
      </c>
      <c r="AC155" s="71" t="s">
        <v>1219</v>
      </c>
      <c r="AD155" s="71" t="s">
        <v>1219</v>
      </c>
      <c r="AE155" s="71" t="s">
        <v>1219</v>
      </c>
      <c r="AF155" s="71" t="s">
        <v>1219</v>
      </c>
      <c r="AG155" s="71" t="s">
        <v>1219</v>
      </c>
      <c r="AH155" s="71" t="s">
        <v>1219</v>
      </c>
      <c r="AI155" s="71" t="s">
        <v>1219</v>
      </c>
      <c r="AJ155" s="71" t="s">
        <v>1219</v>
      </c>
      <c r="AK155" s="71" t="s">
        <v>1219</v>
      </c>
      <c r="AL155" s="71"/>
      <c r="AM155" s="71" t="s">
        <v>1219</v>
      </c>
      <c r="AN155" s="71" t="str">
        <f t="shared" si="25"/>
        <v>Belum Dinilai</v>
      </c>
      <c r="AO155" s="71" t="str">
        <f t="shared" si="29"/>
        <v>Belum Dinilai</v>
      </c>
      <c r="AP155" s="71"/>
      <c r="AQ155" s="75" t="str">
        <f t="shared" si="30"/>
        <v/>
      </c>
      <c r="AR155" s="75" t="str">
        <f t="shared" si="31"/>
        <v/>
      </c>
      <c r="AS155" s="75" t="str">
        <f t="shared" si="32"/>
        <v/>
      </c>
      <c r="AT155" s="72" t="str">
        <f t="shared" si="33"/>
        <v>Belum Dapat Ditentukan</v>
      </c>
      <c r="AU155" s="69" t="s">
        <v>1193</v>
      </c>
      <c r="AV155" s="69" t="s">
        <v>1208</v>
      </c>
      <c r="AW155" s="69" t="s">
        <v>1271</v>
      </c>
      <c r="AX155" s="69" t="s">
        <v>1210</v>
      </c>
      <c r="AY155" s="69">
        <v>2024</v>
      </c>
      <c r="AZ155" s="69" t="s">
        <v>930</v>
      </c>
      <c r="BA155" s="69"/>
      <c r="BB155" s="76"/>
      <c r="BC155" s="77">
        <v>2026</v>
      </c>
      <c r="BD155" s="69" t="s">
        <v>1197</v>
      </c>
      <c r="BE155" s="76">
        <v>46218</v>
      </c>
      <c r="BF155" s="69" t="s">
        <v>1282</v>
      </c>
    </row>
    <row r="156" spans="1:58" ht="28">
      <c r="A156" s="69" t="s">
        <v>1868</v>
      </c>
      <c r="B156" s="69" t="s">
        <v>1869</v>
      </c>
      <c r="C156" s="69"/>
      <c r="D156" s="69"/>
      <c r="E156" s="69" t="s">
        <v>1870</v>
      </c>
      <c r="F156" s="69" t="s">
        <v>1292</v>
      </c>
      <c r="G156" s="69" t="s">
        <v>1293</v>
      </c>
      <c r="H156" s="69" t="s">
        <v>1185</v>
      </c>
      <c r="I156" s="69" t="s">
        <v>1294</v>
      </c>
      <c r="J156" s="69" t="s">
        <v>1214</v>
      </c>
      <c r="K156" s="69" t="s">
        <v>1281</v>
      </c>
      <c r="L156" s="69" t="s">
        <v>1219</v>
      </c>
      <c r="M156" s="69" t="s">
        <v>1270</v>
      </c>
      <c r="N156" s="69" t="s">
        <v>1219</v>
      </c>
      <c r="O156" s="69" t="s">
        <v>1281</v>
      </c>
      <c r="P156" s="69" t="s">
        <v>1219</v>
      </c>
      <c r="Q156" s="70" t="s">
        <v>1219</v>
      </c>
      <c r="R156" s="70" t="s">
        <v>1219</v>
      </c>
      <c r="S156" s="70" t="s">
        <v>1219</v>
      </c>
      <c r="T156" s="70" t="s">
        <v>1219</v>
      </c>
      <c r="U156" s="70" t="s">
        <v>1219</v>
      </c>
      <c r="V156" s="70" t="s">
        <v>1219</v>
      </c>
      <c r="W156" s="70"/>
      <c r="X156" s="70" t="str">
        <f t="shared" si="24"/>
        <v>Belum Dinilai</v>
      </c>
      <c r="Y156" s="70" t="s">
        <v>1219</v>
      </c>
      <c r="Z156" s="74" t="str">
        <f t="shared" si="26"/>
        <v/>
      </c>
      <c r="AA156" s="74" t="str">
        <f t="shared" si="27"/>
        <v/>
      </c>
      <c r="AB156" s="74" t="str">
        <f t="shared" si="28"/>
        <v/>
      </c>
      <c r="AC156" s="71" t="s">
        <v>1219</v>
      </c>
      <c r="AD156" s="71" t="s">
        <v>1219</v>
      </c>
      <c r="AE156" s="71" t="s">
        <v>1219</v>
      </c>
      <c r="AF156" s="71" t="s">
        <v>1219</v>
      </c>
      <c r="AG156" s="71" t="s">
        <v>1219</v>
      </c>
      <c r="AH156" s="71" t="s">
        <v>1219</v>
      </c>
      <c r="AI156" s="71" t="s">
        <v>1219</v>
      </c>
      <c r="AJ156" s="71" t="s">
        <v>1219</v>
      </c>
      <c r="AK156" s="71" t="s">
        <v>1219</v>
      </c>
      <c r="AL156" s="71"/>
      <c r="AM156" s="71" t="s">
        <v>1219</v>
      </c>
      <c r="AN156" s="71" t="str">
        <f t="shared" si="25"/>
        <v>Belum Dinilai</v>
      </c>
      <c r="AO156" s="71" t="str">
        <f t="shared" si="29"/>
        <v>Belum Dinilai</v>
      </c>
      <c r="AP156" s="71"/>
      <c r="AQ156" s="75" t="str">
        <f t="shared" si="30"/>
        <v/>
      </c>
      <c r="AR156" s="75" t="str">
        <f t="shared" si="31"/>
        <v/>
      </c>
      <c r="AS156" s="75" t="str">
        <f t="shared" si="32"/>
        <v/>
      </c>
      <c r="AT156" s="72" t="str">
        <f t="shared" si="33"/>
        <v>Belum Dapat Ditentukan</v>
      </c>
      <c r="AU156" s="69" t="s">
        <v>1193</v>
      </c>
      <c r="AV156" s="69" t="s">
        <v>1208</v>
      </c>
      <c r="AW156" s="69" t="s">
        <v>1271</v>
      </c>
      <c r="AX156" s="69" t="s">
        <v>1210</v>
      </c>
      <c r="AY156" s="69">
        <v>2022</v>
      </c>
      <c r="AZ156" s="69" t="s">
        <v>930</v>
      </c>
      <c r="BA156" s="69"/>
      <c r="BB156" s="76"/>
      <c r="BC156" s="77">
        <v>2026</v>
      </c>
      <c r="BD156" s="69" t="s">
        <v>1197</v>
      </c>
      <c r="BE156" s="76">
        <v>46218</v>
      </c>
      <c r="BF156" s="69" t="s">
        <v>1282</v>
      </c>
    </row>
    <row r="157" spans="1:58" ht="42">
      <c r="A157" s="69" t="s">
        <v>1871</v>
      </c>
      <c r="B157" s="69" t="s">
        <v>1872</v>
      </c>
      <c r="C157" s="69"/>
      <c r="D157" s="69"/>
      <c r="E157" s="69" t="s">
        <v>1311</v>
      </c>
      <c r="F157" s="69" t="s">
        <v>1357</v>
      </c>
      <c r="G157" s="69" t="s">
        <v>1358</v>
      </c>
      <c r="H157" s="69" t="s">
        <v>1266</v>
      </c>
      <c r="I157" s="69" t="s">
        <v>1873</v>
      </c>
      <c r="J157" s="69" t="s">
        <v>1214</v>
      </c>
      <c r="K157" s="69" t="s">
        <v>1281</v>
      </c>
      <c r="L157" s="69" t="s">
        <v>894</v>
      </c>
      <c r="M157" s="69" t="s">
        <v>1270</v>
      </c>
      <c r="N157" s="69" t="s">
        <v>894</v>
      </c>
      <c r="O157" s="69" t="s">
        <v>1217</v>
      </c>
      <c r="P157" s="69" t="s">
        <v>894</v>
      </c>
      <c r="Q157" s="70" t="s">
        <v>1219</v>
      </c>
      <c r="R157" s="70" t="s">
        <v>1219</v>
      </c>
      <c r="S157" s="70" t="s">
        <v>1219</v>
      </c>
      <c r="T157" s="70" t="s">
        <v>1219</v>
      </c>
      <c r="U157" s="70" t="s">
        <v>1219</v>
      </c>
      <c r="V157" s="70" t="s">
        <v>1219</v>
      </c>
      <c r="W157" s="70"/>
      <c r="X157" s="70" t="str">
        <f t="shared" si="24"/>
        <v>Belum Dinilai</v>
      </c>
      <c r="Y157" s="70" t="s">
        <v>1219</v>
      </c>
      <c r="Z157" s="74" t="str">
        <f t="shared" si="26"/>
        <v/>
      </c>
      <c r="AA157" s="74" t="str">
        <f t="shared" si="27"/>
        <v/>
      </c>
      <c r="AB157" s="74" t="str">
        <f t="shared" si="28"/>
        <v/>
      </c>
      <c r="AC157" s="71" t="s">
        <v>1219</v>
      </c>
      <c r="AD157" s="71" t="s">
        <v>1219</v>
      </c>
      <c r="AE157" s="71" t="s">
        <v>1219</v>
      </c>
      <c r="AF157" s="71" t="s">
        <v>1219</v>
      </c>
      <c r="AG157" s="71" t="s">
        <v>1219</v>
      </c>
      <c r="AH157" s="71" t="s">
        <v>1219</v>
      </c>
      <c r="AI157" s="71" t="s">
        <v>1219</v>
      </c>
      <c r="AJ157" s="71" t="s">
        <v>1219</v>
      </c>
      <c r="AK157" s="71" t="s">
        <v>1219</v>
      </c>
      <c r="AL157" s="71"/>
      <c r="AM157" s="71" t="s">
        <v>1219</v>
      </c>
      <c r="AN157" s="71" t="str">
        <f t="shared" si="25"/>
        <v>Belum Dinilai</v>
      </c>
      <c r="AO157" s="71" t="str">
        <f t="shared" si="29"/>
        <v>Belum Dinilai</v>
      </c>
      <c r="AP157" s="71"/>
      <c r="AQ157" s="75">
        <f t="shared" si="30"/>
        <v>29</v>
      </c>
      <c r="AR157" s="75" t="str">
        <f t="shared" si="31"/>
        <v/>
      </c>
      <c r="AS157" s="75" t="str">
        <f t="shared" si="32"/>
        <v/>
      </c>
      <c r="AT157" s="72" t="str">
        <f t="shared" si="33"/>
        <v>Belum Dapat Ditentukan</v>
      </c>
      <c r="AU157" s="69" t="s">
        <v>1207</v>
      </c>
      <c r="AV157" s="69" t="s">
        <v>1208</v>
      </c>
      <c r="AW157" s="69" t="s">
        <v>1194</v>
      </c>
      <c r="AX157" s="69"/>
      <c r="AY157" s="69"/>
      <c r="AZ157" s="69" t="s">
        <v>930</v>
      </c>
      <c r="BA157" s="69"/>
      <c r="BB157" s="76"/>
      <c r="BC157" s="77">
        <v>2026</v>
      </c>
      <c r="BD157" s="69" t="s">
        <v>1197</v>
      </c>
      <c r="BE157" s="76">
        <v>46218</v>
      </c>
      <c r="BF157" s="69" t="s">
        <v>1282</v>
      </c>
    </row>
    <row r="158" spans="1:58" ht="28">
      <c r="A158" s="69" t="s">
        <v>1874</v>
      </c>
      <c r="B158" s="69" t="s">
        <v>1875</v>
      </c>
      <c r="C158" s="69"/>
      <c r="D158" s="69"/>
      <c r="E158" s="69" t="s">
        <v>1876</v>
      </c>
      <c r="F158" s="69" t="s">
        <v>1316</v>
      </c>
      <c r="G158" s="69" t="s">
        <v>1317</v>
      </c>
      <c r="H158" s="69" t="s">
        <v>1266</v>
      </c>
      <c r="I158" s="69" t="s">
        <v>1877</v>
      </c>
      <c r="J158" s="69" t="s">
        <v>1186</v>
      </c>
      <c r="K158" s="69" t="s">
        <v>1281</v>
      </c>
      <c r="L158" s="69" t="s">
        <v>1219</v>
      </c>
      <c r="M158" s="69" t="s">
        <v>1269</v>
      </c>
      <c r="N158" s="69" t="s">
        <v>1219</v>
      </c>
      <c r="O158" s="69" t="s">
        <v>1281</v>
      </c>
      <c r="P158" s="69" t="s">
        <v>1219</v>
      </c>
      <c r="Q158" s="70" t="s">
        <v>1219</v>
      </c>
      <c r="R158" s="70" t="s">
        <v>1219</v>
      </c>
      <c r="S158" s="70" t="s">
        <v>1219</v>
      </c>
      <c r="T158" s="70" t="s">
        <v>1219</v>
      </c>
      <c r="U158" s="70" t="s">
        <v>1219</v>
      </c>
      <c r="V158" s="70" t="s">
        <v>1219</v>
      </c>
      <c r="W158" s="70"/>
      <c r="X158" s="70" t="str">
        <f t="shared" si="24"/>
        <v>Belum Dinilai</v>
      </c>
      <c r="Y158" s="70" t="s">
        <v>1219</v>
      </c>
      <c r="Z158" s="74" t="str">
        <f t="shared" si="26"/>
        <v/>
      </c>
      <c r="AA158" s="74" t="str">
        <f t="shared" si="27"/>
        <v/>
      </c>
      <c r="AB158" s="74" t="str">
        <f t="shared" si="28"/>
        <v/>
      </c>
      <c r="AC158" s="71" t="s">
        <v>1219</v>
      </c>
      <c r="AD158" s="71" t="s">
        <v>1219</v>
      </c>
      <c r="AE158" s="71" t="s">
        <v>1219</v>
      </c>
      <c r="AF158" s="71" t="s">
        <v>1219</v>
      </c>
      <c r="AG158" s="71" t="s">
        <v>1219</v>
      </c>
      <c r="AH158" s="71" t="s">
        <v>1219</v>
      </c>
      <c r="AI158" s="71" t="s">
        <v>1219</v>
      </c>
      <c r="AJ158" s="71" t="s">
        <v>1219</v>
      </c>
      <c r="AK158" s="71" t="s">
        <v>1219</v>
      </c>
      <c r="AL158" s="71"/>
      <c r="AM158" s="71" t="s">
        <v>1219</v>
      </c>
      <c r="AN158" s="71" t="str">
        <f t="shared" si="25"/>
        <v>Belum Dinilai</v>
      </c>
      <c r="AO158" s="71" t="str">
        <f t="shared" si="29"/>
        <v>Belum Dinilai</v>
      </c>
      <c r="AP158" s="71"/>
      <c r="AQ158" s="75" t="str">
        <f t="shared" si="30"/>
        <v/>
      </c>
      <c r="AR158" s="75" t="str">
        <f t="shared" si="31"/>
        <v/>
      </c>
      <c r="AS158" s="75" t="str">
        <f t="shared" si="32"/>
        <v/>
      </c>
      <c r="AT158" s="72" t="str">
        <f t="shared" si="33"/>
        <v>Belum Dapat Ditentukan</v>
      </c>
      <c r="AU158" s="69" t="s">
        <v>1193</v>
      </c>
      <c r="AV158" s="69" t="s">
        <v>1208</v>
      </c>
      <c r="AW158" s="69" t="s">
        <v>1194</v>
      </c>
      <c r="AX158" s="69"/>
      <c r="AY158" s="69"/>
      <c r="AZ158" s="69" t="s">
        <v>930</v>
      </c>
      <c r="BA158" s="69"/>
      <c r="BB158" s="76"/>
      <c r="BC158" s="77">
        <v>2026</v>
      </c>
      <c r="BD158" s="69" t="s">
        <v>1197</v>
      </c>
      <c r="BE158" s="76">
        <v>46218</v>
      </c>
      <c r="BF158" s="69" t="s">
        <v>1282</v>
      </c>
    </row>
    <row r="159" spans="1:58" ht="28">
      <c r="A159" s="69" t="s">
        <v>1878</v>
      </c>
      <c r="B159" s="69" t="s">
        <v>1879</v>
      </c>
      <c r="C159" s="69"/>
      <c r="D159" s="69"/>
      <c r="E159" s="69" t="s">
        <v>1880</v>
      </c>
      <c r="F159" s="69" t="s">
        <v>1316</v>
      </c>
      <c r="G159" s="69" t="s">
        <v>1317</v>
      </c>
      <c r="H159" s="69" t="s">
        <v>1199</v>
      </c>
      <c r="I159" s="69" t="s">
        <v>1881</v>
      </c>
      <c r="J159" s="69" t="s">
        <v>1200</v>
      </c>
      <c r="K159" s="69" t="s">
        <v>1281</v>
      </c>
      <c r="L159" s="69" t="s">
        <v>1219</v>
      </c>
      <c r="M159" s="69" t="s">
        <v>1312</v>
      </c>
      <c r="N159" s="69" t="s">
        <v>1219</v>
      </c>
      <c r="O159" s="69" t="s">
        <v>1281</v>
      </c>
      <c r="P159" s="69" t="s">
        <v>1219</v>
      </c>
      <c r="Q159" s="70" t="s">
        <v>1219</v>
      </c>
      <c r="R159" s="70" t="s">
        <v>1219</v>
      </c>
      <c r="S159" s="70" t="s">
        <v>1219</v>
      </c>
      <c r="T159" s="70" t="s">
        <v>1219</v>
      </c>
      <c r="U159" s="70" t="s">
        <v>1219</v>
      </c>
      <c r="V159" s="70" t="s">
        <v>1219</v>
      </c>
      <c r="W159" s="70"/>
      <c r="X159" s="70" t="str">
        <f t="shared" si="24"/>
        <v>Belum Dinilai</v>
      </c>
      <c r="Y159" s="70" t="s">
        <v>1219</v>
      </c>
      <c r="Z159" s="74" t="str">
        <f t="shared" si="26"/>
        <v/>
      </c>
      <c r="AA159" s="74" t="str">
        <f t="shared" si="27"/>
        <v/>
      </c>
      <c r="AB159" s="74" t="str">
        <f t="shared" si="28"/>
        <v/>
      </c>
      <c r="AC159" s="71" t="s">
        <v>1219</v>
      </c>
      <c r="AD159" s="71" t="s">
        <v>1219</v>
      </c>
      <c r="AE159" s="71" t="s">
        <v>1219</v>
      </c>
      <c r="AF159" s="71" t="s">
        <v>1219</v>
      </c>
      <c r="AG159" s="71" t="s">
        <v>1219</v>
      </c>
      <c r="AH159" s="71" t="s">
        <v>1219</v>
      </c>
      <c r="AI159" s="71" t="s">
        <v>1219</v>
      </c>
      <c r="AJ159" s="71" t="s">
        <v>1219</v>
      </c>
      <c r="AK159" s="71" t="s">
        <v>1219</v>
      </c>
      <c r="AL159" s="71"/>
      <c r="AM159" s="71" t="s">
        <v>1219</v>
      </c>
      <c r="AN159" s="71" t="str">
        <f t="shared" si="25"/>
        <v>Belum Dinilai</v>
      </c>
      <c r="AO159" s="71" t="str">
        <f t="shared" si="29"/>
        <v>Belum Dinilai</v>
      </c>
      <c r="AP159" s="71"/>
      <c r="AQ159" s="75" t="str">
        <f t="shared" si="30"/>
        <v/>
      </c>
      <c r="AR159" s="75" t="str">
        <f t="shared" si="31"/>
        <v/>
      </c>
      <c r="AS159" s="75" t="str">
        <f t="shared" si="32"/>
        <v/>
      </c>
      <c r="AT159" s="72" t="str">
        <f t="shared" si="33"/>
        <v>Belum Dapat Ditentukan</v>
      </c>
      <c r="AU159" s="69" t="s">
        <v>1193</v>
      </c>
      <c r="AV159" s="69" t="s">
        <v>1208</v>
      </c>
      <c r="AW159" s="69" t="s">
        <v>1271</v>
      </c>
      <c r="AX159" s="69" t="s">
        <v>1210</v>
      </c>
      <c r="AY159" s="69"/>
      <c r="AZ159" s="69" t="s">
        <v>930</v>
      </c>
      <c r="BA159" s="69"/>
      <c r="BB159" s="76"/>
      <c r="BC159" s="77">
        <v>2026</v>
      </c>
      <c r="BD159" s="69" t="s">
        <v>1197</v>
      </c>
      <c r="BE159" s="76">
        <v>46218</v>
      </c>
      <c r="BF159" s="69" t="s">
        <v>1282</v>
      </c>
    </row>
    <row r="160" spans="1:58" ht="28">
      <c r="A160" s="69" t="s">
        <v>1882</v>
      </c>
      <c r="B160" s="69" t="s">
        <v>1883</v>
      </c>
      <c r="C160" s="69"/>
      <c r="D160" s="69"/>
      <c r="E160" s="69" t="s">
        <v>1311</v>
      </c>
      <c r="F160" s="69" t="s">
        <v>1316</v>
      </c>
      <c r="G160" s="69" t="s">
        <v>1317</v>
      </c>
      <c r="H160" s="69" t="s">
        <v>1185</v>
      </c>
      <c r="I160" s="69" t="s">
        <v>1884</v>
      </c>
      <c r="J160" s="69" t="s">
        <v>1200</v>
      </c>
      <c r="K160" s="69" t="s">
        <v>1281</v>
      </c>
      <c r="L160" s="69" t="s">
        <v>1219</v>
      </c>
      <c r="M160" s="69" t="s">
        <v>1312</v>
      </c>
      <c r="N160" s="69" t="s">
        <v>1219</v>
      </c>
      <c r="O160" s="69" t="s">
        <v>1217</v>
      </c>
      <c r="P160" s="69" t="s">
        <v>1219</v>
      </c>
      <c r="Q160" s="70" t="s">
        <v>1219</v>
      </c>
      <c r="R160" s="70" t="s">
        <v>1219</v>
      </c>
      <c r="S160" s="70" t="s">
        <v>1219</v>
      </c>
      <c r="T160" s="70" t="s">
        <v>1219</v>
      </c>
      <c r="U160" s="70" t="s">
        <v>1219</v>
      </c>
      <c r="V160" s="70" t="s">
        <v>1219</v>
      </c>
      <c r="W160" s="70"/>
      <c r="X160" s="70" t="str">
        <f t="shared" si="24"/>
        <v>Belum Dinilai</v>
      </c>
      <c r="Y160" s="70" t="s">
        <v>1219</v>
      </c>
      <c r="Z160" s="74" t="str">
        <f t="shared" si="26"/>
        <v/>
      </c>
      <c r="AA160" s="74" t="str">
        <f t="shared" si="27"/>
        <v/>
      </c>
      <c r="AB160" s="74" t="str">
        <f t="shared" si="28"/>
        <v/>
      </c>
      <c r="AC160" s="71" t="s">
        <v>1219</v>
      </c>
      <c r="AD160" s="71" t="s">
        <v>1219</v>
      </c>
      <c r="AE160" s="71" t="s">
        <v>1219</v>
      </c>
      <c r="AF160" s="71" t="s">
        <v>1219</v>
      </c>
      <c r="AG160" s="71" t="s">
        <v>1219</v>
      </c>
      <c r="AH160" s="71" t="s">
        <v>1219</v>
      </c>
      <c r="AI160" s="71" t="s">
        <v>1219</v>
      </c>
      <c r="AJ160" s="71" t="s">
        <v>1219</v>
      </c>
      <c r="AK160" s="71" t="s">
        <v>1219</v>
      </c>
      <c r="AL160" s="71"/>
      <c r="AM160" s="71" t="s">
        <v>1219</v>
      </c>
      <c r="AN160" s="71" t="str">
        <f t="shared" si="25"/>
        <v>Belum Dinilai</v>
      </c>
      <c r="AO160" s="71" t="str">
        <f t="shared" si="29"/>
        <v>Belum Dinilai</v>
      </c>
      <c r="AP160" s="71"/>
      <c r="AQ160" s="75" t="str">
        <f t="shared" si="30"/>
        <v/>
      </c>
      <c r="AR160" s="75" t="str">
        <f t="shared" si="31"/>
        <v/>
      </c>
      <c r="AS160" s="75" t="str">
        <f t="shared" si="32"/>
        <v/>
      </c>
      <c r="AT160" s="72" t="str">
        <f t="shared" si="33"/>
        <v>Belum Dapat Ditentukan</v>
      </c>
      <c r="AU160" s="69" t="s">
        <v>1193</v>
      </c>
      <c r="AV160" s="69" t="s">
        <v>1208</v>
      </c>
      <c r="AW160" s="69" t="s">
        <v>1271</v>
      </c>
      <c r="AX160" s="69" t="s">
        <v>1210</v>
      </c>
      <c r="AY160" s="69"/>
      <c r="AZ160" s="69" t="s">
        <v>930</v>
      </c>
      <c r="BA160" s="69"/>
      <c r="BB160" s="76"/>
      <c r="BC160" s="77">
        <v>2026</v>
      </c>
      <c r="BD160" s="69" t="s">
        <v>1197</v>
      </c>
      <c r="BE160" s="76">
        <v>46218</v>
      </c>
      <c r="BF160" s="69" t="s">
        <v>1282</v>
      </c>
    </row>
    <row r="161" spans="1:58" ht="42">
      <c r="A161" s="69" t="s">
        <v>1885</v>
      </c>
      <c r="B161" s="69" t="s">
        <v>1886</v>
      </c>
      <c r="C161" s="69"/>
      <c r="D161" s="69"/>
      <c r="E161" s="69" t="s">
        <v>1887</v>
      </c>
      <c r="F161" s="69" t="s">
        <v>1348</v>
      </c>
      <c r="G161" s="69" t="s">
        <v>1338</v>
      </c>
      <c r="H161" s="69" t="s">
        <v>1266</v>
      </c>
      <c r="I161" s="69" t="s">
        <v>1888</v>
      </c>
      <c r="J161" s="69" t="s">
        <v>1186</v>
      </c>
      <c r="K161" s="69" t="s">
        <v>1201</v>
      </c>
      <c r="L161" s="69" t="s">
        <v>1219</v>
      </c>
      <c r="M161" s="69" t="s">
        <v>1269</v>
      </c>
      <c r="N161" s="69" t="s">
        <v>1219</v>
      </c>
      <c r="O161" s="69" t="s">
        <v>1217</v>
      </c>
      <c r="P161" s="69" t="s">
        <v>1219</v>
      </c>
      <c r="Q161" s="70" t="s">
        <v>1219</v>
      </c>
      <c r="R161" s="70" t="s">
        <v>1219</v>
      </c>
      <c r="S161" s="70" t="s">
        <v>1219</v>
      </c>
      <c r="T161" s="70" t="s">
        <v>1219</v>
      </c>
      <c r="U161" s="70" t="s">
        <v>1219</v>
      </c>
      <c r="V161" s="70" t="s">
        <v>1219</v>
      </c>
      <c r="W161" s="70"/>
      <c r="X161" s="70" t="str">
        <f t="shared" si="24"/>
        <v>Belum Dinilai</v>
      </c>
      <c r="Y161" s="70" t="s">
        <v>1219</v>
      </c>
      <c r="Z161" s="74" t="str">
        <f t="shared" si="26"/>
        <v/>
      </c>
      <c r="AA161" s="74" t="str">
        <f t="shared" si="27"/>
        <v/>
      </c>
      <c r="AB161" s="74" t="str">
        <f t="shared" si="28"/>
        <v/>
      </c>
      <c r="AC161" s="71" t="s">
        <v>1219</v>
      </c>
      <c r="AD161" s="71" t="s">
        <v>1219</v>
      </c>
      <c r="AE161" s="71" t="s">
        <v>1219</v>
      </c>
      <c r="AF161" s="71" t="s">
        <v>1219</v>
      </c>
      <c r="AG161" s="71" t="s">
        <v>1219</v>
      </c>
      <c r="AH161" s="71" t="s">
        <v>1219</v>
      </c>
      <c r="AI161" s="71" t="s">
        <v>1219</v>
      </c>
      <c r="AJ161" s="71" t="s">
        <v>1219</v>
      </c>
      <c r="AK161" s="71" t="s">
        <v>1219</v>
      </c>
      <c r="AL161" s="71"/>
      <c r="AM161" s="71" t="s">
        <v>1219</v>
      </c>
      <c r="AN161" s="71" t="str">
        <f t="shared" si="25"/>
        <v>Belum Dinilai</v>
      </c>
      <c r="AO161" s="71" t="str">
        <f t="shared" si="29"/>
        <v>Belum Dinilai</v>
      </c>
      <c r="AP161" s="71"/>
      <c r="AQ161" s="75" t="str">
        <f t="shared" si="30"/>
        <v/>
      </c>
      <c r="AR161" s="75" t="str">
        <f t="shared" si="31"/>
        <v/>
      </c>
      <c r="AS161" s="75" t="str">
        <f t="shared" si="32"/>
        <v/>
      </c>
      <c r="AT161" s="72" t="str">
        <f t="shared" si="33"/>
        <v>Belum Dapat Ditentukan</v>
      </c>
      <c r="AU161" s="69" t="s">
        <v>1193</v>
      </c>
      <c r="AV161" s="69" t="s">
        <v>1208</v>
      </c>
      <c r="AW161" s="69" t="s">
        <v>1194</v>
      </c>
      <c r="AX161" s="69"/>
      <c r="AY161" s="69"/>
      <c r="AZ161" s="69" t="s">
        <v>930</v>
      </c>
      <c r="BA161" s="69"/>
      <c r="BB161" s="76"/>
      <c r="BC161" s="77">
        <v>2026</v>
      </c>
      <c r="BD161" s="69" t="s">
        <v>1197</v>
      </c>
      <c r="BE161" s="76">
        <v>46218</v>
      </c>
      <c r="BF161" s="69" t="s">
        <v>1282</v>
      </c>
    </row>
    <row r="162" spans="1:58" ht="42">
      <c r="A162" s="69" t="s">
        <v>1889</v>
      </c>
      <c r="B162" s="69" t="s">
        <v>1890</v>
      </c>
      <c r="C162" s="69"/>
      <c r="D162" s="69"/>
      <c r="E162" s="69" t="s">
        <v>1891</v>
      </c>
      <c r="F162" s="69" t="s">
        <v>1348</v>
      </c>
      <c r="G162" s="69" t="s">
        <v>1338</v>
      </c>
      <c r="H162" s="69" t="s">
        <v>1185</v>
      </c>
      <c r="I162" s="69" t="s">
        <v>1892</v>
      </c>
      <c r="J162" s="69" t="s">
        <v>1214</v>
      </c>
      <c r="K162" s="69" t="s">
        <v>1201</v>
      </c>
      <c r="L162" s="69" t="s">
        <v>894</v>
      </c>
      <c r="M162" s="69" t="s">
        <v>1270</v>
      </c>
      <c r="N162" s="69" t="s">
        <v>894</v>
      </c>
      <c r="O162" s="69" t="s">
        <v>1217</v>
      </c>
      <c r="P162" s="69" t="s">
        <v>894</v>
      </c>
      <c r="Q162" s="70" t="s">
        <v>1219</v>
      </c>
      <c r="R162" s="70" t="s">
        <v>1219</v>
      </c>
      <c r="S162" s="70" t="s">
        <v>1219</v>
      </c>
      <c r="T162" s="70" t="s">
        <v>1219</v>
      </c>
      <c r="U162" s="70" t="s">
        <v>1219</v>
      </c>
      <c r="V162" s="70" t="s">
        <v>1219</v>
      </c>
      <c r="W162" s="70"/>
      <c r="X162" s="70" t="str">
        <f t="shared" si="24"/>
        <v>Belum Dinilai</v>
      </c>
      <c r="Y162" s="70" t="s">
        <v>1219</v>
      </c>
      <c r="Z162" s="74" t="str">
        <f t="shared" si="26"/>
        <v/>
      </c>
      <c r="AA162" s="74" t="str">
        <f t="shared" si="27"/>
        <v/>
      </c>
      <c r="AB162" s="74" t="str">
        <f t="shared" si="28"/>
        <v/>
      </c>
      <c r="AC162" s="71" t="s">
        <v>1219</v>
      </c>
      <c r="AD162" s="71" t="s">
        <v>1219</v>
      </c>
      <c r="AE162" s="71" t="s">
        <v>1219</v>
      </c>
      <c r="AF162" s="71" t="s">
        <v>1219</v>
      </c>
      <c r="AG162" s="71" t="s">
        <v>1219</v>
      </c>
      <c r="AH162" s="71" t="s">
        <v>1219</v>
      </c>
      <c r="AI162" s="71" t="s">
        <v>1219</v>
      </c>
      <c r="AJ162" s="71" t="s">
        <v>1219</v>
      </c>
      <c r="AK162" s="71" t="s">
        <v>1219</v>
      </c>
      <c r="AL162" s="71"/>
      <c r="AM162" s="71" t="s">
        <v>1219</v>
      </c>
      <c r="AN162" s="71" t="str">
        <f t="shared" si="25"/>
        <v>Belum Dinilai</v>
      </c>
      <c r="AO162" s="71" t="str">
        <f t="shared" si="29"/>
        <v>Belum Dinilai</v>
      </c>
      <c r="AP162" s="71"/>
      <c r="AQ162" s="75">
        <f t="shared" si="30"/>
        <v>29</v>
      </c>
      <c r="AR162" s="75" t="str">
        <f t="shared" si="31"/>
        <v/>
      </c>
      <c r="AS162" s="75" t="str">
        <f t="shared" si="32"/>
        <v/>
      </c>
      <c r="AT162" s="72" t="str">
        <f t="shared" si="33"/>
        <v>Belum Dapat Ditentukan</v>
      </c>
      <c r="AU162" s="69" t="s">
        <v>1193</v>
      </c>
      <c r="AV162" s="69" t="s">
        <v>1208</v>
      </c>
      <c r="AW162" s="69" t="s">
        <v>1194</v>
      </c>
      <c r="AX162" s="69"/>
      <c r="AY162" s="69"/>
      <c r="AZ162" s="69" t="s">
        <v>930</v>
      </c>
      <c r="BA162" s="69"/>
      <c r="BB162" s="76"/>
      <c r="BC162" s="77">
        <v>2026</v>
      </c>
      <c r="BD162" s="69" t="s">
        <v>1197</v>
      </c>
      <c r="BE162" s="76">
        <v>46218</v>
      </c>
      <c r="BF162" s="69" t="s">
        <v>1282</v>
      </c>
    </row>
    <row r="163" spans="1:58" ht="28">
      <c r="A163" s="69" t="s">
        <v>1893</v>
      </c>
      <c r="B163" s="69" t="s">
        <v>1894</v>
      </c>
      <c r="C163" s="69"/>
      <c r="D163" s="69"/>
      <c r="E163" s="69" t="s">
        <v>1895</v>
      </c>
      <c r="F163" s="69" t="s">
        <v>1470</v>
      </c>
      <c r="G163" s="69" t="s">
        <v>1317</v>
      </c>
      <c r="H163" s="69" t="s">
        <v>1185</v>
      </c>
      <c r="I163" s="69" t="s">
        <v>1294</v>
      </c>
      <c r="J163" s="69" t="s">
        <v>1214</v>
      </c>
      <c r="K163" s="69" t="s">
        <v>1281</v>
      </c>
      <c r="L163" s="69" t="s">
        <v>1219</v>
      </c>
      <c r="M163" s="69" t="s">
        <v>1270</v>
      </c>
      <c r="N163" s="69" t="s">
        <v>1219</v>
      </c>
      <c r="O163" s="69" t="s">
        <v>1281</v>
      </c>
      <c r="P163" s="69" t="s">
        <v>1219</v>
      </c>
      <c r="Q163" s="70" t="s">
        <v>1219</v>
      </c>
      <c r="R163" s="70" t="s">
        <v>1219</v>
      </c>
      <c r="S163" s="70" t="s">
        <v>1219</v>
      </c>
      <c r="T163" s="70" t="s">
        <v>1219</v>
      </c>
      <c r="U163" s="70" t="s">
        <v>1219</v>
      </c>
      <c r="V163" s="70" t="s">
        <v>1219</v>
      </c>
      <c r="W163" s="70"/>
      <c r="X163" s="70" t="str">
        <f t="shared" si="24"/>
        <v>Belum Dinilai</v>
      </c>
      <c r="Y163" s="70" t="s">
        <v>1219</v>
      </c>
      <c r="Z163" s="74" t="str">
        <f t="shared" si="26"/>
        <v/>
      </c>
      <c r="AA163" s="74" t="str">
        <f t="shared" si="27"/>
        <v/>
      </c>
      <c r="AB163" s="74" t="str">
        <f t="shared" si="28"/>
        <v/>
      </c>
      <c r="AC163" s="71" t="s">
        <v>1219</v>
      </c>
      <c r="AD163" s="71" t="s">
        <v>1219</v>
      </c>
      <c r="AE163" s="71" t="s">
        <v>1219</v>
      </c>
      <c r="AF163" s="71" t="s">
        <v>1219</v>
      </c>
      <c r="AG163" s="71" t="s">
        <v>1219</v>
      </c>
      <c r="AH163" s="71" t="s">
        <v>1219</v>
      </c>
      <c r="AI163" s="71" t="s">
        <v>1219</v>
      </c>
      <c r="AJ163" s="71" t="s">
        <v>1219</v>
      </c>
      <c r="AK163" s="71" t="s">
        <v>1219</v>
      </c>
      <c r="AL163" s="71"/>
      <c r="AM163" s="71" t="s">
        <v>1219</v>
      </c>
      <c r="AN163" s="71" t="str">
        <f t="shared" si="25"/>
        <v>Belum Dinilai</v>
      </c>
      <c r="AO163" s="71" t="str">
        <f t="shared" si="29"/>
        <v>Belum Dinilai</v>
      </c>
      <c r="AP163" s="71"/>
      <c r="AQ163" s="75" t="str">
        <f t="shared" si="30"/>
        <v/>
      </c>
      <c r="AR163" s="75" t="str">
        <f t="shared" si="31"/>
        <v/>
      </c>
      <c r="AS163" s="75" t="str">
        <f t="shared" si="32"/>
        <v/>
      </c>
      <c r="AT163" s="72" t="str">
        <f t="shared" si="33"/>
        <v>Belum Dapat Ditentukan</v>
      </c>
      <c r="AU163" s="69" t="s">
        <v>1193</v>
      </c>
      <c r="AV163" s="69" t="s">
        <v>1208</v>
      </c>
      <c r="AW163" s="69" t="s">
        <v>1271</v>
      </c>
      <c r="AX163" s="69" t="s">
        <v>1287</v>
      </c>
      <c r="AY163" s="69"/>
      <c r="AZ163" s="69" t="s">
        <v>930</v>
      </c>
      <c r="BA163" s="69"/>
      <c r="BB163" s="76"/>
      <c r="BC163" s="77">
        <v>2026</v>
      </c>
      <c r="BD163" s="69" t="s">
        <v>1197</v>
      </c>
      <c r="BE163" s="76">
        <v>46218</v>
      </c>
      <c r="BF163" s="69" t="s">
        <v>1282</v>
      </c>
    </row>
    <row r="164" spans="1:58" ht="56">
      <c r="A164" s="69" t="s">
        <v>1896</v>
      </c>
      <c r="B164" s="69" t="s">
        <v>1483</v>
      </c>
      <c r="C164" s="69"/>
      <c r="D164" s="69"/>
      <c r="E164" s="69" t="s">
        <v>1897</v>
      </c>
      <c r="F164" s="69" t="s">
        <v>1470</v>
      </c>
      <c r="G164" s="69" t="s">
        <v>1317</v>
      </c>
      <c r="H164" s="69" t="s">
        <v>1185</v>
      </c>
      <c r="I164" s="69" t="s">
        <v>1898</v>
      </c>
      <c r="J164" s="69" t="s">
        <v>1200</v>
      </c>
      <c r="K164" s="69" t="s">
        <v>1281</v>
      </c>
      <c r="L164" s="69" t="s">
        <v>894</v>
      </c>
      <c r="M164" s="69" t="s">
        <v>1312</v>
      </c>
      <c r="N164" s="69" t="s">
        <v>894</v>
      </c>
      <c r="O164" s="69" t="s">
        <v>1281</v>
      </c>
      <c r="P164" s="69" t="s">
        <v>894</v>
      </c>
      <c r="Q164" s="70" t="s">
        <v>1219</v>
      </c>
      <c r="R164" s="70" t="s">
        <v>1219</v>
      </c>
      <c r="S164" s="70" t="s">
        <v>1219</v>
      </c>
      <c r="T164" s="70" t="s">
        <v>1219</v>
      </c>
      <c r="U164" s="70" t="s">
        <v>1219</v>
      </c>
      <c r="V164" s="70" t="s">
        <v>1219</v>
      </c>
      <c r="W164" s="70"/>
      <c r="X164" s="70" t="str">
        <f t="shared" si="24"/>
        <v>Belum Dinilai</v>
      </c>
      <c r="Y164" s="70" t="s">
        <v>1219</v>
      </c>
      <c r="Z164" s="74" t="str">
        <f t="shared" si="26"/>
        <v/>
      </c>
      <c r="AA164" s="74" t="str">
        <f t="shared" si="27"/>
        <v/>
      </c>
      <c r="AB164" s="74" t="str">
        <f t="shared" si="28"/>
        <v/>
      </c>
      <c r="AC164" s="71" t="s">
        <v>1219</v>
      </c>
      <c r="AD164" s="71" t="s">
        <v>1219</v>
      </c>
      <c r="AE164" s="71" t="s">
        <v>1219</v>
      </c>
      <c r="AF164" s="71" t="s">
        <v>1219</v>
      </c>
      <c r="AG164" s="71" t="s">
        <v>1219</v>
      </c>
      <c r="AH164" s="71" t="s">
        <v>1219</v>
      </c>
      <c r="AI164" s="71" t="s">
        <v>1219</v>
      </c>
      <c r="AJ164" s="71" t="s">
        <v>1219</v>
      </c>
      <c r="AK164" s="71" t="s">
        <v>1219</v>
      </c>
      <c r="AL164" s="71"/>
      <c r="AM164" s="71" t="s">
        <v>1219</v>
      </c>
      <c r="AN164" s="71" t="str">
        <f t="shared" si="25"/>
        <v>Belum Dinilai</v>
      </c>
      <c r="AO164" s="71" t="str">
        <f t="shared" si="29"/>
        <v>Belum Dinilai</v>
      </c>
      <c r="AP164" s="71"/>
      <c r="AQ164" s="75">
        <f t="shared" si="30"/>
        <v>22</v>
      </c>
      <c r="AR164" s="75" t="str">
        <f t="shared" si="31"/>
        <v/>
      </c>
      <c r="AS164" s="75" t="str">
        <f t="shared" si="32"/>
        <v/>
      </c>
      <c r="AT164" s="72" t="str">
        <f t="shared" si="33"/>
        <v>Belum Dapat Ditentukan</v>
      </c>
      <c r="AU164" s="69" t="s">
        <v>1193</v>
      </c>
      <c r="AV164" s="69" t="s">
        <v>1208</v>
      </c>
      <c r="AW164" s="69" t="s">
        <v>1271</v>
      </c>
      <c r="AX164" s="69" t="s">
        <v>1210</v>
      </c>
      <c r="AY164" s="69">
        <v>2022</v>
      </c>
      <c r="AZ164" s="69" t="s">
        <v>930</v>
      </c>
      <c r="BA164" s="69"/>
      <c r="BB164" s="76"/>
      <c r="BC164" s="77">
        <v>2026</v>
      </c>
      <c r="BD164" s="69" t="s">
        <v>1197</v>
      </c>
      <c r="BE164" s="76">
        <v>46218</v>
      </c>
      <c r="BF164" s="69" t="s">
        <v>1282</v>
      </c>
    </row>
    <row r="165" spans="1:58" ht="28">
      <c r="A165" s="69" t="s">
        <v>1899</v>
      </c>
      <c r="B165" s="69" t="s">
        <v>1900</v>
      </c>
      <c r="C165" s="69"/>
      <c r="D165" s="69"/>
      <c r="E165" s="69" t="s">
        <v>1901</v>
      </c>
      <c r="F165" s="69" t="s">
        <v>1470</v>
      </c>
      <c r="G165" s="69" t="s">
        <v>1317</v>
      </c>
      <c r="H165" s="69" t="s">
        <v>1266</v>
      </c>
      <c r="I165" s="69" t="s">
        <v>1902</v>
      </c>
      <c r="J165" s="69" t="s">
        <v>1200</v>
      </c>
      <c r="K165" s="69" t="s">
        <v>1281</v>
      </c>
      <c r="L165" s="69" t="s">
        <v>1219</v>
      </c>
      <c r="M165" s="69" t="s">
        <v>1312</v>
      </c>
      <c r="N165" s="69" t="s">
        <v>1219</v>
      </c>
      <c r="O165" s="69" t="s">
        <v>1281</v>
      </c>
      <c r="P165" s="69" t="s">
        <v>1219</v>
      </c>
      <c r="Q165" s="70" t="s">
        <v>1219</v>
      </c>
      <c r="R165" s="70" t="s">
        <v>1219</v>
      </c>
      <c r="S165" s="70" t="s">
        <v>1219</v>
      </c>
      <c r="T165" s="70" t="s">
        <v>1219</v>
      </c>
      <c r="U165" s="70" t="s">
        <v>1219</v>
      </c>
      <c r="V165" s="70" t="s">
        <v>1219</v>
      </c>
      <c r="W165" s="70"/>
      <c r="X165" s="70" t="str">
        <f t="shared" si="24"/>
        <v>Belum Dinilai</v>
      </c>
      <c r="Y165" s="70" t="s">
        <v>1219</v>
      </c>
      <c r="Z165" s="74" t="str">
        <f t="shared" si="26"/>
        <v/>
      </c>
      <c r="AA165" s="74" t="str">
        <f t="shared" si="27"/>
        <v/>
      </c>
      <c r="AB165" s="74" t="str">
        <f t="shared" si="28"/>
        <v/>
      </c>
      <c r="AC165" s="71" t="s">
        <v>1219</v>
      </c>
      <c r="AD165" s="71" t="s">
        <v>1219</v>
      </c>
      <c r="AE165" s="71" t="s">
        <v>1219</v>
      </c>
      <c r="AF165" s="71" t="s">
        <v>1219</v>
      </c>
      <c r="AG165" s="71" t="s">
        <v>1219</v>
      </c>
      <c r="AH165" s="71" t="s">
        <v>1219</v>
      </c>
      <c r="AI165" s="71" t="s">
        <v>1219</v>
      </c>
      <c r="AJ165" s="71" t="s">
        <v>1219</v>
      </c>
      <c r="AK165" s="71" t="s">
        <v>1219</v>
      </c>
      <c r="AL165" s="71"/>
      <c r="AM165" s="71" t="s">
        <v>1219</v>
      </c>
      <c r="AN165" s="71" t="str">
        <f t="shared" si="25"/>
        <v>Belum Dinilai</v>
      </c>
      <c r="AO165" s="71" t="str">
        <f t="shared" si="29"/>
        <v>Belum Dinilai</v>
      </c>
      <c r="AP165" s="71"/>
      <c r="AQ165" s="75" t="str">
        <f t="shared" si="30"/>
        <v/>
      </c>
      <c r="AR165" s="75" t="str">
        <f t="shared" si="31"/>
        <v/>
      </c>
      <c r="AS165" s="75" t="str">
        <f t="shared" si="32"/>
        <v/>
      </c>
      <c r="AT165" s="72" t="str">
        <f t="shared" si="33"/>
        <v>Belum Dapat Ditentukan</v>
      </c>
      <c r="AU165" s="69" t="s">
        <v>1193</v>
      </c>
      <c r="AV165" s="69" t="s">
        <v>1208</v>
      </c>
      <c r="AW165" s="69" t="s">
        <v>1194</v>
      </c>
      <c r="AX165" s="69"/>
      <c r="AY165" s="69"/>
      <c r="AZ165" s="69" t="s">
        <v>930</v>
      </c>
      <c r="BA165" s="69"/>
      <c r="BB165" s="76"/>
      <c r="BC165" s="77">
        <v>2026</v>
      </c>
      <c r="BD165" s="69" t="s">
        <v>1197</v>
      </c>
      <c r="BE165" s="76">
        <v>46218</v>
      </c>
      <c r="BF165" s="69" t="s">
        <v>1282</v>
      </c>
    </row>
    <row r="166" spans="1:58" ht="28">
      <c r="A166" s="69" t="s">
        <v>1903</v>
      </c>
      <c r="B166" s="69" t="s">
        <v>1904</v>
      </c>
      <c r="C166" s="69"/>
      <c r="D166" s="69"/>
      <c r="E166" s="69" t="s">
        <v>1901</v>
      </c>
      <c r="F166" s="69" t="s">
        <v>1470</v>
      </c>
      <c r="G166" s="69" t="s">
        <v>1317</v>
      </c>
      <c r="H166" s="69" t="s">
        <v>1185</v>
      </c>
      <c r="I166" s="69" t="s">
        <v>1905</v>
      </c>
      <c r="J166" s="69" t="s">
        <v>1200</v>
      </c>
      <c r="K166" s="69" t="s">
        <v>1281</v>
      </c>
      <c r="L166" s="69" t="s">
        <v>1219</v>
      </c>
      <c r="M166" s="69" t="s">
        <v>1312</v>
      </c>
      <c r="N166" s="69" t="s">
        <v>1219</v>
      </c>
      <c r="O166" s="69" t="s">
        <v>1281</v>
      </c>
      <c r="P166" s="69" t="s">
        <v>1219</v>
      </c>
      <c r="Q166" s="70" t="s">
        <v>1219</v>
      </c>
      <c r="R166" s="70" t="s">
        <v>1219</v>
      </c>
      <c r="S166" s="70" t="s">
        <v>1219</v>
      </c>
      <c r="T166" s="70" t="s">
        <v>1219</v>
      </c>
      <c r="U166" s="70" t="s">
        <v>1219</v>
      </c>
      <c r="V166" s="70" t="s">
        <v>1219</v>
      </c>
      <c r="W166" s="70"/>
      <c r="X166" s="70" t="str">
        <f t="shared" si="24"/>
        <v>Belum Dinilai</v>
      </c>
      <c r="Y166" s="70" t="s">
        <v>1219</v>
      </c>
      <c r="Z166" s="74" t="str">
        <f t="shared" si="26"/>
        <v/>
      </c>
      <c r="AA166" s="74" t="str">
        <f t="shared" si="27"/>
        <v/>
      </c>
      <c r="AB166" s="74" t="str">
        <f t="shared" si="28"/>
        <v/>
      </c>
      <c r="AC166" s="71" t="s">
        <v>1219</v>
      </c>
      <c r="AD166" s="71" t="s">
        <v>1219</v>
      </c>
      <c r="AE166" s="71" t="s">
        <v>1219</v>
      </c>
      <c r="AF166" s="71" t="s">
        <v>1219</v>
      </c>
      <c r="AG166" s="71" t="s">
        <v>1219</v>
      </c>
      <c r="AH166" s="71" t="s">
        <v>1219</v>
      </c>
      <c r="AI166" s="71" t="s">
        <v>1219</v>
      </c>
      <c r="AJ166" s="71" t="s">
        <v>1219</v>
      </c>
      <c r="AK166" s="71" t="s">
        <v>1219</v>
      </c>
      <c r="AL166" s="71"/>
      <c r="AM166" s="71" t="s">
        <v>1219</v>
      </c>
      <c r="AN166" s="71" t="str">
        <f t="shared" si="25"/>
        <v>Belum Dinilai</v>
      </c>
      <c r="AO166" s="71" t="str">
        <f t="shared" si="29"/>
        <v>Belum Dinilai</v>
      </c>
      <c r="AP166" s="71"/>
      <c r="AQ166" s="75" t="str">
        <f t="shared" si="30"/>
        <v/>
      </c>
      <c r="AR166" s="75" t="str">
        <f t="shared" si="31"/>
        <v/>
      </c>
      <c r="AS166" s="75" t="str">
        <f t="shared" si="32"/>
        <v/>
      </c>
      <c r="AT166" s="72" t="str">
        <f t="shared" si="33"/>
        <v>Belum Dapat Ditentukan</v>
      </c>
      <c r="AU166" s="69" t="s">
        <v>1193</v>
      </c>
      <c r="AV166" s="69" t="s">
        <v>1208</v>
      </c>
      <c r="AW166" s="69" t="s">
        <v>1194</v>
      </c>
      <c r="AX166" s="69"/>
      <c r="AY166" s="69"/>
      <c r="AZ166" s="69" t="s">
        <v>930</v>
      </c>
      <c r="BA166" s="69"/>
      <c r="BB166" s="76"/>
      <c r="BC166" s="77">
        <v>2026</v>
      </c>
      <c r="BD166" s="69" t="s">
        <v>1197</v>
      </c>
      <c r="BE166" s="76">
        <v>46218</v>
      </c>
      <c r="BF166" s="69" t="s">
        <v>1282</v>
      </c>
    </row>
    <row r="167" spans="1:58" ht="28">
      <c r="A167" s="69" t="s">
        <v>1906</v>
      </c>
      <c r="B167" s="69" t="s">
        <v>1907</v>
      </c>
      <c r="C167" s="69"/>
      <c r="D167" s="69"/>
      <c r="E167" s="69" t="s">
        <v>1908</v>
      </c>
      <c r="F167" s="69" t="s">
        <v>1470</v>
      </c>
      <c r="G167" s="69" t="s">
        <v>1317</v>
      </c>
      <c r="H167" s="69" t="s">
        <v>1199</v>
      </c>
      <c r="I167" s="69" t="s">
        <v>1909</v>
      </c>
      <c r="J167" s="69" t="s">
        <v>1200</v>
      </c>
      <c r="K167" s="69" t="s">
        <v>1201</v>
      </c>
      <c r="L167" s="69" t="s">
        <v>1219</v>
      </c>
      <c r="M167" s="69" t="s">
        <v>1312</v>
      </c>
      <c r="N167" s="69" t="s">
        <v>1219</v>
      </c>
      <c r="O167" s="69" t="s">
        <v>1217</v>
      </c>
      <c r="P167" s="69" t="s">
        <v>1219</v>
      </c>
      <c r="Q167" s="70" t="s">
        <v>1219</v>
      </c>
      <c r="R167" s="70" t="s">
        <v>1219</v>
      </c>
      <c r="S167" s="70" t="s">
        <v>1219</v>
      </c>
      <c r="T167" s="70" t="s">
        <v>1219</v>
      </c>
      <c r="U167" s="70" t="s">
        <v>1219</v>
      </c>
      <c r="V167" s="70" t="s">
        <v>1219</v>
      </c>
      <c r="W167" s="70"/>
      <c r="X167" s="70" t="str">
        <f t="shared" si="24"/>
        <v>Belum Dinilai</v>
      </c>
      <c r="Y167" s="70" t="s">
        <v>1219</v>
      </c>
      <c r="Z167" s="74" t="str">
        <f t="shared" si="26"/>
        <v/>
      </c>
      <c r="AA167" s="74" t="str">
        <f t="shared" si="27"/>
        <v/>
      </c>
      <c r="AB167" s="74" t="str">
        <f t="shared" si="28"/>
        <v/>
      </c>
      <c r="AC167" s="71" t="s">
        <v>1219</v>
      </c>
      <c r="AD167" s="71" t="s">
        <v>1219</v>
      </c>
      <c r="AE167" s="71" t="s">
        <v>1219</v>
      </c>
      <c r="AF167" s="71" t="s">
        <v>1219</v>
      </c>
      <c r="AG167" s="71" t="s">
        <v>1219</v>
      </c>
      <c r="AH167" s="71" t="s">
        <v>1219</v>
      </c>
      <c r="AI167" s="71" t="s">
        <v>1219</v>
      </c>
      <c r="AJ167" s="71" t="s">
        <v>1219</v>
      </c>
      <c r="AK167" s="71" t="s">
        <v>1219</v>
      </c>
      <c r="AL167" s="71"/>
      <c r="AM167" s="71" t="s">
        <v>1219</v>
      </c>
      <c r="AN167" s="71" t="str">
        <f t="shared" si="25"/>
        <v>Belum Dinilai</v>
      </c>
      <c r="AO167" s="71" t="str">
        <f t="shared" si="29"/>
        <v>Belum Dinilai</v>
      </c>
      <c r="AP167" s="71"/>
      <c r="AQ167" s="75" t="str">
        <f t="shared" si="30"/>
        <v/>
      </c>
      <c r="AR167" s="75" t="str">
        <f t="shared" si="31"/>
        <v/>
      </c>
      <c r="AS167" s="75" t="str">
        <f t="shared" si="32"/>
        <v/>
      </c>
      <c r="AT167" s="72" t="str">
        <f t="shared" si="33"/>
        <v>Belum Dapat Ditentukan</v>
      </c>
      <c r="AU167" s="69" t="s">
        <v>1193</v>
      </c>
      <c r="AV167" s="69" t="s">
        <v>1208</v>
      </c>
      <c r="AW167" s="69" t="s">
        <v>1271</v>
      </c>
      <c r="AX167" s="69" t="s">
        <v>1210</v>
      </c>
      <c r="AY167" s="69">
        <v>2022</v>
      </c>
      <c r="AZ167" s="69" t="s">
        <v>930</v>
      </c>
      <c r="BA167" s="69"/>
      <c r="BB167" s="76"/>
      <c r="BC167" s="77">
        <v>2026</v>
      </c>
      <c r="BD167" s="69" t="s">
        <v>1197</v>
      </c>
      <c r="BE167" s="76">
        <v>46218</v>
      </c>
      <c r="BF167" s="69" t="s">
        <v>1282</v>
      </c>
    </row>
    <row r="168" spans="1:58" ht="28">
      <c r="A168" s="69" t="s">
        <v>1910</v>
      </c>
      <c r="B168" s="69" t="s">
        <v>1911</v>
      </c>
      <c r="C168" s="69"/>
      <c r="D168" s="69"/>
      <c r="E168" s="69" t="s">
        <v>1912</v>
      </c>
      <c r="F168" s="69" t="s">
        <v>1470</v>
      </c>
      <c r="G168" s="69" t="s">
        <v>1317</v>
      </c>
      <c r="H168" s="69" t="s">
        <v>1199</v>
      </c>
      <c r="I168" s="69" t="s">
        <v>1909</v>
      </c>
      <c r="J168" s="69" t="s">
        <v>1200</v>
      </c>
      <c r="K168" s="69" t="s">
        <v>1201</v>
      </c>
      <c r="L168" s="69" t="s">
        <v>1219</v>
      </c>
      <c r="M168" s="69" t="s">
        <v>1312</v>
      </c>
      <c r="N168" s="69" t="s">
        <v>1219</v>
      </c>
      <c r="O168" s="69" t="s">
        <v>1217</v>
      </c>
      <c r="P168" s="69" t="s">
        <v>1219</v>
      </c>
      <c r="Q168" s="70" t="s">
        <v>1219</v>
      </c>
      <c r="R168" s="70" t="s">
        <v>1219</v>
      </c>
      <c r="S168" s="70" t="s">
        <v>1219</v>
      </c>
      <c r="T168" s="70" t="s">
        <v>1219</v>
      </c>
      <c r="U168" s="70" t="s">
        <v>1219</v>
      </c>
      <c r="V168" s="70" t="s">
        <v>1219</v>
      </c>
      <c r="W168" s="70"/>
      <c r="X168" s="70" t="str">
        <f t="shared" si="24"/>
        <v>Belum Dinilai</v>
      </c>
      <c r="Y168" s="70" t="s">
        <v>1219</v>
      </c>
      <c r="Z168" s="74" t="str">
        <f t="shared" si="26"/>
        <v/>
      </c>
      <c r="AA168" s="74" t="str">
        <f t="shared" si="27"/>
        <v/>
      </c>
      <c r="AB168" s="74" t="str">
        <f t="shared" si="28"/>
        <v/>
      </c>
      <c r="AC168" s="71" t="s">
        <v>1219</v>
      </c>
      <c r="AD168" s="71" t="s">
        <v>1219</v>
      </c>
      <c r="AE168" s="71" t="s">
        <v>1219</v>
      </c>
      <c r="AF168" s="71" t="s">
        <v>1219</v>
      </c>
      <c r="AG168" s="71" t="s">
        <v>1219</v>
      </c>
      <c r="AH168" s="71" t="s">
        <v>1219</v>
      </c>
      <c r="AI168" s="71" t="s">
        <v>1219</v>
      </c>
      <c r="AJ168" s="71" t="s">
        <v>1219</v>
      </c>
      <c r="AK168" s="71" t="s">
        <v>1219</v>
      </c>
      <c r="AL168" s="71"/>
      <c r="AM168" s="71" t="s">
        <v>1219</v>
      </c>
      <c r="AN168" s="71" t="str">
        <f t="shared" si="25"/>
        <v>Belum Dinilai</v>
      </c>
      <c r="AO168" s="71" t="str">
        <f t="shared" si="29"/>
        <v>Belum Dinilai</v>
      </c>
      <c r="AP168" s="71"/>
      <c r="AQ168" s="75" t="str">
        <f t="shared" si="30"/>
        <v/>
      </c>
      <c r="AR168" s="75" t="str">
        <f t="shared" si="31"/>
        <v/>
      </c>
      <c r="AS168" s="75" t="str">
        <f t="shared" si="32"/>
        <v/>
      </c>
      <c r="AT168" s="72" t="str">
        <f t="shared" si="33"/>
        <v>Belum Dapat Ditentukan</v>
      </c>
      <c r="AU168" s="69" t="s">
        <v>1193</v>
      </c>
      <c r="AV168" s="69" t="s">
        <v>1208</v>
      </c>
      <c r="AW168" s="69" t="s">
        <v>1271</v>
      </c>
      <c r="AX168" s="69" t="s">
        <v>1210</v>
      </c>
      <c r="AY168" s="69">
        <v>2022</v>
      </c>
      <c r="AZ168" s="69" t="s">
        <v>930</v>
      </c>
      <c r="BA168" s="69"/>
      <c r="BB168" s="76"/>
      <c r="BC168" s="77">
        <v>2026</v>
      </c>
      <c r="BD168" s="69" t="s">
        <v>1197</v>
      </c>
      <c r="BE168" s="76">
        <v>46218</v>
      </c>
      <c r="BF168" s="69" t="s">
        <v>1282</v>
      </c>
    </row>
    <row r="169" spans="1:58" ht="42">
      <c r="A169" s="69" t="s">
        <v>1913</v>
      </c>
      <c r="B169" s="69" t="s">
        <v>1914</v>
      </c>
      <c r="C169" s="69"/>
      <c r="D169" s="69"/>
      <c r="E169" s="69" t="s">
        <v>1915</v>
      </c>
      <c r="F169" s="69" t="s">
        <v>1470</v>
      </c>
      <c r="G169" s="69" t="s">
        <v>1317</v>
      </c>
      <c r="H169" s="69" t="s">
        <v>1266</v>
      </c>
      <c r="I169" s="69" t="s">
        <v>1916</v>
      </c>
      <c r="J169" s="69" t="s">
        <v>1214</v>
      </c>
      <c r="K169" s="69" t="s">
        <v>1201</v>
      </c>
      <c r="L169" s="69" t="s">
        <v>1219</v>
      </c>
      <c r="M169" s="69" t="s">
        <v>1270</v>
      </c>
      <c r="N169" s="69" t="s">
        <v>1219</v>
      </c>
      <c r="O169" s="69" t="s">
        <v>1217</v>
      </c>
      <c r="P169" s="69" t="s">
        <v>1219</v>
      </c>
      <c r="Q169" s="70" t="s">
        <v>1219</v>
      </c>
      <c r="R169" s="70" t="s">
        <v>1219</v>
      </c>
      <c r="S169" s="70" t="s">
        <v>1219</v>
      </c>
      <c r="T169" s="70" t="s">
        <v>1219</v>
      </c>
      <c r="U169" s="70" t="s">
        <v>1219</v>
      </c>
      <c r="V169" s="70" t="s">
        <v>1219</v>
      </c>
      <c r="W169" s="70"/>
      <c r="X169" s="70" t="str">
        <f t="shared" si="24"/>
        <v>Belum Dinilai</v>
      </c>
      <c r="Y169" s="70" t="s">
        <v>1219</v>
      </c>
      <c r="Z169" s="74" t="str">
        <f t="shared" si="26"/>
        <v/>
      </c>
      <c r="AA169" s="74" t="str">
        <f t="shared" si="27"/>
        <v/>
      </c>
      <c r="AB169" s="74" t="str">
        <f t="shared" si="28"/>
        <v/>
      </c>
      <c r="AC169" s="71" t="s">
        <v>1219</v>
      </c>
      <c r="AD169" s="71" t="s">
        <v>1219</v>
      </c>
      <c r="AE169" s="71" t="s">
        <v>1219</v>
      </c>
      <c r="AF169" s="71" t="s">
        <v>1219</v>
      </c>
      <c r="AG169" s="71" t="s">
        <v>1219</v>
      </c>
      <c r="AH169" s="71" t="s">
        <v>1219</v>
      </c>
      <c r="AI169" s="71" t="s">
        <v>1219</v>
      </c>
      <c r="AJ169" s="71" t="s">
        <v>1219</v>
      </c>
      <c r="AK169" s="71" t="s">
        <v>1219</v>
      </c>
      <c r="AL169" s="71"/>
      <c r="AM169" s="71" t="s">
        <v>1219</v>
      </c>
      <c r="AN169" s="71" t="str">
        <f t="shared" si="25"/>
        <v>Belum Dinilai</v>
      </c>
      <c r="AO169" s="71" t="str">
        <f t="shared" si="29"/>
        <v>Belum Dinilai</v>
      </c>
      <c r="AP169" s="71"/>
      <c r="AQ169" s="75" t="str">
        <f t="shared" si="30"/>
        <v/>
      </c>
      <c r="AR169" s="75" t="str">
        <f t="shared" si="31"/>
        <v/>
      </c>
      <c r="AS169" s="75" t="str">
        <f t="shared" si="32"/>
        <v/>
      </c>
      <c r="AT169" s="72" t="str">
        <f t="shared" si="33"/>
        <v>Belum Dapat Ditentukan</v>
      </c>
      <c r="AU169" s="69" t="s">
        <v>1193</v>
      </c>
      <c r="AV169" s="69" t="s">
        <v>1208</v>
      </c>
      <c r="AW169" s="69" t="s">
        <v>1194</v>
      </c>
      <c r="AX169" s="69"/>
      <c r="AY169" s="69"/>
      <c r="AZ169" s="69" t="s">
        <v>930</v>
      </c>
      <c r="BA169" s="69"/>
      <c r="BB169" s="76"/>
      <c r="BC169" s="77">
        <v>2026</v>
      </c>
      <c r="BD169" s="69" t="s">
        <v>1197</v>
      </c>
      <c r="BE169" s="76">
        <v>46218</v>
      </c>
      <c r="BF169" s="69" t="s">
        <v>1282</v>
      </c>
    </row>
    <row r="170" spans="1:58" ht="28">
      <c r="A170" s="69" t="s">
        <v>1917</v>
      </c>
      <c r="B170" s="69" t="s">
        <v>1918</v>
      </c>
      <c r="C170" s="69"/>
      <c r="D170" s="69"/>
      <c r="E170" s="69" t="s">
        <v>1919</v>
      </c>
      <c r="F170" s="69" t="s">
        <v>1470</v>
      </c>
      <c r="G170" s="69" t="s">
        <v>1317</v>
      </c>
      <c r="H170" s="69" t="s">
        <v>1185</v>
      </c>
      <c r="I170" s="69" t="s">
        <v>1920</v>
      </c>
      <c r="J170" s="69" t="s">
        <v>1214</v>
      </c>
      <c r="K170" s="69" t="s">
        <v>1201</v>
      </c>
      <c r="L170" s="69" t="s">
        <v>1219</v>
      </c>
      <c r="M170" s="69" t="s">
        <v>1270</v>
      </c>
      <c r="N170" s="69" t="s">
        <v>1219</v>
      </c>
      <c r="O170" s="69" t="s">
        <v>1217</v>
      </c>
      <c r="P170" s="69" t="s">
        <v>1219</v>
      </c>
      <c r="Q170" s="70" t="s">
        <v>1219</v>
      </c>
      <c r="R170" s="70" t="s">
        <v>1219</v>
      </c>
      <c r="S170" s="70" t="s">
        <v>1219</v>
      </c>
      <c r="T170" s="70" t="s">
        <v>1219</v>
      </c>
      <c r="U170" s="70" t="s">
        <v>1219</v>
      </c>
      <c r="V170" s="70" t="s">
        <v>1219</v>
      </c>
      <c r="W170" s="70"/>
      <c r="X170" s="70" t="str">
        <f t="shared" si="24"/>
        <v>Belum Dinilai</v>
      </c>
      <c r="Y170" s="70" t="s">
        <v>1219</v>
      </c>
      <c r="Z170" s="74" t="str">
        <f t="shared" si="26"/>
        <v/>
      </c>
      <c r="AA170" s="74" t="str">
        <f t="shared" si="27"/>
        <v/>
      </c>
      <c r="AB170" s="74" t="str">
        <f t="shared" si="28"/>
        <v/>
      </c>
      <c r="AC170" s="71" t="s">
        <v>1219</v>
      </c>
      <c r="AD170" s="71" t="s">
        <v>1219</v>
      </c>
      <c r="AE170" s="71" t="s">
        <v>1219</v>
      </c>
      <c r="AF170" s="71" t="s">
        <v>1219</v>
      </c>
      <c r="AG170" s="71" t="s">
        <v>1219</v>
      </c>
      <c r="AH170" s="71" t="s">
        <v>1219</v>
      </c>
      <c r="AI170" s="71" t="s">
        <v>1219</v>
      </c>
      <c r="AJ170" s="71" t="s">
        <v>1219</v>
      </c>
      <c r="AK170" s="71" t="s">
        <v>1219</v>
      </c>
      <c r="AL170" s="71"/>
      <c r="AM170" s="71" t="s">
        <v>1219</v>
      </c>
      <c r="AN170" s="71" t="str">
        <f t="shared" si="25"/>
        <v>Belum Dinilai</v>
      </c>
      <c r="AO170" s="71" t="str">
        <f t="shared" si="29"/>
        <v>Belum Dinilai</v>
      </c>
      <c r="AP170" s="71"/>
      <c r="AQ170" s="75" t="str">
        <f t="shared" si="30"/>
        <v/>
      </c>
      <c r="AR170" s="75" t="str">
        <f t="shared" si="31"/>
        <v/>
      </c>
      <c r="AS170" s="75" t="str">
        <f t="shared" si="32"/>
        <v/>
      </c>
      <c r="AT170" s="72" t="str">
        <f t="shared" si="33"/>
        <v>Belum Dapat Ditentukan</v>
      </c>
      <c r="AU170" s="69" t="s">
        <v>1193</v>
      </c>
      <c r="AV170" s="69" t="s">
        <v>1208</v>
      </c>
      <c r="AW170" s="69" t="s">
        <v>1194</v>
      </c>
      <c r="AX170" s="69"/>
      <c r="AY170" s="69"/>
      <c r="AZ170" s="69" t="s">
        <v>1211</v>
      </c>
      <c r="BA170" s="69"/>
      <c r="BB170" s="76"/>
      <c r="BC170" s="77">
        <v>2026</v>
      </c>
      <c r="BD170" s="69" t="s">
        <v>1197</v>
      </c>
      <c r="BE170" s="76">
        <v>46218</v>
      </c>
      <c r="BF170" s="69" t="s">
        <v>1282</v>
      </c>
    </row>
    <row r="171" spans="1:58" ht="42">
      <c r="A171" s="69" t="s">
        <v>1921</v>
      </c>
      <c r="B171" s="69" t="s">
        <v>1922</v>
      </c>
      <c r="C171" s="69"/>
      <c r="D171" s="69"/>
      <c r="E171" s="69" t="s">
        <v>1923</v>
      </c>
      <c r="F171" s="69" t="s">
        <v>1278</v>
      </c>
      <c r="G171" s="69" t="s">
        <v>1279</v>
      </c>
      <c r="H171" s="69" t="s">
        <v>1185</v>
      </c>
      <c r="I171" s="69" t="s">
        <v>1924</v>
      </c>
      <c r="J171" s="69" t="s">
        <v>1200</v>
      </c>
      <c r="K171" s="69" t="s">
        <v>1281</v>
      </c>
      <c r="L171" s="69" t="s">
        <v>1219</v>
      </c>
      <c r="M171" s="69" t="s">
        <v>1270</v>
      </c>
      <c r="N171" s="69" t="s">
        <v>1219</v>
      </c>
      <c r="O171" s="69" t="s">
        <v>1281</v>
      </c>
      <c r="P171" s="69" t="s">
        <v>1219</v>
      </c>
      <c r="Q171" s="70" t="s">
        <v>1219</v>
      </c>
      <c r="R171" s="70" t="s">
        <v>1219</v>
      </c>
      <c r="S171" s="70" t="s">
        <v>1219</v>
      </c>
      <c r="T171" s="70" t="s">
        <v>1219</v>
      </c>
      <c r="U171" s="70" t="s">
        <v>1219</v>
      </c>
      <c r="V171" s="70" t="s">
        <v>1219</v>
      </c>
      <c r="W171" s="70"/>
      <c r="X171" s="70" t="str">
        <f t="shared" si="24"/>
        <v>Belum Dinilai</v>
      </c>
      <c r="Y171" s="70" t="s">
        <v>1219</v>
      </c>
      <c r="Z171" s="74" t="str">
        <f t="shared" si="26"/>
        <v/>
      </c>
      <c r="AA171" s="74" t="str">
        <f t="shared" si="27"/>
        <v/>
      </c>
      <c r="AB171" s="74" t="str">
        <f t="shared" si="28"/>
        <v/>
      </c>
      <c r="AC171" s="71" t="s">
        <v>1219</v>
      </c>
      <c r="AD171" s="71" t="s">
        <v>1219</v>
      </c>
      <c r="AE171" s="71" t="s">
        <v>1219</v>
      </c>
      <c r="AF171" s="71" t="s">
        <v>1219</v>
      </c>
      <c r="AG171" s="71" t="s">
        <v>1219</v>
      </c>
      <c r="AH171" s="71" t="s">
        <v>1219</v>
      </c>
      <c r="AI171" s="71" t="s">
        <v>1219</v>
      </c>
      <c r="AJ171" s="71" t="s">
        <v>1219</v>
      </c>
      <c r="AK171" s="71" t="s">
        <v>1219</v>
      </c>
      <c r="AL171" s="71"/>
      <c r="AM171" s="71" t="s">
        <v>1219</v>
      </c>
      <c r="AN171" s="71" t="str">
        <f t="shared" si="25"/>
        <v>Belum Dinilai</v>
      </c>
      <c r="AO171" s="71" t="str">
        <f t="shared" si="29"/>
        <v>Belum Dinilai</v>
      </c>
      <c r="AP171" s="71"/>
      <c r="AQ171" s="75" t="str">
        <f t="shared" si="30"/>
        <v/>
      </c>
      <c r="AR171" s="75" t="str">
        <f t="shared" si="31"/>
        <v/>
      </c>
      <c r="AS171" s="75" t="str">
        <f t="shared" si="32"/>
        <v/>
      </c>
      <c r="AT171" s="72" t="str">
        <f t="shared" si="33"/>
        <v>Belum Dapat Ditentukan</v>
      </c>
      <c r="AU171" s="69" t="s">
        <v>1193</v>
      </c>
      <c r="AV171" s="69" t="s">
        <v>1208</v>
      </c>
      <c r="AW171" s="69" t="s">
        <v>1194</v>
      </c>
      <c r="AX171" s="69"/>
      <c r="AY171" s="69"/>
      <c r="AZ171" s="69" t="s">
        <v>1211</v>
      </c>
      <c r="BA171" s="69"/>
      <c r="BB171" s="76"/>
      <c r="BC171" s="77">
        <v>2026</v>
      </c>
      <c r="BD171" s="69" t="s">
        <v>1197</v>
      </c>
      <c r="BE171" s="76">
        <v>46218</v>
      </c>
      <c r="BF171" s="69" t="s">
        <v>1282</v>
      </c>
    </row>
    <row r="172" spans="1:58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70"/>
      <c r="R172" s="70"/>
      <c r="S172" s="70"/>
      <c r="T172" s="70"/>
      <c r="U172" s="70"/>
      <c r="V172" s="70"/>
      <c r="W172" s="70"/>
      <c r="X172" s="70"/>
      <c r="Y172" s="70"/>
      <c r="Z172" s="74"/>
      <c r="AA172" s="74"/>
      <c r="AB172" s="74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5"/>
      <c r="AR172" s="75"/>
      <c r="AS172" s="75"/>
      <c r="AT172" s="72"/>
      <c r="AU172" s="69"/>
      <c r="AV172" s="69"/>
      <c r="AW172" s="69"/>
      <c r="AX172" s="69"/>
      <c r="AY172" s="69"/>
      <c r="AZ172" s="69"/>
      <c r="BA172" s="69"/>
      <c r="BB172" s="76"/>
      <c r="BC172" s="77"/>
      <c r="BD172" s="69"/>
      <c r="BE172" s="76"/>
      <c r="BF172" s="69"/>
    </row>
    <row r="173" spans="1:58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70"/>
      <c r="R173" s="70"/>
      <c r="S173" s="70"/>
      <c r="T173" s="70"/>
      <c r="U173" s="70"/>
      <c r="V173" s="70"/>
      <c r="W173" s="70"/>
      <c r="X173" s="70"/>
      <c r="Y173" s="70"/>
      <c r="Z173" s="74"/>
      <c r="AA173" s="74"/>
      <c r="AB173" s="74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5"/>
      <c r="AR173" s="75"/>
      <c r="AS173" s="75"/>
      <c r="AT173" s="72"/>
      <c r="AU173" s="69"/>
      <c r="AV173" s="69"/>
      <c r="AW173" s="69"/>
      <c r="AX173" s="69"/>
      <c r="AY173" s="69"/>
      <c r="AZ173" s="69"/>
      <c r="BA173" s="69"/>
      <c r="BB173" s="76"/>
      <c r="BC173" s="77"/>
      <c r="BD173" s="69"/>
      <c r="BE173" s="76"/>
      <c r="BF173" s="69"/>
    </row>
    <row r="174" spans="1:58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70"/>
      <c r="R174" s="70"/>
      <c r="S174" s="70"/>
      <c r="T174" s="70"/>
      <c r="U174" s="70"/>
      <c r="V174" s="70"/>
      <c r="W174" s="70"/>
      <c r="X174" s="70"/>
      <c r="Y174" s="70"/>
      <c r="Z174" s="74"/>
      <c r="AA174" s="74"/>
      <c r="AB174" s="74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5"/>
      <c r="AR174" s="75"/>
      <c r="AS174" s="75"/>
      <c r="AT174" s="72"/>
      <c r="AU174" s="69"/>
      <c r="AV174" s="69"/>
      <c r="AW174" s="69"/>
      <c r="AX174" s="69"/>
      <c r="AY174" s="69"/>
      <c r="AZ174" s="69"/>
      <c r="BA174" s="69"/>
      <c r="BB174" s="76"/>
      <c r="BC174" s="77"/>
      <c r="BD174" s="69"/>
      <c r="BE174" s="76"/>
      <c r="BF174" s="69"/>
    </row>
    <row r="175" spans="1:58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70"/>
      <c r="R175" s="70"/>
      <c r="S175" s="70"/>
      <c r="T175" s="70"/>
      <c r="U175" s="70"/>
      <c r="V175" s="70"/>
      <c r="W175" s="70"/>
      <c r="X175" s="70"/>
      <c r="Y175" s="70"/>
      <c r="Z175" s="74"/>
      <c r="AA175" s="74"/>
      <c r="AB175" s="74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5"/>
      <c r="AR175" s="75"/>
      <c r="AS175" s="75"/>
      <c r="AT175" s="72"/>
      <c r="AU175" s="69"/>
      <c r="AV175" s="69"/>
      <c r="AW175" s="69"/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/>
      <c r="Y176" s="70"/>
      <c r="Z176" s="74"/>
      <c r="AA176" s="74"/>
      <c r="AB176" s="74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5"/>
      <c r="AR176" s="75"/>
      <c r="AS176" s="75"/>
      <c r="AT176" s="72"/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/>
      <c r="Y177" s="70"/>
      <c r="Z177" s="74"/>
      <c r="AA177" s="74"/>
      <c r="AB177" s="74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5"/>
      <c r="AR177" s="75"/>
      <c r="AS177" s="75"/>
      <c r="AT177" s="72"/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/>
      <c r="Y178" s="70"/>
      <c r="Z178" s="74"/>
      <c r="AA178" s="74"/>
      <c r="AB178" s="74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5"/>
      <c r="AR178" s="75"/>
      <c r="AS178" s="75"/>
      <c r="AT178" s="72"/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/>
      <c r="Y179" s="70"/>
      <c r="Z179" s="74"/>
      <c r="AA179" s="74"/>
      <c r="AB179" s="74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5"/>
      <c r="AR179" s="75"/>
      <c r="AS179" s="75"/>
      <c r="AT179" s="72"/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/>
      <c r="Y180" s="70"/>
      <c r="Z180" s="74"/>
      <c r="AA180" s="74"/>
      <c r="AB180" s="74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5"/>
      <c r="AR180" s="75"/>
      <c r="AS180" s="75"/>
      <c r="AT180" s="72"/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/>
      <c r="Y181" s="70"/>
      <c r="Z181" s="74"/>
      <c r="AA181" s="74"/>
      <c r="AB181" s="74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5"/>
      <c r="AR181" s="75"/>
      <c r="AS181" s="75"/>
      <c r="AT181" s="72"/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/>
      <c r="Y182" s="70"/>
      <c r="Z182" s="74"/>
      <c r="AA182" s="74"/>
      <c r="AB182" s="74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5"/>
      <c r="AR182" s="75"/>
      <c r="AS182" s="75"/>
      <c r="AT182" s="72"/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/>
      <c r="Y183" s="70"/>
      <c r="Z183" s="74"/>
      <c r="AA183" s="74"/>
      <c r="AB183" s="74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5"/>
      <c r="AR183" s="75"/>
      <c r="AS183" s="75"/>
      <c r="AT183" s="72"/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/>
      <c r="Y184" s="70"/>
      <c r="Z184" s="74"/>
      <c r="AA184" s="74"/>
      <c r="AB184" s="74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5"/>
      <c r="AR184" s="75"/>
      <c r="AS184" s="75"/>
      <c r="AT184" s="72"/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/>
      <c r="Y185" s="70"/>
      <c r="Z185" s="74"/>
      <c r="AA185" s="74"/>
      <c r="AB185" s="74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5"/>
      <c r="AR185" s="75"/>
      <c r="AS185" s="75"/>
      <c r="AT185" s="72"/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/>
      <c r="Y186" s="70"/>
      <c r="Z186" s="74"/>
      <c r="AA186" s="74"/>
      <c r="AB186" s="74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5"/>
      <c r="AR186" s="75"/>
      <c r="AS186" s="75"/>
      <c r="AT186" s="72"/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/>
      <c r="Y187" s="70"/>
      <c r="Z187" s="74"/>
      <c r="AA187" s="74"/>
      <c r="AB187" s="74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5"/>
      <c r="AR187" s="75"/>
      <c r="AS187" s="75"/>
      <c r="AT187" s="72"/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/>
      <c r="Y188" s="70"/>
      <c r="Z188" s="74"/>
      <c r="AA188" s="74"/>
      <c r="AB188" s="74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5"/>
      <c r="AR188" s="75"/>
      <c r="AS188" s="75"/>
      <c r="AT188" s="72"/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/>
      <c r="Y189" s="70"/>
      <c r="Z189" s="74"/>
      <c r="AA189" s="74"/>
      <c r="AB189" s="74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5"/>
      <c r="AR189" s="75"/>
      <c r="AS189" s="75"/>
      <c r="AT189" s="72"/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/>
      <c r="Y190" s="70"/>
      <c r="Z190" s="74"/>
      <c r="AA190" s="74"/>
      <c r="AB190" s="74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5"/>
      <c r="AR190" s="75"/>
      <c r="AS190" s="75"/>
      <c r="AT190" s="72"/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/>
      <c r="Y191" s="70"/>
      <c r="Z191" s="74"/>
      <c r="AA191" s="74"/>
      <c r="AB191" s="74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5"/>
      <c r="AR191" s="75"/>
      <c r="AS191" s="75"/>
      <c r="AT191" s="72"/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/>
      <c r="Y192" s="70"/>
      <c r="Z192" s="74"/>
      <c r="AA192" s="74"/>
      <c r="AB192" s="74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5"/>
      <c r="AR192" s="75"/>
      <c r="AS192" s="75"/>
      <c r="AT192" s="72"/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/>
      <c r="Y193" s="70"/>
      <c r="Z193" s="74"/>
      <c r="AA193" s="74"/>
      <c r="AB193" s="74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5"/>
      <c r="AR193" s="75"/>
      <c r="AS193" s="75"/>
      <c r="AT193" s="72"/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/>
      <c r="Y194" s="70"/>
      <c r="Z194" s="74"/>
      <c r="AA194" s="74"/>
      <c r="AB194" s="74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5"/>
      <c r="AR194" s="75"/>
      <c r="AS194" s="75"/>
      <c r="AT194" s="72"/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/>
      <c r="Y195" s="70"/>
      <c r="Z195" s="74"/>
      <c r="AA195" s="74"/>
      <c r="AB195" s="74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5"/>
      <c r="AR195" s="75"/>
      <c r="AS195" s="75"/>
      <c r="AT195" s="72"/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/>
      <c r="Y196" s="70"/>
      <c r="Z196" s="74"/>
      <c r="AA196" s="74"/>
      <c r="AB196" s="74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5"/>
      <c r="AR196" s="75"/>
      <c r="AS196" s="75"/>
      <c r="AT196" s="72"/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/>
      <c r="Y197" s="70"/>
      <c r="Z197" s="74"/>
      <c r="AA197" s="74"/>
      <c r="AB197" s="74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5"/>
      <c r="AR197" s="75"/>
      <c r="AS197" s="75"/>
      <c r="AT197" s="72"/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/>
      <c r="Y198" s="70"/>
      <c r="Z198" s="74"/>
      <c r="AA198" s="74"/>
      <c r="AB198" s="74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5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5"/>
      <c r="AS198" s="75"/>
      <c r="AT198" s="72"/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/>
      <c r="Y199" s="70"/>
      <c r="Z199" s="74"/>
      <c r="AA199" s="74"/>
      <c r="AB199" s="74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5"/>
      <c r="AR199" s="75"/>
      <c r="AS199" s="75"/>
      <c r="AT199" s="72"/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/>
      <c r="Y200" s="70"/>
      <c r="Z200" s="74"/>
      <c r="AA200" s="74"/>
      <c r="AB200" s="74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5"/>
      <c r="AR200" s="75"/>
      <c r="AS200" s="75"/>
      <c r="AT200" s="72"/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/>
      <c r="Y201" s="70"/>
      <c r="Z201" s="74"/>
      <c r="AA201" s="74"/>
      <c r="AB201" s="74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5"/>
      <c r="AR201" s="75"/>
      <c r="AS201" s="75"/>
      <c r="AT201" s="72"/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/>
      <c r="Y202" s="70"/>
      <c r="Z202" s="74"/>
      <c r="AA202" s="74"/>
      <c r="AB202" s="74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5"/>
      <c r="AR202" s="75"/>
      <c r="AS202" s="75"/>
      <c r="AT202" s="72"/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/>
      <c r="Y203" s="70"/>
      <c r="Z203" s="74"/>
      <c r="AA203" s="74"/>
      <c r="AB203" s="74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5"/>
      <c r="AR203" s="75"/>
      <c r="AS203" s="75"/>
      <c r="AT203" s="72"/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/>
      <c r="Y204" s="70"/>
      <c r="Z204" s="74"/>
      <c r="AA204" s="74"/>
      <c r="AB204" s="74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5"/>
      <c r="AR204" s="75"/>
      <c r="AS204" s="75"/>
      <c r="AT204" s="72"/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/>
      <c r="Y205" s="70"/>
      <c r="Z205" s="74"/>
      <c r="AA205" s="74"/>
      <c r="AB205" s="74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5"/>
      <c r="AR205" s="75"/>
      <c r="AS205" s="75"/>
      <c r="AT205" s="72"/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/>
      <c r="Y206" s="70"/>
      <c r="Z206" s="74"/>
      <c r="AA206" s="74"/>
      <c r="AB206" s="74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5"/>
      <c r="AR206" s="75"/>
      <c r="AS206" s="75"/>
      <c r="AT206" s="72"/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/>
      <c r="Y207" s="70"/>
      <c r="Z207" s="74"/>
      <c r="AA207" s="74"/>
      <c r="AB207" s="74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5"/>
      <c r="AR207" s="75"/>
      <c r="AS207" s="75"/>
      <c r="AT207" s="72"/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/>
      <c r="Y208" s="70"/>
      <c r="Z208" s="74"/>
      <c r="AA208" s="74"/>
      <c r="AB208" s="74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5"/>
      <c r="AR208" s="75"/>
      <c r="AS208" s="75"/>
      <c r="AT208" s="72"/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/>
      <c r="Y209" s="70"/>
      <c r="Z209" s="74"/>
      <c r="AA209" s="74"/>
      <c r="AB209" s="74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5"/>
      <c r="AR209" s="75"/>
      <c r="AS209" s="75"/>
      <c r="AT209" s="72"/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/>
      <c r="Y210" s="70"/>
      <c r="Z210" s="74"/>
      <c r="AA210" s="74"/>
      <c r="AB210" s="74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5"/>
      <c r="AR210" s="75"/>
      <c r="AS210" s="75"/>
      <c r="AT210" s="72"/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/>
      <c r="Y211" s="70"/>
      <c r="Z211" s="74"/>
      <c r="AA211" s="74"/>
      <c r="AB211" s="74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5"/>
      <c r="AR211" s="75"/>
      <c r="AS211" s="75"/>
      <c r="AT211" s="72"/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/>
      <c r="Y212" s="70"/>
      <c r="Z212" s="74"/>
      <c r="AA212" s="74"/>
      <c r="AB212" s="74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5"/>
      <c r="AR212" s="75"/>
      <c r="AS212" s="75"/>
      <c r="AT212" s="72"/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/>
      <c r="Y213" s="70"/>
      <c r="Z213" s="74"/>
      <c r="AA213" s="74"/>
      <c r="AB213" s="74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5"/>
      <c r="AR213" s="75"/>
      <c r="AS213" s="75"/>
      <c r="AT213" s="72"/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/>
      <c r="Y214" s="70"/>
      <c r="Z214" s="74"/>
      <c r="AA214" s="74"/>
      <c r="AB214" s="74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5"/>
      <c r="AR214" s="75"/>
      <c r="AS214" s="75"/>
      <c r="AT214" s="72"/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/>
      <c r="Y215" s="70"/>
      <c r="Z215" s="74"/>
      <c r="AA215" s="74"/>
      <c r="AB215" s="74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5"/>
      <c r="AR215" s="75"/>
      <c r="AS215" s="75"/>
      <c r="AT215" s="72"/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/>
      <c r="Y216" s="70"/>
      <c r="Z216" s="74"/>
      <c r="AA216" s="74"/>
      <c r="AB216" s="74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5"/>
      <c r="AR216" s="75"/>
      <c r="AS216" s="75"/>
      <c r="AT216" s="72"/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/>
      <c r="Y217" s="70"/>
      <c r="Z217" s="74"/>
      <c r="AA217" s="74"/>
      <c r="AB217" s="74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5"/>
      <c r="AR217" s="75"/>
      <c r="AS217" s="75"/>
      <c r="AT217" s="72"/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/>
      <c r="Y218" s="70"/>
      <c r="Z218" s="74"/>
      <c r="AA218" s="74"/>
      <c r="AB218" s="74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5"/>
      <c r="AR218" s="75"/>
      <c r="AS218" s="75"/>
      <c r="AT218" s="72"/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/>
      <c r="Y219" s="70"/>
      <c r="Z219" s="74"/>
      <c r="AA219" s="74"/>
      <c r="AB219" s="74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5"/>
      <c r="AR219" s="75"/>
      <c r="AS219" s="75"/>
      <c r="AT219" s="72"/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/>
      <c r="Y220" s="70"/>
      <c r="Z220" s="74"/>
      <c r="AA220" s="74"/>
      <c r="AB220" s="74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5"/>
      <c r="AR220" s="75"/>
      <c r="AS220" s="75"/>
      <c r="AT220" s="72"/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/>
      <c r="Y221" s="70"/>
      <c r="Z221" s="74"/>
      <c r="AA221" s="74"/>
      <c r="AB221" s="74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5"/>
      <c r="AR221" s="75"/>
      <c r="AS221" s="75"/>
      <c r="AT221" s="72"/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/>
      <c r="Y222" s="70"/>
      <c r="Z222" s="74"/>
      <c r="AA222" s="74"/>
      <c r="AB222" s="74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5"/>
      <c r="AR222" s="75"/>
      <c r="AS222" s="75"/>
      <c r="AT222" s="72"/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/>
      <c r="Y223" s="70"/>
      <c r="Z223" s="74"/>
      <c r="AA223" s="74"/>
      <c r="AB223" s="74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5"/>
      <c r="AR223" s="75"/>
      <c r="AS223" s="75"/>
      <c r="AT223" s="72"/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/>
      <c r="Y224" s="70"/>
      <c r="Z224" s="74"/>
      <c r="AA224" s="74"/>
      <c r="AB224" s="74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5"/>
      <c r="AR224" s="75"/>
      <c r="AS224" s="75"/>
      <c r="AT224" s="72"/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/>
      <c r="Y225" s="70"/>
      <c r="Z225" s="74"/>
      <c r="AA225" s="74"/>
      <c r="AB225" s="74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5"/>
      <c r="AR225" s="75"/>
      <c r="AS225" s="75"/>
      <c r="AT225" s="72"/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/>
      <c r="Y226" s="70"/>
      <c r="Z226" s="74"/>
      <c r="AA226" s="74"/>
      <c r="AB226" s="74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5"/>
      <c r="AR226" s="75"/>
      <c r="AS226" s="75"/>
      <c r="AT226" s="72"/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/>
      <c r="Y227" s="70"/>
      <c r="Z227" s="74"/>
      <c r="AA227" s="74"/>
      <c r="AB227" s="74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5"/>
      <c r="AR227" s="75"/>
      <c r="AS227" s="75"/>
      <c r="AT227" s="72"/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/>
      <c r="Y228" s="70"/>
      <c r="Z228" s="74"/>
      <c r="AA228" s="74"/>
      <c r="AB228" s="74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5"/>
      <c r="AR228" s="75"/>
      <c r="AS228" s="75"/>
      <c r="AT228" s="72"/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/>
      <c r="Y229" s="70"/>
      <c r="Z229" s="74"/>
      <c r="AA229" s="74"/>
      <c r="AB229" s="74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5"/>
      <c r="AR229" s="75"/>
      <c r="AS229" s="75"/>
      <c r="AT229" s="72"/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/>
      <c r="Y230" s="70"/>
      <c r="Z230" s="74"/>
      <c r="AA230" s="74"/>
      <c r="AB230" s="74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5"/>
      <c r="AR230" s="75"/>
      <c r="AS230" s="75"/>
      <c r="AT230" s="72"/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/>
      <c r="Y231" s="70"/>
      <c r="Z231" s="74"/>
      <c r="AA231" s="74"/>
      <c r="AB231" s="74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5"/>
      <c r="AR231" s="75"/>
      <c r="AS231" s="75"/>
      <c r="AT231" s="72"/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/>
      <c r="Y232" s="70"/>
      <c r="Z232" s="74"/>
      <c r="AA232" s="74"/>
      <c r="AB232" s="74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5"/>
      <c r="AR232" s="75"/>
      <c r="AS232" s="75"/>
      <c r="AT232" s="72"/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/>
      <c r="Y233" s="70"/>
      <c r="Z233" s="74"/>
      <c r="AA233" s="74"/>
      <c r="AB233" s="74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5"/>
      <c r="AR233" s="75"/>
      <c r="AS233" s="75"/>
      <c r="AT233" s="72"/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/>
      <c r="Y234" s="70"/>
      <c r="Z234" s="74"/>
      <c r="AA234" s="74"/>
      <c r="AB234" s="74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5"/>
      <c r="AR234" s="75"/>
      <c r="AS234" s="75"/>
      <c r="AT234" s="72"/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/>
      <c r="Y235" s="70"/>
      <c r="Z235" s="74"/>
      <c r="AA235" s="74"/>
      <c r="AB235" s="74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5"/>
      <c r="AR235" s="75"/>
      <c r="AS235" s="75"/>
      <c r="AT235" s="72"/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/>
      <c r="Y236" s="70"/>
      <c r="Z236" s="74"/>
      <c r="AA236" s="74"/>
      <c r="AB236" s="74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5"/>
      <c r="AR236" s="75"/>
      <c r="AS236" s="75"/>
      <c r="AT236" s="72"/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/>
      <c r="Y237" s="70"/>
      <c r="Z237" s="74"/>
      <c r="AA237" s="74"/>
      <c r="AB237" s="74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75"/>
      <c r="AR237" s="75"/>
      <c r="AS237" s="75"/>
      <c r="AT237" s="72"/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/>
      <c r="Y238" s="70"/>
      <c r="Z238" s="74"/>
      <c r="AA238" s="74"/>
      <c r="AB238" s="74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75"/>
      <c r="AR238" s="75"/>
      <c r="AS238" s="75"/>
      <c r="AT238" s="72"/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/>
      <c r="Y239" s="70"/>
      <c r="Z239" s="74"/>
      <c r="AA239" s="74"/>
      <c r="AB239" s="74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75"/>
      <c r="AR239" s="75"/>
      <c r="AS239" s="75"/>
      <c r="AT239" s="72"/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/>
      <c r="Y240" s="70"/>
      <c r="Z240" s="74"/>
      <c r="AA240" s="74"/>
      <c r="AB240" s="74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5"/>
      <c r="AR240" s="75"/>
      <c r="AS240" s="75"/>
      <c r="AT240" s="72"/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/>
      <c r="Y241" s="70"/>
      <c r="Z241" s="74"/>
      <c r="AA241" s="74"/>
      <c r="AB241" s="74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5"/>
      <c r="AR241" s="75"/>
      <c r="AS241" s="75"/>
      <c r="AT241" s="72"/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/>
      <c r="Y242" s="70"/>
      <c r="Z242" s="74"/>
      <c r="AA242" s="74"/>
      <c r="AB242" s="74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75"/>
      <c r="AR242" s="75"/>
      <c r="AS242" s="75"/>
      <c r="AT242" s="72"/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/>
      <c r="Y243" s="70"/>
      <c r="Z243" s="74"/>
      <c r="AA243" s="74"/>
      <c r="AB243" s="74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5"/>
      <c r="AR243" s="75"/>
      <c r="AS243" s="75"/>
      <c r="AT243" s="72"/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/>
      <c r="Y244" s="70"/>
      <c r="Z244" s="74"/>
      <c r="AA244" s="74"/>
      <c r="AB244" s="74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75"/>
      <c r="AR244" s="75"/>
      <c r="AS244" s="75"/>
      <c r="AT244" s="72"/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/>
      <c r="Y245" s="70"/>
      <c r="Z245" s="74"/>
      <c r="AA245" s="74"/>
      <c r="AB245" s="74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75"/>
      <c r="AR245" s="75"/>
      <c r="AS245" s="75"/>
      <c r="AT245" s="72"/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/>
      <c r="Y246" s="70"/>
      <c r="Z246" s="74"/>
      <c r="AA246" s="74"/>
      <c r="AB246" s="74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75"/>
      <c r="AR246" s="75"/>
      <c r="AS246" s="75"/>
      <c r="AT246" s="72"/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/>
      <c r="Y247" s="70"/>
      <c r="Z247" s="74"/>
      <c r="AA247" s="74"/>
      <c r="AB247" s="74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5"/>
      <c r="AR247" s="75"/>
      <c r="AS247" s="75"/>
      <c r="AT247" s="72"/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/>
      <c r="Y248" s="70"/>
      <c r="Z248" s="74"/>
      <c r="AA248" s="74"/>
      <c r="AB248" s="74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5"/>
      <c r="AR248" s="75"/>
      <c r="AS248" s="75"/>
      <c r="AT248" s="72"/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/>
      <c r="Y249" s="70"/>
      <c r="Z249" s="74"/>
      <c r="AA249" s="74"/>
      <c r="AB249" s="74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75"/>
      <c r="AR249" s="75"/>
      <c r="AS249" s="75"/>
      <c r="AT249" s="72"/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/>
      <c r="Y250" s="70"/>
      <c r="Z250" s="74"/>
      <c r="AA250" s="74"/>
      <c r="AB250" s="74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5"/>
      <c r="AR250" s="75"/>
      <c r="AS250" s="75"/>
      <c r="AT250" s="72"/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/>
      <c r="Y251" s="70"/>
      <c r="Z251" s="74"/>
      <c r="AA251" s="74"/>
      <c r="AB251" s="74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5"/>
      <c r="AR251" s="75"/>
      <c r="AS251" s="75"/>
      <c r="AT251" s="72"/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/>
      <c r="Y252" s="70"/>
      <c r="Z252" s="74"/>
      <c r="AA252" s="74"/>
      <c r="AB252" s="74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5"/>
      <c r="AR252" s="75"/>
      <c r="AS252" s="75"/>
      <c r="AT252" s="72"/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/>
      <c r="Y253" s="70"/>
      <c r="Z253" s="74"/>
      <c r="AA253" s="74"/>
      <c r="AB253" s="74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5"/>
      <c r="AR253" s="75"/>
      <c r="AS253" s="75"/>
      <c r="AT253" s="72"/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/>
      <c r="Y254" s="70"/>
      <c r="Z254" s="74"/>
      <c r="AA254" s="74"/>
      <c r="AB254" s="74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75"/>
      <c r="AR254" s="75"/>
      <c r="AS254" s="75"/>
      <c r="AT254" s="72"/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/>
      <c r="Y255" s="70"/>
      <c r="Z255" s="74"/>
      <c r="AA255" s="74"/>
      <c r="AB255" s="74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75"/>
      <c r="AR255" s="75"/>
      <c r="AS255" s="75"/>
      <c r="AT255" s="72"/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/>
      <c r="Y256" s="70"/>
      <c r="Z256" s="74"/>
      <c r="AA256" s="74"/>
      <c r="AB256" s="74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75"/>
      <c r="AR256" s="75"/>
      <c r="AS256" s="75"/>
      <c r="AT256" s="72"/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/>
      <c r="Y257" s="70"/>
      <c r="Z257" s="74"/>
      <c r="AA257" s="74"/>
      <c r="AB257" s="74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75"/>
      <c r="AR257" s="75"/>
      <c r="AS257" s="75"/>
      <c r="AT257" s="72"/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/>
      <c r="Y258" s="70"/>
      <c r="Z258" s="74"/>
      <c r="AA258" s="74"/>
      <c r="AB258" s="74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75"/>
      <c r="AR258" s="75"/>
      <c r="AS258" s="75"/>
      <c r="AT258" s="72"/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/>
      <c r="Y259" s="70"/>
      <c r="Z259" s="74"/>
      <c r="AA259" s="74"/>
      <c r="AB259" s="74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75"/>
      <c r="AR259" s="75"/>
      <c r="AS259" s="75"/>
      <c r="AT259" s="72"/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/>
      <c r="Y260" s="70"/>
      <c r="Z260" s="74"/>
      <c r="AA260" s="74"/>
      <c r="AB260" s="74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5"/>
      <c r="AR260" s="75"/>
      <c r="AS260" s="75"/>
      <c r="AT260" s="72"/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/>
      <c r="Y261" s="70"/>
      <c r="Z261" s="74"/>
      <c r="AA261" s="74"/>
      <c r="AB261" s="74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75"/>
      <c r="AR261" s="75"/>
      <c r="AS261" s="75"/>
      <c r="AT261" s="72"/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/>
      <c r="Y262" s="70"/>
      <c r="Z262" s="74"/>
      <c r="AA262" s="74"/>
      <c r="AB262" s="74"/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75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5"/>
      <c r="AS262" s="75"/>
      <c r="AT262" s="72"/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/>
      <c r="Y263" s="70"/>
      <c r="Z263" s="74"/>
      <c r="AA263" s="74"/>
      <c r="AB263" s="74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75"/>
      <c r="AR263" s="75"/>
      <c r="AS263" s="75"/>
      <c r="AT263" s="72"/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/>
      <c r="Y264" s="70"/>
      <c r="Z264" s="74"/>
      <c r="AA264" s="74"/>
      <c r="AB264" s="74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5"/>
      <c r="AR264" s="75"/>
      <c r="AS264" s="75"/>
      <c r="AT264" s="72"/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/>
      <c r="Y265" s="70"/>
      <c r="Z265" s="74"/>
      <c r="AA265" s="74"/>
      <c r="AB265" s="74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5"/>
      <c r="AR265" s="75"/>
      <c r="AS265" s="75"/>
      <c r="AT265" s="72"/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/>
      <c r="Y266" s="70"/>
      <c r="Z266" s="74"/>
      <c r="AA266" s="74"/>
      <c r="AB266" s="74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5"/>
      <c r="AR266" s="75"/>
      <c r="AS266" s="75"/>
      <c r="AT266" s="72"/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/>
      <c r="Y267" s="70"/>
      <c r="Z267" s="74"/>
      <c r="AA267" s="74"/>
      <c r="AB267" s="74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5"/>
      <c r="AR267" s="75"/>
      <c r="AS267" s="75"/>
      <c r="AT267" s="72"/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/>
      <c r="Y268" s="70"/>
      <c r="Z268" s="74"/>
      <c r="AA268" s="74"/>
      <c r="AB268" s="74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75"/>
      <c r="AR268" s="75"/>
      <c r="AS268" s="75"/>
      <c r="AT268" s="72"/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/>
      <c r="Y269" s="70"/>
      <c r="Z269" s="74"/>
      <c r="AA269" s="74"/>
      <c r="AB269" s="74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75"/>
      <c r="AR269" s="75"/>
      <c r="AS269" s="75"/>
      <c r="AT269" s="72"/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/>
      <c r="Y270" s="70"/>
      <c r="Z270" s="74"/>
      <c r="AA270" s="74"/>
      <c r="AB270" s="74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75"/>
      <c r="AR270" s="75"/>
      <c r="AS270" s="75"/>
      <c r="AT270" s="72"/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/>
      <c r="Y271" s="70"/>
      <c r="Z271" s="74"/>
      <c r="AA271" s="74"/>
      <c r="AB271" s="74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75"/>
      <c r="AR271" s="75"/>
      <c r="AS271" s="75"/>
      <c r="AT271" s="72"/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/>
      <c r="Y272" s="70"/>
      <c r="Z272" s="74"/>
      <c r="AA272" s="74"/>
      <c r="AB272" s="74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5"/>
      <c r="AR272" s="75"/>
      <c r="AS272" s="75"/>
      <c r="AT272" s="72"/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/>
      <c r="Y273" s="70"/>
      <c r="Z273" s="74"/>
      <c r="AA273" s="74"/>
      <c r="AB273" s="74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5"/>
      <c r="AR273" s="75"/>
      <c r="AS273" s="75"/>
      <c r="AT273" s="72"/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/>
      <c r="Y274" s="70"/>
      <c r="Z274" s="74"/>
      <c r="AA274" s="74"/>
      <c r="AB274" s="74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5"/>
      <c r="AR274" s="75"/>
      <c r="AS274" s="75"/>
      <c r="AT274" s="72"/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/>
      <c r="Y275" s="70"/>
      <c r="Z275" s="74"/>
      <c r="AA275" s="74"/>
      <c r="AB275" s="74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5"/>
      <c r="AR275" s="75"/>
      <c r="AS275" s="75"/>
      <c r="AT275" s="72"/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/>
      <c r="Y276" s="70"/>
      <c r="Z276" s="74"/>
      <c r="AA276" s="74"/>
      <c r="AB276" s="74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5"/>
      <c r="AR276" s="75"/>
      <c r="AS276" s="75"/>
      <c r="AT276" s="72"/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/>
      <c r="Y277" s="70"/>
      <c r="Z277" s="74"/>
      <c r="AA277" s="74"/>
      <c r="AB277" s="74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5"/>
      <c r="AR277" s="75"/>
      <c r="AS277" s="75"/>
      <c r="AT277" s="72"/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/>
      <c r="Y278" s="70"/>
      <c r="Z278" s="74"/>
      <c r="AA278" s="74"/>
      <c r="AB278" s="74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5"/>
      <c r="AR278" s="75"/>
      <c r="AS278" s="75"/>
      <c r="AT278" s="72"/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/>
      <c r="Y279" s="70"/>
      <c r="Z279" s="74"/>
      <c r="AA279" s="74"/>
      <c r="AB279" s="74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5"/>
      <c r="AR279" s="75"/>
      <c r="AS279" s="75"/>
      <c r="AT279" s="72"/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/>
      <c r="Y280" s="70"/>
      <c r="Z280" s="74"/>
      <c r="AA280" s="74"/>
      <c r="AB280" s="74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5"/>
      <c r="AR280" s="75"/>
      <c r="AS280" s="75"/>
      <c r="AT280" s="72"/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/>
      <c r="Y281" s="70"/>
      <c r="Z281" s="74"/>
      <c r="AA281" s="74"/>
      <c r="AB281" s="74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5"/>
      <c r="AR281" s="75"/>
      <c r="AS281" s="75"/>
      <c r="AT281" s="72"/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/>
      <c r="Y282" s="70"/>
      <c r="Z282" s="74"/>
      <c r="AA282" s="74"/>
      <c r="AB282" s="74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5"/>
      <c r="AR282" s="75"/>
      <c r="AS282" s="75"/>
      <c r="AT282" s="72"/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/>
      <c r="Y283" s="70"/>
      <c r="Z283" s="74"/>
      <c r="AA283" s="74"/>
      <c r="AB283" s="74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5"/>
      <c r="AR283" s="75"/>
      <c r="AS283" s="75"/>
      <c r="AT283" s="72"/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/>
      <c r="Y284" s="70"/>
      <c r="Z284" s="74"/>
      <c r="AA284" s="74"/>
      <c r="AB284" s="74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5"/>
      <c r="AR284" s="75"/>
      <c r="AS284" s="75"/>
      <c r="AT284" s="72"/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/>
      <c r="Y285" s="70"/>
      <c r="Z285" s="74"/>
      <c r="AA285" s="74"/>
      <c r="AB285" s="74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5"/>
      <c r="AR285" s="75"/>
      <c r="AS285" s="75"/>
      <c r="AT285" s="72"/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/>
      <c r="Y286" s="70"/>
      <c r="Z286" s="74"/>
      <c r="AA286" s="74"/>
      <c r="AB286" s="74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5"/>
      <c r="AR286" s="75"/>
      <c r="AS286" s="75"/>
      <c r="AT286" s="72"/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/>
      <c r="Y287" s="70"/>
      <c r="Z287" s="74"/>
      <c r="AA287" s="74"/>
      <c r="AB287" s="74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5"/>
      <c r="AR287" s="75"/>
      <c r="AS287" s="75"/>
      <c r="AT287" s="72"/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/>
      <c r="Y288" s="70"/>
      <c r="Z288" s="74"/>
      <c r="AA288" s="74"/>
      <c r="AB288" s="74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5"/>
      <c r="AR288" s="75"/>
      <c r="AS288" s="75"/>
      <c r="AT288" s="72"/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/>
      <c r="Y289" s="70"/>
      <c r="Z289" s="74"/>
      <c r="AA289" s="74"/>
      <c r="AB289" s="74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5"/>
      <c r="AR289" s="75"/>
      <c r="AS289" s="75"/>
      <c r="AT289" s="72"/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/>
      <c r="Y290" s="70"/>
      <c r="Z290" s="74"/>
      <c r="AA290" s="74"/>
      <c r="AB290" s="74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5"/>
      <c r="AR290" s="75"/>
      <c r="AS290" s="75"/>
      <c r="AT290" s="72"/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/>
      <c r="Y291" s="70"/>
      <c r="Z291" s="74"/>
      <c r="AA291" s="74"/>
      <c r="AB291" s="74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5"/>
      <c r="AR291" s="75"/>
      <c r="AS291" s="75"/>
      <c r="AT291" s="72"/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/>
      <c r="Y292" s="70"/>
      <c r="Z292" s="74"/>
      <c r="AA292" s="74"/>
      <c r="AB292" s="74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5"/>
      <c r="AR292" s="75"/>
      <c r="AS292" s="75"/>
      <c r="AT292" s="72"/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/>
      <c r="Y293" s="70"/>
      <c r="Z293" s="74"/>
      <c r="AA293" s="74"/>
      <c r="AB293" s="74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5"/>
      <c r="AR293" s="75"/>
      <c r="AS293" s="75"/>
      <c r="AT293" s="72"/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/>
      <c r="Y294" s="70"/>
      <c r="Z294" s="74"/>
      <c r="AA294" s="74"/>
      <c r="AB294" s="74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5"/>
      <c r="AR294" s="75"/>
      <c r="AS294" s="75"/>
      <c r="AT294" s="72"/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/>
      <c r="Y295" s="70"/>
      <c r="Z295" s="74"/>
      <c r="AA295" s="74"/>
      <c r="AB295" s="74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5"/>
      <c r="AR295" s="75"/>
      <c r="AS295" s="75"/>
      <c r="AT295" s="72"/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/>
      <c r="Y296" s="70"/>
      <c r="Z296" s="74"/>
      <c r="AA296" s="74"/>
      <c r="AB296" s="74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5"/>
      <c r="AR296" s="75"/>
      <c r="AS296" s="75"/>
      <c r="AT296" s="72"/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/>
      <c r="Y297" s="70"/>
      <c r="Z297" s="74"/>
      <c r="AA297" s="74"/>
      <c r="AB297" s="74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5"/>
      <c r="AR297" s="75"/>
      <c r="AS297" s="75"/>
      <c r="AT297" s="72"/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/>
      <c r="Y298" s="70"/>
      <c r="Z298" s="74"/>
      <c r="AA298" s="74"/>
      <c r="AB298" s="74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5"/>
      <c r="AR298" s="75"/>
      <c r="AS298" s="75"/>
      <c r="AT298" s="72"/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/>
      <c r="Y299" s="70"/>
      <c r="Z299" s="74"/>
      <c r="AA299" s="74"/>
      <c r="AB299" s="74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5"/>
      <c r="AR299" s="75"/>
      <c r="AS299" s="75"/>
      <c r="AT299" s="72"/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/>
      <c r="Y300" s="70"/>
      <c r="Z300" s="74"/>
      <c r="AA300" s="74"/>
      <c r="AB300" s="74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5"/>
      <c r="AR300" s="75"/>
      <c r="AS300" s="75"/>
      <c r="AT300" s="72"/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  <row r="301" spans="1:58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70"/>
      <c r="R301" s="70"/>
      <c r="S301" s="70"/>
      <c r="T301" s="70"/>
      <c r="U301" s="70"/>
      <c r="V301" s="70"/>
      <c r="W301" s="70"/>
      <c r="X301" s="70"/>
      <c r="Y301" s="70"/>
      <c r="Z301" s="74"/>
      <c r="AA301" s="74"/>
      <c r="AB301" s="74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5"/>
      <c r="AR301" s="75"/>
      <c r="AS301" s="75"/>
      <c r="AT301" s="72"/>
      <c r="AU301" s="69"/>
      <c r="AV301" s="69"/>
      <c r="AW301" s="69"/>
      <c r="AX301" s="69"/>
      <c r="AY301" s="69"/>
      <c r="AZ301" s="69"/>
      <c r="BA301" s="69"/>
      <c r="BB301" s="76"/>
      <c r="BC301" s="77"/>
      <c r="BD301" s="69"/>
      <c r="BE301" s="76"/>
      <c r="BF301" s="69"/>
    </row>
    <row r="302" spans="1:58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70"/>
      <c r="R302" s="70"/>
      <c r="S302" s="70"/>
      <c r="T302" s="70"/>
      <c r="U302" s="70"/>
      <c r="V302" s="70"/>
      <c r="W302" s="70"/>
      <c r="X302" s="70"/>
      <c r="Y302" s="70"/>
      <c r="Z302" s="74"/>
      <c r="AA302" s="74"/>
      <c r="AB302" s="74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5"/>
      <c r="AR302" s="75"/>
      <c r="AS302" s="75"/>
      <c r="AT302" s="72"/>
      <c r="AU302" s="69"/>
      <c r="AV302" s="69"/>
      <c r="AW302" s="69"/>
      <c r="AX302" s="69"/>
      <c r="AY302" s="69"/>
      <c r="AZ302" s="69"/>
      <c r="BA302" s="69"/>
      <c r="BB302" s="76"/>
      <c r="BC302" s="77"/>
      <c r="BD302" s="69"/>
      <c r="BE302" s="76"/>
      <c r="BF302" s="69"/>
    </row>
    <row r="303" spans="1:58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70"/>
      <c r="R303" s="70"/>
      <c r="S303" s="70"/>
      <c r="T303" s="70"/>
      <c r="U303" s="70"/>
      <c r="V303" s="70"/>
      <c r="W303" s="70"/>
      <c r="X303" s="70"/>
      <c r="Y303" s="70"/>
      <c r="Z303" s="74"/>
      <c r="AA303" s="74"/>
      <c r="AB303" s="74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5"/>
      <c r="AR303" s="75"/>
      <c r="AS303" s="75"/>
      <c r="AT303" s="72"/>
      <c r="AU303" s="69"/>
      <c r="AV303" s="69"/>
      <c r="AW303" s="69"/>
      <c r="AX303" s="69"/>
      <c r="AY303" s="69"/>
      <c r="AZ303" s="69"/>
      <c r="BA303" s="69"/>
      <c r="BB303" s="76"/>
      <c r="BC303" s="77"/>
      <c r="BD303" s="69"/>
      <c r="BE303" s="76"/>
      <c r="BF303" s="69"/>
    </row>
    <row r="304" spans="1:58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70"/>
      <c r="R304" s="70"/>
      <c r="S304" s="70"/>
      <c r="T304" s="70"/>
      <c r="U304" s="70"/>
      <c r="V304" s="70"/>
      <c r="W304" s="70"/>
      <c r="X304" s="70"/>
      <c r="Y304" s="70"/>
      <c r="Z304" s="74"/>
      <c r="AA304" s="74"/>
      <c r="AB304" s="74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5"/>
      <c r="AR304" s="75"/>
      <c r="AS304" s="75"/>
      <c r="AT304" s="72"/>
      <c r="AU304" s="69"/>
      <c r="AV304" s="69"/>
      <c r="AW304" s="69"/>
      <c r="AX304" s="69"/>
      <c r="AY304" s="69"/>
      <c r="AZ304" s="69"/>
      <c r="BA304" s="69"/>
      <c r="BB304" s="76"/>
      <c r="BC304" s="77"/>
      <c r="BD304" s="69"/>
      <c r="BE304" s="76"/>
      <c r="BF304" s="69"/>
    </row>
    <row r="305" spans="1:58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70"/>
      <c r="R305" s="70"/>
      <c r="S305" s="70"/>
      <c r="T305" s="70"/>
      <c r="U305" s="70"/>
      <c r="V305" s="70"/>
      <c r="W305" s="70"/>
      <c r="X305" s="70"/>
      <c r="Y305" s="70"/>
      <c r="Z305" s="74"/>
      <c r="AA305" s="74"/>
      <c r="AB305" s="74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5"/>
      <c r="AR305" s="75"/>
      <c r="AS305" s="75"/>
      <c r="AT305" s="72"/>
      <c r="AU305" s="69"/>
      <c r="AV305" s="69"/>
      <c r="AW305" s="69"/>
      <c r="AX305" s="69"/>
      <c r="AY305" s="69"/>
      <c r="AZ305" s="69"/>
      <c r="BA305" s="69"/>
      <c r="BB305" s="76"/>
      <c r="BC305" s="77"/>
      <c r="BD305" s="69"/>
      <c r="BE305" s="76"/>
      <c r="BF305" s="69"/>
    </row>
  </sheetData>
  <mergeCells count="3">
    <mergeCell ref="A1:BF1"/>
    <mergeCell ref="A2:BF2"/>
    <mergeCell ref="A3:BF3"/>
  </mergeCells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AC6:AK305 R6:V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877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878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879</v>
      </c>
      <c r="B5" s="2" t="s">
        <v>880</v>
      </c>
      <c r="C5" s="2" t="s">
        <v>881</v>
      </c>
      <c r="D5" s="2" t="s">
        <v>882</v>
      </c>
      <c r="E5" s="2" t="s">
        <v>883</v>
      </c>
      <c r="F5" s="2" t="s">
        <v>884</v>
      </c>
      <c r="G5" s="2" t="s">
        <v>885</v>
      </c>
      <c r="H5" s="2" t="s">
        <v>886</v>
      </c>
      <c r="I5" s="2" t="s">
        <v>856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960</v>
      </c>
      <c r="B6" s="59" t="s">
        <v>887</v>
      </c>
      <c r="C6" s="10" t="s">
        <v>888</v>
      </c>
      <c r="D6" s="19" t="s">
        <v>889</v>
      </c>
      <c r="E6" s="40" t="s">
        <v>857</v>
      </c>
      <c r="F6" s="4"/>
      <c r="G6" s="10" t="s">
        <v>890</v>
      </c>
      <c r="H6" s="10" t="s">
        <v>891</v>
      </c>
      <c r="I6" s="4"/>
      <c r="J6" s="19"/>
      <c r="K6" s="10"/>
      <c r="L6" s="10"/>
      <c r="M6" s="13"/>
      <c r="N6" s="34"/>
    </row>
    <row r="7" spans="1:14">
      <c r="A7" s="32" t="s">
        <v>961</v>
      </c>
      <c r="B7" s="59" t="s">
        <v>887</v>
      </c>
      <c r="C7" s="10" t="s">
        <v>888</v>
      </c>
      <c r="D7" s="20" t="s">
        <v>889</v>
      </c>
      <c r="E7" s="41" t="s">
        <v>861</v>
      </c>
      <c r="F7" s="6"/>
      <c r="G7" s="11" t="s">
        <v>890</v>
      </c>
      <c r="H7" s="11" t="s">
        <v>891</v>
      </c>
      <c r="I7" s="6"/>
      <c r="J7" s="20"/>
      <c r="K7" s="11"/>
      <c r="L7" s="11"/>
      <c r="M7" s="14"/>
      <c r="N7" s="35"/>
    </row>
    <row r="8" spans="1:14">
      <c r="A8" s="32" t="s">
        <v>962</v>
      </c>
      <c r="B8" s="59" t="s">
        <v>887</v>
      </c>
      <c r="C8" s="10" t="s">
        <v>888</v>
      </c>
      <c r="D8" s="20" t="s">
        <v>889</v>
      </c>
      <c r="E8" s="41" t="s">
        <v>862</v>
      </c>
      <c r="F8" s="6"/>
      <c r="G8" s="11" t="s">
        <v>890</v>
      </c>
      <c r="H8" s="11" t="s">
        <v>891</v>
      </c>
      <c r="I8" s="6"/>
      <c r="J8" s="20"/>
      <c r="K8" s="11"/>
      <c r="L8" s="11"/>
      <c r="M8" s="14"/>
      <c r="N8" s="35"/>
    </row>
    <row r="9" spans="1:14">
      <c r="A9" s="32" t="s">
        <v>963</v>
      </c>
      <c r="B9" s="59" t="s">
        <v>887</v>
      </c>
      <c r="C9" s="10" t="s">
        <v>888</v>
      </c>
      <c r="D9" s="20" t="s">
        <v>892</v>
      </c>
      <c r="E9" s="41" t="s">
        <v>857</v>
      </c>
      <c r="F9" s="6"/>
      <c r="G9" s="11" t="s">
        <v>893</v>
      </c>
      <c r="H9" s="11" t="s">
        <v>891</v>
      </c>
      <c r="I9" s="6"/>
      <c r="J9" s="20"/>
      <c r="K9" s="11"/>
      <c r="L9" s="11"/>
      <c r="M9" s="14"/>
      <c r="N9" s="35"/>
    </row>
    <row r="10" spans="1:14">
      <c r="A10" s="32" t="s">
        <v>964</v>
      </c>
      <c r="B10" s="59" t="s">
        <v>887</v>
      </c>
      <c r="C10" s="10" t="s">
        <v>888</v>
      </c>
      <c r="D10" s="20" t="s">
        <v>892</v>
      </c>
      <c r="E10" s="41" t="s">
        <v>861</v>
      </c>
      <c r="F10" s="6"/>
      <c r="G10" s="11" t="s">
        <v>893</v>
      </c>
      <c r="H10" s="11" t="s">
        <v>894</v>
      </c>
      <c r="I10" s="6"/>
      <c r="J10" s="20"/>
      <c r="K10" s="11"/>
      <c r="L10" s="11"/>
      <c r="M10" s="14"/>
      <c r="N10" s="35"/>
    </row>
    <row r="11" spans="1:14">
      <c r="A11" s="32" t="s">
        <v>965</v>
      </c>
      <c r="B11" s="59" t="s">
        <v>887</v>
      </c>
      <c r="C11" s="10" t="s">
        <v>888</v>
      </c>
      <c r="D11" s="20" t="s">
        <v>892</v>
      </c>
      <c r="E11" s="41" t="s">
        <v>862</v>
      </c>
      <c r="F11" s="6"/>
      <c r="G11" s="11" t="s">
        <v>893</v>
      </c>
      <c r="H11" s="11" t="s">
        <v>891</v>
      </c>
      <c r="I11" s="6"/>
      <c r="J11" s="20"/>
      <c r="K11" s="11"/>
      <c r="L11" s="11"/>
      <c r="M11" s="14"/>
      <c r="N11" s="35"/>
    </row>
    <row r="12" spans="1:14">
      <c r="A12" s="32" t="s">
        <v>966</v>
      </c>
      <c r="B12" s="59" t="s">
        <v>887</v>
      </c>
      <c r="C12" s="10" t="s">
        <v>888</v>
      </c>
      <c r="D12" s="20" t="s">
        <v>892</v>
      </c>
      <c r="E12" s="41" t="s">
        <v>864</v>
      </c>
      <c r="F12" s="6"/>
      <c r="G12" s="11" t="s">
        <v>893</v>
      </c>
      <c r="H12" s="11" t="s">
        <v>891</v>
      </c>
      <c r="I12" s="6"/>
      <c r="J12" s="20"/>
      <c r="K12" s="11"/>
      <c r="L12" s="11"/>
      <c r="M12" s="14"/>
      <c r="N12" s="35"/>
    </row>
    <row r="13" spans="1:14">
      <c r="A13" s="32" t="s">
        <v>967</v>
      </c>
      <c r="B13" s="59" t="s">
        <v>887</v>
      </c>
      <c r="C13" s="10" t="s">
        <v>888</v>
      </c>
      <c r="D13" s="20" t="s">
        <v>892</v>
      </c>
      <c r="E13" s="41" t="s">
        <v>865</v>
      </c>
      <c r="F13" s="6"/>
      <c r="G13" s="11" t="s">
        <v>890</v>
      </c>
      <c r="H13" s="11" t="s">
        <v>894</v>
      </c>
      <c r="I13" s="6"/>
      <c r="J13" s="20"/>
      <c r="K13" s="11"/>
      <c r="L13" s="11"/>
      <c r="M13" s="14"/>
      <c r="N13" s="35"/>
    </row>
    <row r="14" spans="1:14">
      <c r="A14" s="32" t="s">
        <v>968</v>
      </c>
      <c r="B14" s="59" t="s">
        <v>887</v>
      </c>
      <c r="C14" s="10" t="s">
        <v>888</v>
      </c>
      <c r="D14" s="20" t="s">
        <v>892</v>
      </c>
      <c r="E14" s="41" t="s">
        <v>866</v>
      </c>
      <c r="F14" s="6"/>
      <c r="G14" s="11" t="s">
        <v>893</v>
      </c>
      <c r="H14" s="11" t="s">
        <v>894</v>
      </c>
      <c r="I14" s="6"/>
      <c r="J14" s="20"/>
      <c r="K14" s="11"/>
      <c r="L14" s="11"/>
      <c r="M14" s="14"/>
      <c r="N14" s="35"/>
    </row>
    <row r="15" spans="1:14">
      <c r="A15" s="32" t="s">
        <v>969</v>
      </c>
      <c r="B15" s="59" t="s">
        <v>887</v>
      </c>
      <c r="C15" s="10" t="s">
        <v>888</v>
      </c>
      <c r="D15" s="20" t="s">
        <v>892</v>
      </c>
      <c r="E15" s="41" t="s">
        <v>867</v>
      </c>
      <c r="F15" s="6"/>
      <c r="G15" s="11" t="s">
        <v>893</v>
      </c>
      <c r="H15" s="11" t="s">
        <v>894</v>
      </c>
      <c r="I15" s="6"/>
      <c r="J15" s="20"/>
      <c r="K15" s="11"/>
      <c r="L15" s="11"/>
      <c r="M15" s="14"/>
      <c r="N15" s="35"/>
    </row>
    <row r="16" spans="1:14">
      <c r="A16" s="32" t="s">
        <v>970</v>
      </c>
      <c r="B16" s="59" t="s">
        <v>887</v>
      </c>
      <c r="C16" s="10" t="s">
        <v>888</v>
      </c>
      <c r="D16" s="20" t="s">
        <v>892</v>
      </c>
      <c r="E16" s="41" t="s">
        <v>868</v>
      </c>
      <c r="F16" s="6"/>
      <c r="G16" s="11" t="s">
        <v>893</v>
      </c>
      <c r="H16" s="11" t="s">
        <v>891</v>
      </c>
      <c r="I16" s="6"/>
      <c r="J16" s="20"/>
      <c r="K16" s="11"/>
      <c r="L16" s="11"/>
      <c r="M16" s="14"/>
      <c r="N16" s="35"/>
    </row>
    <row r="17" spans="1:14">
      <c r="A17" s="32" t="s">
        <v>971</v>
      </c>
      <c r="B17" s="59" t="s">
        <v>887</v>
      </c>
      <c r="C17" s="10" t="s">
        <v>888</v>
      </c>
      <c r="D17" s="20" t="s">
        <v>892</v>
      </c>
      <c r="E17" s="41" t="s">
        <v>895</v>
      </c>
      <c r="F17" s="6"/>
      <c r="G17" s="11" t="s">
        <v>890</v>
      </c>
      <c r="H17" s="11" t="s">
        <v>891</v>
      </c>
      <c r="I17" s="6"/>
      <c r="J17" s="20"/>
      <c r="K17" s="11"/>
      <c r="L17" s="11"/>
      <c r="M17" s="14"/>
      <c r="N17" s="35"/>
    </row>
    <row r="18" spans="1:14">
      <c r="A18" s="32" t="s">
        <v>972</v>
      </c>
      <c r="B18" s="59" t="s">
        <v>887</v>
      </c>
      <c r="C18" s="10" t="s">
        <v>888</v>
      </c>
      <c r="D18" s="20" t="s">
        <v>892</v>
      </c>
      <c r="E18" s="41" t="s">
        <v>896</v>
      </c>
      <c r="F18" s="6"/>
      <c r="G18" s="11" t="s">
        <v>897</v>
      </c>
      <c r="H18" s="11" t="s">
        <v>898</v>
      </c>
      <c r="I18" s="6"/>
      <c r="J18" s="20"/>
      <c r="K18" s="11"/>
      <c r="L18" s="11"/>
      <c r="M18" s="14"/>
      <c r="N18" s="35"/>
    </row>
    <row r="19" spans="1:14">
      <c r="A19" s="32" t="s">
        <v>973</v>
      </c>
      <c r="B19" s="59" t="s">
        <v>887</v>
      </c>
      <c r="C19" s="10" t="s">
        <v>888</v>
      </c>
      <c r="D19" s="20" t="s">
        <v>892</v>
      </c>
      <c r="E19" s="41" t="s">
        <v>899</v>
      </c>
      <c r="F19" s="6"/>
      <c r="G19" s="11" t="s">
        <v>897</v>
      </c>
      <c r="H19" s="11" t="s">
        <v>898</v>
      </c>
      <c r="I19" s="6"/>
      <c r="J19" s="20"/>
      <c r="K19" s="11"/>
      <c r="L19" s="11"/>
      <c r="M19" s="14"/>
      <c r="N19" s="35"/>
    </row>
    <row r="20" spans="1:14">
      <c r="A20" s="32" t="s">
        <v>974</v>
      </c>
      <c r="B20" s="59" t="s">
        <v>887</v>
      </c>
      <c r="C20" s="10" t="s">
        <v>888</v>
      </c>
      <c r="D20" s="20" t="s">
        <v>892</v>
      </c>
      <c r="E20" s="41" t="s">
        <v>900</v>
      </c>
      <c r="F20" s="6"/>
      <c r="G20" s="11" t="s">
        <v>897</v>
      </c>
      <c r="H20" s="11" t="s">
        <v>898</v>
      </c>
      <c r="I20" s="6"/>
      <c r="J20" s="20"/>
      <c r="K20" s="11"/>
      <c r="L20" s="11"/>
      <c r="M20" s="14"/>
      <c r="N20" s="35"/>
    </row>
    <row r="21" spans="1:14">
      <c r="A21" s="32" t="s">
        <v>975</v>
      </c>
      <c r="B21" s="59" t="s">
        <v>887</v>
      </c>
      <c r="C21" s="10" t="s">
        <v>888</v>
      </c>
      <c r="D21" s="20" t="s">
        <v>892</v>
      </c>
      <c r="E21" s="41" t="s">
        <v>901</v>
      </c>
      <c r="F21" s="6"/>
      <c r="G21" s="11" t="s">
        <v>890</v>
      </c>
      <c r="H21" s="11" t="s">
        <v>894</v>
      </c>
      <c r="I21" s="6"/>
      <c r="J21" s="20"/>
      <c r="K21" s="11"/>
      <c r="L21" s="11"/>
      <c r="M21" s="14"/>
      <c r="N21" s="35"/>
    </row>
    <row r="22" spans="1:14">
      <c r="A22" s="32" t="s">
        <v>976</v>
      </c>
      <c r="B22" s="59" t="s">
        <v>887</v>
      </c>
      <c r="C22" s="10" t="s">
        <v>888</v>
      </c>
      <c r="D22" s="20" t="s">
        <v>892</v>
      </c>
      <c r="E22" s="41" t="s">
        <v>902</v>
      </c>
      <c r="F22" s="6"/>
      <c r="G22" s="11" t="s">
        <v>890</v>
      </c>
      <c r="H22" s="11" t="s">
        <v>894</v>
      </c>
      <c r="I22" s="6"/>
      <c r="J22" s="20"/>
      <c r="K22" s="11"/>
      <c r="L22" s="11"/>
      <c r="M22" s="14"/>
      <c r="N22" s="35"/>
    </row>
    <row r="23" spans="1:14">
      <c r="A23" s="32" t="s">
        <v>977</v>
      </c>
      <c r="B23" s="59" t="s">
        <v>887</v>
      </c>
      <c r="C23" s="10" t="s">
        <v>888</v>
      </c>
      <c r="D23" s="20" t="s">
        <v>892</v>
      </c>
      <c r="E23" s="41" t="s">
        <v>903</v>
      </c>
      <c r="F23" s="6"/>
      <c r="G23" s="11" t="s">
        <v>890</v>
      </c>
      <c r="H23" s="11" t="s">
        <v>894</v>
      </c>
      <c r="I23" s="6"/>
      <c r="J23" s="20"/>
      <c r="K23" s="11"/>
      <c r="L23" s="11"/>
      <c r="M23" s="14"/>
      <c r="N23" s="35"/>
    </row>
    <row r="24" spans="1:14">
      <c r="A24" s="32" t="s">
        <v>978</v>
      </c>
      <c r="B24" s="59" t="s">
        <v>887</v>
      </c>
      <c r="C24" s="10" t="s">
        <v>888</v>
      </c>
      <c r="D24" s="20" t="s">
        <v>892</v>
      </c>
      <c r="E24" s="41" t="s">
        <v>904</v>
      </c>
      <c r="F24" s="6"/>
      <c r="G24" s="11" t="s">
        <v>893</v>
      </c>
      <c r="H24" s="11" t="s">
        <v>894</v>
      </c>
      <c r="I24" s="6"/>
      <c r="J24" s="20"/>
      <c r="K24" s="11"/>
      <c r="L24" s="11"/>
      <c r="M24" s="14"/>
      <c r="N24" s="35"/>
    </row>
    <row r="25" spans="1:14">
      <c r="A25" s="32" t="s">
        <v>979</v>
      </c>
      <c r="B25" s="59" t="s">
        <v>887</v>
      </c>
      <c r="C25" s="10" t="s">
        <v>888</v>
      </c>
      <c r="D25" s="20" t="s">
        <v>892</v>
      </c>
      <c r="E25" s="41" t="s">
        <v>905</v>
      </c>
      <c r="F25" s="6"/>
      <c r="G25" s="11" t="s">
        <v>893</v>
      </c>
      <c r="H25" s="11" t="s">
        <v>894</v>
      </c>
      <c r="I25" s="6"/>
      <c r="J25" s="20"/>
      <c r="K25" s="11"/>
      <c r="L25" s="11"/>
      <c r="M25" s="14"/>
      <c r="N25" s="35"/>
    </row>
    <row r="26" spans="1:14">
      <c r="A26" s="32" t="s">
        <v>980</v>
      </c>
      <c r="B26" s="59" t="s">
        <v>887</v>
      </c>
      <c r="C26" s="10" t="s">
        <v>888</v>
      </c>
      <c r="D26" s="20" t="s">
        <v>892</v>
      </c>
      <c r="E26" s="41" t="s">
        <v>906</v>
      </c>
      <c r="F26" s="6"/>
      <c r="G26" s="11" t="s">
        <v>893</v>
      </c>
      <c r="H26" s="11" t="s">
        <v>894</v>
      </c>
      <c r="I26" s="6"/>
      <c r="J26" s="20"/>
      <c r="K26" s="11"/>
      <c r="L26" s="11"/>
      <c r="M26" s="14"/>
      <c r="N26" s="35"/>
    </row>
    <row r="27" spans="1:14">
      <c r="A27" s="32" t="s">
        <v>981</v>
      </c>
      <c r="B27" s="59" t="s">
        <v>887</v>
      </c>
      <c r="C27" s="10" t="s">
        <v>888</v>
      </c>
      <c r="D27" s="20" t="s">
        <v>892</v>
      </c>
      <c r="E27" s="41" t="s">
        <v>907</v>
      </c>
      <c r="F27" s="6"/>
      <c r="G27" s="11" t="s">
        <v>890</v>
      </c>
      <c r="H27" s="11" t="s">
        <v>908</v>
      </c>
      <c r="I27" s="6"/>
      <c r="J27" s="20"/>
      <c r="K27" s="11"/>
      <c r="L27" s="11"/>
      <c r="M27" s="14"/>
      <c r="N27" s="35"/>
    </row>
    <row r="28" spans="1:14">
      <c r="A28" s="32" t="s">
        <v>982</v>
      </c>
      <c r="B28" s="59" t="s">
        <v>887</v>
      </c>
      <c r="C28" s="10" t="s">
        <v>888</v>
      </c>
      <c r="D28" s="20" t="s">
        <v>892</v>
      </c>
      <c r="E28" s="41" t="s">
        <v>909</v>
      </c>
      <c r="F28" s="6"/>
      <c r="G28" s="11" t="s">
        <v>893</v>
      </c>
      <c r="H28" s="11" t="s">
        <v>894</v>
      </c>
      <c r="I28" s="6"/>
      <c r="J28" s="20"/>
      <c r="K28" s="11"/>
      <c r="L28" s="11"/>
      <c r="M28" s="14"/>
      <c r="N28" s="35"/>
    </row>
    <row r="29" spans="1:14">
      <c r="A29" s="32" t="s">
        <v>983</v>
      </c>
      <c r="B29" s="59" t="s">
        <v>887</v>
      </c>
      <c r="C29" s="10" t="s">
        <v>888</v>
      </c>
      <c r="D29" s="20" t="s">
        <v>892</v>
      </c>
      <c r="E29" s="41" t="s">
        <v>910</v>
      </c>
      <c r="F29" s="6"/>
      <c r="G29" s="11" t="s">
        <v>893</v>
      </c>
      <c r="H29" s="11" t="s">
        <v>891</v>
      </c>
      <c r="I29" s="6"/>
      <c r="J29" s="20"/>
      <c r="K29" s="11"/>
      <c r="L29" s="11"/>
      <c r="M29" s="14"/>
      <c r="N29" s="35"/>
    </row>
    <row r="30" spans="1:14">
      <c r="A30" s="32" t="s">
        <v>984</v>
      </c>
      <c r="B30" s="59" t="s">
        <v>887</v>
      </c>
      <c r="C30" s="10" t="s">
        <v>888</v>
      </c>
      <c r="D30" s="20" t="s">
        <v>892</v>
      </c>
      <c r="E30" s="41" t="s">
        <v>911</v>
      </c>
      <c r="F30" s="6"/>
      <c r="G30" s="11" t="s">
        <v>893</v>
      </c>
      <c r="H30" s="11" t="s">
        <v>891</v>
      </c>
      <c r="I30" s="6"/>
      <c r="J30" s="20"/>
      <c r="K30" s="11"/>
      <c r="L30" s="11"/>
      <c r="M30" s="14"/>
      <c r="N30" s="35"/>
    </row>
    <row r="31" spans="1:14">
      <c r="A31" s="32" t="s">
        <v>985</v>
      </c>
      <c r="B31" s="59" t="s">
        <v>887</v>
      </c>
      <c r="C31" s="10" t="s">
        <v>888</v>
      </c>
      <c r="D31" s="20" t="s">
        <v>892</v>
      </c>
      <c r="E31" s="41" t="s">
        <v>912</v>
      </c>
      <c r="F31" s="6"/>
      <c r="G31" s="11" t="s">
        <v>890</v>
      </c>
      <c r="H31" s="11" t="s">
        <v>894</v>
      </c>
      <c r="I31" s="6"/>
      <c r="J31" s="20"/>
      <c r="K31" s="11"/>
      <c r="L31" s="11"/>
      <c r="M31" s="14"/>
      <c r="N31" s="35"/>
    </row>
    <row r="32" spans="1:14">
      <c r="A32" s="32" t="s">
        <v>986</v>
      </c>
      <c r="B32" s="59" t="s">
        <v>887</v>
      </c>
      <c r="C32" s="10" t="s">
        <v>888</v>
      </c>
      <c r="D32" s="20" t="s">
        <v>892</v>
      </c>
      <c r="E32" s="41" t="s">
        <v>913</v>
      </c>
      <c r="F32" s="6"/>
      <c r="G32" s="11" t="s">
        <v>890</v>
      </c>
      <c r="H32" s="11" t="s">
        <v>894</v>
      </c>
      <c r="I32" s="6"/>
      <c r="J32" s="20"/>
      <c r="K32" s="11"/>
      <c r="L32" s="11"/>
      <c r="M32" s="14"/>
      <c r="N32" s="35"/>
    </row>
    <row r="33" spans="1:14">
      <c r="A33" s="32" t="s">
        <v>987</v>
      </c>
      <c r="B33" s="59" t="s">
        <v>887</v>
      </c>
      <c r="C33" s="10" t="s">
        <v>888</v>
      </c>
      <c r="D33" s="20" t="s">
        <v>914</v>
      </c>
      <c r="E33" s="41" t="s">
        <v>857</v>
      </c>
      <c r="F33" s="6"/>
      <c r="G33" s="11" t="s">
        <v>893</v>
      </c>
      <c r="H33" s="11" t="s">
        <v>908</v>
      </c>
      <c r="I33" s="6"/>
      <c r="J33" s="20"/>
      <c r="K33" s="11"/>
      <c r="L33" s="11"/>
      <c r="M33" s="14"/>
      <c r="N33" s="35"/>
    </row>
    <row r="34" spans="1:14">
      <c r="A34" s="32" t="s">
        <v>988</v>
      </c>
      <c r="B34" s="59" t="s">
        <v>887</v>
      </c>
      <c r="C34" s="10" t="s">
        <v>888</v>
      </c>
      <c r="D34" s="20" t="s">
        <v>914</v>
      </c>
      <c r="E34" s="41" t="s">
        <v>861</v>
      </c>
      <c r="F34" s="6"/>
      <c r="G34" s="11" t="s">
        <v>893</v>
      </c>
      <c r="H34" s="11" t="s">
        <v>908</v>
      </c>
      <c r="I34" s="6"/>
      <c r="J34" s="20"/>
      <c r="K34" s="11"/>
      <c r="L34" s="11"/>
      <c r="M34" s="14"/>
      <c r="N34" s="35"/>
    </row>
    <row r="35" spans="1:14">
      <c r="A35" s="32" t="s">
        <v>989</v>
      </c>
      <c r="B35" s="59" t="s">
        <v>887</v>
      </c>
      <c r="C35" s="10" t="s">
        <v>888</v>
      </c>
      <c r="D35" s="20" t="s">
        <v>914</v>
      </c>
      <c r="E35" s="41" t="s">
        <v>862</v>
      </c>
      <c r="F35" s="6"/>
      <c r="G35" s="11" t="s">
        <v>893</v>
      </c>
      <c r="H35" s="11" t="s">
        <v>894</v>
      </c>
      <c r="I35" s="6"/>
      <c r="J35" s="20"/>
      <c r="K35" s="11"/>
      <c r="L35" s="11"/>
      <c r="M35" s="14"/>
      <c r="N35" s="35"/>
    </row>
    <row r="36" spans="1:14">
      <c r="A36" s="32" t="s">
        <v>990</v>
      </c>
      <c r="B36" s="59" t="s">
        <v>887</v>
      </c>
      <c r="C36" s="10" t="s">
        <v>888</v>
      </c>
      <c r="D36" s="20" t="s">
        <v>914</v>
      </c>
      <c r="E36" s="41" t="s">
        <v>864</v>
      </c>
      <c r="F36" s="6"/>
      <c r="G36" s="11" t="s">
        <v>893</v>
      </c>
      <c r="H36" s="11" t="s">
        <v>894</v>
      </c>
      <c r="I36" s="6"/>
      <c r="J36" s="20"/>
      <c r="K36" s="11"/>
      <c r="L36" s="11"/>
      <c r="M36" s="14"/>
      <c r="N36" s="35"/>
    </row>
    <row r="37" spans="1:14">
      <c r="A37" s="32" t="s">
        <v>991</v>
      </c>
      <c r="B37" s="59" t="s">
        <v>887</v>
      </c>
      <c r="C37" s="10" t="s">
        <v>888</v>
      </c>
      <c r="D37" s="20" t="s">
        <v>914</v>
      </c>
      <c r="E37" s="41" t="s">
        <v>865</v>
      </c>
      <c r="F37" s="6"/>
      <c r="G37" s="11" t="s">
        <v>897</v>
      </c>
      <c r="H37" s="11" t="s">
        <v>898</v>
      </c>
      <c r="I37" s="6"/>
      <c r="J37" s="20"/>
      <c r="K37" s="11"/>
      <c r="L37" s="11"/>
      <c r="M37" s="14"/>
      <c r="N37" s="35"/>
    </row>
    <row r="38" spans="1:14">
      <c r="A38" s="32" t="s">
        <v>992</v>
      </c>
      <c r="B38" s="59" t="s">
        <v>887</v>
      </c>
      <c r="C38" s="10" t="s">
        <v>888</v>
      </c>
      <c r="D38" s="20" t="s">
        <v>914</v>
      </c>
      <c r="E38" s="41" t="s">
        <v>866</v>
      </c>
      <c r="F38" s="6"/>
      <c r="G38" s="11" t="s">
        <v>897</v>
      </c>
      <c r="H38" s="11" t="s">
        <v>898</v>
      </c>
      <c r="I38" s="6"/>
      <c r="J38" s="20"/>
      <c r="K38" s="11"/>
      <c r="L38" s="11"/>
      <c r="M38" s="14"/>
      <c r="N38" s="35"/>
    </row>
    <row r="39" spans="1:14">
      <c r="A39" s="32" t="s">
        <v>993</v>
      </c>
      <c r="B39" s="59" t="s">
        <v>887</v>
      </c>
      <c r="C39" s="10" t="s">
        <v>888</v>
      </c>
      <c r="D39" s="20" t="s">
        <v>914</v>
      </c>
      <c r="E39" s="41" t="s">
        <v>867</v>
      </c>
      <c r="F39" s="6"/>
      <c r="G39" s="11" t="s">
        <v>890</v>
      </c>
      <c r="H39" s="11" t="s">
        <v>894</v>
      </c>
      <c r="I39" s="6"/>
      <c r="J39" s="20"/>
      <c r="K39" s="11"/>
      <c r="L39" s="11"/>
      <c r="M39" s="14"/>
      <c r="N39" s="35"/>
    </row>
    <row r="40" spans="1:14">
      <c r="A40" s="32" t="s">
        <v>994</v>
      </c>
      <c r="B40" s="59" t="s">
        <v>887</v>
      </c>
      <c r="C40" s="10" t="s">
        <v>888</v>
      </c>
      <c r="D40" s="20" t="s">
        <v>914</v>
      </c>
      <c r="E40" s="41" t="s">
        <v>868</v>
      </c>
      <c r="F40" s="6"/>
      <c r="G40" s="11" t="s">
        <v>893</v>
      </c>
      <c r="H40" s="11" t="s">
        <v>894</v>
      </c>
      <c r="I40" s="6"/>
      <c r="J40" s="20"/>
      <c r="K40" s="11"/>
      <c r="L40" s="11"/>
      <c r="M40" s="14"/>
      <c r="N40" s="35"/>
    </row>
    <row r="41" spans="1:14">
      <c r="A41" s="32" t="s">
        <v>995</v>
      </c>
      <c r="B41" s="59" t="s">
        <v>887</v>
      </c>
      <c r="C41" s="10" t="s">
        <v>888</v>
      </c>
      <c r="D41" s="20" t="s">
        <v>914</v>
      </c>
      <c r="E41" s="41" t="s">
        <v>895</v>
      </c>
      <c r="F41" s="6"/>
      <c r="G41" s="11" t="s">
        <v>890</v>
      </c>
      <c r="H41" s="11" t="s">
        <v>908</v>
      </c>
      <c r="I41" s="6"/>
      <c r="J41" s="20"/>
      <c r="K41" s="11"/>
      <c r="L41" s="11"/>
      <c r="M41" s="14"/>
      <c r="N41" s="35"/>
    </row>
    <row r="42" spans="1:14">
      <c r="A42" s="32" t="s">
        <v>996</v>
      </c>
      <c r="B42" s="59" t="s">
        <v>887</v>
      </c>
      <c r="C42" s="10" t="s">
        <v>888</v>
      </c>
      <c r="D42" s="20" t="s">
        <v>914</v>
      </c>
      <c r="E42" s="41" t="s">
        <v>896</v>
      </c>
      <c r="F42" s="6"/>
      <c r="G42" s="11" t="s">
        <v>890</v>
      </c>
      <c r="H42" s="11" t="s">
        <v>908</v>
      </c>
      <c r="I42" s="6"/>
      <c r="J42" s="20"/>
      <c r="K42" s="11"/>
      <c r="L42" s="11"/>
      <c r="M42" s="14"/>
      <c r="N42" s="35"/>
    </row>
    <row r="43" spans="1:14">
      <c r="A43" s="32" t="s">
        <v>997</v>
      </c>
      <c r="B43" s="59" t="s">
        <v>887</v>
      </c>
      <c r="C43" s="10" t="s">
        <v>888</v>
      </c>
      <c r="D43" s="20" t="s">
        <v>914</v>
      </c>
      <c r="E43" s="41" t="s">
        <v>899</v>
      </c>
      <c r="F43" s="6"/>
      <c r="G43" s="11" t="s">
        <v>890</v>
      </c>
      <c r="H43" s="11" t="s">
        <v>908</v>
      </c>
      <c r="I43" s="6"/>
      <c r="J43" s="20"/>
      <c r="K43" s="11"/>
      <c r="L43" s="11"/>
      <c r="M43" s="14"/>
      <c r="N43" s="35"/>
    </row>
    <row r="44" spans="1:14">
      <c r="A44" s="32" t="s">
        <v>998</v>
      </c>
      <c r="B44" s="59" t="s">
        <v>887</v>
      </c>
      <c r="C44" s="10" t="s">
        <v>888</v>
      </c>
      <c r="D44" s="20" t="s">
        <v>914</v>
      </c>
      <c r="E44" s="41" t="s">
        <v>900</v>
      </c>
      <c r="F44" s="6"/>
      <c r="G44" s="11" t="s">
        <v>893</v>
      </c>
      <c r="H44" s="11" t="s">
        <v>894</v>
      </c>
      <c r="I44" s="6"/>
      <c r="J44" s="20"/>
      <c r="K44" s="11"/>
      <c r="L44" s="11"/>
      <c r="M44" s="14"/>
      <c r="N44" s="35"/>
    </row>
    <row r="45" spans="1:14">
      <c r="A45" s="32" t="s">
        <v>999</v>
      </c>
      <c r="B45" s="59" t="s">
        <v>887</v>
      </c>
      <c r="C45" s="10" t="s">
        <v>888</v>
      </c>
      <c r="D45" s="20" t="s">
        <v>914</v>
      </c>
      <c r="E45" s="41" t="s">
        <v>901</v>
      </c>
      <c r="F45" s="6"/>
      <c r="G45" s="11" t="s">
        <v>890</v>
      </c>
      <c r="H45" s="11" t="s">
        <v>908</v>
      </c>
      <c r="I45" s="6"/>
      <c r="J45" s="20"/>
      <c r="K45" s="11"/>
      <c r="L45" s="11"/>
      <c r="M45" s="14"/>
      <c r="N45" s="35"/>
    </row>
    <row r="46" spans="1:14">
      <c r="A46" s="32" t="s">
        <v>1000</v>
      </c>
      <c r="B46" s="59" t="s">
        <v>887</v>
      </c>
      <c r="C46" s="10" t="s">
        <v>888</v>
      </c>
      <c r="D46" s="20" t="s">
        <v>914</v>
      </c>
      <c r="E46" s="41" t="s">
        <v>902</v>
      </c>
      <c r="F46" s="6"/>
      <c r="G46" s="11" t="s">
        <v>893</v>
      </c>
      <c r="H46" s="11" t="s">
        <v>894</v>
      </c>
      <c r="I46" s="6"/>
      <c r="J46" s="20"/>
      <c r="K46" s="11"/>
      <c r="L46" s="11"/>
      <c r="M46" s="14"/>
      <c r="N46" s="35"/>
    </row>
    <row r="47" spans="1:14">
      <c r="A47" s="32" t="s">
        <v>1001</v>
      </c>
      <c r="B47" s="59" t="s">
        <v>887</v>
      </c>
      <c r="C47" s="10" t="s">
        <v>888</v>
      </c>
      <c r="D47" s="20" t="s">
        <v>914</v>
      </c>
      <c r="E47" s="41" t="s">
        <v>903</v>
      </c>
      <c r="F47" s="6"/>
      <c r="G47" s="11" t="s">
        <v>893</v>
      </c>
      <c r="H47" s="11" t="s">
        <v>894</v>
      </c>
      <c r="I47" s="6"/>
      <c r="J47" s="20"/>
      <c r="K47" s="11"/>
      <c r="L47" s="11"/>
      <c r="M47" s="14"/>
      <c r="N47" s="35"/>
    </row>
    <row r="48" spans="1:14">
      <c r="A48" s="32" t="s">
        <v>1002</v>
      </c>
      <c r="B48" s="59" t="s">
        <v>887</v>
      </c>
      <c r="C48" s="10" t="s">
        <v>888</v>
      </c>
      <c r="D48" s="20" t="s">
        <v>914</v>
      </c>
      <c r="E48" s="41" t="s">
        <v>904</v>
      </c>
      <c r="F48" s="6"/>
      <c r="G48" s="11" t="s">
        <v>893</v>
      </c>
      <c r="H48" s="11" t="s">
        <v>894</v>
      </c>
      <c r="I48" s="6"/>
      <c r="J48" s="20"/>
      <c r="K48" s="11"/>
      <c r="L48" s="11"/>
      <c r="M48" s="14"/>
      <c r="N48" s="35"/>
    </row>
    <row r="49" spans="1:14">
      <c r="A49" s="32" t="s">
        <v>1003</v>
      </c>
      <c r="B49" s="59" t="s">
        <v>887</v>
      </c>
      <c r="C49" s="10" t="s">
        <v>888</v>
      </c>
      <c r="D49" s="20" t="s">
        <v>914</v>
      </c>
      <c r="E49" s="41" t="s">
        <v>905</v>
      </c>
      <c r="F49" s="6"/>
      <c r="G49" s="11" t="s">
        <v>893</v>
      </c>
      <c r="H49" s="11" t="s">
        <v>894</v>
      </c>
      <c r="I49" s="6"/>
      <c r="J49" s="20"/>
      <c r="K49" s="11"/>
      <c r="L49" s="11"/>
      <c r="M49" s="14"/>
      <c r="N49" s="35"/>
    </row>
    <row r="50" spans="1:14">
      <c r="A50" s="32" t="s">
        <v>1004</v>
      </c>
      <c r="B50" s="59" t="s">
        <v>887</v>
      </c>
      <c r="C50" s="10" t="s">
        <v>888</v>
      </c>
      <c r="D50" s="20" t="s">
        <v>914</v>
      </c>
      <c r="E50" s="41" t="s">
        <v>906</v>
      </c>
      <c r="F50" s="6"/>
      <c r="G50" s="11" t="s">
        <v>893</v>
      </c>
      <c r="H50" s="11" t="s">
        <v>894</v>
      </c>
      <c r="I50" s="6"/>
      <c r="J50" s="20"/>
      <c r="K50" s="11"/>
      <c r="L50" s="11"/>
      <c r="M50" s="14"/>
      <c r="N50" s="35"/>
    </row>
    <row r="51" spans="1:14">
      <c r="A51" s="32" t="s">
        <v>1005</v>
      </c>
      <c r="B51" s="59" t="s">
        <v>887</v>
      </c>
      <c r="C51" s="10" t="s">
        <v>888</v>
      </c>
      <c r="D51" s="20" t="s">
        <v>914</v>
      </c>
      <c r="E51" s="41" t="s">
        <v>907</v>
      </c>
      <c r="F51" s="6"/>
      <c r="G51" s="11" t="s">
        <v>893</v>
      </c>
      <c r="H51" s="11" t="s">
        <v>908</v>
      </c>
      <c r="I51" s="6"/>
      <c r="J51" s="20"/>
      <c r="K51" s="11"/>
      <c r="L51" s="11"/>
      <c r="M51" s="14"/>
      <c r="N51" s="35"/>
    </row>
    <row r="52" spans="1:14">
      <c r="A52" s="32" t="s">
        <v>1006</v>
      </c>
      <c r="B52" s="59" t="s">
        <v>887</v>
      </c>
      <c r="C52" s="10" t="s">
        <v>888</v>
      </c>
      <c r="D52" s="20" t="s">
        <v>914</v>
      </c>
      <c r="E52" s="41" t="s">
        <v>909</v>
      </c>
      <c r="F52" s="6"/>
      <c r="G52" s="11" t="s">
        <v>893</v>
      </c>
      <c r="H52" s="11" t="s">
        <v>908</v>
      </c>
      <c r="I52" s="6"/>
      <c r="J52" s="20"/>
      <c r="K52" s="11"/>
      <c r="L52" s="11"/>
      <c r="M52" s="14"/>
      <c r="N52" s="35"/>
    </row>
    <row r="53" spans="1:14">
      <c r="A53" s="32" t="s">
        <v>1007</v>
      </c>
      <c r="B53" s="59" t="s">
        <v>887</v>
      </c>
      <c r="C53" s="10" t="s">
        <v>888</v>
      </c>
      <c r="D53" s="20" t="s">
        <v>914</v>
      </c>
      <c r="E53" s="41" t="s">
        <v>910</v>
      </c>
      <c r="F53" s="6"/>
      <c r="G53" s="11" t="s">
        <v>893</v>
      </c>
      <c r="H53" s="11" t="s">
        <v>894</v>
      </c>
      <c r="I53" s="6"/>
      <c r="J53" s="20"/>
      <c r="K53" s="11"/>
      <c r="L53" s="11"/>
      <c r="M53" s="14"/>
      <c r="N53" s="35"/>
    </row>
    <row r="54" spans="1:14">
      <c r="A54" s="32" t="s">
        <v>1008</v>
      </c>
      <c r="B54" s="59" t="s">
        <v>887</v>
      </c>
      <c r="C54" s="10" t="s">
        <v>888</v>
      </c>
      <c r="D54" s="20" t="s">
        <v>914</v>
      </c>
      <c r="E54" s="41" t="s">
        <v>911</v>
      </c>
      <c r="F54" s="6"/>
      <c r="G54" s="11" t="s">
        <v>890</v>
      </c>
      <c r="H54" s="11" t="s">
        <v>908</v>
      </c>
      <c r="I54" s="6"/>
      <c r="J54" s="20"/>
      <c r="K54" s="11"/>
      <c r="L54" s="11"/>
      <c r="M54" s="14"/>
      <c r="N54" s="35"/>
    </row>
    <row r="55" spans="1:14">
      <c r="A55" s="32" t="s">
        <v>1009</v>
      </c>
      <c r="B55" s="59" t="s">
        <v>887</v>
      </c>
      <c r="C55" s="10" t="s">
        <v>888</v>
      </c>
      <c r="D55" s="20" t="s">
        <v>914</v>
      </c>
      <c r="E55" s="41" t="s">
        <v>912</v>
      </c>
      <c r="F55" s="6"/>
      <c r="G55" s="11" t="s">
        <v>897</v>
      </c>
      <c r="H55" s="11" t="s">
        <v>898</v>
      </c>
      <c r="I55" s="6"/>
      <c r="J55" s="20"/>
      <c r="K55" s="11"/>
      <c r="L55" s="11"/>
      <c r="M55" s="14"/>
      <c r="N55" s="35"/>
    </row>
    <row r="56" spans="1:14">
      <c r="A56" s="32" t="s">
        <v>1010</v>
      </c>
      <c r="B56" s="59" t="s">
        <v>887</v>
      </c>
      <c r="C56" s="10" t="s">
        <v>888</v>
      </c>
      <c r="D56" s="20" t="s">
        <v>914</v>
      </c>
      <c r="E56" s="41" t="s">
        <v>913</v>
      </c>
      <c r="F56" s="6"/>
      <c r="G56" s="11" t="s">
        <v>897</v>
      </c>
      <c r="H56" s="11" t="s">
        <v>898</v>
      </c>
      <c r="I56" s="6"/>
      <c r="J56" s="20"/>
      <c r="K56" s="11"/>
      <c r="L56" s="11"/>
      <c r="M56" s="14"/>
      <c r="N56" s="35"/>
    </row>
    <row r="57" spans="1:14">
      <c r="A57" s="32" t="s">
        <v>1011</v>
      </c>
      <c r="B57" s="59" t="s">
        <v>887</v>
      </c>
      <c r="C57" s="10" t="s">
        <v>888</v>
      </c>
      <c r="D57" s="20" t="s">
        <v>915</v>
      </c>
      <c r="E57" s="41" t="s">
        <v>857</v>
      </c>
      <c r="F57" s="6"/>
      <c r="G57" s="11" t="s">
        <v>893</v>
      </c>
      <c r="H57" s="11" t="s">
        <v>894</v>
      </c>
      <c r="I57" s="6"/>
      <c r="J57" s="20"/>
      <c r="K57" s="11"/>
      <c r="L57" s="11"/>
      <c r="M57" s="14"/>
      <c r="N57" s="35"/>
    </row>
    <row r="58" spans="1:14">
      <c r="A58" s="32" t="s">
        <v>1012</v>
      </c>
      <c r="B58" s="59" t="s">
        <v>887</v>
      </c>
      <c r="C58" s="10" t="s">
        <v>888</v>
      </c>
      <c r="D58" s="20" t="s">
        <v>915</v>
      </c>
      <c r="E58" s="41" t="s">
        <v>861</v>
      </c>
      <c r="F58" s="6"/>
      <c r="G58" s="11" t="s">
        <v>893</v>
      </c>
      <c r="H58" s="11" t="s">
        <v>894</v>
      </c>
      <c r="I58" s="6"/>
      <c r="J58" s="20"/>
      <c r="K58" s="11"/>
      <c r="L58" s="11"/>
      <c r="M58" s="14"/>
      <c r="N58" s="35"/>
    </row>
    <row r="59" spans="1:14">
      <c r="A59" s="32" t="s">
        <v>1013</v>
      </c>
      <c r="B59" s="59" t="s">
        <v>887</v>
      </c>
      <c r="C59" s="10" t="s">
        <v>888</v>
      </c>
      <c r="D59" s="20" t="s">
        <v>915</v>
      </c>
      <c r="E59" s="41" t="s">
        <v>862</v>
      </c>
      <c r="F59" s="6"/>
      <c r="G59" s="11" t="s">
        <v>893</v>
      </c>
      <c r="H59" s="11" t="s">
        <v>894</v>
      </c>
      <c r="I59" s="6"/>
      <c r="J59" s="20"/>
      <c r="K59" s="11"/>
      <c r="L59" s="11"/>
      <c r="M59" s="14"/>
      <c r="N59" s="35"/>
    </row>
    <row r="60" spans="1:14">
      <c r="A60" s="32" t="s">
        <v>1014</v>
      </c>
      <c r="B60" s="59" t="s">
        <v>887</v>
      </c>
      <c r="C60" s="10" t="s">
        <v>888</v>
      </c>
      <c r="D60" s="20" t="s">
        <v>915</v>
      </c>
      <c r="E60" s="41" t="s">
        <v>864</v>
      </c>
      <c r="F60" s="6"/>
      <c r="G60" s="11" t="s">
        <v>893</v>
      </c>
      <c r="H60" s="11" t="s">
        <v>908</v>
      </c>
      <c r="I60" s="6"/>
      <c r="J60" s="20"/>
      <c r="K60" s="11"/>
      <c r="L60" s="11"/>
      <c r="M60" s="14"/>
      <c r="N60" s="35"/>
    </row>
    <row r="61" spans="1:14">
      <c r="A61" s="32" t="s">
        <v>1015</v>
      </c>
      <c r="B61" s="59" t="s">
        <v>887</v>
      </c>
      <c r="C61" s="10" t="s">
        <v>888</v>
      </c>
      <c r="D61" s="20" t="s">
        <v>915</v>
      </c>
      <c r="E61" s="41" t="s">
        <v>865</v>
      </c>
      <c r="F61" s="6"/>
      <c r="G61" s="11" t="s">
        <v>893</v>
      </c>
      <c r="H61" s="11" t="s">
        <v>894</v>
      </c>
      <c r="I61" s="6"/>
      <c r="J61" s="20"/>
      <c r="K61" s="11"/>
      <c r="L61" s="11"/>
      <c r="M61" s="14"/>
      <c r="N61" s="35"/>
    </row>
    <row r="62" spans="1:14">
      <c r="A62" s="32" t="s">
        <v>1016</v>
      </c>
      <c r="B62" s="59" t="s">
        <v>887</v>
      </c>
      <c r="C62" s="10" t="s">
        <v>888</v>
      </c>
      <c r="D62" s="20" t="s">
        <v>915</v>
      </c>
      <c r="E62" s="41" t="s">
        <v>866</v>
      </c>
      <c r="F62" s="6"/>
      <c r="G62" s="11" t="s">
        <v>893</v>
      </c>
      <c r="H62" s="11" t="s">
        <v>891</v>
      </c>
      <c r="I62" s="6"/>
      <c r="J62" s="20"/>
      <c r="K62" s="11"/>
      <c r="L62" s="11"/>
      <c r="M62" s="14"/>
      <c r="N62" s="35"/>
    </row>
    <row r="63" spans="1:14">
      <c r="A63" s="32" t="s">
        <v>1017</v>
      </c>
      <c r="B63" s="59" t="s">
        <v>887</v>
      </c>
      <c r="C63" s="10" t="s">
        <v>888</v>
      </c>
      <c r="D63" s="20" t="s">
        <v>915</v>
      </c>
      <c r="E63" s="41" t="s">
        <v>867</v>
      </c>
      <c r="F63" s="6"/>
      <c r="G63" s="11" t="s">
        <v>893</v>
      </c>
      <c r="H63" s="11" t="s">
        <v>894</v>
      </c>
      <c r="I63" s="6"/>
      <c r="J63" s="20"/>
      <c r="K63" s="11"/>
      <c r="L63" s="11"/>
      <c r="M63" s="14"/>
      <c r="N63" s="35"/>
    </row>
    <row r="64" spans="1:14">
      <c r="A64" s="32" t="s">
        <v>1018</v>
      </c>
      <c r="B64" s="59" t="s">
        <v>887</v>
      </c>
      <c r="C64" s="10" t="s">
        <v>888</v>
      </c>
      <c r="D64" s="20" t="s">
        <v>915</v>
      </c>
      <c r="E64" s="41" t="s">
        <v>868</v>
      </c>
      <c r="F64" s="6"/>
      <c r="G64" s="11" t="s">
        <v>893</v>
      </c>
      <c r="H64" s="11" t="s">
        <v>894</v>
      </c>
      <c r="I64" s="6"/>
      <c r="J64" s="20"/>
      <c r="K64" s="11"/>
      <c r="L64" s="11"/>
      <c r="M64" s="14"/>
      <c r="N64" s="35"/>
    </row>
    <row r="65" spans="1:14">
      <c r="A65" s="32" t="s">
        <v>1019</v>
      </c>
      <c r="B65" s="59" t="s">
        <v>887</v>
      </c>
      <c r="C65" s="10" t="s">
        <v>888</v>
      </c>
      <c r="D65" s="20" t="s">
        <v>915</v>
      </c>
      <c r="E65" s="41" t="s">
        <v>895</v>
      </c>
      <c r="F65" s="6"/>
      <c r="G65" s="11" t="s">
        <v>893</v>
      </c>
      <c r="H65" s="11" t="s">
        <v>908</v>
      </c>
      <c r="I65" s="6"/>
      <c r="J65" s="20"/>
      <c r="K65" s="11"/>
      <c r="L65" s="11"/>
      <c r="M65" s="14"/>
      <c r="N65" s="35"/>
    </row>
    <row r="66" spans="1:14">
      <c r="A66" s="32" t="s">
        <v>1020</v>
      </c>
      <c r="B66" s="59" t="s">
        <v>887</v>
      </c>
      <c r="C66" s="10" t="s">
        <v>888</v>
      </c>
      <c r="D66" s="20" t="s">
        <v>915</v>
      </c>
      <c r="E66" s="41" t="s">
        <v>896</v>
      </c>
      <c r="F66" s="6"/>
      <c r="G66" s="11" t="s">
        <v>893</v>
      </c>
      <c r="H66" s="11" t="s">
        <v>891</v>
      </c>
      <c r="I66" s="6"/>
      <c r="J66" s="20"/>
      <c r="K66" s="11"/>
      <c r="L66" s="11"/>
      <c r="M66" s="14"/>
      <c r="N66" s="35"/>
    </row>
    <row r="67" spans="1:14">
      <c r="A67" s="32" t="s">
        <v>1021</v>
      </c>
      <c r="B67" s="59" t="s">
        <v>887</v>
      </c>
      <c r="C67" s="10" t="s">
        <v>888</v>
      </c>
      <c r="D67" s="20" t="s">
        <v>915</v>
      </c>
      <c r="E67" s="41" t="s">
        <v>899</v>
      </c>
      <c r="F67" s="6"/>
      <c r="G67" s="11" t="s">
        <v>893</v>
      </c>
      <c r="H67" s="11" t="s">
        <v>891</v>
      </c>
      <c r="I67" s="6"/>
      <c r="J67" s="20"/>
      <c r="K67" s="11"/>
      <c r="L67" s="11"/>
      <c r="M67" s="14"/>
      <c r="N67" s="35"/>
    </row>
    <row r="68" spans="1:14">
      <c r="A68" s="32" t="s">
        <v>1022</v>
      </c>
      <c r="B68" s="59" t="s">
        <v>887</v>
      </c>
      <c r="C68" s="10" t="s">
        <v>888</v>
      </c>
      <c r="D68" s="20" t="s">
        <v>915</v>
      </c>
      <c r="E68" s="41" t="s">
        <v>900</v>
      </c>
      <c r="F68" s="6"/>
      <c r="G68" s="11" t="s">
        <v>893</v>
      </c>
      <c r="H68" s="11" t="s">
        <v>891</v>
      </c>
      <c r="I68" s="6"/>
      <c r="J68" s="20"/>
      <c r="K68" s="11"/>
      <c r="L68" s="11"/>
      <c r="M68" s="14"/>
      <c r="N68" s="35"/>
    </row>
    <row r="69" spans="1:14">
      <c r="A69" s="32" t="s">
        <v>1023</v>
      </c>
      <c r="B69" s="59" t="s">
        <v>887</v>
      </c>
      <c r="C69" s="10" t="s">
        <v>888</v>
      </c>
      <c r="D69" s="20" t="s">
        <v>915</v>
      </c>
      <c r="E69" s="41" t="s">
        <v>901</v>
      </c>
      <c r="F69" s="6"/>
      <c r="G69" s="11" t="s">
        <v>893</v>
      </c>
      <c r="H69" s="11" t="s">
        <v>908</v>
      </c>
      <c r="I69" s="6"/>
      <c r="J69" s="20"/>
      <c r="K69" s="11"/>
      <c r="L69" s="11"/>
      <c r="M69" s="14"/>
      <c r="N69" s="35"/>
    </row>
    <row r="70" spans="1:14">
      <c r="A70" s="32" t="s">
        <v>1024</v>
      </c>
      <c r="B70" s="59" t="s">
        <v>887</v>
      </c>
      <c r="C70" s="10" t="s">
        <v>888</v>
      </c>
      <c r="D70" s="20" t="s">
        <v>915</v>
      </c>
      <c r="E70" s="41" t="s">
        <v>902</v>
      </c>
      <c r="F70" s="6"/>
      <c r="G70" s="11" t="s">
        <v>893</v>
      </c>
      <c r="H70" s="11" t="s">
        <v>894</v>
      </c>
      <c r="I70" s="6"/>
      <c r="J70" s="20"/>
      <c r="K70" s="11"/>
      <c r="L70" s="11"/>
      <c r="M70" s="14"/>
      <c r="N70" s="35"/>
    </row>
    <row r="71" spans="1:14">
      <c r="A71" s="32" t="s">
        <v>1025</v>
      </c>
      <c r="B71" s="59" t="s">
        <v>887</v>
      </c>
      <c r="C71" s="10" t="s">
        <v>888</v>
      </c>
      <c r="D71" s="20" t="s">
        <v>915</v>
      </c>
      <c r="E71" s="41" t="s">
        <v>903</v>
      </c>
      <c r="F71" s="6"/>
      <c r="G71" s="11" t="s">
        <v>893</v>
      </c>
      <c r="H71" s="11" t="s">
        <v>894</v>
      </c>
      <c r="I71" s="6"/>
      <c r="J71" s="20"/>
      <c r="K71" s="11"/>
      <c r="L71" s="11"/>
      <c r="M71" s="14"/>
      <c r="N71" s="35"/>
    </row>
    <row r="72" spans="1:14">
      <c r="A72" s="32" t="s">
        <v>1026</v>
      </c>
      <c r="B72" s="59" t="s">
        <v>887</v>
      </c>
      <c r="C72" s="10" t="s">
        <v>888</v>
      </c>
      <c r="D72" s="20" t="s">
        <v>915</v>
      </c>
      <c r="E72" s="41" t="s">
        <v>904</v>
      </c>
      <c r="F72" s="6"/>
      <c r="G72" s="11" t="s">
        <v>893</v>
      </c>
      <c r="H72" s="11" t="s">
        <v>894</v>
      </c>
      <c r="I72" s="6"/>
      <c r="J72" s="20"/>
      <c r="K72" s="11"/>
      <c r="L72" s="11"/>
      <c r="M72" s="14"/>
      <c r="N72" s="35"/>
    </row>
    <row r="73" spans="1:14">
      <c r="A73" s="32" t="s">
        <v>1027</v>
      </c>
      <c r="B73" s="59" t="s">
        <v>887</v>
      </c>
      <c r="C73" s="10" t="s">
        <v>888</v>
      </c>
      <c r="D73" s="20" t="s">
        <v>915</v>
      </c>
      <c r="E73" s="41" t="s">
        <v>905</v>
      </c>
      <c r="F73" s="6"/>
      <c r="G73" s="11" t="s">
        <v>890</v>
      </c>
      <c r="H73" s="11" t="s">
        <v>894</v>
      </c>
      <c r="I73" s="6"/>
      <c r="J73" s="20"/>
      <c r="K73" s="11"/>
      <c r="L73" s="11"/>
      <c r="M73" s="14"/>
      <c r="N73" s="35"/>
    </row>
    <row r="74" spans="1:14">
      <c r="A74" s="32" t="s">
        <v>1028</v>
      </c>
      <c r="B74" s="59" t="s">
        <v>887</v>
      </c>
      <c r="C74" s="10" t="s">
        <v>888</v>
      </c>
      <c r="D74" s="20" t="s">
        <v>915</v>
      </c>
      <c r="E74" s="41" t="s">
        <v>906</v>
      </c>
      <c r="F74" s="6"/>
      <c r="G74" s="11" t="s">
        <v>893</v>
      </c>
      <c r="H74" s="11" t="s">
        <v>894</v>
      </c>
      <c r="I74" s="6"/>
      <c r="J74" s="20"/>
      <c r="K74" s="11"/>
      <c r="L74" s="11"/>
      <c r="M74" s="14"/>
      <c r="N74" s="35"/>
    </row>
    <row r="75" spans="1:14">
      <c r="A75" s="32" t="s">
        <v>1029</v>
      </c>
      <c r="B75" s="59" t="s">
        <v>887</v>
      </c>
      <c r="C75" s="10" t="s">
        <v>888</v>
      </c>
      <c r="D75" s="20" t="s">
        <v>915</v>
      </c>
      <c r="E75" s="41" t="s">
        <v>907</v>
      </c>
      <c r="F75" s="6"/>
      <c r="G75" s="11" t="s">
        <v>893</v>
      </c>
      <c r="H75" s="11" t="s">
        <v>908</v>
      </c>
      <c r="I75" s="6"/>
      <c r="J75" s="20"/>
      <c r="K75" s="11"/>
      <c r="L75" s="11"/>
      <c r="M75" s="14"/>
      <c r="N75" s="35"/>
    </row>
    <row r="76" spans="1:14">
      <c r="A76" s="32" t="s">
        <v>1030</v>
      </c>
      <c r="B76" s="59" t="s">
        <v>887</v>
      </c>
      <c r="C76" s="10" t="s">
        <v>888</v>
      </c>
      <c r="D76" s="20" t="s">
        <v>915</v>
      </c>
      <c r="E76" s="41" t="s">
        <v>909</v>
      </c>
      <c r="F76" s="6"/>
      <c r="G76" s="11" t="s">
        <v>893</v>
      </c>
      <c r="H76" s="11" t="s">
        <v>894</v>
      </c>
      <c r="I76" s="6"/>
      <c r="J76" s="20"/>
      <c r="K76" s="11"/>
      <c r="L76" s="11"/>
      <c r="M76" s="14"/>
      <c r="N76" s="35"/>
    </row>
    <row r="77" spans="1:14">
      <c r="A77" s="32" t="s">
        <v>1031</v>
      </c>
      <c r="B77" s="59" t="s">
        <v>887</v>
      </c>
      <c r="C77" s="10" t="s">
        <v>888</v>
      </c>
      <c r="D77" s="20" t="s">
        <v>915</v>
      </c>
      <c r="E77" s="41" t="s">
        <v>910</v>
      </c>
      <c r="F77" s="6"/>
      <c r="G77" s="11" t="s">
        <v>893</v>
      </c>
      <c r="H77" s="11" t="s">
        <v>894</v>
      </c>
      <c r="I77" s="6"/>
      <c r="J77" s="20"/>
      <c r="K77" s="11"/>
      <c r="L77" s="11"/>
      <c r="M77" s="14"/>
      <c r="N77" s="35"/>
    </row>
    <row r="78" spans="1:14">
      <c r="A78" s="32" t="s">
        <v>1032</v>
      </c>
      <c r="B78" s="59" t="s">
        <v>887</v>
      </c>
      <c r="C78" s="10" t="s">
        <v>888</v>
      </c>
      <c r="D78" s="20" t="s">
        <v>915</v>
      </c>
      <c r="E78" s="41" t="s">
        <v>911</v>
      </c>
      <c r="F78" s="6"/>
      <c r="G78" s="11" t="s">
        <v>893</v>
      </c>
      <c r="H78" s="11" t="s">
        <v>894</v>
      </c>
      <c r="I78" s="6"/>
      <c r="J78" s="20"/>
      <c r="K78" s="11"/>
      <c r="L78" s="11"/>
      <c r="M78" s="14"/>
      <c r="N78" s="35"/>
    </row>
    <row r="79" spans="1:14">
      <c r="A79" s="32" t="s">
        <v>1033</v>
      </c>
      <c r="B79" s="59" t="s">
        <v>887</v>
      </c>
      <c r="C79" s="10" t="s">
        <v>888</v>
      </c>
      <c r="D79" s="20" t="s">
        <v>915</v>
      </c>
      <c r="E79" s="41" t="s">
        <v>912</v>
      </c>
      <c r="F79" s="6"/>
      <c r="G79" s="11" t="s">
        <v>890</v>
      </c>
      <c r="H79" s="11" t="s">
        <v>908</v>
      </c>
      <c r="I79" s="6"/>
      <c r="J79" s="20"/>
      <c r="K79" s="11"/>
      <c r="L79" s="11"/>
      <c r="M79" s="14"/>
      <c r="N79" s="35"/>
    </row>
    <row r="80" spans="1:14">
      <c r="A80" s="32" t="s">
        <v>1034</v>
      </c>
      <c r="B80" s="59" t="s">
        <v>887</v>
      </c>
      <c r="C80" s="10" t="s">
        <v>888</v>
      </c>
      <c r="D80" s="20" t="s">
        <v>915</v>
      </c>
      <c r="E80" s="41" t="s">
        <v>913</v>
      </c>
      <c r="F80" s="6"/>
      <c r="G80" s="11" t="s">
        <v>890</v>
      </c>
      <c r="H80" s="11" t="s">
        <v>908</v>
      </c>
      <c r="I80" s="6"/>
      <c r="J80" s="20"/>
      <c r="K80" s="11"/>
      <c r="L80" s="11"/>
      <c r="M80" s="14"/>
      <c r="N80" s="35"/>
    </row>
    <row r="81" spans="1:14">
      <c r="A81" s="32" t="s">
        <v>1035</v>
      </c>
      <c r="B81" s="59" t="s">
        <v>887</v>
      </c>
      <c r="C81" s="10" t="s">
        <v>888</v>
      </c>
      <c r="D81" s="20" t="s">
        <v>916</v>
      </c>
      <c r="E81" s="41" t="s">
        <v>857</v>
      </c>
      <c r="F81" s="6"/>
      <c r="G81" s="11" t="s">
        <v>893</v>
      </c>
      <c r="H81" s="11" t="s">
        <v>894</v>
      </c>
      <c r="I81" s="6"/>
      <c r="J81" s="20"/>
      <c r="K81" s="11"/>
      <c r="L81" s="11"/>
      <c r="M81" s="14"/>
      <c r="N81" s="35"/>
    </row>
    <row r="82" spans="1:14">
      <c r="A82" s="32" t="s">
        <v>1036</v>
      </c>
      <c r="B82" s="59" t="s">
        <v>887</v>
      </c>
      <c r="C82" s="10" t="s">
        <v>888</v>
      </c>
      <c r="D82" s="20" t="s">
        <v>916</v>
      </c>
      <c r="E82" s="41" t="s">
        <v>861</v>
      </c>
      <c r="F82" s="6"/>
      <c r="G82" s="11" t="s">
        <v>893</v>
      </c>
      <c r="H82" s="11" t="s">
        <v>891</v>
      </c>
      <c r="I82" s="6"/>
      <c r="J82" s="20"/>
      <c r="K82" s="11"/>
      <c r="L82" s="11"/>
      <c r="M82" s="14"/>
      <c r="N82" s="35"/>
    </row>
    <row r="83" spans="1:14">
      <c r="A83" s="32" t="s">
        <v>1037</v>
      </c>
      <c r="B83" s="59" t="s">
        <v>887</v>
      </c>
      <c r="C83" s="10" t="s">
        <v>888</v>
      </c>
      <c r="D83" s="20" t="s">
        <v>916</v>
      </c>
      <c r="E83" s="41" t="s">
        <v>862</v>
      </c>
      <c r="F83" s="6"/>
      <c r="G83" s="11" t="s">
        <v>890</v>
      </c>
      <c r="H83" s="11" t="s">
        <v>891</v>
      </c>
      <c r="I83" s="6"/>
      <c r="J83" s="20"/>
      <c r="K83" s="11"/>
      <c r="L83" s="11"/>
      <c r="M83" s="14"/>
      <c r="N83" s="35"/>
    </row>
    <row r="84" spans="1:14">
      <c r="A84" s="32" t="s">
        <v>1038</v>
      </c>
      <c r="B84" s="59" t="s">
        <v>887</v>
      </c>
      <c r="C84" s="10" t="s">
        <v>888</v>
      </c>
      <c r="D84" s="20" t="s">
        <v>916</v>
      </c>
      <c r="E84" s="41" t="s">
        <v>864</v>
      </c>
      <c r="F84" s="6"/>
      <c r="G84" s="11" t="s">
        <v>893</v>
      </c>
      <c r="H84" s="11" t="s">
        <v>891</v>
      </c>
      <c r="I84" s="6"/>
      <c r="J84" s="20"/>
      <c r="K84" s="11"/>
      <c r="L84" s="11"/>
      <c r="M84" s="14"/>
      <c r="N84" s="35"/>
    </row>
    <row r="85" spans="1:14">
      <c r="A85" s="32" t="s">
        <v>1039</v>
      </c>
      <c r="B85" s="59" t="s">
        <v>887</v>
      </c>
      <c r="C85" s="10" t="s">
        <v>888</v>
      </c>
      <c r="D85" s="20" t="s">
        <v>916</v>
      </c>
      <c r="E85" s="41" t="s">
        <v>865</v>
      </c>
      <c r="F85" s="6"/>
      <c r="G85" s="11" t="s">
        <v>893</v>
      </c>
      <c r="H85" s="11" t="s">
        <v>891</v>
      </c>
      <c r="I85" s="6"/>
      <c r="J85" s="20"/>
      <c r="K85" s="11"/>
      <c r="L85" s="11"/>
      <c r="M85" s="14"/>
      <c r="N85" s="35"/>
    </row>
    <row r="86" spans="1:14">
      <c r="A86" s="32" t="s">
        <v>1040</v>
      </c>
      <c r="B86" s="59" t="s">
        <v>887</v>
      </c>
      <c r="C86" s="10" t="s">
        <v>888</v>
      </c>
      <c r="D86" s="20" t="s">
        <v>916</v>
      </c>
      <c r="E86" s="41" t="s">
        <v>866</v>
      </c>
      <c r="F86" s="6"/>
      <c r="G86" s="11" t="s">
        <v>893</v>
      </c>
      <c r="H86" s="11" t="s">
        <v>891</v>
      </c>
      <c r="I86" s="6"/>
      <c r="J86" s="20"/>
      <c r="K86" s="11"/>
      <c r="L86" s="11"/>
      <c r="M86" s="14"/>
      <c r="N86" s="35"/>
    </row>
    <row r="87" spans="1:14">
      <c r="A87" s="32" t="s">
        <v>1041</v>
      </c>
      <c r="B87" s="59" t="s">
        <v>887</v>
      </c>
      <c r="C87" s="10" t="s">
        <v>888</v>
      </c>
      <c r="D87" s="20" t="s">
        <v>916</v>
      </c>
      <c r="E87" s="41" t="s">
        <v>867</v>
      </c>
      <c r="F87" s="6"/>
      <c r="G87" s="11" t="s">
        <v>893</v>
      </c>
      <c r="H87" s="11" t="s">
        <v>891</v>
      </c>
      <c r="I87" s="6"/>
      <c r="J87" s="20"/>
      <c r="K87" s="11"/>
      <c r="L87" s="11"/>
      <c r="M87" s="14"/>
      <c r="N87" s="35"/>
    </row>
    <row r="88" spans="1:14">
      <c r="A88" s="32" t="s">
        <v>1042</v>
      </c>
      <c r="B88" s="59" t="s">
        <v>887</v>
      </c>
      <c r="C88" s="10" t="s">
        <v>888</v>
      </c>
      <c r="D88" s="20" t="s">
        <v>916</v>
      </c>
      <c r="E88" s="41" t="s">
        <v>868</v>
      </c>
      <c r="F88" s="6"/>
      <c r="G88" s="11" t="s">
        <v>893</v>
      </c>
      <c r="H88" s="11" t="s">
        <v>891</v>
      </c>
      <c r="I88" s="6"/>
      <c r="J88" s="20"/>
      <c r="K88" s="11"/>
      <c r="L88" s="11"/>
      <c r="M88" s="14"/>
      <c r="N88" s="35"/>
    </row>
    <row r="89" spans="1:14">
      <c r="A89" s="32" t="s">
        <v>1043</v>
      </c>
      <c r="B89" s="59" t="s">
        <v>887</v>
      </c>
      <c r="C89" s="10" t="s">
        <v>888</v>
      </c>
      <c r="D89" s="20" t="s">
        <v>916</v>
      </c>
      <c r="E89" s="41" t="s">
        <v>895</v>
      </c>
      <c r="F89" s="6"/>
      <c r="G89" s="11" t="s">
        <v>893</v>
      </c>
      <c r="H89" s="11" t="s">
        <v>891</v>
      </c>
      <c r="I89" s="6"/>
      <c r="J89" s="20"/>
      <c r="K89" s="11"/>
      <c r="L89" s="11"/>
      <c r="M89" s="14"/>
      <c r="N89" s="35"/>
    </row>
    <row r="90" spans="1:14">
      <c r="A90" s="32" t="s">
        <v>1044</v>
      </c>
      <c r="B90" s="59" t="s">
        <v>887</v>
      </c>
      <c r="C90" s="10" t="s">
        <v>888</v>
      </c>
      <c r="D90" s="20" t="s">
        <v>916</v>
      </c>
      <c r="E90" s="41" t="s">
        <v>896</v>
      </c>
      <c r="F90" s="6"/>
      <c r="G90" s="11" t="s">
        <v>890</v>
      </c>
      <c r="H90" s="11" t="s">
        <v>894</v>
      </c>
      <c r="I90" s="6"/>
      <c r="J90" s="20"/>
      <c r="K90" s="11"/>
      <c r="L90" s="11"/>
      <c r="M90" s="14"/>
      <c r="N90" s="35"/>
    </row>
    <row r="91" spans="1:14">
      <c r="A91" s="32" t="s">
        <v>1045</v>
      </c>
      <c r="B91" s="59" t="s">
        <v>887</v>
      </c>
      <c r="C91" s="10" t="s">
        <v>888</v>
      </c>
      <c r="D91" s="20" t="s">
        <v>916</v>
      </c>
      <c r="E91" s="41" t="s">
        <v>899</v>
      </c>
      <c r="F91" s="6"/>
      <c r="G91" s="11" t="s">
        <v>890</v>
      </c>
      <c r="H91" s="11" t="s">
        <v>894</v>
      </c>
      <c r="I91" s="6"/>
      <c r="J91" s="20"/>
      <c r="K91" s="11"/>
      <c r="L91" s="11"/>
      <c r="M91" s="14"/>
      <c r="N91" s="35"/>
    </row>
    <row r="92" spans="1:14">
      <c r="A92" s="32" t="s">
        <v>1046</v>
      </c>
      <c r="B92" s="59" t="s">
        <v>887</v>
      </c>
      <c r="C92" s="10" t="s">
        <v>888</v>
      </c>
      <c r="D92" s="20" t="s">
        <v>916</v>
      </c>
      <c r="E92" s="41" t="s">
        <v>900</v>
      </c>
      <c r="F92" s="6"/>
      <c r="G92" s="11" t="s">
        <v>890</v>
      </c>
      <c r="H92" s="11" t="s">
        <v>894</v>
      </c>
      <c r="I92" s="6"/>
      <c r="J92" s="20"/>
      <c r="K92" s="11"/>
      <c r="L92" s="11"/>
      <c r="M92" s="14"/>
      <c r="N92" s="35"/>
    </row>
    <row r="93" spans="1:14">
      <c r="A93" s="32" t="s">
        <v>1047</v>
      </c>
      <c r="B93" s="59" t="s">
        <v>887</v>
      </c>
      <c r="C93" s="10" t="s">
        <v>888</v>
      </c>
      <c r="D93" s="20" t="s">
        <v>916</v>
      </c>
      <c r="E93" s="41" t="s">
        <v>901</v>
      </c>
      <c r="F93" s="6"/>
      <c r="G93" s="11" t="s">
        <v>893</v>
      </c>
      <c r="H93" s="11" t="s">
        <v>891</v>
      </c>
      <c r="I93" s="6"/>
      <c r="J93" s="20"/>
      <c r="K93" s="11"/>
      <c r="L93" s="11"/>
      <c r="M93" s="14"/>
      <c r="N93" s="35"/>
    </row>
    <row r="94" spans="1:14">
      <c r="A94" s="32" t="s">
        <v>1048</v>
      </c>
      <c r="B94" s="59" t="s">
        <v>887</v>
      </c>
      <c r="C94" s="10" t="s">
        <v>888</v>
      </c>
      <c r="D94" s="20" t="s">
        <v>916</v>
      </c>
      <c r="E94" s="41" t="s">
        <v>902</v>
      </c>
      <c r="F94" s="6"/>
      <c r="G94" s="11" t="s">
        <v>893</v>
      </c>
      <c r="H94" s="11" t="s">
        <v>891</v>
      </c>
      <c r="I94" s="6"/>
      <c r="J94" s="20"/>
      <c r="K94" s="11"/>
      <c r="L94" s="11"/>
      <c r="M94" s="14"/>
      <c r="N94" s="35"/>
    </row>
    <row r="95" spans="1:14">
      <c r="A95" s="32" t="s">
        <v>1049</v>
      </c>
      <c r="B95" s="59" t="s">
        <v>887</v>
      </c>
      <c r="C95" s="10" t="s">
        <v>888</v>
      </c>
      <c r="D95" s="20" t="s">
        <v>916</v>
      </c>
      <c r="E95" s="41" t="s">
        <v>903</v>
      </c>
      <c r="F95" s="6"/>
      <c r="G95" s="11" t="s">
        <v>893</v>
      </c>
      <c r="H95" s="11" t="s">
        <v>891</v>
      </c>
      <c r="I95" s="6"/>
      <c r="J95" s="20"/>
      <c r="K95" s="11"/>
      <c r="L95" s="11"/>
      <c r="M95" s="14"/>
      <c r="N95" s="35"/>
    </row>
    <row r="96" spans="1:14">
      <c r="A96" s="32" t="s">
        <v>1050</v>
      </c>
      <c r="B96" s="59" t="s">
        <v>887</v>
      </c>
      <c r="C96" s="10" t="s">
        <v>888</v>
      </c>
      <c r="D96" s="20" t="s">
        <v>916</v>
      </c>
      <c r="E96" s="41" t="s">
        <v>904</v>
      </c>
      <c r="F96" s="6"/>
      <c r="G96" s="11" t="s">
        <v>893</v>
      </c>
      <c r="H96" s="11" t="s">
        <v>894</v>
      </c>
      <c r="I96" s="6"/>
      <c r="J96" s="20"/>
      <c r="K96" s="11"/>
      <c r="L96" s="11"/>
      <c r="M96" s="14"/>
      <c r="N96" s="35"/>
    </row>
    <row r="97" spans="1:14">
      <c r="A97" s="32" t="s">
        <v>1051</v>
      </c>
      <c r="B97" s="59" t="s">
        <v>887</v>
      </c>
      <c r="C97" s="10" t="s">
        <v>888</v>
      </c>
      <c r="D97" s="20" t="s">
        <v>916</v>
      </c>
      <c r="E97" s="41" t="s">
        <v>905</v>
      </c>
      <c r="F97" s="6"/>
      <c r="G97" s="11" t="s">
        <v>893</v>
      </c>
      <c r="H97" s="11" t="s">
        <v>891</v>
      </c>
      <c r="I97" s="6"/>
      <c r="J97" s="20"/>
      <c r="K97" s="11"/>
      <c r="L97" s="11"/>
      <c r="M97" s="14"/>
      <c r="N97" s="35"/>
    </row>
    <row r="98" spans="1:14">
      <c r="A98" s="32" t="s">
        <v>1052</v>
      </c>
      <c r="B98" s="59" t="s">
        <v>887</v>
      </c>
      <c r="C98" s="10" t="s">
        <v>888</v>
      </c>
      <c r="D98" s="20" t="s">
        <v>916</v>
      </c>
      <c r="E98" s="41" t="s">
        <v>906</v>
      </c>
      <c r="F98" s="6"/>
      <c r="G98" s="11" t="s">
        <v>893</v>
      </c>
      <c r="H98" s="11" t="s">
        <v>891</v>
      </c>
      <c r="I98" s="6"/>
      <c r="J98" s="20"/>
      <c r="K98" s="11"/>
      <c r="L98" s="11"/>
      <c r="M98" s="14"/>
      <c r="N98" s="35"/>
    </row>
    <row r="99" spans="1:14">
      <c r="A99" s="32" t="s">
        <v>1053</v>
      </c>
      <c r="B99" s="59" t="s">
        <v>887</v>
      </c>
      <c r="C99" s="10" t="s">
        <v>888</v>
      </c>
      <c r="D99" s="20" t="s">
        <v>916</v>
      </c>
      <c r="E99" s="41" t="s">
        <v>907</v>
      </c>
      <c r="F99" s="6"/>
      <c r="G99" s="11" t="s">
        <v>893</v>
      </c>
      <c r="H99" s="11" t="s">
        <v>891</v>
      </c>
      <c r="I99" s="6"/>
      <c r="J99" s="20"/>
      <c r="K99" s="11"/>
      <c r="L99" s="11"/>
      <c r="M99" s="14"/>
      <c r="N99" s="35"/>
    </row>
    <row r="100" spans="1:14">
      <c r="A100" s="32" t="s">
        <v>1054</v>
      </c>
      <c r="B100" s="59" t="s">
        <v>887</v>
      </c>
      <c r="C100" s="10" t="s">
        <v>888</v>
      </c>
      <c r="D100" s="20" t="s">
        <v>916</v>
      </c>
      <c r="E100" s="41" t="s">
        <v>909</v>
      </c>
      <c r="F100" s="6"/>
      <c r="G100" s="11" t="s">
        <v>890</v>
      </c>
      <c r="H100" s="11" t="s">
        <v>891</v>
      </c>
      <c r="I100" s="6"/>
      <c r="J100" s="20"/>
      <c r="K100" s="11"/>
      <c r="L100" s="11"/>
      <c r="M100" s="14"/>
      <c r="N100" s="35"/>
    </row>
    <row r="101" spans="1:14">
      <c r="A101" s="32" t="s">
        <v>1055</v>
      </c>
      <c r="B101" s="59" t="s">
        <v>887</v>
      </c>
      <c r="C101" s="10" t="s">
        <v>888</v>
      </c>
      <c r="D101" s="20" t="s">
        <v>916</v>
      </c>
      <c r="E101" s="41" t="s">
        <v>910</v>
      </c>
      <c r="F101" s="6"/>
      <c r="G101" s="11" t="s">
        <v>890</v>
      </c>
      <c r="H101" s="11" t="s">
        <v>894</v>
      </c>
      <c r="I101" s="6"/>
      <c r="J101" s="20"/>
      <c r="K101" s="11"/>
      <c r="L101" s="11"/>
      <c r="M101" s="14"/>
      <c r="N101" s="35"/>
    </row>
    <row r="102" spans="1:14">
      <c r="A102" s="32" t="s">
        <v>1056</v>
      </c>
      <c r="B102" s="59" t="s">
        <v>887</v>
      </c>
      <c r="C102" s="10" t="s">
        <v>888</v>
      </c>
      <c r="D102" s="20" t="s">
        <v>916</v>
      </c>
      <c r="E102" s="41" t="s">
        <v>911</v>
      </c>
      <c r="F102" s="6"/>
      <c r="G102" s="11" t="s">
        <v>893</v>
      </c>
      <c r="H102" s="11" t="s">
        <v>891</v>
      </c>
      <c r="I102" s="6"/>
      <c r="J102" s="20"/>
      <c r="K102" s="11"/>
      <c r="L102" s="11"/>
      <c r="M102" s="14"/>
      <c r="N102" s="35"/>
    </row>
    <row r="103" spans="1:14">
      <c r="A103" s="32" t="s">
        <v>1057</v>
      </c>
      <c r="B103" s="59" t="s">
        <v>887</v>
      </c>
      <c r="C103" s="10" t="s">
        <v>888</v>
      </c>
      <c r="D103" s="20" t="s">
        <v>916</v>
      </c>
      <c r="E103" s="41" t="s">
        <v>912</v>
      </c>
      <c r="F103" s="6"/>
      <c r="G103" s="11" t="s">
        <v>890</v>
      </c>
      <c r="H103" s="11" t="s">
        <v>894</v>
      </c>
      <c r="I103" s="6"/>
      <c r="J103" s="20"/>
      <c r="K103" s="11"/>
      <c r="L103" s="11"/>
      <c r="M103" s="14"/>
      <c r="N103" s="35"/>
    </row>
    <row r="104" spans="1:14">
      <c r="A104" s="32" t="s">
        <v>1058</v>
      </c>
      <c r="B104" s="59" t="s">
        <v>887</v>
      </c>
      <c r="C104" s="10" t="s">
        <v>888</v>
      </c>
      <c r="D104" s="20" t="s">
        <v>916</v>
      </c>
      <c r="E104" s="41" t="s">
        <v>913</v>
      </c>
      <c r="F104" s="6"/>
      <c r="G104" s="11" t="s">
        <v>893</v>
      </c>
      <c r="H104" s="11" t="s">
        <v>891</v>
      </c>
      <c r="I104" s="6"/>
      <c r="J104" s="20"/>
      <c r="K104" s="11"/>
      <c r="L104" s="11"/>
      <c r="M104" s="14"/>
      <c r="N104" s="35"/>
    </row>
    <row r="105" spans="1:14">
      <c r="A105" s="32" t="s">
        <v>1059</v>
      </c>
      <c r="B105" s="59" t="s">
        <v>887</v>
      </c>
      <c r="C105" s="10" t="s">
        <v>917</v>
      </c>
      <c r="D105" s="20" t="s">
        <v>889</v>
      </c>
      <c r="E105" s="41" t="s">
        <v>857</v>
      </c>
      <c r="F105" s="6"/>
      <c r="G105" s="11" t="s">
        <v>897</v>
      </c>
      <c r="H105" s="11" t="s">
        <v>898</v>
      </c>
      <c r="I105" s="6"/>
      <c r="J105" s="20"/>
      <c r="K105" s="11"/>
      <c r="L105" s="11"/>
      <c r="M105" s="14"/>
      <c r="N105" s="35"/>
    </row>
    <row r="106" spans="1:14">
      <c r="A106" s="32" t="s">
        <v>1060</v>
      </c>
      <c r="B106" s="59" t="s">
        <v>887</v>
      </c>
      <c r="C106" s="10" t="s">
        <v>917</v>
      </c>
      <c r="D106" s="20" t="s">
        <v>889</v>
      </c>
      <c r="E106" s="41" t="s">
        <v>861</v>
      </c>
      <c r="F106" s="6"/>
      <c r="G106" s="11" t="s">
        <v>893</v>
      </c>
      <c r="H106" s="11" t="s">
        <v>894</v>
      </c>
      <c r="I106" s="6"/>
      <c r="J106" s="20"/>
      <c r="K106" s="11"/>
      <c r="L106" s="11"/>
      <c r="M106" s="14"/>
      <c r="N106" s="35"/>
    </row>
    <row r="107" spans="1:14">
      <c r="A107" s="32" t="s">
        <v>1061</v>
      </c>
      <c r="B107" s="59" t="s">
        <v>887</v>
      </c>
      <c r="C107" s="10" t="s">
        <v>917</v>
      </c>
      <c r="D107" s="20" t="s">
        <v>889</v>
      </c>
      <c r="E107" s="41" t="s">
        <v>862</v>
      </c>
      <c r="F107" s="6"/>
      <c r="G107" s="11" t="s">
        <v>893</v>
      </c>
      <c r="H107" s="11" t="s">
        <v>894</v>
      </c>
      <c r="I107" s="6"/>
      <c r="J107" s="20"/>
      <c r="K107" s="11"/>
      <c r="L107" s="11"/>
      <c r="M107" s="14"/>
      <c r="N107" s="35"/>
    </row>
    <row r="108" spans="1:14">
      <c r="A108" s="32" t="s">
        <v>1062</v>
      </c>
      <c r="B108" s="59" t="s">
        <v>887</v>
      </c>
      <c r="C108" s="10" t="s">
        <v>917</v>
      </c>
      <c r="D108" s="20" t="s">
        <v>892</v>
      </c>
      <c r="E108" s="41" t="s">
        <v>857</v>
      </c>
      <c r="F108" s="6"/>
      <c r="G108" s="11" t="s">
        <v>897</v>
      </c>
      <c r="H108" s="11" t="s">
        <v>898</v>
      </c>
      <c r="I108" s="6"/>
      <c r="J108" s="20"/>
      <c r="K108" s="11"/>
      <c r="L108" s="11"/>
      <c r="M108" s="14"/>
      <c r="N108" s="35"/>
    </row>
    <row r="109" spans="1:14">
      <c r="A109" s="32" t="s">
        <v>1063</v>
      </c>
      <c r="B109" s="59" t="s">
        <v>887</v>
      </c>
      <c r="C109" s="10" t="s">
        <v>917</v>
      </c>
      <c r="D109" s="20" t="s">
        <v>892</v>
      </c>
      <c r="E109" s="41" t="s">
        <v>861</v>
      </c>
      <c r="F109" s="6"/>
      <c r="G109" s="11" t="s">
        <v>893</v>
      </c>
      <c r="H109" s="11" t="s">
        <v>891</v>
      </c>
      <c r="I109" s="6"/>
      <c r="J109" s="20"/>
      <c r="K109" s="11"/>
      <c r="L109" s="11"/>
      <c r="M109" s="14"/>
      <c r="N109" s="35"/>
    </row>
    <row r="110" spans="1:14">
      <c r="A110" s="32" t="s">
        <v>1064</v>
      </c>
      <c r="B110" s="59" t="s">
        <v>887</v>
      </c>
      <c r="C110" s="10" t="s">
        <v>917</v>
      </c>
      <c r="D110" s="20" t="s">
        <v>892</v>
      </c>
      <c r="E110" s="41" t="s">
        <v>862</v>
      </c>
      <c r="F110" s="6"/>
      <c r="G110" s="11" t="s">
        <v>893</v>
      </c>
      <c r="H110" s="11" t="s">
        <v>891</v>
      </c>
      <c r="I110" s="6"/>
      <c r="J110" s="20"/>
      <c r="K110" s="11"/>
      <c r="L110" s="11"/>
      <c r="M110" s="14"/>
      <c r="N110" s="35"/>
    </row>
    <row r="111" spans="1:14">
      <c r="A111" s="32" t="s">
        <v>1065</v>
      </c>
      <c r="B111" s="59" t="s">
        <v>887</v>
      </c>
      <c r="C111" s="10" t="s">
        <v>917</v>
      </c>
      <c r="D111" s="20" t="s">
        <v>892</v>
      </c>
      <c r="E111" s="41" t="s">
        <v>864</v>
      </c>
      <c r="F111" s="6"/>
      <c r="G111" s="11" t="s">
        <v>893</v>
      </c>
      <c r="H111" s="11" t="s">
        <v>894</v>
      </c>
      <c r="I111" s="6"/>
      <c r="J111" s="20"/>
      <c r="K111" s="11"/>
      <c r="L111" s="11"/>
      <c r="M111" s="14"/>
      <c r="N111" s="35"/>
    </row>
    <row r="112" spans="1:14">
      <c r="A112" s="32" t="s">
        <v>1066</v>
      </c>
      <c r="B112" s="59" t="s">
        <v>887</v>
      </c>
      <c r="C112" s="10" t="s">
        <v>917</v>
      </c>
      <c r="D112" s="20" t="s">
        <v>892</v>
      </c>
      <c r="E112" s="41" t="s">
        <v>865</v>
      </c>
      <c r="F112" s="6"/>
      <c r="G112" s="11" t="s">
        <v>893</v>
      </c>
      <c r="H112" s="11" t="s">
        <v>894</v>
      </c>
      <c r="I112" s="6"/>
      <c r="J112" s="20"/>
      <c r="K112" s="11"/>
      <c r="L112" s="11"/>
      <c r="M112" s="14"/>
      <c r="N112" s="35"/>
    </row>
    <row r="113" spans="1:14">
      <c r="A113" s="32" t="s">
        <v>1067</v>
      </c>
      <c r="B113" s="59" t="s">
        <v>887</v>
      </c>
      <c r="C113" s="10" t="s">
        <v>917</v>
      </c>
      <c r="D113" s="20" t="s">
        <v>892</v>
      </c>
      <c r="E113" s="41" t="s">
        <v>866</v>
      </c>
      <c r="F113" s="6"/>
      <c r="G113" s="11" t="s">
        <v>890</v>
      </c>
      <c r="H113" s="11" t="s">
        <v>894</v>
      </c>
      <c r="I113" s="6"/>
      <c r="J113" s="20"/>
      <c r="K113" s="11"/>
      <c r="L113" s="11"/>
      <c r="M113" s="14"/>
      <c r="N113" s="35"/>
    </row>
    <row r="114" spans="1:14">
      <c r="A114" s="32" t="s">
        <v>1068</v>
      </c>
      <c r="B114" s="59" t="s">
        <v>887</v>
      </c>
      <c r="C114" s="10" t="s">
        <v>917</v>
      </c>
      <c r="D114" s="20" t="s">
        <v>892</v>
      </c>
      <c r="E114" s="41" t="s">
        <v>867</v>
      </c>
      <c r="F114" s="6"/>
      <c r="G114" s="11" t="s">
        <v>893</v>
      </c>
      <c r="H114" s="11" t="s">
        <v>894</v>
      </c>
      <c r="I114" s="6"/>
      <c r="J114" s="20"/>
      <c r="K114" s="11"/>
      <c r="L114" s="11"/>
      <c r="M114" s="14"/>
      <c r="N114" s="35"/>
    </row>
    <row r="115" spans="1:14">
      <c r="A115" s="32" t="s">
        <v>1069</v>
      </c>
      <c r="B115" s="59" t="s">
        <v>887</v>
      </c>
      <c r="C115" s="10" t="s">
        <v>917</v>
      </c>
      <c r="D115" s="20" t="s">
        <v>892</v>
      </c>
      <c r="E115" s="41" t="s">
        <v>868</v>
      </c>
      <c r="F115" s="6"/>
      <c r="G115" s="11" t="s">
        <v>893</v>
      </c>
      <c r="H115" s="11" t="s">
        <v>894</v>
      </c>
      <c r="I115" s="6"/>
      <c r="J115" s="20"/>
      <c r="K115" s="11"/>
      <c r="L115" s="11"/>
      <c r="M115" s="14"/>
      <c r="N115" s="35"/>
    </row>
    <row r="116" spans="1:14">
      <c r="A116" s="32" t="s">
        <v>1070</v>
      </c>
      <c r="B116" s="59" t="s">
        <v>887</v>
      </c>
      <c r="C116" s="10" t="s">
        <v>917</v>
      </c>
      <c r="D116" s="20" t="s">
        <v>892</v>
      </c>
      <c r="E116" s="41" t="s">
        <v>895</v>
      </c>
      <c r="F116" s="6"/>
      <c r="G116" s="11" t="s">
        <v>893</v>
      </c>
      <c r="H116" s="11" t="s">
        <v>891</v>
      </c>
      <c r="I116" s="6"/>
      <c r="J116" s="20"/>
      <c r="K116" s="11"/>
      <c r="L116" s="11"/>
      <c r="M116" s="14"/>
      <c r="N116" s="35"/>
    </row>
    <row r="117" spans="1:14">
      <c r="A117" s="32" t="s">
        <v>1071</v>
      </c>
      <c r="B117" s="59" t="s">
        <v>887</v>
      </c>
      <c r="C117" s="10" t="s">
        <v>917</v>
      </c>
      <c r="D117" s="20" t="s">
        <v>892</v>
      </c>
      <c r="E117" s="41" t="s">
        <v>896</v>
      </c>
      <c r="F117" s="6"/>
      <c r="G117" s="11" t="s">
        <v>897</v>
      </c>
      <c r="H117" s="11" t="s">
        <v>898</v>
      </c>
      <c r="I117" s="6"/>
      <c r="J117" s="20"/>
      <c r="K117" s="11"/>
      <c r="L117" s="11"/>
      <c r="M117" s="14"/>
      <c r="N117" s="35"/>
    </row>
    <row r="118" spans="1:14">
      <c r="A118" s="32" t="s">
        <v>1072</v>
      </c>
      <c r="B118" s="59" t="s">
        <v>887</v>
      </c>
      <c r="C118" s="10" t="s">
        <v>917</v>
      </c>
      <c r="D118" s="20" t="s">
        <v>892</v>
      </c>
      <c r="E118" s="41" t="s">
        <v>899</v>
      </c>
      <c r="F118" s="6"/>
      <c r="G118" s="11" t="s">
        <v>893</v>
      </c>
      <c r="H118" s="11" t="s">
        <v>894</v>
      </c>
      <c r="I118" s="6"/>
      <c r="J118" s="20"/>
      <c r="K118" s="11"/>
      <c r="L118" s="11"/>
      <c r="M118" s="14"/>
      <c r="N118" s="35"/>
    </row>
    <row r="119" spans="1:14">
      <c r="A119" s="32" t="s">
        <v>1073</v>
      </c>
      <c r="B119" s="59" t="s">
        <v>887</v>
      </c>
      <c r="C119" s="10" t="s">
        <v>917</v>
      </c>
      <c r="D119" s="20" t="s">
        <v>892</v>
      </c>
      <c r="E119" s="41" t="s">
        <v>900</v>
      </c>
      <c r="F119" s="6"/>
      <c r="G119" s="11" t="s">
        <v>893</v>
      </c>
      <c r="H119" s="11" t="s">
        <v>891</v>
      </c>
      <c r="I119" s="6"/>
      <c r="J119" s="20"/>
      <c r="K119" s="11"/>
      <c r="L119" s="11"/>
      <c r="M119" s="14"/>
      <c r="N119" s="35"/>
    </row>
    <row r="120" spans="1:14">
      <c r="A120" s="32" t="s">
        <v>1074</v>
      </c>
      <c r="B120" s="59" t="s">
        <v>887</v>
      </c>
      <c r="C120" s="10" t="s">
        <v>917</v>
      </c>
      <c r="D120" s="20" t="s">
        <v>892</v>
      </c>
      <c r="E120" s="41" t="s">
        <v>901</v>
      </c>
      <c r="F120" s="6"/>
      <c r="G120" s="11" t="s">
        <v>890</v>
      </c>
      <c r="H120" s="11" t="s">
        <v>894</v>
      </c>
      <c r="I120" s="6"/>
      <c r="J120" s="20"/>
      <c r="K120" s="11"/>
      <c r="L120" s="11"/>
      <c r="M120" s="14"/>
      <c r="N120" s="35"/>
    </row>
    <row r="121" spans="1:14">
      <c r="A121" s="32" t="s">
        <v>1075</v>
      </c>
      <c r="B121" s="59" t="s">
        <v>887</v>
      </c>
      <c r="C121" s="10" t="s">
        <v>917</v>
      </c>
      <c r="D121" s="20" t="s">
        <v>892</v>
      </c>
      <c r="E121" s="41" t="s">
        <v>902</v>
      </c>
      <c r="F121" s="6"/>
      <c r="G121" s="11" t="s">
        <v>897</v>
      </c>
      <c r="H121" s="11" t="s">
        <v>898</v>
      </c>
      <c r="I121" s="6"/>
      <c r="J121" s="20"/>
      <c r="K121" s="11"/>
      <c r="L121" s="11"/>
      <c r="M121" s="14"/>
      <c r="N121" s="35"/>
    </row>
    <row r="122" spans="1:14">
      <c r="A122" s="32" t="s">
        <v>1076</v>
      </c>
      <c r="B122" s="59" t="s">
        <v>887</v>
      </c>
      <c r="C122" s="10" t="s">
        <v>917</v>
      </c>
      <c r="D122" s="20" t="s">
        <v>892</v>
      </c>
      <c r="E122" s="41" t="s">
        <v>903</v>
      </c>
      <c r="F122" s="6"/>
      <c r="G122" s="11" t="s">
        <v>897</v>
      </c>
      <c r="H122" s="11" t="s">
        <v>898</v>
      </c>
      <c r="I122" s="6"/>
      <c r="J122" s="20"/>
      <c r="K122" s="11"/>
      <c r="L122" s="11"/>
      <c r="M122" s="14"/>
      <c r="N122" s="35"/>
    </row>
    <row r="123" spans="1:14">
      <c r="A123" s="32" t="s">
        <v>1077</v>
      </c>
      <c r="B123" s="59" t="s">
        <v>887</v>
      </c>
      <c r="C123" s="10" t="s">
        <v>917</v>
      </c>
      <c r="D123" s="20" t="s">
        <v>892</v>
      </c>
      <c r="E123" s="41" t="s">
        <v>904</v>
      </c>
      <c r="F123" s="6"/>
      <c r="G123" s="11" t="s">
        <v>893</v>
      </c>
      <c r="H123" s="11" t="s">
        <v>894</v>
      </c>
      <c r="I123" s="6"/>
      <c r="J123" s="20"/>
      <c r="K123" s="11"/>
      <c r="L123" s="11"/>
      <c r="M123" s="14"/>
      <c r="N123" s="35"/>
    </row>
    <row r="124" spans="1:14">
      <c r="A124" s="32" t="s">
        <v>1078</v>
      </c>
      <c r="B124" s="59" t="s">
        <v>887</v>
      </c>
      <c r="C124" s="10" t="s">
        <v>917</v>
      </c>
      <c r="D124" s="20" t="s">
        <v>892</v>
      </c>
      <c r="E124" s="41" t="s">
        <v>905</v>
      </c>
      <c r="F124" s="6"/>
      <c r="G124" s="11" t="s">
        <v>890</v>
      </c>
      <c r="H124" s="11" t="s">
        <v>908</v>
      </c>
      <c r="I124" s="6"/>
      <c r="J124" s="20"/>
      <c r="K124" s="11"/>
      <c r="L124" s="11"/>
      <c r="M124" s="14"/>
      <c r="N124" s="35"/>
    </row>
    <row r="125" spans="1:14">
      <c r="A125" s="32" t="s">
        <v>1079</v>
      </c>
      <c r="B125" s="59" t="s">
        <v>887</v>
      </c>
      <c r="C125" s="10" t="s">
        <v>917</v>
      </c>
      <c r="D125" s="20" t="s">
        <v>892</v>
      </c>
      <c r="E125" s="41" t="s">
        <v>906</v>
      </c>
      <c r="F125" s="6"/>
      <c r="G125" s="11" t="s">
        <v>893</v>
      </c>
      <c r="H125" s="11" t="s">
        <v>891</v>
      </c>
      <c r="I125" s="6"/>
      <c r="J125" s="20"/>
      <c r="K125" s="11"/>
      <c r="L125" s="11"/>
      <c r="M125" s="14"/>
      <c r="N125" s="35"/>
    </row>
    <row r="126" spans="1:14">
      <c r="A126" s="32" t="s">
        <v>1080</v>
      </c>
      <c r="B126" s="59" t="s">
        <v>887</v>
      </c>
      <c r="C126" s="10" t="s">
        <v>917</v>
      </c>
      <c r="D126" s="20" t="s">
        <v>892</v>
      </c>
      <c r="E126" s="41" t="s">
        <v>907</v>
      </c>
      <c r="F126" s="6"/>
      <c r="G126" s="11" t="s">
        <v>893</v>
      </c>
      <c r="H126" s="11" t="s">
        <v>894</v>
      </c>
      <c r="I126" s="6"/>
      <c r="J126" s="20"/>
      <c r="K126" s="11"/>
      <c r="L126" s="11"/>
      <c r="M126" s="14"/>
      <c r="N126" s="35"/>
    </row>
    <row r="127" spans="1:14">
      <c r="A127" s="32" t="s">
        <v>1081</v>
      </c>
      <c r="B127" s="59" t="s">
        <v>887</v>
      </c>
      <c r="C127" s="10" t="s">
        <v>917</v>
      </c>
      <c r="D127" s="20" t="s">
        <v>892</v>
      </c>
      <c r="E127" s="41" t="s">
        <v>909</v>
      </c>
      <c r="F127" s="6"/>
      <c r="G127" s="11" t="s">
        <v>893</v>
      </c>
      <c r="H127" s="11" t="s">
        <v>894</v>
      </c>
      <c r="I127" s="6"/>
      <c r="J127" s="20"/>
      <c r="K127" s="11"/>
      <c r="L127" s="11"/>
      <c r="M127" s="14"/>
      <c r="N127" s="35"/>
    </row>
    <row r="128" spans="1:14">
      <c r="A128" s="32" t="s">
        <v>1082</v>
      </c>
      <c r="B128" s="59" t="s">
        <v>887</v>
      </c>
      <c r="C128" s="10" t="s">
        <v>917</v>
      </c>
      <c r="D128" s="20" t="s">
        <v>892</v>
      </c>
      <c r="E128" s="41" t="s">
        <v>910</v>
      </c>
      <c r="F128" s="6"/>
      <c r="G128" s="11" t="s">
        <v>897</v>
      </c>
      <c r="H128" s="11" t="s">
        <v>898</v>
      </c>
      <c r="I128" s="6"/>
      <c r="J128" s="20"/>
      <c r="K128" s="11"/>
      <c r="L128" s="11"/>
      <c r="M128" s="14"/>
      <c r="N128" s="35"/>
    </row>
    <row r="129" spans="1:14">
      <c r="A129" s="32" t="s">
        <v>1083</v>
      </c>
      <c r="B129" s="59" t="s">
        <v>887</v>
      </c>
      <c r="C129" s="10" t="s">
        <v>917</v>
      </c>
      <c r="D129" s="20" t="s">
        <v>892</v>
      </c>
      <c r="E129" s="41" t="s">
        <v>911</v>
      </c>
      <c r="F129" s="6"/>
      <c r="G129" s="11" t="s">
        <v>893</v>
      </c>
      <c r="H129" s="11" t="s">
        <v>894</v>
      </c>
      <c r="I129" s="6"/>
      <c r="J129" s="20"/>
      <c r="K129" s="11"/>
      <c r="L129" s="11"/>
      <c r="M129" s="14"/>
      <c r="N129" s="35"/>
    </row>
    <row r="130" spans="1:14">
      <c r="A130" s="32" t="s">
        <v>1084</v>
      </c>
      <c r="B130" s="59" t="s">
        <v>887</v>
      </c>
      <c r="C130" s="10" t="s">
        <v>917</v>
      </c>
      <c r="D130" s="20" t="s">
        <v>892</v>
      </c>
      <c r="E130" s="41" t="s">
        <v>912</v>
      </c>
      <c r="F130" s="6"/>
      <c r="G130" s="11" t="s">
        <v>893</v>
      </c>
      <c r="H130" s="11" t="s">
        <v>894</v>
      </c>
      <c r="I130" s="6"/>
      <c r="J130" s="20"/>
      <c r="K130" s="11"/>
      <c r="L130" s="11"/>
      <c r="M130" s="14"/>
      <c r="N130" s="35"/>
    </row>
    <row r="131" spans="1:14">
      <c r="A131" s="32" t="s">
        <v>1085</v>
      </c>
      <c r="B131" s="59" t="s">
        <v>887</v>
      </c>
      <c r="C131" s="10" t="s">
        <v>917</v>
      </c>
      <c r="D131" s="20" t="s">
        <v>892</v>
      </c>
      <c r="E131" s="41" t="s">
        <v>913</v>
      </c>
      <c r="F131" s="6"/>
      <c r="G131" s="11" t="s">
        <v>893</v>
      </c>
      <c r="H131" s="11" t="s">
        <v>898</v>
      </c>
      <c r="I131" s="6"/>
      <c r="J131" s="20"/>
      <c r="K131" s="11"/>
      <c r="L131" s="11"/>
      <c r="M131" s="14"/>
      <c r="N131" s="35"/>
    </row>
    <row r="132" spans="1:14">
      <c r="A132" s="32" t="s">
        <v>1086</v>
      </c>
      <c r="B132" s="59" t="s">
        <v>887</v>
      </c>
      <c r="C132" s="10" t="s">
        <v>917</v>
      </c>
      <c r="D132" s="20" t="s">
        <v>914</v>
      </c>
      <c r="E132" s="41" t="s">
        <v>857</v>
      </c>
      <c r="F132" s="6"/>
      <c r="G132" s="11" t="s">
        <v>893</v>
      </c>
      <c r="H132" s="11" t="s">
        <v>891</v>
      </c>
      <c r="I132" s="6"/>
      <c r="J132" s="20"/>
      <c r="K132" s="11"/>
      <c r="L132" s="11"/>
      <c r="M132" s="14"/>
      <c r="N132" s="35"/>
    </row>
    <row r="133" spans="1:14">
      <c r="A133" s="32" t="s">
        <v>1087</v>
      </c>
      <c r="B133" s="59" t="s">
        <v>887</v>
      </c>
      <c r="C133" s="10" t="s">
        <v>917</v>
      </c>
      <c r="D133" s="20" t="s">
        <v>914</v>
      </c>
      <c r="E133" s="41" t="s">
        <v>861</v>
      </c>
      <c r="F133" s="6"/>
      <c r="G133" s="11" t="s">
        <v>893</v>
      </c>
      <c r="H133" s="11" t="s">
        <v>894</v>
      </c>
      <c r="I133" s="6"/>
      <c r="J133" s="20"/>
      <c r="K133" s="11"/>
      <c r="L133" s="11"/>
      <c r="M133" s="14"/>
      <c r="N133" s="35"/>
    </row>
    <row r="134" spans="1:14">
      <c r="A134" s="32" t="s">
        <v>1088</v>
      </c>
      <c r="B134" s="59" t="s">
        <v>887</v>
      </c>
      <c r="C134" s="10" t="s">
        <v>917</v>
      </c>
      <c r="D134" s="20" t="s">
        <v>914</v>
      </c>
      <c r="E134" s="41" t="s">
        <v>862</v>
      </c>
      <c r="F134" s="6"/>
      <c r="G134" s="11" t="s">
        <v>893</v>
      </c>
      <c r="H134" s="11" t="s">
        <v>894</v>
      </c>
      <c r="I134" s="6"/>
      <c r="J134" s="20"/>
      <c r="K134" s="11"/>
      <c r="L134" s="11"/>
      <c r="M134" s="14"/>
      <c r="N134" s="35"/>
    </row>
    <row r="135" spans="1:14">
      <c r="A135" s="32" t="s">
        <v>1089</v>
      </c>
      <c r="B135" s="59" t="s">
        <v>887</v>
      </c>
      <c r="C135" s="10" t="s">
        <v>917</v>
      </c>
      <c r="D135" s="20" t="s">
        <v>914</v>
      </c>
      <c r="E135" s="41" t="s">
        <v>864</v>
      </c>
      <c r="F135" s="6"/>
      <c r="G135" s="11" t="s">
        <v>893</v>
      </c>
      <c r="H135" s="11" t="s">
        <v>894</v>
      </c>
      <c r="I135" s="6"/>
      <c r="J135" s="20"/>
      <c r="K135" s="11"/>
      <c r="L135" s="11"/>
      <c r="M135" s="14"/>
      <c r="N135" s="35"/>
    </row>
    <row r="136" spans="1:14">
      <c r="A136" s="32" t="s">
        <v>1090</v>
      </c>
      <c r="B136" s="59" t="s">
        <v>887</v>
      </c>
      <c r="C136" s="10" t="s">
        <v>917</v>
      </c>
      <c r="D136" s="20" t="s">
        <v>914</v>
      </c>
      <c r="E136" s="41" t="s">
        <v>865</v>
      </c>
      <c r="F136" s="6"/>
      <c r="G136" s="11" t="s">
        <v>893</v>
      </c>
      <c r="H136" s="11" t="s">
        <v>894</v>
      </c>
      <c r="I136" s="6"/>
      <c r="J136" s="20"/>
      <c r="K136" s="11"/>
      <c r="L136" s="11"/>
      <c r="M136" s="14"/>
      <c r="N136" s="35"/>
    </row>
    <row r="137" spans="1:14">
      <c r="A137" s="32" t="s">
        <v>1091</v>
      </c>
      <c r="B137" s="59" t="s">
        <v>887</v>
      </c>
      <c r="C137" s="10" t="s">
        <v>917</v>
      </c>
      <c r="D137" s="20" t="s">
        <v>914</v>
      </c>
      <c r="E137" s="41" t="s">
        <v>866</v>
      </c>
      <c r="F137" s="6"/>
      <c r="G137" s="11" t="s">
        <v>893</v>
      </c>
      <c r="H137" s="11" t="s">
        <v>898</v>
      </c>
      <c r="I137" s="6"/>
      <c r="J137" s="20"/>
      <c r="K137" s="11"/>
      <c r="L137" s="11"/>
      <c r="M137" s="14"/>
      <c r="N137" s="35"/>
    </row>
    <row r="138" spans="1:14">
      <c r="A138" s="32" t="s">
        <v>1092</v>
      </c>
      <c r="B138" s="59" t="s">
        <v>887</v>
      </c>
      <c r="C138" s="10" t="s">
        <v>917</v>
      </c>
      <c r="D138" s="20" t="s">
        <v>914</v>
      </c>
      <c r="E138" s="41" t="s">
        <v>867</v>
      </c>
      <c r="F138" s="6"/>
      <c r="G138" s="11" t="s">
        <v>893</v>
      </c>
      <c r="H138" s="11" t="s">
        <v>894</v>
      </c>
      <c r="I138" s="6"/>
      <c r="J138" s="20"/>
      <c r="K138" s="11"/>
      <c r="L138" s="11"/>
      <c r="M138" s="14"/>
      <c r="N138" s="35"/>
    </row>
    <row r="139" spans="1:14">
      <c r="A139" s="32" t="s">
        <v>1093</v>
      </c>
      <c r="B139" s="59" t="s">
        <v>887</v>
      </c>
      <c r="C139" s="10" t="s">
        <v>917</v>
      </c>
      <c r="D139" s="20" t="s">
        <v>914</v>
      </c>
      <c r="E139" s="41" t="s">
        <v>868</v>
      </c>
      <c r="F139" s="6"/>
      <c r="G139" s="11" t="s">
        <v>893</v>
      </c>
      <c r="H139" s="11" t="s">
        <v>891</v>
      </c>
      <c r="I139" s="6"/>
      <c r="J139" s="20"/>
      <c r="K139" s="11"/>
      <c r="L139" s="11"/>
      <c r="M139" s="14"/>
      <c r="N139" s="35"/>
    </row>
    <row r="140" spans="1:14">
      <c r="A140" s="32" t="s">
        <v>1094</v>
      </c>
      <c r="B140" s="59" t="s">
        <v>887</v>
      </c>
      <c r="C140" s="10" t="s">
        <v>917</v>
      </c>
      <c r="D140" s="20" t="s">
        <v>914</v>
      </c>
      <c r="E140" s="41" t="s">
        <v>895</v>
      </c>
      <c r="F140" s="6"/>
      <c r="G140" s="11" t="s">
        <v>893</v>
      </c>
      <c r="H140" s="11" t="s">
        <v>894</v>
      </c>
      <c r="I140" s="6"/>
      <c r="J140" s="20"/>
      <c r="K140" s="11"/>
      <c r="L140" s="11"/>
      <c r="M140" s="14"/>
      <c r="N140" s="35"/>
    </row>
    <row r="141" spans="1:14">
      <c r="A141" s="32" t="s">
        <v>1095</v>
      </c>
      <c r="B141" s="59" t="s">
        <v>887</v>
      </c>
      <c r="C141" s="10" t="s">
        <v>917</v>
      </c>
      <c r="D141" s="20" t="s">
        <v>914</v>
      </c>
      <c r="E141" s="41" t="s">
        <v>896</v>
      </c>
      <c r="F141" s="6"/>
      <c r="G141" s="11" t="s">
        <v>893</v>
      </c>
      <c r="H141" s="11" t="s">
        <v>894</v>
      </c>
      <c r="I141" s="6"/>
      <c r="J141" s="20"/>
      <c r="K141" s="11"/>
      <c r="L141" s="11"/>
      <c r="M141" s="14"/>
      <c r="N141" s="35"/>
    </row>
    <row r="142" spans="1:14">
      <c r="A142" s="32" t="s">
        <v>1096</v>
      </c>
      <c r="B142" s="59" t="s">
        <v>887</v>
      </c>
      <c r="C142" s="10" t="s">
        <v>917</v>
      </c>
      <c r="D142" s="20" t="s">
        <v>914</v>
      </c>
      <c r="E142" s="41" t="s">
        <v>899</v>
      </c>
      <c r="F142" s="6"/>
      <c r="G142" s="11" t="s">
        <v>893</v>
      </c>
      <c r="H142" s="11" t="s">
        <v>891</v>
      </c>
      <c r="I142" s="6"/>
      <c r="J142" s="20"/>
      <c r="K142" s="11"/>
      <c r="L142" s="11"/>
      <c r="M142" s="14"/>
      <c r="N142" s="35"/>
    </row>
    <row r="143" spans="1:14">
      <c r="A143" s="32" t="s">
        <v>1097</v>
      </c>
      <c r="B143" s="59" t="s">
        <v>887</v>
      </c>
      <c r="C143" s="10" t="s">
        <v>917</v>
      </c>
      <c r="D143" s="20" t="s">
        <v>914</v>
      </c>
      <c r="E143" s="41" t="s">
        <v>900</v>
      </c>
      <c r="F143" s="6"/>
      <c r="G143" s="11" t="s">
        <v>893</v>
      </c>
      <c r="H143" s="11" t="s">
        <v>894</v>
      </c>
      <c r="I143" s="6"/>
      <c r="J143" s="20"/>
      <c r="K143" s="11"/>
      <c r="L143" s="11"/>
      <c r="M143" s="14"/>
      <c r="N143" s="35"/>
    </row>
    <row r="144" spans="1:14">
      <c r="A144" s="32" t="s">
        <v>1098</v>
      </c>
      <c r="B144" s="59" t="s">
        <v>887</v>
      </c>
      <c r="C144" s="10" t="s">
        <v>917</v>
      </c>
      <c r="D144" s="20" t="s">
        <v>914</v>
      </c>
      <c r="E144" s="41" t="s">
        <v>901</v>
      </c>
      <c r="F144" s="6"/>
      <c r="G144" s="11" t="s">
        <v>893</v>
      </c>
      <c r="H144" s="11" t="s">
        <v>894</v>
      </c>
      <c r="I144" s="6"/>
      <c r="J144" s="20"/>
      <c r="K144" s="11"/>
      <c r="L144" s="11"/>
      <c r="M144" s="14"/>
      <c r="N144" s="35"/>
    </row>
    <row r="145" spans="1:14">
      <c r="A145" s="32" t="s">
        <v>1099</v>
      </c>
      <c r="B145" s="59" t="s">
        <v>887</v>
      </c>
      <c r="C145" s="10" t="s">
        <v>917</v>
      </c>
      <c r="D145" s="20" t="s">
        <v>914</v>
      </c>
      <c r="E145" s="41" t="s">
        <v>902</v>
      </c>
      <c r="F145" s="6"/>
      <c r="G145" s="11" t="s">
        <v>893</v>
      </c>
      <c r="H145" s="11" t="s">
        <v>894</v>
      </c>
      <c r="I145" s="6"/>
      <c r="J145" s="20"/>
      <c r="K145" s="11"/>
      <c r="L145" s="11"/>
      <c r="M145" s="14"/>
      <c r="N145" s="35"/>
    </row>
    <row r="146" spans="1:14">
      <c r="A146" s="32" t="s">
        <v>1100</v>
      </c>
      <c r="B146" s="59" t="s">
        <v>887</v>
      </c>
      <c r="C146" s="10" t="s">
        <v>917</v>
      </c>
      <c r="D146" s="20" t="s">
        <v>914</v>
      </c>
      <c r="E146" s="41" t="s">
        <v>903</v>
      </c>
      <c r="F146" s="6"/>
      <c r="G146" s="11" t="s">
        <v>890</v>
      </c>
      <c r="H146" s="11" t="s">
        <v>894</v>
      </c>
      <c r="I146" s="6"/>
      <c r="J146" s="20"/>
      <c r="K146" s="11"/>
      <c r="L146" s="11"/>
      <c r="M146" s="14"/>
      <c r="N146" s="35"/>
    </row>
    <row r="147" spans="1:14">
      <c r="A147" s="32" t="s">
        <v>1101</v>
      </c>
      <c r="B147" s="59" t="s">
        <v>887</v>
      </c>
      <c r="C147" s="10" t="s">
        <v>917</v>
      </c>
      <c r="D147" s="20" t="s">
        <v>914</v>
      </c>
      <c r="E147" s="41" t="s">
        <v>904</v>
      </c>
      <c r="F147" s="6"/>
      <c r="G147" s="11" t="s">
        <v>890</v>
      </c>
      <c r="H147" s="11" t="s">
        <v>891</v>
      </c>
      <c r="I147" s="6"/>
      <c r="J147" s="20"/>
      <c r="K147" s="11"/>
      <c r="L147" s="11"/>
      <c r="M147" s="14"/>
      <c r="N147" s="35"/>
    </row>
    <row r="148" spans="1:14">
      <c r="A148" s="32" t="s">
        <v>1102</v>
      </c>
      <c r="B148" s="59" t="s">
        <v>887</v>
      </c>
      <c r="C148" s="10" t="s">
        <v>917</v>
      </c>
      <c r="D148" s="20" t="s">
        <v>914</v>
      </c>
      <c r="E148" s="41" t="s">
        <v>905</v>
      </c>
      <c r="F148" s="6"/>
      <c r="G148" s="11" t="s">
        <v>897</v>
      </c>
      <c r="H148" s="11" t="s">
        <v>898</v>
      </c>
      <c r="I148" s="6"/>
      <c r="J148" s="20"/>
      <c r="K148" s="11"/>
      <c r="L148" s="11"/>
      <c r="M148" s="14"/>
      <c r="N148" s="35"/>
    </row>
    <row r="149" spans="1:14">
      <c r="A149" s="32" t="s">
        <v>1103</v>
      </c>
      <c r="B149" s="59" t="s">
        <v>887</v>
      </c>
      <c r="C149" s="10" t="s">
        <v>917</v>
      </c>
      <c r="D149" s="20" t="s">
        <v>914</v>
      </c>
      <c r="E149" s="41" t="s">
        <v>906</v>
      </c>
      <c r="F149" s="6"/>
      <c r="G149" s="11" t="s">
        <v>893</v>
      </c>
      <c r="H149" s="11" t="s">
        <v>894</v>
      </c>
      <c r="I149" s="6"/>
      <c r="J149" s="20"/>
      <c r="K149" s="11"/>
      <c r="L149" s="11"/>
      <c r="M149" s="14"/>
      <c r="N149" s="35"/>
    </row>
    <row r="150" spans="1:14">
      <c r="A150" s="32" t="s">
        <v>1104</v>
      </c>
      <c r="B150" s="59" t="s">
        <v>887</v>
      </c>
      <c r="C150" s="10" t="s">
        <v>917</v>
      </c>
      <c r="D150" s="20" t="s">
        <v>914</v>
      </c>
      <c r="E150" s="41" t="s">
        <v>907</v>
      </c>
      <c r="F150" s="6"/>
      <c r="G150" s="11" t="s">
        <v>893</v>
      </c>
      <c r="H150" s="11" t="s">
        <v>891</v>
      </c>
      <c r="I150" s="6"/>
      <c r="J150" s="20"/>
      <c r="K150" s="11"/>
      <c r="L150" s="11"/>
      <c r="M150" s="14"/>
      <c r="N150" s="35"/>
    </row>
    <row r="151" spans="1:14">
      <c r="A151" s="32" t="s">
        <v>1105</v>
      </c>
      <c r="B151" s="59" t="s">
        <v>887</v>
      </c>
      <c r="C151" s="10" t="s">
        <v>917</v>
      </c>
      <c r="D151" s="20" t="s">
        <v>914</v>
      </c>
      <c r="E151" s="41" t="s">
        <v>909</v>
      </c>
      <c r="F151" s="6"/>
      <c r="G151" s="11" t="s">
        <v>893</v>
      </c>
      <c r="H151" s="11" t="s">
        <v>908</v>
      </c>
      <c r="I151" s="6"/>
      <c r="J151" s="20"/>
      <c r="K151" s="11"/>
      <c r="L151" s="11"/>
      <c r="M151" s="14"/>
      <c r="N151" s="35"/>
    </row>
    <row r="152" spans="1:14">
      <c r="A152" s="32" t="s">
        <v>1106</v>
      </c>
      <c r="B152" s="59" t="s">
        <v>887</v>
      </c>
      <c r="C152" s="10" t="s">
        <v>917</v>
      </c>
      <c r="D152" s="20" t="s">
        <v>914</v>
      </c>
      <c r="E152" s="41" t="s">
        <v>910</v>
      </c>
      <c r="F152" s="6"/>
      <c r="G152" s="11" t="s">
        <v>893</v>
      </c>
      <c r="H152" s="11" t="s">
        <v>894</v>
      </c>
      <c r="I152" s="6"/>
      <c r="J152" s="20"/>
      <c r="K152" s="11"/>
      <c r="L152" s="11"/>
      <c r="M152" s="14"/>
      <c r="N152" s="35"/>
    </row>
    <row r="153" spans="1:14">
      <c r="A153" s="32" t="s">
        <v>1107</v>
      </c>
      <c r="B153" s="59" t="s">
        <v>887</v>
      </c>
      <c r="C153" s="10" t="s">
        <v>917</v>
      </c>
      <c r="D153" s="20" t="s">
        <v>914</v>
      </c>
      <c r="E153" s="41" t="s">
        <v>911</v>
      </c>
      <c r="F153" s="6"/>
      <c r="G153" s="11" t="s">
        <v>893</v>
      </c>
      <c r="H153" s="11" t="s">
        <v>891</v>
      </c>
      <c r="I153" s="6"/>
      <c r="J153" s="20"/>
      <c r="K153" s="11"/>
      <c r="L153" s="11"/>
      <c r="M153" s="14"/>
      <c r="N153" s="35"/>
    </row>
    <row r="154" spans="1:14">
      <c r="A154" s="32" t="s">
        <v>1108</v>
      </c>
      <c r="B154" s="59" t="s">
        <v>887</v>
      </c>
      <c r="C154" s="10" t="s">
        <v>917</v>
      </c>
      <c r="D154" s="20" t="s">
        <v>914</v>
      </c>
      <c r="E154" s="41" t="s">
        <v>912</v>
      </c>
      <c r="F154" s="6"/>
      <c r="G154" s="11" t="s">
        <v>893</v>
      </c>
      <c r="H154" s="11" t="s">
        <v>894</v>
      </c>
      <c r="I154" s="6"/>
      <c r="J154" s="20"/>
      <c r="K154" s="11"/>
      <c r="L154" s="11"/>
      <c r="M154" s="14"/>
      <c r="N154" s="35"/>
    </row>
    <row r="155" spans="1:14">
      <c r="A155" s="32" t="s">
        <v>1109</v>
      </c>
      <c r="B155" s="59" t="s">
        <v>887</v>
      </c>
      <c r="C155" s="10" t="s">
        <v>917</v>
      </c>
      <c r="D155" s="20" t="s">
        <v>914</v>
      </c>
      <c r="E155" s="41" t="s">
        <v>913</v>
      </c>
      <c r="F155" s="6"/>
      <c r="G155" s="11" t="s">
        <v>893</v>
      </c>
      <c r="H155" s="11" t="s">
        <v>891</v>
      </c>
      <c r="I155" s="6"/>
      <c r="J155" s="20"/>
      <c r="K155" s="11"/>
      <c r="L155" s="11"/>
      <c r="M155" s="14"/>
      <c r="N155" s="35"/>
    </row>
    <row r="156" spans="1:14">
      <c r="A156" s="32" t="s">
        <v>1110</v>
      </c>
      <c r="B156" s="59" t="s">
        <v>887</v>
      </c>
      <c r="C156" s="10" t="s">
        <v>917</v>
      </c>
      <c r="D156" s="20" t="s">
        <v>915</v>
      </c>
      <c r="E156" s="41" t="s">
        <v>857</v>
      </c>
      <c r="F156" s="6"/>
      <c r="G156" s="11" t="s">
        <v>893</v>
      </c>
      <c r="H156" s="11" t="s">
        <v>891</v>
      </c>
      <c r="I156" s="6"/>
      <c r="J156" s="20"/>
      <c r="K156" s="11"/>
      <c r="L156" s="11"/>
      <c r="M156" s="14"/>
      <c r="N156" s="35"/>
    </row>
    <row r="157" spans="1:14">
      <c r="A157" s="32" t="s">
        <v>1111</v>
      </c>
      <c r="B157" s="59" t="s">
        <v>887</v>
      </c>
      <c r="C157" s="10" t="s">
        <v>917</v>
      </c>
      <c r="D157" s="20" t="s">
        <v>915</v>
      </c>
      <c r="E157" s="41" t="s">
        <v>861</v>
      </c>
      <c r="F157" s="6"/>
      <c r="G157" s="11" t="s">
        <v>893</v>
      </c>
      <c r="H157" s="11" t="s">
        <v>891</v>
      </c>
      <c r="I157" s="6"/>
      <c r="J157" s="20"/>
      <c r="K157" s="11"/>
      <c r="L157" s="11"/>
      <c r="M157" s="14"/>
      <c r="N157" s="35"/>
    </row>
    <row r="158" spans="1:14">
      <c r="A158" s="32" t="s">
        <v>1112</v>
      </c>
      <c r="B158" s="59" t="s">
        <v>887</v>
      </c>
      <c r="C158" s="10" t="s">
        <v>917</v>
      </c>
      <c r="D158" s="20" t="s">
        <v>915</v>
      </c>
      <c r="E158" s="41" t="s">
        <v>862</v>
      </c>
      <c r="F158" s="6"/>
      <c r="G158" s="11" t="s">
        <v>893</v>
      </c>
      <c r="H158" s="11" t="s">
        <v>891</v>
      </c>
      <c r="I158" s="6"/>
      <c r="J158" s="20"/>
      <c r="K158" s="11"/>
      <c r="L158" s="11"/>
      <c r="M158" s="14"/>
      <c r="N158" s="35"/>
    </row>
    <row r="159" spans="1:14">
      <c r="A159" s="32" t="s">
        <v>1113</v>
      </c>
      <c r="B159" s="59" t="s">
        <v>887</v>
      </c>
      <c r="C159" s="10" t="s">
        <v>917</v>
      </c>
      <c r="D159" s="20" t="s">
        <v>915</v>
      </c>
      <c r="E159" s="41" t="s">
        <v>864</v>
      </c>
      <c r="F159" s="6"/>
      <c r="G159" s="11" t="s">
        <v>890</v>
      </c>
      <c r="H159" s="11" t="s">
        <v>908</v>
      </c>
      <c r="I159" s="6"/>
      <c r="J159" s="20"/>
      <c r="K159" s="11"/>
      <c r="L159" s="11"/>
      <c r="M159" s="14"/>
      <c r="N159" s="35"/>
    </row>
    <row r="160" spans="1:14">
      <c r="A160" s="32" t="s">
        <v>1114</v>
      </c>
      <c r="B160" s="59" t="s">
        <v>887</v>
      </c>
      <c r="C160" s="10" t="s">
        <v>917</v>
      </c>
      <c r="D160" s="20" t="s">
        <v>915</v>
      </c>
      <c r="E160" s="41" t="s">
        <v>865</v>
      </c>
      <c r="F160" s="6"/>
      <c r="G160" s="11" t="s">
        <v>893</v>
      </c>
      <c r="H160" s="11" t="s">
        <v>894</v>
      </c>
      <c r="I160" s="6"/>
      <c r="J160" s="20"/>
      <c r="K160" s="11"/>
      <c r="L160" s="11"/>
      <c r="M160" s="14"/>
      <c r="N160" s="35"/>
    </row>
    <row r="161" spans="1:14">
      <c r="A161" s="32" t="s">
        <v>1115</v>
      </c>
      <c r="B161" s="59" t="s">
        <v>887</v>
      </c>
      <c r="C161" s="10" t="s">
        <v>917</v>
      </c>
      <c r="D161" s="20" t="s">
        <v>915</v>
      </c>
      <c r="E161" s="41" t="s">
        <v>866</v>
      </c>
      <c r="F161" s="6"/>
      <c r="G161" s="11" t="s">
        <v>893</v>
      </c>
      <c r="H161" s="11" t="s">
        <v>898</v>
      </c>
      <c r="I161" s="6"/>
      <c r="J161" s="20"/>
      <c r="K161" s="11"/>
      <c r="L161" s="11"/>
      <c r="M161" s="14"/>
      <c r="N161" s="35"/>
    </row>
    <row r="162" spans="1:14">
      <c r="A162" s="32" t="s">
        <v>1116</v>
      </c>
      <c r="B162" s="59" t="s">
        <v>887</v>
      </c>
      <c r="C162" s="10" t="s">
        <v>917</v>
      </c>
      <c r="D162" s="20" t="s">
        <v>915</v>
      </c>
      <c r="E162" s="41" t="s">
        <v>867</v>
      </c>
      <c r="F162" s="6"/>
      <c r="G162" s="11" t="s">
        <v>893</v>
      </c>
      <c r="H162" s="11" t="s">
        <v>894</v>
      </c>
      <c r="I162" s="6"/>
      <c r="J162" s="20"/>
      <c r="K162" s="11"/>
      <c r="L162" s="11"/>
      <c r="M162" s="14"/>
      <c r="N162" s="35"/>
    </row>
    <row r="163" spans="1:14">
      <c r="A163" s="32" t="s">
        <v>1117</v>
      </c>
      <c r="B163" s="59" t="s">
        <v>887</v>
      </c>
      <c r="C163" s="10" t="s">
        <v>917</v>
      </c>
      <c r="D163" s="20" t="s">
        <v>915</v>
      </c>
      <c r="E163" s="41" t="s">
        <v>868</v>
      </c>
      <c r="F163" s="6"/>
      <c r="G163" s="11" t="s">
        <v>893</v>
      </c>
      <c r="H163" s="11" t="s">
        <v>891</v>
      </c>
      <c r="I163" s="6"/>
      <c r="J163" s="20"/>
      <c r="K163" s="11"/>
      <c r="L163" s="11"/>
      <c r="M163" s="14"/>
      <c r="N163" s="35"/>
    </row>
    <row r="164" spans="1:14">
      <c r="A164" s="32" t="s">
        <v>1118</v>
      </c>
      <c r="B164" s="59" t="s">
        <v>887</v>
      </c>
      <c r="C164" s="10" t="s">
        <v>917</v>
      </c>
      <c r="D164" s="20" t="s">
        <v>915</v>
      </c>
      <c r="E164" s="41" t="s">
        <v>895</v>
      </c>
      <c r="F164" s="6"/>
      <c r="G164" s="11" t="s">
        <v>893</v>
      </c>
      <c r="H164" s="11" t="s">
        <v>891</v>
      </c>
      <c r="I164" s="6"/>
      <c r="J164" s="20"/>
      <c r="K164" s="11"/>
      <c r="L164" s="11"/>
      <c r="M164" s="14"/>
      <c r="N164" s="35"/>
    </row>
    <row r="165" spans="1:14">
      <c r="A165" s="32" t="s">
        <v>1119</v>
      </c>
      <c r="B165" s="59" t="s">
        <v>887</v>
      </c>
      <c r="C165" s="10" t="s">
        <v>917</v>
      </c>
      <c r="D165" s="20" t="s">
        <v>915</v>
      </c>
      <c r="E165" s="41" t="s">
        <v>896</v>
      </c>
      <c r="F165" s="6"/>
      <c r="G165" s="11" t="s">
        <v>893</v>
      </c>
      <c r="H165" s="11" t="s">
        <v>891</v>
      </c>
      <c r="I165" s="6"/>
      <c r="J165" s="20"/>
      <c r="K165" s="11"/>
      <c r="L165" s="11"/>
      <c r="M165" s="14"/>
      <c r="N165" s="35"/>
    </row>
    <row r="166" spans="1:14">
      <c r="A166" s="32" t="s">
        <v>1120</v>
      </c>
      <c r="B166" s="59" t="s">
        <v>887</v>
      </c>
      <c r="C166" s="10" t="s">
        <v>917</v>
      </c>
      <c r="D166" s="20" t="s">
        <v>915</v>
      </c>
      <c r="E166" s="41" t="s">
        <v>899</v>
      </c>
      <c r="F166" s="6"/>
      <c r="G166" s="11" t="s">
        <v>893</v>
      </c>
      <c r="H166" s="11" t="s">
        <v>891</v>
      </c>
      <c r="I166" s="6"/>
      <c r="J166" s="20"/>
      <c r="K166" s="11"/>
      <c r="L166" s="11"/>
      <c r="M166" s="14"/>
      <c r="N166" s="35"/>
    </row>
    <row r="167" spans="1:14">
      <c r="A167" s="32" t="s">
        <v>1121</v>
      </c>
      <c r="B167" s="59" t="s">
        <v>887</v>
      </c>
      <c r="C167" s="10" t="s">
        <v>917</v>
      </c>
      <c r="D167" s="20" t="s">
        <v>915</v>
      </c>
      <c r="E167" s="41" t="s">
        <v>900</v>
      </c>
      <c r="F167" s="6"/>
      <c r="G167" s="11" t="s">
        <v>893</v>
      </c>
      <c r="H167" s="11" t="s">
        <v>891</v>
      </c>
      <c r="I167" s="6"/>
      <c r="J167" s="20"/>
      <c r="K167" s="11"/>
      <c r="L167" s="11"/>
      <c r="M167" s="14"/>
      <c r="N167" s="35"/>
    </row>
    <row r="168" spans="1:14">
      <c r="A168" s="32" t="s">
        <v>1122</v>
      </c>
      <c r="B168" s="59" t="s">
        <v>887</v>
      </c>
      <c r="C168" s="10" t="s">
        <v>917</v>
      </c>
      <c r="D168" s="20" t="s">
        <v>915</v>
      </c>
      <c r="E168" s="41" t="s">
        <v>901</v>
      </c>
      <c r="F168" s="6"/>
      <c r="G168" s="11" t="s">
        <v>890</v>
      </c>
      <c r="H168" s="11" t="s">
        <v>894</v>
      </c>
      <c r="I168" s="6"/>
      <c r="J168" s="20"/>
      <c r="K168" s="11"/>
      <c r="L168" s="11"/>
      <c r="M168" s="14"/>
      <c r="N168" s="35"/>
    </row>
    <row r="169" spans="1:14">
      <c r="A169" s="32" t="s">
        <v>1123</v>
      </c>
      <c r="B169" s="59" t="s">
        <v>887</v>
      </c>
      <c r="C169" s="10" t="s">
        <v>917</v>
      </c>
      <c r="D169" s="20" t="s">
        <v>915</v>
      </c>
      <c r="E169" s="41" t="s">
        <v>902</v>
      </c>
      <c r="F169" s="6"/>
      <c r="G169" s="11" t="s">
        <v>893</v>
      </c>
      <c r="H169" s="11" t="s">
        <v>891</v>
      </c>
      <c r="I169" s="6"/>
      <c r="J169" s="20"/>
      <c r="K169" s="11"/>
      <c r="L169" s="11"/>
      <c r="M169" s="14"/>
      <c r="N169" s="35"/>
    </row>
    <row r="170" spans="1:14">
      <c r="A170" s="32" t="s">
        <v>1124</v>
      </c>
      <c r="B170" s="59" t="s">
        <v>887</v>
      </c>
      <c r="C170" s="10" t="s">
        <v>917</v>
      </c>
      <c r="D170" s="20" t="s">
        <v>915</v>
      </c>
      <c r="E170" s="41" t="s">
        <v>903</v>
      </c>
      <c r="F170" s="6"/>
      <c r="G170" s="11" t="s">
        <v>893</v>
      </c>
      <c r="H170" s="11" t="s">
        <v>891</v>
      </c>
      <c r="I170" s="6"/>
      <c r="J170" s="20"/>
      <c r="K170" s="11"/>
      <c r="L170" s="11"/>
      <c r="M170" s="14"/>
      <c r="N170" s="35"/>
    </row>
    <row r="171" spans="1:14">
      <c r="A171" s="32" t="s">
        <v>1125</v>
      </c>
      <c r="B171" s="59" t="s">
        <v>887</v>
      </c>
      <c r="C171" s="10" t="s">
        <v>917</v>
      </c>
      <c r="D171" s="20" t="s">
        <v>915</v>
      </c>
      <c r="E171" s="41" t="s">
        <v>904</v>
      </c>
      <c r="F171" s="6"/>
      <c r="G171" s="11" t="s">
        <v>893</v>
      </c>
      <c r="H171" s="11" t="s">
        <v>891</v>
      </c>
      <c r="I171" s="6"/>
      <c r="J171" s="20"/>
      <c r="K171" s="11"/>
      <c r="L171" s="11"/>
      <c r="M171" s="14"/>
      <c r="N171" s="35"/>
    </row>
    <row r="172" spans="1:14">
      <c r="A172" s="32" t="s">
        <v>1126</v>
      </c>
      <c r="B172" s="59" t="s">
        <v>887</v>
      </c>
      <c r="C172" s="10" t="s">
        <v>917</v>
      </c>
      <c r="D172" s="20" t="s">
        <v>915</v>
      </c>
      <c r="E172" s="41" t="s">
        <v>905</v>
      </c>
      <c r="F172" s="6"/>
      <c r="G172" s="11" t="s">
        <v>893</v>
      </c>
      <c r="H172" s="11" t="s">
        <v>891</v>
      </c>
      <c r="I172" s="6"/>
      <c r="J172" s="20"/>
      <c r="K172" s="11"/>
      <c r="L172" s="11"/>
      <c r="M172" s="14"/>
      <c r="N172" s="35"/>
    </row>
    <row r="173" spans="1:14">
      <c r="A173" s="32" t="s">
        <v>1127</v>
      </c>
      <c r="B173" s="59" t="s">
        <v>887</v>
      </c>
      <c r="C173" s="10" t="s">
        <v>917</v>
      </c>
      <c r="D173" s="20" t="s">
        <v>915</v>
      </c>
      <c r="E173" s="41" t="s">
        <v>906</v>
      </c>
      <c r="F173" s="6"/>
      <c r="G173" s="11" t="s">
        <v>893</v>
      </c>
      <c r="H173" s="11" t="s">
        <v>891</v>
      </c>
      <c r="I173" s="6"/>
      <c r="J173" s="20"/>
      <c r="K173" s="11"/>
      <c r="L173" s="11"/>
      <c r="M173" s="14"/>
      <c r="N173" s="35"/>
    </row>
    <row r="174" spans="1:14">
      <c r="A174" s="32" t="s">
        <v>1128</v>
      </c>
      <c r="B174" s="59" t="s">
        <v>887</v>
      </c>
      <c r="C174" s="10" t="s">
        <v>917</v>
      </c>
      <c r="D174" s="20" t="s">
        <v>915</v>
      </c>
      <c r="E174" s="41" t="s">
        <v>907</v>
      </c>
      <c r="F174" s="6"/>
      <c r="G174" s="11" t="s">
        <v>893</v>
      </c>
      <c r="H174" s="11" t="s">
        <v>894</v>
      </c>
      <c r="I174" s="6"/>
      <c r="J174" s="20"/>
      <c r="K174" s="11"/>
      <c r="L174" s="11"/>
      <c r="M174" s="14"/>
      <c r="N174" s="35"/>
    </row>
    <row r="175" spans="1:14">
      <c r="A175" s="32" t="s">
        <v>1129</v>
      </c>
      <c r="B175" s="59" t="s">
        <v>887</v>
      </c>
      <c r="C175" s="10" t="s">
        <v>917</v>
      </c>
      <c r="D175" s="20" t="s">
        <v>915</v>
      </c>
      <c r="E175" s="41" t="s">
        <v>909</v>
      </c>
      <c r="F175" s="6"/>
      <c r="G175" s="11" t="s">
        <v>893</v>
      </c>
      <c r="H175" s="11" t="s">
        <v>891</v>
      </c>
      <c r="I175" s="6"/>
      <c r="J175" s="20"/>
      <c r="K175" s="11"/>
      <c r="L175" s="11"/>
      <c r="M175" s="14"/>
      <c r="N175" s="35"/>
    </row>
    <row r="176" spans="1:14">
      <c r="A176" s="32" t="s">
        <v>1130</v>
      </c>
      <c r="B176" s="59" t="s">
        <v>887</v>
      </c>
      <c r="C176" s="10" t="s">
        <v>917</v>
      </c>
      <c r="D176" s="20" t="s">
        <v>915</v>
      </c>
      <c r="E176" s="41" t="s">
        <v>910</v>
      </c>
      <c r="F176" s="6"/>
      <c r="G176" s="11" t="s">
        <v>893</v>
      </c>
      <c r="H176" s="11" t="s">
        <v>891</v>
      </c>
      <c r="I176" s="6"/>
      <c r="J176" s="20"/>
      <c r="K176" s="11"/>
      <c r="L176" s="11"/>
      <c r="M176" s="14"/>
      <c r="N176" s="35"/>
    </row>
    <row r="177" spans="1:14">
      <c r="A177" s="32" t="s">
        <v>1131</v>
      </c>
      <c r="B177" s="59" t="s">
        <v>887</v>
      </c>
      <c r="C177" s="10" t="s">
        <v>917</v>
      </c>
      <c r="D177" s="20" t="s">
        <v>915</v>
      </c>
      <c r="E177" s="41" t="s">
        <v>911</v>
      </c>
      <c r="F177" s="6"/>
      <c r="G177" s="11" t="s">
        <v>890</v>
      </c>
      <c r="H177" s="11" t="s">
        <v>894</v>
      </c>
      <c r="I177" s="6"/>
      <c r="J177" s="20"/>
      <c r="K177" s="11"/>
      <c r="L177" s="11"/>
      <c r="M177" s="14"/>
      <c r="N177" s="35"/>
    </row>
    <row r="178" spans="1:14">
      <c r="A178" s="32" t="s">
        <v>1132</v>
      </c>
      <c r="B178" s="59" t="s">
        <v>887</v>
      </c>
      <c r="C178" s="10" t="s">
        <v>917</v>
      </c>
      <c r="D178" s="20" t="s">
        <v>915</v>
      </c>
      <c r="E178" s="41" t="s">
        <v>912</v>
      </c>
      <c r="F178" s="6"/>
      <c r="G178" s="11" t="s">
        <v>893</v>
      </c>
      <c r="H178" s="11" t="s">
        <v>891</v>
      </c>
      <c r="I178" s="6"/>
      <c r="J178" s="20"/>
      <c r="K178" s="11"/>
      <c r="L178" s="11"/>
      <c r="M178" s="14"/>
      <c r="N178" s="35"/>
    </row>
    <row r="179" spans="1:14">
      <c r="A179" s="32" t="s">
        <v>1133</v>
      </c>
      <c r="B179" s="59" t="s">
        <v>887</v>
      </c>
      <c r="C179" s="10" t="s">
        <v>917</v>
      </c>
      <c r="D179" s="20" t="s">
        <v>915</v>
      </c>
      <c r="E179" s="41" t="s">
        <v>913</v>
      </c>
      <c r="F179" s="6"/>
      <c r="G179" s="11" t="s">
        <v>893</v>
      </c>
      <c r="H179" s="11" t="s">
        <v>891</v>
      </c>
      <c r="I179" s="6"/>
      <c r="J179" s="20"/>
      <c r="K179" s="11"/>
      <c r="L179" s="11"/>
      <c r="M179" s="14"/>
      <c r="N179" s="35"/>
    </row>
    <row r="180" spans="1:14">
      <c r="A180" s="32" t="s">
        <v>1134</v>
      </c>
      <c r="B180" s="59" t="s">
        <v>887</v>
      </c>
      <c r="C180" s="10" t="s">
        <v>917</v>
      </c>
      <c r="D180" s="20" t="s">
        <v>916</v>
      </c>
      <c r="E180" s="41" t="s">
        <v>857</v>
      </c>
      <c r="F180" s="6"/>
      <c r="G180" s="11" t="s">
        <v>890</v>
      </c>
      <c r="H180" s="11" t="s">
        <v>891</v>
      </c>
      <c r="I180" s="6"/>
      <c r="J180" s="20"/>
      <c r="K180" s="11"/>
      <c r="L180" s="11"/>
      <c r="M180" s="14"/>
      <c r="N180" s="35"/>
    </row>
    <row r="181" spans="1:14">
      <c r="A181" s="32" t="s">
        <v>1135</v>
      </c>
      <c r="B181" s="59" t="s">
        <v>887</v>
      </c>
      <c r="C181" s="10" t="s">
        <v>917</v>
      </c>
      <c r="D181" s="20" t="s">
        <v>916</v>
      </c>
      <c r="E181" s="41" t="s">
        <v>861</v>
      </c>
      <c r="F181" s="6"/>
      <c r="G181" s="11" t="s">
        <v>897</v>
      </c>
      <c r="H181" s="11" t="s">
        <v>898</v>
      </c>
      <c r="I181" s="6"/>
      <c r="J181" s="20"/>
      <c r="K181" s="11"/>
      <c r="L181" s="11"/>
      <c r="M181" s="14"/>
      <c r="N181" s="35"/>
    </row>
    <row r="182" spans="1:14">
      <c r="A182" s="32" t="s">
        <v>1136</v>
      </c>
      <c r="B182" s="59" t="s">
        <v>887</v>
      </c>
      <c r="C182" s="10" t="s">
        <v>917</v>
      </c>
      <c r="D182" s="20" t="s">
        <v>916</v>
      </c>
      <c r="E182" s="41" t="s">
        <v>862</v>
      </c>
      <c r="F182" s="6"/>
      <c r="G182" s="11" t="s">
        <v>890</v>
      </c>
      <c r="H182" s="11" t="s">
        <v>894</v>
      </c>
      <c r="I182" s="6"/>
      <c r="J182" s="20"/>
      <c r="K182" s="11"/>
      <c r="L182" s="11"/>
      <c r="M182" s="14"/>
      <c r="N182" s="35"/>
    </row>
    <row r="183" spans="1:14">
      <c r="A183" s="32" t="s">
        <v>1137</v>
      </c>
      <c r="B183" s="59" t="s">
        <v>887</v>
      </c>
      <c r="C183" s="10" t="s">
        <v>917</v>
      </c>
      <c r="D183" s="20" t="s">
        <v>916</v>
      </c>
      <c r="E183" s="41" t="s">
        <v>864</v>
      </c>
      <c r="F183" s="6"/>
      <c r="G183" s="11" t="s">
        <v>893</v>
      </c>
      <c r="H183" s="11" t="s">
        <v>891</v>
      </c>
      <c r="I183" s="6"/>
      <c r="J183" s="20"/>
      <c r="K183" s="11"/>
      <c r="L183" s="11"/>
      <c r="M183" s="14"/>
      <c r="N183" s="35"/>
    </row>
    <row r="184" spans="1:14">
      <c r="A184" s="32" t="s">
        <v>1138</v>
      </c>
      <c r="B184" s="59" t="s">
        <v>887</v>
      </c>
      <c r="C184" s="10" t="s">
        <v>917</v>
      </c>
      <c r="D184" s="20" t="s">
        <v>916</v>
      </c>
      <c r="E184" s="41" t="s">
        <v>865</v>
      </c>
      <c r="F184" s="6"/>
      <c r="G184" s="11" t="s">
        <v>893</v>
      </c>
      <c r="H184" s="11" t="s">
        <v>891</v>
      </c>
      <c r="I184" s="6"/>
      <c r="J184" s="20"/>
      <c r="K184" s="11"/>
      <c r="L184" s="11"/>
      <c r="M184" s="14"/>
      <c r="N184" s="35"/>
    </row>
    <row r="185" spans="1:14">
      <c r="A185" s="32" t="s">
        <v>1139</v>
      </c>
      <c r="B185" s="59" t="s">
        <v>887</v>
      </c>
      <c r="C185" s="10" t="s">
        <v>917</v>
      </c>
      <c r="D185" s="20" t="s">
        <v>916</v>
      </c>
      <c r="E185" s="41" t="s">
        <v>866</v>
      </c>
      <c r="F185" s="6"/>
      <c r="G185" s="11" t="s">
        <v>893</v>
      </c>
      <c r="H185" s="11" t="s">
        <v>891</v>
      </c>
      <c r="I185" s="6"/>
      <c r="J185" s="20"/>
      <c r="K185" s="11"/>
      <c r="L185" s="11"/>
      <c r="M185" s="14"/>
      <c r="N185" s="35"/>
    </row>
    <row r="186" spans="1:14">
      <c r="A186" s="32" t="s">
        <v>1140</v>
      </c>
      <c r="B186" s="59" t="s">
        <v>887</v>
      </c>
      <c r="C186" s="10" t="s">
        <v>917</v>
      </c>
      <c r="D186" s="20" t="s">
        <v>916</v>
      </c>
      <c r="E186" s="41" t="s">
        <v>867</v>
      </c>
      <c r="F186" s="6"/>
      <c r="G186" s="11" t="s">
        <v>893</v>
      </c>
      <c r="H186" s="11" t="s">
        <v>891</v>
      </c>
      <c r="I186" s="6"/>
      <c r="J186" s="20"/>
      <c r="K186" s="11"/>
      <c r="L186" s="11"/>
      <c r="M186" s="14"/>
      <c r="N186" s="35"/>
    </row>
    <row r="187" spans="1:14">
      <c r="A187" s="32" t="s">
        <v>1141</v>
      </c>
      <c r="B187" s="59" t="s">
        <v>887</v>
      </c>
      <c r="C187" s="10" t="s">
        <v>917</v>
      </c>
      <c r="D187" s="20" t="s">
        <v>916</v>
      </c>
      <c r="E187" s="41" t="s">
        <v>868</v>
      </c>
      <c r="F187" s="6"/>
      <c r="G187" s="11" t="s">
        <v>897</v>
      </c>
      <c r="H187" s="11" t="s">
        <v>898</v>
      </c>
      <c r="I187" s="6"/>
      <c r="J187" s="20"/>
      <c r="K187" s="11"/>
      <c r="L187" s="11"/>
      <c r="M187" s="14"/>
      <c r="N187" s="35"/>
    </row>
    <row r="188" spans="1:14">
      <c r="A188" s="32" t="s">
        <v>1142</v>
      </c>
      <c r="B188" s="59" t="s">
        <v>887</v>
      </c>
      <c r="C188" s="10" t="s">
        <v>917</v>
      </c>
      <c r="D188" s="20" t="s">
        <v>916</v>
      </c>
      <c r="E188" s="41" t="s">
        <v>895</v>
      </c>
      <c r="F188" s="6"/>
      <c r="G188" s="11" t="s">
        <v>897</v>
      </c>
      <c r="H188" s="11" t="s">
        <v>898</v>
      </c>
      <c r="I188" s="6"/>
      <c r="J188" s="20"/>
      <c r="K188" s="11"/>
      <c r="L188" s="11"/>
      <c r="M188" s="14"/>
      <c r="N188" s="35"/>
    </row>
    <row r="189" spans="1:14">
      <c r="A189" s="32" t="s">
        <v>1143</v>
      </c>
      <c r="B189" s="59" t="s">
        <v>887</v>
      </c>
      <c r="C189" s="10" t="s">
        <v>917</v>
      </c>
      <c r="D189" s="20" t="s">
        <v>916</v>
      </c>
      <c r="E189" s="41" t="s">
        <v>896</v>
      </c>
      <c r="F189" s="6"/>
      <c r="G189" s="11" t="s">
        <v>897</v>
      </c>
      <c r="H189" s="11" t="s">
        <v>898</v>
      </c>
      <c r="I189" s="6"/>
      <c r="J189" s="20"/>
      <c r="K189" s="11"/>
      <c r="L189" s="11"/>
      <c r="M189" s="14"/>
      <c r="N189" s="35"/>
    </row>
    <row r="190" spans="1:14">
      <c r="A190" s="32" t="s">
        <v>1144</v>
      </c>
      <c r="B190" s="59" t="s">
        <v>887</v>
      </c>
      <c r="C190" s="10" t="s">
        <v>917</v>
      </c>
      <c r="D190" s="20" t="s">
        <v>916</v>
      </c>
      <c r="E190" s="41" t="s">
        <v>899</v>
      </c>
      <c r="F190" s="6"/>
      <c r="G190" s="11" t="s">
        <v>890</v>
      </c>
      <c r="H190" s="11" t="s">
        <v>894</v>
      </c>
      <c r="I190" s="6"/>
      <c r="J190" s="20"/>
      <c r="K190" s="11"/>
      <c r="L190" s="11"/>
      <c r="M190" s="14"/>
      <c r="N190" s="35"/>
    </row>
    <row r="191" spans="1:14">
      <c r="A191" s="32" t="s">
        <v>1145</v>
      </c>
      <c r="B191" s="59" t="s">
        <v>887</v>
      </c>
      <c r="C191" s="10" t="s">
        <v>917</v>
      </c>
      <c r="D191" s="20" t="s">
        <v>916</v>
      </c>
      <c r="E191" s="41" t="s">
        <v>900</v>
      </c>
      <c r="F191" s="6"/>
      <c r="G191" s="11" t="s">
        <v>890</v>
      </c>
      <c r="H191" s="11" t="s">
        <v>894</v>
      </c>
      <c r="I191" s="6"/>
      <c r="J191" s="20"/>
      <c r="K191" s="11"/>
      <c r="L191" s="11"/>
      <c r="M191" s="14"/>
      <c r="N191" s="35"/>
    </row>
    <row r="192" spans="1:14">
      <c r="A192" s="32" t="s">
        <v>1146</v>
      </c>
      <c r="B192" s="59" t="s">
        <v>887</v>
      </c>
      <c r="C192" s="10" t="s">
        <v>917</v>
      </c>
      <c r="D192" s="20" t="s">
        <v>916</v>
      </c>
      <c r="E192" s="41" t="s">
        <v>901</v>
      </c>
      <c r="F192" s="6"/>
      <c r="G192" s="11" t="s">
        <v>897</v>
      </c>
      <c r="H192" s="11" t="s">
        <v>898</v>
      </c>
      <c r="I192" s="6"/>
      <c r="J192" s="20"/>
      <c r="K192" s="11"/>
      <c r="L192" s="11"/>
      <c r="M192" s="14"/>
      <c r="N192" s="35"/>
    </row>
    <row r="193" spans="1:14">
      <c r="A193" s="32" t="s">
        <v>1147</v>
      </c>
      <c r="B193" s="59" t="s">
        <v>887</v>
      </c>
      <c r="C193" s="10" t="s">
        <v>917</v>
      </c>
      <c r="D193" s="20" t="s">
        <v>916</v>
      </c>
      <c r="E193" s="41" t="s">
        <v>902</v>
      </c>
      <c r="F193" s="6"/>
      <c r="G193" s="11" t="s">
        <v>897</v>
      </c>
      <c r="H193" s="11" t="s">
        <v>898</v>
      </c>
      <c r="I193" s="6"/>
      <c r="J193" s="20"/>
      <c r="K193" s="11"/>
      <c r="L193" s="11"/>
      <c r="M193" s="14"/>
      <c r="N193" s="35"/>
    </row>
    <row r="194" spans="1:14">
      <c r="A194" s="32" t="s">
        <v>1148</v>
      </c>
      <c r="B194" s="59" t="s">
        <v>887</v>
      </c>
      <c r="C194" s="10" t="s">
        <v>917</v>
      </c>
      <c r="D194" s="20" t="s">
        <v>916</v>
      </c>
      <c r="E194" s="41" t="s">
        <v>903</v>
      </c>
      <c r="F194" s="6"/>
      <c r="G194" s="11" t="s">
        <v>897</v>
      </c>
      <c r="H194" s="11" t="s">
        <v>898</v>
      </c>
      <c r="I194" s="6"/>
      <c r="J194" s="20"/>
      <c r="K194" s="11"/>
      <c r="L194" s="11"/>
      <c r="M194" s="14"/>
      <c r="N194" s="35"/>
    </row>
    <row r="195" spans="1:14">
      <c r="A195" s="32" t="s">
        <v>1149</v>
      </c>
      <c r="B195" s="59" t="s">
        <v>887</v>
      </c>
      <c r="C195" s="10" t="s">
        <v>917</v>
      </c>
      <c r="D195" s="20" t="s">
        <v>916</v>
      </c>
      <c r="E195" s="41" t="s">
        <v>904</v>
      </c>
      <c r="F195" s="6"/>
      <c r="G195" s="11" t="s">
        <v>897</v>
      </c>
      <c r="H195" s="11" t="s">
        <v>898</v>
      </c>
      <c r="I195" s="6"/>
      <c r="J195" s="20"/>
      <c r="K195" s="11"/>
      <c r="L195" s="11"/>
      <c r="M195" s="14"/>
      <c r="N195" s="35"/>
    </row>
    <row r="196" spans="1:14">
      <c r="A196" s="32" t="s">
        <v>1150</v>
      </c>
      <c r="B196" s="59" t="s">
        <v>887</v>
      </c>
      <c r="C196" s="10" t="s">
        <v>917</v>
      </c>
      <c r="D196" s="20" t="s">
        <v>916</v>
      </c>
      <c r="E196" s="41" t="s">
        <v>905</v>
      </c>
      <c r="F196" s="6"/>
      <c r="G196" s="11" t="s">
        <v>890</v>
      </c>
      <c r="H196" s="11" t="s">
        <v>894</v>
      </c>
      <c r="I196" s="6"/>
      <c r="J196" s="20"/>
      <c r="K196" s="11"/>
      <c r="L196" s="11"/>
      <c r="M196" s="14"/>
      <c r="N196" s="35"/>
    </row>
    <row r="197" spans="1:14">
      <c r="A197" s="32" t="s">
        <v>1151</v>
      </c>
      <c r="B197" s="59" t="s">
        <v>887</v>
      </c>
      <c r="C197" s="10" t="s">
        <v>917</v>
      </c>
      <c r="D197" s="20" t="s">
        <v>916</v>
      </c>
      <c r="E197" s="41" t="s">
        <v>906</v>
      </c>
      <c r="F197" s="6"/>
      <c r="G197" s="11" t="s">
        <v>893</v>
      </c>
      <c r="H197" s="11" t="s">
        <v>891</v>
      </c>
      <c r="I197" s="6"/>
      <c r="J197" s="20"/>
      <c r="K197" s="11"/>
      <c r="L197" s="11"/>
      <c r="M197" s="14"/>
      <c r="N197" s="35"/>
    </row>
    <row r="198" spans="1:14">
      <c r="A198" s="32" t="s">
        <v>1152</v>
      </c>
      <c r="B198" s="59" t="s">
        <v>887</v>
      </c>
      <c r="C198" s="10" t="s">
        <v>917</v>
      </c>
      <c r="D198" s="20" t="s">
        <v>916</v>
      </c>
      <c r="E198" s="41" t="s">
        <v>907</v>
      </c>
      <c r="F198" s="6"/>
      <c r="G198" s="11" t="s">
        <v>893</v>
      </c>
      <c r="H198" s="11" t="s">
        <v>891</v>
      </c>
      <c r="I198" s="6"/>
      <c r="J198" s="20"/>
      <c r="K198" s="11"/>
      <c r="L198" s="11"/>
      <c r="M198" s="14"/>
      <c r="N198" s="35"/>
    </row>
    <row r="199" spans="1:14">
      <c r="A199" s="32" t="s">
        <v>1153</v>
      </c>
      <c r="B199" s="59" t="s">
        <v>887</v>
      </c>
      <c r="C199" s="10" t="s">
        <v>917</v>
      </c>
      <c r="D199" s="20" t="s">
        <v>916</v>
      </c>
      <c r="E199" s="41" t="s">
        <v>909</v>
      </c>
      <c r="F199" s="6"/>
      <c r="G199" s="11" t="s">
        <v>893</v>
      </c>
      <c r="H199" s="11" t="s">
        <v>891</v>
      </c>
      <c r="I199" s="6"/>
      <c r="J199" s="20"/>
      <c r="K199" s="11"/>
      <c r="L199" s="11"/>
      <c r="M199" s="14"/>
      <c r="N199" s="35"/>
    </row>
    <row r="200" spans="1:14">
      <c r="A200" s="32" t="s">
        <v>1154</v>
      </c>
      <c r="B200" s="59" t="s">
        <v>887</v>
      </c>
      <c r="C200" s="10" t="s">
        <v>917</v>
      </c>
      <c r="D200" s="20" t="s">
        <v>916</v>
      </c>
      <c r="E200" s="41" t="s">
        <v>910</v>
      </c>
      <c r="F200" s="6"/>
      <c r="G200" s="11" t="s">
        <v>893</v>
      </c>
      <c r="H200" s="11" t="s">
        <v>891</v>
      </c>
      <c r="I200" s="6"/>
      <c r="J200" s="20"/>
      <c r="K200" s="11"/>
      <c r="L200" s="11"/>
      <c r="M200" s="14"/>
      <c r="N200" s="35"/>
    </row>
    <row r="201" spans="1:14">
      <c r="A201" s="32" t="s">
        <v>1155</v>
      </c>
      <c r="B201" s="59" t="s">
        <v>887</v>
      </c>
      <c r="C201" s="10" t="s">
        <v>917</v>
      </c>
      <c r="D201" s="20" t="s">
        <v>916</v>
      </c>
      <c r="E201" s="41" t="s">
        <v>911</v>
      </c>
      <c r="F201" s="6"/>
      <c r="G201" s="11" t="s">
        <v>893</v>
      </c>
      <c r="H201" s="11" t="s">
        <v>891</v>
      </c>
      <c r="I201" s="6"/>
      <c r="J201" s="20"/>
      <c r="K201" s="11"/>
      <c r="L201" s="11"/>
      <c r="M201" s="14"/>
      <c r="N201" s="35"/>
    </row>
    <row r="202" spans="1:14">
      <c r="A202" s="32" t="s">
        <v>1156</v>
      </c>
      <c r="B202" s="59" t="s">
        <v>887</v>
      </c>
      <c r="C202" s="10" t="s">
        <v>917</v>
      </c>
      <c r="D202" s="20" t="s">
        <v>916</v>
      </c>
      <c r="E202" s="41" t="s">
        <v>912</v>
      </c>
      <c r="F202" s="6"/>
      <c r="G202" s="11" t="s">
        <v>893</v>
      </c>
      <c r="H202" s="11" t="s">
        <v>891</v>
      </c>
      <c r="I202" s="6"/>
      <c r="J202" s="20"/>
      <c r="K202" s="11"/>
      <c r="L202" s="11"/>
      <c r="M202" s="14"/>
      <c r="N202" s="35"/>
    </row>
    <row r="203" spans="1:14">
      <c r="A203" s="32" t="s">
        <v>1157</v>
      </c>
      <c r="B203" s="59" t="s">
        <v>887</v>
      </c>
      <c r="C203" s="10" t="s">
        <v>917</v>
      </c>
      <c r="D203" s="20" t="s">
        <v>916</v>
      </c>
      <c r="E203" s="41" t="s">
        <v>913</v>
      </c>
      <c r="F203" s="6"/>
      <c r="G203" s="11" t="s">
        <v>897</v>
      </c>
      <c r="H203" s="11" t="s">
        <v>898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6" t="s">
        <v>918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7"/>
    </row>
    <row r="2" spans="1:13" ht="14.5">
      <c r="A2" s="98" t="s">
        <v>919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9"/>
    </row>
    <row r="3" spans="1:13">
      <c r="A3" s="100" t="s">
        <v>920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1"/>
    </row>
    <row r="5" spans="1:13" ht="26">
      <c r="A5" s="57" t="s">
        <v>921</v>
      </c>
      <c r="B5" s="57" t="s">
        <v>880</v>
      </c>
      <c r="C5" s="57" t="s">
        <v>922</v>
      </c>
      <c r="D5" s="57" t="s">
        <v>923</v>
      </c>
      <c r="E5" s="57" t="s">
        <v>924</v>
      </c>
      <c r="F5" s="57" t="s">
        <v>925</v>
      </c>
      <c r="G5" s="57" t="s">
        <v>926</v>
      </c>
      <c r="H5" s="57" t="s">
        <v>927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928</v>
      </c>
      <c r="B6" s="59" t="s">
        <v>887</v>
      </c>
      <c r="C6" s="60">
        <v>2026</v>
      </c>
      <c r="D6" s="58" t="s">
        <v>929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930</v>
      </c>
      <c r="J6" s="64"/>
      <c r="K6" s="64"/>
      <c r="L6" s="58"/>
      <c r="M6" s="59" t="s">
        <v>931</v>
      </c>
    </row>
    <row r="7" spans="1:13">
      <c r="A7" s="58" t="s">
        <v>932</v>
      </c>
      <c r="B7" s="59" t="s">
        <v>887</v>
      </c>
      <c r="C7" s="60">
        <v>2026</v>
      </c>
      <c r="D7" s="58" t="s">
        <v>933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930</v>
      </c>
      <c r="J7" s="64"/>
      <c r="K7" s="64"/>
      <c r="L7" s="58"/>
      <c r="M7" s="59"/>
    </row>
    <row r="8" spans="1:13">
      <c r="A8" s="58" t="s">
        <v>934</v>
      </c>
      <c r="B8" s="59" t="s">
        <v>887</v>
      </c>
      <c r="C8" s="60">
        <v>2026</v>
      </c>
      <c r="D8" s="58" t="s">
        <v>935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930</v>
      </c>
      <c r="J8" s="64"/>
      <c r="K8" s="64"/>
      <c r="L8" s="58"/>
      <c r="M8" s="59"/>
    </row>
    <row r="9" spans="1:13">
      <c r="A9" s="58" t="s">
        <v>936</v>
      </c>
      <c r="B9" s="59" t="s">
        <v>887</v>
      </c>
      <c r="C9" s="60">
        <v>2026</v>
      </c>
      <c r="D9" s="58" t="s">
        <v>937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930</v>
      </c>
      <c r="J9" s="64"/>
      <c r="K9" s="64"/>
      <c r="L9" s="58"/>
      <c r="M9" s="59"/>
    </row>
    <row r="10" spans="1:13">
      <c r="A10" s="58" t="s">
        <v>938</v>
      </c>
      <c r="B10" s="59" t="s">
        <v>887</v>
      </c>
      <c r="C10" s="60">
        <v>2026</v>
      </c>
      <c r="D10" s="58" t="s">
        <v>939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930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940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941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850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942</v>
      </c>
      <c r="B5" s="2" t="s">
        <v>880</v>
      </c>
      <c r="C5" s="2" t="s">
        <v>943</v>
      </c>
      <c r="D5" s="2" t="s">
        <v>944</v>
      </c>
      <c r="E5" s="2" t="s">
        <v>945</v>
      </c>
      <c r="F5" s="66" t="s">
        <v>946</v>
      </c>
      <c r="G5" s="2" t="s">
        <v>947</v>
      </c>
      <c r="H5" s="2" t="s">
        <v>948</v>
      </c>
      <c r="I5" s="2" t="s">
        <v>949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1158</v>
      </c>
      <c r="B6" s="10" t="s">
        <v>887</v>
      </c>
      <c r="C6" s="10" t="s">
        <v>950</v>
      </c>
      <c r="D6" s="4"/>
      <c r="E6" s="10" t="s">
        <v>951</v>
      </c>
      <c r="F6" s="10" t="s">
        <v>952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1159</v>
      </c>
      <c r="B7" s="11" t="s">
        <v>887</v>
      </c>
      <c r="C7" s="11" t="s">
        <v>953</v>
      </c>
      <c r="D7" s="6"/>
      <c r="E7" s="11" t="s">
        <v>891</v>
      </c>
      <c r="F7" s="11" t="s">
        <v>952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1160</v>
      </c>
      <c r="B8" s="11" t="s">
        <v>887</v>
      </c>
      <c r="C8" s="11" t="s">
        <v>954</v>
      </c>
      <c r="D8" s="6"/>
      <c r="E8" s="11" t="s">
        <v>908</v>
      </c>
      <c r="F8" s="11" t="s">
        <v>955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1161</v>
      </c>
      <c r="B9" s="11" t="s">
        <v>887</v>
      </c>
      <c r="C9" s="11" t="s">
        <v>956</v>
      </c>
      <c r="D9" s="6"/>
      <c r="E9" s="11" t="s">
        <v>951</v>
      </c>
      <c r="F9" s="11" t="s">
        <v>952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1162</v>
      </c>
      <c r="B10" s="11" t="s">
        <v>887</v>
      </c>
      <c r="C10" s="11" t="s">
        <v>957</v>
      </c>
      <c r="D10" s="6"/>
      <c r="E10" s="11" t="s">
        <v>894</v>
      </c>
      <c r="F10" s="11" t="s">
        <v>952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1163</v>
      </c>
      <c r="B11" s="11" t="s">
        <v>887</v>
      </c>
      <c r="C11" s="11" t="s">
        <v>958</v>
      </c>
      <c r="D11" s="6"/>
      <c r="E11" s="11" t="s">
        <v>894</v>
      </c>
      <c r="F11" s="11" t="s">
        <v>952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1164</v>
      </c>
      <c r="B12" s="11" t="s">
        <v>887</v>
      </c>
      <c r="C12" s="11" t="s">
        <v>959</v>
      </c>
      <c r="D12" s="6"/>
      <c r="E12" s="11" t="s">
        <v>951</v>
      </c>
      <c r="F12" s="11" t="s">
        <v>952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2026-07-19T06:09:04Z</dcterms:modified>
</cp:coreProperties>
</file>