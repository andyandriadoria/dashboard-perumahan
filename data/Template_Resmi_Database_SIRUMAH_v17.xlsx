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a1cc5a2e914f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UMAHAN" sheetId="1" r:id="Ra103ab4e58324995"/>
    <x:sheet xmlns:r="http://schemas.openxmlformats.org/officeDocument/2006/relationships" name="BACKLOG_KECAMATAN" sheetId="2" r:id="Rfcd98b1081624c54"/>
    <x:sheet xmlns:r="http://schemas.openxmlformats.org/officeDocument/2006/relationships" name="RTLH_RLH_KECAMATAN" sheetId="3" r:id="R550d5689483e43a2"/>
    <x:sheet xmlns:r="http://schemas.openxmlformats.org/officeDocument/2006/relationships" name="RTLH_INDIVIDU" sheetId="4" r:id="R144b45496d1e4749"/>
    <x:sheet xmlns:r="http://schemas.openxmlformats.org/officeDocument/2006/relationships" name="RUSUNAWA_UNIT" sheetId="5" r:id="R2bca7047a25e4362"/>
    <x:sheet xmlns:r="http://schemas.openxmlformats.org/officeDocument/2006/relationships" name="RUSUNAWA_RETRIBUSI" sheetId="6" r:id="Rdb475365a19c43fe"/>
    <x:sheet xmlns:r="http://schemas.openxmlformats.org/officeDocument/2006/relationships" name="RUSUNAWA_SARPRAS" sheetId="7" r:id="R0f619112859b4cfb"/>
  </x:sheets>
</x:workbook>
</file>

<file path=xl/sharedStrings.xml><?xml version="1.0" encoding="utf-8"?>
<x:sst xmlns:x="http://schemas.openxmlformats.org/spreadsheetml/2006/main">
  <x:si>
    <x:t xml:space="preserve">TEMPLATE RESMI DATABASE SIRUMAH — DATA PERUMAHAN</x:t>
  </x:si>
  <x:si>
    <x:t xml:space="preserve">Sumber utama modul Data Perumahan, Peta Perumahan, PSU &amp; RTH, serta ringkasan unit.</x:t>
  </x:si>
  <x:si>
    <x:t xml:space="preserve">PETUNJUK: Jangan mengubah nama atau urutan header. Isi data mulai baris 6. Dropdown tersedia pada KATEGORI, KECAMATAN, STATUS_PSU, STATUS_RTH, STATUS_JALAN, STATUS_PENGEMBANG, STATUS_RAWAN_BANJIR, dan STATUS_VERIFIKASI. DIREKTUR/PELAKSANA serta ASOSIASI diisi sebagai teks. STATUS_RTH, STATUS_JALAN, STATUS_PENGEMBANG, STATUS_RAWAN_BANJIR, dan CATATAN akan digabungkan sebagai Catatan pada Dashboard. Kolom PERSEN_TERBANGUN dan PERSEN_TERHUNI dihitung otomatis.</x:t>
  </x:si>
  <x:si>
    <x:t xml:space="preserve">ID_PERUMAHAN*</x:t>
  </x:si>
  <x:si>
    <x:t xml:space="preserve">NAMA_PERUMAHAN*</x:t>
  </x:si>
  <x:si>
    <x:t xml:space="preserve">KATEGORI</x:t>
  </x:si>
  <x:si>
    <x:t xml:space="preserve">KECAMATAN*</x:t>
  </x:si>
  <x:si>
    <x:t xml:space="preserve">KELURAHAN*</x:t>
  </x:si>
  <x:si>
    <x:t xml:space="preserve">ALAMAT</x:t>
  </x:si>
  <x:si>
    <x:t xml:space="preserve">PENGEMBANG</x:t>
  </x:si>
  <x:si>
    <x:t xml:space="preserve">DIREKTUR/PELAKSANA</x:t>
  </x:si>
  <x:si>
    <x:t xml:space="preserve">ASOSIASI</x:t>
  </x:si>
  <x:si>
    <x:t xml:space="preserve">TAHUN_SITEPLAN</x:t>
  </x:si>
  <x:si>
    <x:t xml:space="preserve">JUMLAH_SITEPLAN</x:t>
  </x:si>
  <x:si>
    <x:t xml:space="preserve">JUMLAH_TERBANGUN</x:t>
  </x:si>
  <x:si>
    <x:t xml:space="preserve">JUMLAH_TERHUNI</x:t>
  </x:si>
  <x:si>
    <x:t xml:space="preserve">STATUS_PSU*</x:t>
  </x:si>
  <x:si>
    <x:t xml:space="preserve">TAHUN_SERAH_TERIMA_PSU</x:t>
  </x:si>
  <x:si>
    <x:t xml:space="preserve">LUAS_RTH_M2</x:t>
  </x:si>
  <x:si>
    <x:t xml:space="preserve">STATUS_RTH</x:t>
  </x:si>
  <x:si>
    <x:t xml:space="preserve">STATUS_JALAN</x:t>
  </x:si>
  <x:si>
    <x:t xml:space="preserve">STATUS_PENGEMBANG</x:t>
  </x:si>
  <x:si>
    <x:t xml:space="preserve">STATUS_RAWAN_BANJIR</x:t>
  </x:si>
  <x:si>
    <x:t xml:space="preserve">CATATAN</x:t>
  </x:si>
  <x:si>
    <x:t xml:space="preserve">LATITUDE</x:t>
  </x:si>
  <x:si>
    <x:t xml:space="preserve">LONGITUDE</x:t>
  </x:si>
  <x:si>
    <x:t xml:space="preserve">TAHUN_DATA*</x:t>
  </x:si>
  <x:si>
    <x:t xml:space="preserve">SUMBER_DATA*</x:t>
  </x:si>
  <x:si>
    <x:t xml:space="preserve">STATUS_VERIFIKASI*</x:t>
  </x:si>
  <x:si>
    <x:t xml:space="preserve">TANGGAL_UPDATE*</x:t>
  </x:si>
  <x:si>
    <x:t xml:space="preserve">OPERATOR*</x:t>
  </x:si>
  <x:si>
    <x:t xml:space="preserve">PERSEN_TERBANGUN</x:t>
  </x:si>
  <x:si>
    <x:t xml:space="preserve">PERSEN_TERHUNI</x:t>
  </x:si>
  <x:si>
    <x:t xml:space="preserve">ALAM KAMPAK</x:t>
  </x:si>
  <x:si>
    <x:t xml:space="preserve">Subsidi</x:t>
  </x:si>
  <x:si>
    <x:t xml:space="preserve">Gerunggang</x:t>
  </x:si>
  <x:si>
    <x:t xml:space="preserve">Tua Tunu Indah</x:t>
  </x:si>
  <x:si>
    <x:t xml:space="preserve">Jl. Seniman</x:t>
  </x:si>
  <x:si>
    <x:t xml:space="preserve">PT. ELNOV LANGGENG INDAH</x:t>
  </x:si>
  <x:si>
    <x:t xml:space="preserve">Novian Kasmofit</x:t>
  </x:si>
  <x:si>
    <x:t xml:space="preserve">APERSI</x:t>
  </x:si>
  <x:si>
    <x:t xml:space="preserve">BELUM DISERAHKAN</x:t>
  </x:si>
  <x:si>
    <x:t xml:space="preserve">NN</x:t>
  </x:si>
  <x:si>
    <x:t xml:space="preserve">RTH belum terbangun</x:t>
  </x:si>
  <x:si>
    <x:t xml:space="preserve">Titik rawan genangan dan banjir</x:t>
  </x:si>
  <x:si>
    <x:t xml:space="preserve">ALAM KEMANG PERMATA</x:t>
  </x:si>
  <x:si>
    <x:t xml:space="preserve">Air Kepala Tujuh</x:t>
  </x:si>
  <x:si>
    <x:t xml:space="preserve">Jl. Kemang Permata</x:t>
  </x:si>
  <x:si>
    <x:t xml:space="preserve">SUDAH DISERAHKAN</x:t>
  </x:si>
  <x:si>
    <x:t xml:space="preserve">ALAM PINANG PURA</x:t>
  </x:si>
  <x:si>
    <x:t xml:space="preserve">ALIA HILL RESIDENCE</x:t>
  </x:si>
  <x:si>
    <x:t xml:space="preserve">Jl. Tampuk Pinang Pura</x:t>
  </x:si>
  <x:si>
    <x:t xml:space="preserve">Rusdianto</x:t>
  </x:si>
  <x:si>
    <x:t xml:space="preserve">AMIRAH RESIDENCE</x:t>
  </x:si>
  <x:si>
    <x:t xml:space="preserve">Jl. Kulan Kampak</x:t>
  </x:si>
  <x:si>
    <x:t xml:space="preserve">Jalan rusak ringan</x:t>
  </x:si>
  <x:si>
    <x:t xml:space="preserve">ANJAYA RESIDENCE</x:t>
  </x:si>
  <x:si>
    <x:t xml:space="preserve">PT. BABEL JAYA KONSTRUKSI</x:t>
  </x:si>
  <x:si>
    <x:t xml:space="preserve">Ivan Skyler Anjaya S.T</x:t>
  </x:si>
  <x:si>
    <x:t xml:space="preserve">ANJAYO RESIDENCE 2</x:t>
  </x:si>
  <x:si>
    <x:t xml:space="preserve">Gabek</x:t>
  </x:si>
  <x:si>
    <x:t xml:space="preserve">Air Salemba</x:t>
  </x:si>
  <x:si>
    <x:t xml:space="preserve">Jl. Fatmawati</x:t>
  </x:si>
  <x:si>
    <x:t xml:space="preserve">PT. MARLINDO BANGUN PERSADA</x:t>
  </x:si>
  <x:si>
    <x:t xml:space="preserve">Andrian Bong</x:t>
  </x:si>
  <x:si>
    <x:t xml:space="preserve">APPERNAS JAYA</x:t>
  </x:si>
  <x:si>
    <x:t xml:space="preserve">ANJAYO RESIDENCE 4</x:t>
  </x:si>
  <x:si>
    <x:t xml:space="preserve">Gabek Satu</x:t>
  </x:si>
  <x:si>
    <x:t xml:space="preserve">Jl. Stadion</x:t>
  </x:si>
  <x:si>
    <x:t xml:space="preserve">ANJAYO RESIDENCE 10</x:t>
  </x:si>
  <x:si>
    <x:t xml:space="preserve">Jerambah Gantung</x:t>
  </x:si>
  <x:si>
    <x:t xml:space="preserve">Jl. Pustu</x:t>
  </x:si>
  <x:si>
    <x:t xml:space="preserve">RTH terbangun</x:t>
  </x:si>
  <x:si>
    <x:t xml:space="preserve">ANJAYO RESIDENCE 12</x:t>
  </x:si>
  <x:si>
    <x:t xml:space="preserve">Jl. Kampak Dalam</x:t>
  </x:si>
  <x:si>
    <x:t xml:space="preserve">RTH beralih fungsi</x:t>
  </x:si>
  <x:si>
    <x:t xml:space="preserve">ANJAYO RESIDENCE 15</x:t>
  </x:si>
  <x:si>
    <x:t xml:space="preserve">Jl. Mentangor</x:t>
  </x:si>
  <x:si>
    <x:t xml:space="preserve">ANJAYO RESIDENCE 16</x:t>
  </x:si>
  <x:si>
    <x:t xml:space="preserve">Jl. Kelompok</x:t>
  </x:si>
  <x:si>
    <x:t xml:space="preserve">APPLE RESIDENCE 1</x:t>
  </x:si>
  <x:si>
    <x:t xml:space="preserve">Bukit Intan</x:t>
  </x:si>
  <x:si>
    <x:t xml:space="preserve">Bacang</x:t>
  </x:si>
  <x:si>
    <x:t xml:space="preserve">Jl. Air Mangkok</x:t>
  </x:si>
  <x:si>
    <x:t xml:space="preserve">PT. BANGKA JESSTINDO LESTARI</x:t>
  </x:si>
  <x:si>
    <x:t xml:space="preserve">Rince</x:t>
  </x:si>
  <x:si>
    <x:t xml:space="preserve">REI</x:t>
  </x:si>
  <x:si>
    <x:t xml:space="preserve">APPLE RESIDENCE 1 TAMBAHAN</x:t>
  </x:si>
  <x:si>
    <x:t xml:space="preserve">Jalan belum perkerasan</x:t>
  </x:si>
  <x:si>
    <x:t xml:space="preserve">APPLE RESIDENCE 2</x:t>
  </x:si>
  <x:si>
    <x:t xml:space="preserve">Subsidi dan Komersil</x:t>
  </x:si>
  <x:si>
    <x:t xml:space="preserve">Selindung</x:t>
  </x:si>
  <x:si>
    <x:t xml:space="preserve">Jl. Sekolah</x:t>
  </x:si>
  <x:si>
    <x:t xml:space="preserve">APPLE RESIDENCE 2 TAMBAHAN</x:t>
  </x:si>
  <x:si>
    <x:t xml:space="preserve">APPLE RESIDENCE 3 TAHAP 1</x:t>
  </x:si>
  <x:si>
    <x:t xml:space="preserve">Sinar Bulan</x:t>
  </x:si>
  <x:si>
    <x:t xml:space="preserve">Jl. Sampur</x:t>
  </x:si>
  <x:si>
    <x:t xml:space="preserve">APPLE RESIDENCE 3 TAHAP 2</x:t>
  </x:si>
  <x:si>
    <x:t xml:space="preserve">AROMA RESIDENCE</x:t>
  </x:si>
  <x:si>
    <x:t xml:space="preserve">Pangkal Balam</x:t>
  </x:si>
  <x:si>
    <x:t xml:space="preserve">Ketapang</x:t>
  </x:si>
  <x:si>
    <x:t xml:space="preserve">Jl. Selar</x:t>
  </x:si>
  <x:si>
    <x:t xml:space="preserve">PT. CAHAYA KEMULIAAN BERSAMA</x:t>
  </x:si>
  <x:si>
    <x:t xml:space="preserve">ARTHA USAHA MANDIRI</x:t>
  </x:si>
  <x:si>
    <x:t xml:space="preserve">Jl. Kampung Melayu</x:t>
  </x:si>
  <x:si>
    <x:t xml:space="preserve">PT. ARTHA USAHA MANDIRI INDAH</x:t>
  </x:si>
  <x:si>
    <x:t xml:space="preserve">Dahri</x:t>
  </x:si>
  <x:si>
    <x:t xml:space="preserve">ARTHA USAHA MANDIRI 2</x:t>
  </x:si>
  <x:si>
    <x:t xml:space="preserve">ARTISTIK RESIDENCE</x:t>
  </x:si>
  <x:si>
    <x:t xml:space="preserve">Gg. Warisan Budaya Kampak</x:t>
  </x:si>
  <x:si>
    <x:t xml:space="preserve">PT. ARTISTIK JAYA CONT</x:t>
  </x:si>
  <x:si>
    <x:t xml:space="preserve">Eko Yulianto</x:t>
  </x:si>
  <x:si>
    <x:t xml:space="preserve">PI</x:t>
  </x:si>
  <x:si>
    <x:t xml:space="preserve">Jalan rusak berat</x:t>
  </x:si>
  <x:si>
    <x:t xml:space="preserve">ARTISTIK RESIDENCE 2</x:t>
  </x:si>
  <x:si>
    <x:t xml:space="preserve">ARTISTIK RESIDENCE 3</x:t>
  </x:si>
  <x:si>
    <x:t xml:space="preserve">Jl. Haji Bakir</x:t>
  </x:si>
  <x:si>
    <x:t xml:space="preserve">ARTISTIK RESIDENCE 5</x:t>
  </x:si>
  <x:si>
    <x:t xml:space="preserve">Jl. Pikas</x:t>
  </x:si>
  <x:si>
    <x:t xml:space="preserve">ARTISTIK RESIDENCE 6</x:t>
  </x:si>
  <x:si>
    <x:t xml:space="preserve">Jl. Kurma</x:t>
  </x:si>
  <x:si>
    <x:t xml:space="preserve">AYRA SRIWIJAYA RESIDENCE</x:t>
  </x:si>
  <x:si>
    <x:t xml:space="preserve">Temberan</x:t>
  </x:si>
  <x:si>
    <x:t xml:space="preserve">Jl. Pantai Pasir Padi</x:t>
  </x:si>
  <x:si>
    <x:t xml:space="preserve">PT. AYRA SRIWIJAYA MANDIRI</x:t>
  </x:si>
  <x:si>
    <x:t xml:space="preserve">Yuyun Mutriani</x:t>
  </x:si>
  <x:si>
    <x:t xml:space="preserve">AYRA SRIWIJAYA RESIDENCE 2</x:t>
  </x:si>
  <x:si>
    <x:t xml:space="preserve">Jl. Cempaka Putih</x:t>
  </x:si>
  <x:si>
    <x:t xml:space="preserve">AYRA SRIWIJAYA RESIDENCE 3</x:t>
  </x:si>
  <x:si>
    <x:t xml:space="preserve">Jl. Raya Pasir Padi</x:t>
  </x:si>
  <x:si>
    <x:t xml:space="preserve">AYRA SRIWIJAYA RESIDENCE 4</x:t>
  </x:si>
  <x:si>
    <x:t xml:space="preserve">AZKA SQUARE</x:t>
  </x:si>
  <x:si>
    <x:t xml:space="preserve">Jl. Al-Mizan</x:t>
  </x:si>
  <x:si>
    <x:t xml:space="preserve">PT. AZKA CAHAYA GEMILANG</x:t>
  </x:si>
  <x:si>
    <x:t xml:space="preserve">Anggun</x:t>
  </x:si>
  <x:si>
    <x:t xml:space="preserve">AZURA</x:t>
  </x:si>
  <x:si>
    <x:t xml:space="preserve">Taman Bunga</x:t>
  </x:si>
  <x:si>
    <x:t xml:space="preserve">Gg. Vanila</x:t>
  </x:si>
  <x:si>
    <x:t xml:space="preserve">AZZAHRAH RESIDENCE</x:t>
  </x:si>
  <x:si>
    <x:t xml:space="preserve">Gg. Palapa</x:t>
  </x:si>
  <x:si>
    <x:t xml:space="preserve">PT. ALEXINDO CIPTA PROPERTI</x:t>
  </x:si>
  <x:si>
    <x:t xml:space="preserve">Yongki Alexander</x:t>
  </x:si>
  <x:si>
    <x:t xml:space="preserve">AZZAHRAH RESIDENCE II</x:t>
  </x:si>
  <x:si>
    <x:t xml:space="preserve">Jl. Mawar Kampak</x:t>
  </x:si>
  <x:si>
    <x:t xml:space="preserve">AZZAHRAH RESIDENCE IV</x:t>
  </x:si>
  <x:si>
    <x:t xml:space="preserve">Jl. Air Ketapik</x:t>
  </x:si>
  <x:si>
    <x:t xml:space="preserve">BABEL RESIDENCE</x:t>
  </x:si>
  <x:si>
    <x:t xml:space="preserve">Jl. Kurma Dalam</x:t>
  </x:si>
  <x:si>
    <x:t xml:space="preserve">PT. IFAN AURA LESTARI</x:t>
  </x:si>
  <x:si>
    <x:t xml:space="preserve">Firmansyah</x:t>
  </x:si>
  <x:si>
    <x:t xml:space="preserve">BABEL RESIDENCE II</x:t>
  </x:si>
  <x:si>
    <x:t xml:space="preserve">BABEL RESIDENCE III</x:t>
  </x:si>
  <x:si>
    <x:t xml:space="preserve">BABEL RESIDENCE IV</x:t>
  </x:si>
  <x:si>
    <x:t xml:space="preserve">BERKAH MANDIRI</x:t>
  </x:si>
  <x:si>
    <x:t xml:space="preserve">Jl. Kerabut 2</x:t>
  </x:si>
  <x:si>
    <x:t xml:space="preserve">PT. MEGA SAPUTRA PERSADA</x:t>
  </x:si>
  <x:si>
    <x:t xml:space="preserve">Defri Hertanto</x:t>
  </x:si>
  <x:si>
    <x:t xml:space="preserve">BERKAH SYARIAH MANDIRI</x:t>
  </x:si>
  <x:si>
    <x:t xml:space="preserve">BHAYANGKARA RESIDENCE</x:t>
  </x:si>
  <x:si>
    <x:t xml:space="preserve">Jl. Komp Sampur</x:t>
  </x:si>
  <x:si>
    <x:t xml:space="preserve">PT. TJEMARA MENTARI</x:t>
  </x:si>
  <x:si>
    <x:t xml:space="preserve">Tan Tok Khian</x:t>
  </x:si>
  <x:si>
    <x:t xml:space="preserve">BINTANG SAMRATULANGI 3</x:t>
  </x:si>
  <x:si>
    <x:t xml:space="preserve">Jl. Tanjung Bunga</x:t>
  </x:si>
  <x:si>
    <x:t xml:space="preserve">PT. LIMA BINTANG SEMPURNA</x:t>
  </x:si>
  <x:si>
    <x:t xml:space="preserve">M. Nomordin</x:t>
  </x:si>
  <x:si>
    <x:t xml:space="preserve">APPERINDO</x:t>
  </x:si>
  <x:si>
    <x:t xml:space="preserve">BINTANG SAMRATULANGI 6</x:t>
  </x:si>
  <x:si>
    <x:t xml:space="preserve">Jl. Pikas 4</x:t>
  </x:si>
  <x:si>
    <x:t xml:space="preserve">BONA MUTIARA RESIDENCE</x:t>
  </x:si>
  <x:si>
    <x:t xml:space="preserve">Komersil</x:t>
  </x:si>
  <x:si>
    <x:t xml:space="preserve">Jl. Gandaria 1</x:t>
  </x:si>
  <x:si>
    <x:t xml:space="preserve">BRALING INDAH</x:t>
  </x:si>
  <x:si>
    <x:t xml:space="preserve">PT.GIE SUKSES MANDIRI</x:t>
  </x:si>
  <x:si>
    <x:t xml:space="preserve">Supriyanto</x:t>
  </x:si>
  <x:si>
    <x:t xml:space="preserve">BUKIT BARU RESIDENCE 1</x:t>
  </x:si>
  <x:si>
    <x:t xml:space="preserve">Jl. Delima III</x:t>
  </x:si>
  <x:si>
    <x:t xml:space="preserve">Defri Hartanto</x:t>
  </x:si>
  <x:si>
    <x:t xml:space="preserve">Pengembang tidak aktif</x:t>
  </x:si>
  <x:si>
    <x:t xml:space="preserve">BUKIT BARU RESIDENCE 2</x:t>
  </x:si>
  <x:si>
    <x:t xml:space="preserve">Jl. Rariang</x:t>
  </x:si>
  <x:si>
    <x:t xml:space="preserve">BUKIT BARU RESIDENCE 3</x:t>
  </x:si>
  <x:si>
    <x:t xml:space="preserve">Jl. Cendrawasih</x:t>
  </x:si>
  <x:si>
    <x:t xml:space="preserve">BUKIT BARU RESIDENCE 4</x:t>
  </x:si>
  <x:si>
    <x:t xml:space="preserve">Bukit Merapin</x:t>
  </x:si>
  <x:si>
    <x:t xml:space="preserve">Jl. Bukit Manggis</x:t>
  </x:si>
  <x:si>
    <x:t xml:space="preserve">BUKIT INTAN ASRI</x:t>
  </x:si>
  <x:si>
    <x:t xml:space="preserve">Jl. Nilam Raya No II</x:t>
  </x:si>
  <x:si>
    <x:t xml:space="preserve">BUKIT MANGGIS</x:t>
  </x:si>
  <x:si>
    <x:t xml:space="preserve">Irma Yani</x:t>
  </x:si>
  <x:si>
    <x:t xml:space="preserve">BUKIT MAS</x:t>
  </x:si>
  <x:si>
    <x:t xml:space="preserve">Jl. Borneo</x:t>
  </x:si>
  <x:si>
    <x:t xml:space="preserve">BUKIT PRIMER</x:t>
  </x:si>
  <x:si>
    <x:t xml:space="preserve">Gg. Karet</x:t>
  </x:si>
  <x:si>
    <x:t xml:space="preserve">PT. PUNDIMAS</x:t>
  </x:si>
  <x:si>
    <x:t xml:space="preserve">Efran</x:t>
  </x:si>
  <x:si>
    <x:t xml:space="preserve">HIMPERA</x:t>
  </x:si>
  <x:si>
    <x:t xml:space="preserve">BUMI ASRI PERMAI</x:t>
  </x:si>
  <x:si>
    <x:t xml:space="preserve">PT. RADHI UTAMA NUSA</x:t>
  </x:si>
  <x:si>
    <x:t xml:space="preserve">Rudi Kurniawan</x:t>
  </x:si>
  <x:si>
    <x:t xml:space="preserve">BUMI ASRI PERMAI 2</x:t>
  </x:si>
  <x:si>
    <x:t xml:space="preserve">BUMI GANADHYA</x:t>
  </x:si>
  <x:si>
    <x:t xml:space="preserve">Air Itam</x:t>
  </x:si>
  <x:si>
    <x:t xml:space="preserve">PT. MITRA GUNADHYA MANDIRI</x:t>
  </x:si>
  <x:si>
    <x:t xml:space="preserve">Novita Lestari</x:t>
  </x:si>
  <x:si>
    <x:t xml:space="preserve">BUMI KAMPAK PERMAI</x:t>
  </x:si>
  <x:si>
    <x:t xml:space="preserve">PT. TIMUR JAYA NUGRAHA</x:t>
  </x:si>
  <x:si>
    <x:t xml:space="preserve">Beny Ansory</x:t>
  </x:si>
  <x:si>
    <x:t xml:space="preserve">BUMI SELINDUNG DAMAI</x:t>
  </x:si>
  <x:si>
    <x:t xml:space="preserve">Jl. Lintas Timur</x:t>
  </x:si>
  <x:si>
    <x:t xml:space="preserve">PT. MUZAZI NURFI ABADI</x:t>
  </x:si>
  <x:si>
    <x:t xml:space="preserve">Nurul Anwar</x:t>
  </x:si>
  <x:si>
    <x:t xml:space="preserve">CAHAYA PROPERTI</x:t>
  </x:si>
  <x:si>
    <x:t xml:space="preserve">Lontong Pancur</x:t>
  </x:si>
  <x:si>
    <x:t xml:space="preserve">Jl. Dok Kartini</x:t>
  </x:si>
  <x:si>
    <x:t xml:space="preserve">PT. CAHAYA JAYA KONSTRUKSI</x:t>
  </x:si>
  <x:si>
    <x:t xml:space="preserve">Mas'ud</x:t>
  </x:si>
  <x:si>
    <x:t xml:space="preserve">CAHAYA RESIDENCE</x:t>
  </x:si>
  <x:si>
    <x:t xml:space="preserve">CAHAYA RESIDENCE 1</x:t>
  </x:si>
  <x:si>
    <x:t xml:space="preserve">CAHAYA RESIDENCE 2</x:t>
  </x:si>
  <x:si>
    <x:t xml:space="preserve">CAHAYA RESIDENCE 3</x:t>
  </x:si>
  <x:si>
    <x:t xml:space="preserve">CAHAYA RESIDENCE 4</x:t>
  </x:si>
  <x:si>
    <x:t xml:space="preserve">CAHAYA RESIDENCE 5</x:t>
  </x:si>
  <x:si>
    <x:t xml:space="preserve">CV. CAHAYA JAYA ABADI</x:t>
  </x:si>
  <x:si>
    <x:t xml:space="preserve">Hendra Wijaya</x:t>
  </x:si>
  <x:si>
    <x:t xml:space="preserve">CAHAYA RESIDENCE 6</x:t>
  </x:si>
  <x:si>
    <x:t xml:space="preserve">CAHAYA RESIDENCE 7</x:t>
  </x:si>
  <x:si>
    <x:t xml:space="preserve">Jl. Stania</x:t>
  </x:si>
  <x:si>
    <x:t xml:space="preserve">CAHAYA RESIDENCE 8</x:t>
  </x:si>
  <x:si>
    <x:t xml:space="preserve">Jl. Kerabut</x:t>
  </x:si>
  <x:si>
    <x:t xml:space="preserve">CAHAYA RESIDENCE 9</x:t>
  </x:si>
  <x:si>
    <x:t xml:space="preserve">CAHAYA RESIDENCE 10</x:t>
  </x:si>
  <x:si>
    <x:t xml:space="preserve">Jl. Fatmawati Gang Keluarga 1</x:t>
  </x:si>
  <x:si>
    <x:t xml:space="preserve">CAHAYA RESIDENCE 11</x:t>
  </x:si>
  <x:si>
    <x:t xml:space="preserve">Jl. Air Kampak</x:t>
  </x:si>
  <x:si>
    <x:t xml:space="preserve">CAHAYA RESIDENCE 12</x:t>
  </x:si>
  <x:si>
    <x:t xml:space="preserve">Jl. Ali Asik II</x:t>
  </x:si>
  <x:si>
    <x:t xml:space="preserve">PT.CAHAYA JAYA KONSTRUKSI</x:t>
  </x:si>
  <x:si>
    <x:t xml:space="preserve">CAHAYA RESIDENCE 13</x:t>
  </x:si>
  <x:si>
    <x:t xml:space="preserve">CAHAYA RESIDENCE 15</x:t>
  </x:si>
  <x:si>
    <x:t xml:space="preserve">CAHAYA RESIDENCE 17</x:t>
  </x:si>
  <x:si>
    <x:t xml:space="preserve">Jl. Anggrek</x:t>
  </x:si>
  <x:si>
    <x:t xml:space="preserve">CAHAYA RESIDENCE 18</x:t>
  </x:si>
  <x:si>
    <x:t xml:space="preserve">Jl. H. Umar</x:t>
  </x:si>
  <x:si>
    <x:t xml:space="preserve">CEMPAKA MAS RESIDENCE</x:t>
  </x:si>
  <x:si>
    <x:t xml:space="preserve">PT. WANGKA WIJAYA PROPERTY</x:t>
  </x:si>
  <x:si>
    <x:t xml:space="preserve">Ery Wahyudi</x:t>
  </x:si>
  <x:si>
    <x:t xml:space="preserve">Jalan rusak sedang</x:t>
  </x:si>
  <x:si>
    <x:t xml:space="preserve">CEMPAKA MAS RESIDENCE 3</x:t>
  </x:si>
  <x:si>
    <x:t xml:space="preserve">Jl. Jalur Dua</x:t>
  </x:si>
  <x:si>
    <x:t xml:space="preserve">CEMPAKA MAS RESIDENCE 4</x:t>
  </x:si>
  <x:si>
    <x:t xml:space="preserve">CEMPAKA MAS RESIDENCE 5</x:t>
  </x:si>
  <x:si>
    <x:t xml:space="preserve">CERIA VILLAGE</x:t>
  </x:si>
  <x:si>
    <x:t xml:space="preserve">Gg. Mirah Delima</x:t>
  </x:si>
  <x:si>
    <x:t xml:space="preserve">PT.INDO BANGKA PROPERTY</x:t>
  </x:si>
  <x:si>
    <x:t xml:space="preserve">Munawir</x:t>
  </x:si>
  <x:si>
    <x:t xml:space="preserve">CIPTA KARYA</x:t>
  </x:si>
  <x:si>
    <x:t xml:space="preserve">CITRALAND</x:t>
  </x:si>
  <x:si>
    <x:t xml:space="preserve">Jl. Alexander</x:t>
  </x:si>
  <x:si>
    <x:t xml:space="preserve">PT. CIPUTRA SUKSES PROPERTY</x:t>
  </x:si>
  <x:si>
    <x:t xml:space="preserve">CITY RESIDENCE</x:t>
  </x:si>
  <x:si>
    <x:t xml:space="preserve">DAMAI LESTARI RESIDENCE</x:t>
  </x:si>
  <x:si>
    <x:t xml:space="preserve">Jl. Nilam II</x:t>
  </x:si>
  <x:si>
    <x:t xml:space="preserve">PT.BANGKA DAMAI LESTARI</x:t>
  </x:si>
  <x:si>
    <x:t xml:space="preserve">DAMAI LESTARI RESIDENCE 1 TAHAP 1</x:t>
  </x:si>
  <x:si>
    <x:t xml:space="preserve">DAMAI LESTARI RESIDENCE 1 TAHAP 2</x:t>
  </x:si>
  <x:si>
    <x:t xml:space="preserve">DAMAI LESTARI RESIDENCE 2</x:t>
  </x:si>
  <x:si>
    <x:t xml:space="preserve">Selindung Baru</x:t>
  </x:si>
  <x:si>
    <x:t xml:space="preserve">Jl. Kartini</x:t>
  </x:si>
  <x:si>
    <x:t xml:space="preserve">PT. BANGKA DAMAI LESTARI</x:t>
  </x:si>
  <x:si>
    <x:t xml:space="preserve">DAMAI LESTARI RESIDENCE 2 B</x:t>
  </x:si>
  <x:si>
    <x:t xml:space="preserve">DAMAI LESTARI RESIDENCE 6 TAHAP 1</x:t>
  </x:si>
  <x:si>
    <x:t xml:space="preserve">DAMAI LESTARI RESIDENCE 6 TAHAP 2</x:t>
  </x:si>
  <x:si>
    <x:t xml:space="preserve">DAMAI LESTARI RESIDENCE 10</x:t>
  </x:si>
  <x:si>
    <x:t xml:space="preserve">DAMAI LESTARI RESIDENCE 10 TAHAP 2</x:t>
  </x:si>
  <x:si>
    <x:t xml:space="preserve">Jl. Kampak Serasi</x:t>
  </x:si>
  <x:si>
    <x:t xml:space="preserve">DAMAI LESTARI RESIDENCE 15 TAHAP 1</x:t>
  </x:si>
  <x:si>
    <x:t xml:space="preserve">Jl. Tanjung Bunga 2</x:t>
  </x:si>
  <x:si>
    <x:t xml:space="preserve">DAMAI LESTARI RESIDENCE 15 TAHAP 2</x:t>
  </x:si>
  <x:si>
    <x:t xml:space="preserve">DE PURNAMA</x:t>
  </x:si>
  <x:si>
    <x:t xml:space="preserve">DEALOVA BAHAGIA</x:t>
  </x:si>
  <x:si>
    <x:t xml:space="preserve">Jl. Jalur 2, Tampuk Pinang Pura</x:t>
  </x:si>
  <x:si>
    <x:t xml:space="preserve">PT. STANLEY PROPERTY MANDIRI</x:t>
  </x:si>
  <x:si>
    <x:t xml:space="preserve">Mulyadi Lie</x:t>
  </x:si>
  <x:si>
    <x:t xml:space="preserve">DEALOVA BAHAGIA TAHAP 2</x:t>
  </x:si>
  <x:si>
    <x:t xml:space="preserve">Jl. Jalur 2</x:t>
  </x:si>
  <x:si>
    <x:t xml:space="preserve">DELANO RESIDENCE</x:t>
  </x:si>
  <x:si>
    <x:t xml:space="preserve">Jl. Fatmawati Gg. Keluarga</x:t>
  </x:si>
  <x:si>
    <x:t xml:space="preserve">PT . DELANO JAYA PROPERTI</x:t>
  </x:si>
  <x:si>
    <x:t xml:space="preserve">Djong Khian Khie</x:t>
  </x:si>
  <x:si>
    <x:t xml:space="preserve">DELANO RESIDENCE 2</x:t>
  </x:si>
  <x:si>
    <x:t xml:space="preserve">Air Mawar</x:t>
  </x:si>
  <x:si>
    <x:t xml:space="preserve">Jl. Swadaya</x:t>
  </x:si>
  <x:si>
    <x:t xml:space="preserve">DELIMA BAHAGIA</x:t>
  </x:si>
  <x:si>
    <x:t xml:space="preserve">Jl. Mirah Delima</x:t>
  </x:si>
  <x:si>
    <x:t xml:space="preserve">DERIYASA</x:t>
  </x:si>
  <x:si>
    <x:t xml:space="preserve">CV. RIMA JAYA</x:t>
  </x:si>
  <x:si>
    <x:t xml:space="preserve">Asep Hidayat</x:t>
  </x:si>
  <x:si>
    <x:t xml:space="preserve">DIVA RESIDENCE</x:t>
  </x:si>
  <x:si>
    <x:t xml:space="preserve">CV. ANUGRAH ABADI</x:t>
  </x:si>
  <x:si>
    <x:t xml:space="preserve">Boy Akbar Anugrah</x:t>
  </x:si>
  <x:si>
    <x:t xml:space="preserve">DIVA RESIDENCE 2</x:t>
  </x:si>
  <x:si>
    <x:t xml:space="preserve">Bukit Sari</x:t>
  </x:si>
  <x:si>
    <x:t xml:space="preserve">Jl. Melangir</x:t>
  </x:si>
  <x:si>
    <x:t xml:space="preserve">PT. ANUGRAH DIVA ABADI</x:t>
  </x:si>
  <x:si>
    <x:t xml:space="preserve">DIZA RESIDENCE</x:t>
  </x:si>
  <x:si>
    <x:t xml:space="preserve">Girimaya</x:t>
  </x:si>
  <x:si>
    <x:t xml:space="preserve">Sriwijaya</x:t>
  </x:si>
  <x:si>
    <x:t xml:space="preserve">Jl. Basuki Rahmat Ujung 1</x:t>
  </x:si>
  <x:si>
    <x:t xml:space="preserve">DREAMLAND 1</x:t>
  </x:si>
  <x:si>
    <x:t xml:space="preserve">Jl. Haji Umar</x:t>
  </x:si>
  <x:si>
    <x:t xml:space="preserve">PT. BESTINDO PROPERTY</x:t>
  </x:si>
  <x:si>
    <x:t xml:space="preserve">Ir. Thomas Jusman, MM</x:t>
  </x:si>
  <x:si>
    <x:t xml:space="preserve">D'RICH ADYKA RESIDENCE</x:t>
  </x:si>
  <x:si>
    <x:t xml:space="preserve">Jl R. Hundani</x:t>
  </x:si>
  <x:si>
    <x:t xml:space="preserve">PT. ANUGRAH HARAPAN BARU REGENCY</x:t>
  </x:si>
  <x:si>
    <x:t xml:space="preserve">Ady Irawan/Riska Jesika</x:t>
  </x:si>
  <x:si>
    <x:t xml:space="preserve">ELGHANI REGENCY</x:t>
  </x:si>
  <x:si>
    <x:t xml:space="preserve">Jl. Cucak Rowo</x:t>
  </x:si>
  <x:si>
    <x:t xml:space="preserve">FARRAS RESIDENCE</x:t>
  </x:si>
  <x:si>
    <x:t xml:space="preserve">Jl. Dasalamah</x:t>
  </x:si>
  <x:si>
    <x:t xml:space="preserve">PT. FARRAZY PUTRA CONTRAINDO</x:t>
  </x:si>
  <x:si>
    <x:t xml:space="preserve">FEIYAZ RESIDENCE</x:t>
  </x:si>
  <x:si>
    <x:t xml:space="preserve">Jl. Pulau Gelasa</x:t>
  </x:si>
  <x:si>
    <x:t xml:space="preserve">PT. KARYA DANISH FAZILA</x:t>
  </x:si>
  <x:si>
    <x:t xml:space="preserve">Zulfani</x:t>
  </x:si>
  <x:si>
    <x:t xml:space="preserve">FEIYAZ RESIDENCE 2</x:t>
  </x:si>
  <x:si>
    <x:t xml:space="preserve">Jl. Fajar</x:t>
  </x:si>
  <x:si>
    <x:t xml:space="preserve">FERZA BERLIAN RESIDENCE</x:t>
  </x:si>
  <x:si>
    <x:t xml:space="preserve">CV. BUMI CITRA LESTARI</x:t>
  </x:si>
  <x:si>
    <x:t xml:space="preserve">Reza Eka Aprilianto</x:t>
  </x:si>
  <x:si>
    <x:t xml:space="preserve">FERZA MUTIARA RESIDENCE</x:t>
  </x:si>
  <x:si>
    <x:t xml:space="preserve">Jl. Gandaria 1 Dalam</x:t>
  </x:si>
  <x:si>
    <x:t xml:space="preserve">FERZA RESIDENCE</x:t>
  </x:si>
  <x:si>
    <x:t xml:space="preserve">Jl. Pahlawan 12</x:t>
  </x:si>
  <x:si>
    <x:t xml:space="preserve">FLAMENGO RESIDENCE</x:t>
  </x:si>
  <x:si>
    <x:t xml:space="preserve">Jl. Gandaria 1, No. 12</x:t>
  </x:si>
  <x:si>
    <x:t xml:space="preserve">PT. BANGKA INDO PROPERTY</x:t>
  </x:si>
  <x:si>
    <x:t xml:space="preserve">Sri Devi Agustini</x:t>
  </x:si>
  <x:si>
    <x:t xml:space="preserve">FLAMENGO RESIDENCE 2</x:t>
  </x:si>
  <x:si>
    <x:t xml:space="preserve">Jl. Haji Bakri</x:t>
  </x:si>
  <x:si>
    <x:t xml:space="preserve">PT. BANGKA INDO PROPERTI</x:t>
  </x:si>
  <x:si>
    <x:t xml:space="preserve">FLAMENGO RESIDENCE 3</x:t>
  </x:si>
  <x:si>
    <x:t xml:space="preserve">Jl . Gandari 1, Gg. Flamengo</x:t>
  </x:si>
  <x:si>
    <x:t xml:space="preserve">GADING HIJAU</x:t>
  </x:si>
  <x:si>
    <x:t xml:space="preserve">Bukit Besar</x:t>
  </x:si>
  <x:si>
    <x:t xml:space="preserve">Jl. Belakang Sd 60 Girimaya</x:t>
  </x:si>
  <x:si>
    <x:t xml:space="preserve">PERUMAHAN GADING HIJAU</x:t>
  </x:si>
  <x:si>
    <x:t xml:space="preserve">Hasan Basri</x:t>
  </x:si>
  <x:si>
    <x:t xml:space="preserve">GADING PERMAI</x:t>
  </x:si>
  <x:si>
    <x:t xml:space="preserve">Jl. Fatmawati Gg. H. Hasan</x:t>
  </x:si>
  <x:si>
    <x:t xml:space="preserve">PT. MAESA BANGUN SEJAHTERA</x:t>
  </x:si>
  <x:si>
    <x:t xml:space="preserve">Andrev Timbong</x:t>
  </x:si>
  <x:si>
    <x:t xml:space="preserve">GANDARIA GREEN RESIDENCE</x:t>
  </x:si>
  <x:si>
    <x:t xml:space="preserve">Jl. Gandaria Dalam</x:t>
  </x:si>
  <x:si>
    <x:t xml:space="preserve">GANDARIA MAS 2</x:t>
  </x:si>
  <x:si>
    <x:t xml:space="preserve">PT. ANGKASA RAYA MAS</x:t>
  </x:si>
  <x:si>
    <x:t xml:space="preserve">Daniel Surya Putra</x:t>
  </x:si>
  <x:si>
    <x:t xml:space="preserve">GANTUNG BRIDGE RESIDENCE</x:t>
  </x:si>
  <x:si>
    <x:t xml:space="preserve">GARDEN INDAH RESIDENCE 1</x:t>
  </x:si>
  <x:si>
    <x:t xml:space="preserve">PT. KHANZANAH BABEL LESTARI</x:t>
  </x:si>
  <x:si>
    <x:t xml:space="preserve">Robiani</x:t>
  </x:si>
  <x:si>
    <x:t xml:space="preserve">GARDEN INDAH RESIDENCE 2</x:t>
  </x:si>
  <x:si>
    <x:t xml:space="preserve">GARDEN INDAH RESIDENCE 3</x:t>
  </x:si>
  <x:si>
    <x:t xml:space="preserve">Jl. Pinang Pura</x:t>
  </x:si>
  <x:si>
    <x:t xml:space="preserve">GENIO CITY RESIDENCE 1</x:t>
  </x:si>
  <x:si>
    <x:t xml:space="preserve">Jl. Seluang III</x:t>
  </x:si>
  <x:si>
    <x:t xml:space="preserve">CV. NAGA MAS</x:t>
  </x:si>
  <x:si>
    <x:t xml:space="preserve">Zulkifli</x:t>
  </x:si>
  <x:si>
    <x:t xml:space="preserve">GENIO CITY RESIDENCE 2</x:t>
  </x:si>
  <x:si>
    <x:t xml:space="preserve">Gabek Dua</x:t>
  </x:si>
  <x:si>
    <x:t xml:space="preserve">Jl. Raya Kartini</x:t>
  </x:si>
  <x:si>
    <x:t xml:space="preserve">GOLDEN RESIDENCE 1 TAHAP 1</x:t>
  </x:si>
  <x:si>
    <x:t xml:space="preserve">Jl. Almizan Gang Seniman</x:t>
  </x:si>
  <x:si>
    <x:t xml:space="preserve">PT. CITRA PRATAMA GASINDO</x:t>
  </x:si>
  <x:si>
    <x:t xml:space="preserve">Emida</x:t>
  </x:si>
  <x:si>
    <x:t xml:space="preserve">GOLDEN RESIDENCE 1 TAHAP 2</x:t>
  </x:si>
  <x:si>
    <x:t xml:space="preserve">GRAHA ARTA</x:t>
  </x:si>
  <x:si>
    <x:t xml:space="preserve">PT. TIRTA LOKA</x:t>
  </x:si>
  <x:si>
    <x:t xml:space="preserve">GRAHA FAMILY</x:t>
  </x:si>
  <x:si>
    <x:t xml:space="preserve">Jl. Laksamana Hayati</x:t>
  </x:si>
  <x:si>
    <x:t xml:space="preserve">PT. ANUGRAH FAJAR MENUMBING</x:t>
  </x:si>
  <x:si>
    <x:t xml:space="preserve">Wanda Purnama</x:t>
  </x:si>
  <x:si>
    <x:t xml:space="preserve">GRAHA FAMILY TAHAP 2</x:t>
  </x:si>
  <x:si>
    <x:t xml:space="preserve">GRAHA GADING MAS</x:t>
  </x:si>
  <x:si>
    <x:t xml:space="preserve">Jl. Alexander, Depan Citraland</x:t>
  </x:si>
  <x:si>
    <x:t xml:space="preserve">PT. PINANG MAS DUA</x:t>
  </x:si>
  <x:si>
    <x:t xml:space="preserve">Sri Hartati</x:t>
  </x:si>
  <x:si>
    <x:t xml:space="preserve">GRAHA KORPRI / SINAR MAS</x:t>
  </x:si>
  <x:si>
    <x:t xml:space="preserve">Jl. Air Geligit</x:t>
  </x:si>
  <x:si>
    <x:t xml:space="preserve">PT. GUNA MITRA PRIMA PROPERTINDO</x:t>
  </x:si>
  <x:si>
    <x:t xml:space="preserve">GRAHA LOKA ESTATE</x:t>
  </x:si>
  <x:si>
    <x:t xml:space="preserve">Jl. Jend. Sudirman</x:t>
  </x:si>
  <x:si>
    <x:t xml:space="preserve">PT. GRAHA LOKA</x:t>
  </x:si>
  <x:si>
    <x:t xml:space="preserve">Dymas Dwi Setia</x:t>
  </x:si>
  <x:si>
    <x:t xml:space="preserve">GRAHA PESONA</x:t>
  </x:si>
  <x:si>
    <x:t xml:space="preserve">Jl. Raya Tua Tunu</x:t>
  </x:si>
  <x:si>
    <x:t xml:space="preserve">GRAHA PINANG MAS 2</x:t>
  </x:si>
  <x:si>
    <x:t xml:space="preserve">GRAHA PURI</x:t>
  </x:si>
  <x:si>
    <x:t xml:space="preserve">GRAND BANGKA CITY</x:t>
  </x:si>
  <x:si>
    <x:t xml:space="preserve">Semabung Lama</x:t>
  </x:si>
  <x:si>
    <x:t xml:space="preserve">Jl. Batu Kaldera</x:t>
  </x:si>
  <x:si>
    <x:t xml:space="preserve">PT. PINANG JAYA MURNI</x:t>
  </x:si>
  <x:si>
    <x:t xml:space="preserve">Ho Har Aty</x:t>
  </x:si>
  <x:si>
    <x:t xml:space="preserve">GRAND ERANES</x:t>
  </x:si>
  <x:si>
    <x:t xml:space="preserve">Gg. Abadi 1</x:t>
  </x:si>
  <x:si>
    <x:t xml:space="preserve">PT. ERFOLG MANDIRI INDONESIA</x:t>
  </x:si>
  <x:si>
    <x:t xml:space="preserve">Zhaud Marully Wisudawan Silaban</x:t>
  </x:si>
  <x:si>
    <x:t xml:space="preserve">GRAND GANDARIA TAHAP 1</x:t>
  </x:si>
  <x:si>
    <x:t xml:space="preserve">Jl. Kampung Melayu No.16</x:t>
  </x:si>
  <x:si>
    <x:t xml:space="preserve">PT. MADINA INVESTAMA SEJAHTERA</x:t>
  </x:si>
  <x:si>
    <x:t xml:space="preserve">Munajat</x:t>
  </x:si>
  <x:si>
    <x:t xml:space="preserve">GRAND GANDARIA TAHAP 2</x:t>
  </x:si>
  <x:si>
    <x:t xml:space="preserve">GRAND GANDARIA TAHAP 3</x:t>
  </x:si>
  <x:si>
    <x:t xml:space="preserve">GRAND PAPIN'K ESTATE</x:t>
  </x:si>
  <x:si>
    <x:t xml:space="preserve">Jl. Masjid Al Husna</x:t>
  </x:si>
  <x:si>
    <x:t xml:space="preserve">PT.PAPINK INDAH PROPERTY</x:t>
  </x:si>
  <x:si>
    <x:t xml:space="preserve">Rita</x:t>
  </x:si>
  <x:si>
    <x:t xml:space="preserve">GRAND PAPINK II</x:t>
  </x:si>
  <x:si>
    <x:t xml:space="preserve">PT.GRAHA PAPINK INDAH PROPERTY</x:t>
  </x:si>
  <x:si>
    <x:t xml:space="preserve">GRAND PAPIN'K III</x:t>
  </x:si>
  <x:si>
    <x:t xml:space="preserve">Jl. Pasir Padi</x:t>
  </x:si>
  <x:si>
    <x:t xml:space="preserve">GRAND PAPIN'K IV</x:t>
  </x:si>
  <x:si>
    <x:t xml:space="preserve">GREEN HILL</x:t>
  </x:si>
  <x:si>
    <x:t xml:space="preserve">Naser Salim</x:t>
  </x:si>
  <x:si>
    <x:t xml:space="preserve">GREEN HILL 3</x:t>
  </x:si>
  <x:si>
    <x:t xml:space="preserve">PT. BANGKA MANDIRI PROPERTY</x:t>
  </x:si>
  <x:si>
    <x:t xml:space="preserve">Edy Susanto</x:t>
  </x:si>
  <x:si>
    <x:t xml:space="preserve">GREEN HILL TAHAP 2</x:t>
  </x:si>
  <x:si>
    <x:t xml:space="preserve">GREEN PESONA SELINDUNG</x:t>
  </x:si>
  <x:si>
    <x:t xml:space="preserve">Jl. Rustam Effendi</x:t>
  </x:si>
  <x:si>
    <x:t xml:space="preserve">PT. PRIMASCO GLOBAL DWISTAMA</x:t>
  </x:si>
  <x:si>
    <x:t xml:space="preserve">Ir. Dwi Herlanto</x:t>
  </x:si>
  <x:si>
    <x:t xml:space="preserve">GREEN VILLA</x:t>
  </x:si>
  <x:si>
    <x:t xml:space="preserve">PT. PEDS GRUP PROPERTI</x:t>
  </x:si>
  <x:si>
    <x:t xml:space="preserve">Dedy</x:t>
  </x:si>
  <x:si>
    <x:t xml:space="preserve">GRIYA BANGKA POS</x:t>
  </x:si>
  <x:si>
    <x:t xml:space="preserve">Jl. Pulau Pelepas</x:t>
  </x:si>
  <x:si>
    <x:t xml:space="preserve">SEBELUM TAHUN 2014</x:t>
  </x:si>
  <x:si>
    <x:t xml:space="preserve">GRIYA BERKAH</x:t>
  </x:si>
  <x:si>
    <x:t xml:space="preserve">Jl. Bukit Tunggal</x:t>
  </x:si>
  <x:si>
    <x:t xml:space="preserve">PT.BERKAH ABADI BERJAYA</x:t>
  </x:si>
  <x:si>
    <x:t xml:space="preserve">Fiter</x:t>
  </x:si>
  <x:si>
    <x:t xml:space="preserve">GRIYA BUKIT INTAN</x:t>
  </x:si>
  <x:si>
    <x:t xml:space="preserve">GRIYA ELANG</x:t>
  </x:si>
  <x:si>
    <x:t xml:space="preserve">PT.ELANG PERKASA PROPERTY</x:t>
  </x:si>
  <x:si>
    <x:t xml:space="preserve">Muhammad Pharevi</x:t>
  </x:si>
  <x:si>
    <x:t xml:space="preserve">GRIYA ELANG 2</x:t>
  </x:si>
  <x:si>
    <x:t xml:space="preserve">PT. ELANG PERKASA PROPERTI</x:t>
  </x:si>
  <x:si>
    <x:t xml:space="preserve">GRIYA ELANG 3</x:t>
  </x:si>
  <x:si>
    <x:t xml:space="preserve">Jl. Sungai Salim Dalam</x:t>
  </x:si>
  <x:si>
    <x:t xml:space="preserve">GRIYA ELANG 4</x:t>
  </x:si>
  <x:si>
    <x:t xml:space="preserve">GRIYA GANDARIA INDAH</x:t>
  </x:si>
  <x:si>
    <x:t xml:space="preserve">CV. MADINA INVESTAMA SEJAHTERA</x:t>
  </x:si>
  <x:si>
    <x:t xml:space="preserve">GRIYA INTAN ASRI</x:t>
  </x:si>
  <x:si>
    <x:t xml:space="preserve">Jl. Padang Lama</x:t>
  </x:si>
  <x:si>
    <x:t xml:space="preserve">PT.BANGKA INDO PROPERTY</x:t>
  </x:si>
  <x:si>
    <x:t xml:space="preserve">GRIYA KHARISMA</x:t>
  </x:si>
  <x:si>
    <x:t xml:space="preserve">PT. GANDARIA SUKSES SEJAHTERA</x:t>
  </x:si>
  <x:si>
    <x:t xml:space="preserve">Zuiyita</x:t>
  </x:si>
  <x:si>
    <x:t xml:space="preserve">GRIYA MUSTIKA 1</x:t>
  </x:si>
  <x:si>
    <x:t xml:space="preserve">Jl. Masjid Al-Husna</x:t>
  </x:si>
  <x:si>
    <x:t xml:space="preserve">PT. RIZKI AGUNG PROPERTINDO</x:t>
  </x:si>
  <x:si>
    <x:t xml:space="preserve">Risky Rexcy</x:t>
  </x:si>
  <x:si>
    <x:t xml:space="preserve">GRIYA PANGKALPINANG</x:t>
  </x:si>
  <x:si>
    <x:t xml:space="preserve">Jl. Kartini Utama Raya</x:t>
  </x:si>
  <x:si>
    <x:t xml:space="preserve">PT. GRAHA KARUNIA PERKASA</x:t>
  </x:si>
  <x:si>
    <x:t xml:space="preserve">GRIYA PAPINKA 1</x:t>
  </x:si>
  <x:si>
    <x:t xml:space="preserve">Jl. Gabek I</x:t>
  </x:si>
  <x:si>
    <x:t xml:space="preserve">GRIYA PAPINKA 2</x:t>
  </x:si>
  <x:si>
    <x:t xml:space="preserve">CV. MANDIRI SUKSES</x:t>
  </x:si>
  <x:si>
    <x:t xml:space="preserve">GRIYA PAPINKA 3</x:t>
  </x:si>
  <x:si>
    <x:t xml:space="preserve">Jl. Jebung Dalam</x:t>
  </x:si>
  <x:si>
    <x:t xml:space="preserve">GRIYA PESONA</x:t>
  </x:si>
  <x:si>
    <x:t xml:space="preserve">Gunawan</x:t>
  </x:si>
  <x:si>
    <x:t xml:space="preserve">GRIYA PESONA SELINDUNG</x:t>
  </x:si>
  <x:si>
    <x:t xml:space="preserve">Jl. Bedukang Raya</x:t>
  </x:si>
  <x:si>
    <x:t xml:space="preserve">GRIYA ROSMANIA RESIDENCE</x:t>
  </x:si>
  <x:si>
    <x:t xml:space="preserve">Jl. Salma</x:t>
  </x:si>
  <x:si>
    <x:t xml:space="preserve">PT. SYAMSI INVES TAMA</x:t>
  </x:si>
  <x:si>
    <x:t xml:space="preserve">GRIYA SAFARIAH</x:t>
  </x:si>
  <x:si>
    <x:t xml:space="preserve">GRIYA SHENA PERMAI</x:t>
  </x:si>
  <x:si>
    <x:t xml:space="preserve">Jl. M. Zainuddin</x:t>
  </x:si>
  <x:si>
    <x:t xml:space="preserve">Hendry Sujono</x:t>
  </x:si>
  <x:si>
    <x:t xml:space="preserve">GRIYA SYARIAH</x:t>
  </x:si>
  <x:si>
    <x:t xml:space="preserve">HARMONI RESIDENCE</x:t>
  </x:si>
  <x:si>
    <x:t xml:space="preserve">Jl. Lingkar Barat</x:t>
  </x:si>
  <x:si>
    <x:t xml:space="preserve">PT. HARMONI CITRA BANGKA</x:t>
  </x:si>
  <x:si>
    <x:t xml:space="preserve">Susantri</x:t>
  </x:si>
  <x:si>
    <x:t xml:space="preserve">HARVEST RESIDENCE 1</x:t>
  </x:si>
  <x:si>
    <x:t xml:space="preserve">Jl. Padat Karya</x:t>
  </x:si>
  <x:si>
    <x:t xml:space="preserve">PT. TRIMADYA PRIMA JAYA</x:t>
  </x:si>
  <x:si>
    <x:t xml:space="preserve">Lilis Martono</x:t>
  </x:si>
  <x:si>
    <x:t xml:space="preserve">HARVEST RESIDENCE 2</x:t>
  </x:si>
  <x:si>
    <x:t xml:space="preserve">HARVEST RESIDENCE 3</x:t>
  </x:si>
  <x:si>
    <x:t xml:space="preserve">Jl. Jamrud III</x:t>
  </x:si>
  <x:si>
    <x:t xml:space="preserve">HARVEST RESIDENCE 5</x:t>
  </x:si>
  <x:si>
    <x:t xml:space="preserve">HARVEST RESIDENCE 6</x:t>
  </x:si>
  <x:si>
    <x:t xml:space="preserve">Jl. Line Listrik</x:t>
  </x:si>
  <x:si>
    <x:t xml:space="preserve">HARVEST RESIDENCE 7</x:t>
  </x:si>
  <x:si>
    <x:t xml:space="preserve">Jl. Line Listrik (Kampak-Kerabut)</x:t>
  </x:si>
  <x:si>
    <x:t xml:space="preserve">HARVEST RESIDENCE 8</x:t>
  </x:si>
  <x:si>
    <x:t xml:space="preserve">HARVEST RESIDENCE 9</x:t>
  </x:si>
  <x:si>
    <x:t xml:space="preserve">INDAH RESIDENCE</x:t>
  </x:si>
  <x:si>
    <x:t xml:space="preserve">Jl. Kenari Rt.03 Rw.01</x:t>
  </x:si>
  <x:si>
    <x:t xml:space="preserve">INDO GRAHA</x:t>
  </x:si>
  <x:si>
    <x:t xml:space="preserve">Jl. Kampak</x:t>
  </x:si>
  <x:si>
    <x:t xml:space="preserve">INDO GRIYA</x:t>
  </x:si>
  <x:si>
    <x:t xml:space="preserve">INDO RESIDENCE</x:t>
  </x:si>
  <x:si>
    <x:t xml:space="preserve">Jl. Singkur No.83</x:t>
  </x:si>
  <x:si>
    <x:t xml:space="preserve">INDO WANEKA RESIDENCE 1</x:t>
  </x:si>
  <x:si>
    <x:t xml:space="preserve">CV.INDO SEJAHTERA</x:t>
  </x:si>
  <x:si>
    <x:t xml:space="preserve">INDO WANEKA RESIDENCE 2</x:t>
  </x:si>
  <x:si>
    <x:t xml:space="preserve">INDO WANEKA RESIDENCE 3</x:t>
  </x:si>
  <x:si>
    <x:t xml:space="preserve">INDO WANEKA RESIDENCE 4</x:t>
  </x:si>
  <x:si>
    <x:t xml:space="preserve">INDO WANEKA RESIDENCE 5</x:t>
  </x:si>
  <x:si>
    <x:t xml:space="preserve">KALENDRA RESIDENCE</x:t>
  </x:si>
  <x:si>
    <x:t xml:space="preserve">Jl. Pikas IV</x:t>
  </x:si>
  <x:si>
    <x:t xml:space="preserve">PT. TEKNIK KONSTRUKSI PROPERTINDO</x:t>
  </x:si>
  <x:si>
    <x:t xml:space="preserve">Tri Wibowo</x:t>
  </x:si>
  <x:si>
    <x:t xml:space="preserve">KAMPUNG ASRI 3</x:t>
  </x:si>
  <x:si>
    <x:t xml:space="preserve">KAMPUNG MELAYU ASRI 2</x:t>
  </x:si>
  <x:si>
    <x:t xml:space="preserve">Jl. Rumbia</x:t>
  </x:si>
  <x:si>
    <x:t xml:space="preserve">KORPRI PERMAI</x:t>
  </x:si>
  <x:si>
    <x:t xml:space="preserve">PT. Belma</x:t>
  </x:si>
  <x:si>
    <x:t xml:space="preserve">KOTA BARU RESIDENCE</x:t>
  </x:si>
  <x:si>
    <x:t xml:space="preserve">Jl. Gerunggang</x:t>
  </x:si>
  <x:si>
    <x:t xml:space="preserve">LEGAVISTA 4</x:t>
  </x:si>
  <x:si>
    <x:t xml:space="preserve">Jl. Fatmawati Dalam</x:t>
  </x:si>
  <x:si>
    <x:t xml:space="preserve">PT. LEGA CIPTA PROPERTINDO</x:t>
  </x:si>
  <x:si>
    <x:t xml:space="preserve">Noviko</x:t>
  </x:si>
  <x:si>
    <x:t xml:space="preserve">LEGAVISTA 4 TAHAP 2</x:t>
  </x:si>
  <x:si>
    <x:t xml:space="preserve">LENTERA BAHAGIA</x:t>
  </x:si>
  <x:si>
    <x:t xml:space="preserve">Jl. Pustu Kerabut</x:t>
  </x:si>
  <x:si>
    <x:t xml:space="preserve">MADANI RESIDENCE</x:t>
  </x:si>
  <x:si>
    <x:t xml:space="preserve">PT. GRAHA MADANI SUKSES BERSAMA</x:t>
  </x:si>
  <x:si>
    <x:t xml:space="preserve">Mardani</x:t>
  </x:si>
  <x:si>
    <x:t xml:space="preserve">MAHARANI RESIDENCE</x:t>
  </x:si>
  <x:si>
    <x:t xml:space="preserve">Jl. Bukit Intan</x:t>
  </x:si>
  <x:si>
    <x:t xml:space="preserve">PT. MAHARANI BERKAH COI PROPERTI</x:t>
  </x:si>
  <x:si>
    <x:t xml:space="preserve">Corri Ihsani</x:t>
  </x:si>
  <x:si>
    <x:t xml:space="preserve">MATAHARI RESIDENCE</x:t>
  </x:si>
  <x:si>
    <x:t xml:space="preserve">CV. BANGKA INDO KARYA</x:t>
  </x:si>
  <x:si>
    <x:t xml:space="preserve">Andri</x:t>
  </x:si>
  <x:si>
    <x:t xml:space="preserve">MATAHARI RESIDENCE 2</x:t>
  </x:si>
  <x:si>
    <x:t xml:space="preserve">PT. BANGKA INDO KARYA</x:t>
  </x:si>
  <x:si>
    <x:t xml:space="preserve">MEGA HARMONI</x:t>
  </x:si>
  <x:si>
    <x:t xml:space="preserve">MENARA KAMPAK RESIDENCE</x:t>
  </x:si>
  <x:si>
    <x:t xml:space="preserve">CV.MENARA JAYA</x:t>
  </x:si>
  <x:si>
    <x:t xml:space="preserve">MENTARI RESIDENCE</x:t>
  </x:si>
  <x:si>
    <x:t xml:space="preserve">Kacang Pedang</x:t>
  </x:si>
  <x:si>
    <x:t xml:space="preserve">PT. MENTARI BERSAUDARA BABEL</x:t>
  </x:si>
  <x:si>
    <x:t xml:space="preserve">Muhammad Iqbal</x:t>
  </x:si>
  <x:si>
    <x:t xml:space="preserve">MIRACLE LAND</x:t>
  </x:si>
  <x:si>
    <x:t xml:space="preserve">MONACO RESIDENCE</x:t>
  </x:si>
  <x:si>
    <x:t xml:space="preserve">Jl. Kartini Utama</x:t>
  </x:si>
  <x:si>
    <x:t xml:space="preserve">PT. GERHANA KARUNIA PERKASA</x:t>
  </x:si>
  <x:si>
    <x:t xml:space="preserve">MUTIARA RUBY</x:t>
  </x:si>
  <x:si>
    <x:t xml:space="preserve">MUTIARA SELINDUNG</x:t>
  </x:si>
  <x:si>
    <x:t xml:space="preserve">Jl. Betutu</x:t>
  </x:si>
  <x:si>
    <x:t xml:space="preserve">PT. PBERLY'S JAYA PROPERTI</x:t>
  </x:si>
  <x:si>
    <x:t xml:space="preserve">Subuadi</x:t>
  </x:si>
  <x:si>
    <x:t xml:space="preserve">MUTIARA SELINDUNG TAHAP 2</x:t>
  </x:si>
  <x:si>
    <x:t xml:space="preserve">NILAM PERMATA RESIDENCE</x:t>
  </x:si>
  <x:si>
    <x:t xml:space="preserve">Jl. Nilam Raya</x:t>
  </x:si>
  <x:si>
    <x:t xml:space="preserve">PT.PLASMA JAYA PERKASA</x:t>
  </x:si>
  <x:si>
    <x:t xml:space="preserve">Yanto</x:t>
  </x:si>
  <x:si>
    <x:t xml:space="preserve">NILAM PERMATA RESIDENCE 2 TAHAP 1</x:t>
  </x:si>
  <x:si>
    <x:t xml:space="preserve">PT. PLASMA JAYA PERKASA</x:t>
  </x:si>
  <x:si>
    <x:t xml:space="preserve">NILAM PERMATA RESIDENCE 2 TAHAP 2</x:t>
  </x:si>
  <x:si>
    <x:t xml:space="preserve">NILAM PERMATA RESIDENCE 2 TAHAP 3</x:t>
  </x:si>
  <x:si>
    <x:t xml:space="preserve">NILAM PERMATA RESIDENCE 2 TAHAP 4</x:t>
  </x:si>
  <x:si>
    <x:t xml:space="preserve">NIRWANA ASRI</x:t>
  </x:si>
  <x:si>
    <x:t xml:space="preserve">PT. RIZKI NUGRAHA SEJAHTERA</x:t>
  </x:si>
  <x:si>
    <x:t xml:space="preserve">Zuyyika Aditama Putra</x:t>
  </x:si>
  <x:si>
    <x:t xml:space="preserve">ORIZA PERMAI</x:t>
  </x:si>
  <x:si>
    <x:t xml:space="preserve">PANORAMA ZAMRUD RESIDENCE</x:t>
  </x:si>
  <x:si>
    <x:t xml:space="preserve">PT. PUTRA LIMBUNG JAYA PROPERTINDO</x:t>
  </x:si>
  <x:si>
    <x:t xml:space="preserve">Zam Zami</x:t>
  </x:si>
  <x:si>
    <x:t xml:space="preserve">PAPINKA VALLEY (JASMINE)</x:t>
  </x:si>
  <x:si>
    <x:t xml:space="preserve">Jl. Raya Air Itam</x:t>
  </x:si>
  <x:si>
    <x:t xml:space="preserve">PT. TIGA KOTA SEMACANG</x:t>
  </x:si>
  <x:si>
    <x:t xml:space="preserve">PAPINKA VALLEY (ORCHID)</x:t>
  </x:si>
  <x:si>
    <x:t xml:space="preserve">Jl. Depati Hamzah</x:t>
  </x:si>
  <x:si>
    <x:t xml:space="preserve">PARADISE RESIDENCE 1</x:t>
  </x:si>
  <x:si>
    <x:t xml:space="preserve">Jl. Tampak Pinang Pura</x:t>
  </x:si>
  <x:si>
    <x:t xml:space="preserve">CV. ANUGRAH KARYA KONSTRUKSI</x:t>
  </x:si>
  <x:si>
    <x:t xml:space="preserve">Dori Setiawan</x:t>
  </x:si>
  <x:si>
    <x:t xml:space="preserve">PARADISE RESIDENCE 2</x:t>
  </x:si>
  <x:si>
    <x:t xml:space="preserve">PARADISE RESIDENCE 3</x:t>
  </x:si>
  <x:si>
    <x:t xml:space="preserve">Jl. Warisan Budaya</x:t>
  </x:si>
  <x:si>
    <x:t xml:space="preserve">PT. Anugerah Karya Konstruksi</x:t>
  </x:si>
  <x:si>
    <x:t xml:space="preserve">PARADISE RESIDENCE 4</x:t>
  </x:si>
  <x:si>
    <x:t xml:space="preserve">PARADISE RESIDENCE 5</x:t>
  </x:si>
  <x:si>
    <x:t xml:space="preserve">Jl. Lingkar Barat Jalur 30 M</x:t>
  </x:si>
  <x:si>
    <x:t xml:space="preserve">PARADISE RESIDENCE 6</x:t>
  </x:si>
  <x:si>
    <x:t xml:space="preserve">PT. ANUGRAH KARYA KONSTRUKSI</x:t>
  </x:si>
  <x:si>
    <x:t xml:space="preserve">PARADISE RESIDENCE 7</x:t>
  </x:si>
  <x:si>
    <x:t xml:space="preserve">PARADISE RESIDENCE 8</x:t>
  </x:si>
  <x:si>
    <x:t xml:space="preserve">PARADISE RESIDENCE 9 GANDARIA</x:t>
  </x:si>
  <x:si>
    <x:t xml:space="preserve">Jl. Dealova Bahagia</x:t>
  </x:si>
  <x:si>
    <x:t xml:space="preserve">Tisnu Rehatta</x:t>
  </x:si>
  <x:si>
    <x:t xml:space="preserve">PARIS RESIDENCE</x:t>
  </x:si>
  <x:si>
    <x:t xml:space="preserve">PASIR MUTIARA RESIDENCE</x:t>
  </x:si>
  <x:si>
    <x:t xml:space="preserve">Jl. Pasir</x:t>
  </x:si>
  <x:si>
    <x:t xml:space="preserve">PT. BHAKTI AISYAH ATAYA</x:t>
  </x:si>
  <x:si>
    <x:t xml:space="preserve">M. Aditiya Mebiantara</x:t>
  </x:si>
  <x:si>
    <x:t xml:space="preserve">PASIR PADI RESIDENCE</x:t>
  </x:si>
  <x:si>
    <x:t xml:space="preserve">PT.KARYA PUTRA BANGKA MANDIRI</x:t>
  </x:si>
  <x:si>
    <x:t xml:space="preserve">Steven Wijaya</x:t>
  </x:si>
  <x:si>
    <x:t xml:space="preserve">PEARL RESIDENCE 1</x:t>
  </x:si>
  <x:si>
    <x:t xml:space="preserve">Jl. Bukit Tunggal 1</x:t>
  </x:si>
  <x:si>
    <x:t xml:space="preserve">CV. AGRIKULTUR RUMPUT LAUT</x:t>
  </x:si>
  <x:si>
    <x:t xml:space="preserve">Prigunardi Tjhia</x:t>
  </x:si>
  <x:si>
    <x:t xml:space="preserve">PEARL RESIDENCE 2</x:t>
  </x:si>
  <x:si>
    <x:t xml:space="preserve">Jl. Perbakin Rt.01 Rw.02 Kel.Sriwijaya Kec. Girimaya</x:t>
  </x:si>
  <x:si>
    <x:t xml:space="preserve">PEARL RESIDENCE 3</x:t>
  </x:si>
  <x:si>
    <x:t xml:space="preserve">Jl. Batu Akik</x:t>
  </x:si>
  <x:si>
    <x:t xml:space="preserve">PEARL RESIDENCE 5</x:t>
  </x:si>
  <x:si>
    <x:t xml:space="preserve">Jl. Basuki Rahmat Ujung II</x:t>
  </x:si>
  <x:si>
    <x:t xml:space="preserve">PELANGI RESIDENCE</x:t>
  </x:si>
  <x:si>
    <x:t xml:space="preserve">Jl. Sungkur Dalam</x:t>
  </x:si>
  <x:si>
    <x:t xml:space="preserve">PERMATA GANDARIA</x:t>
  </x:si>
  <x:si>
    <x:t xml:space="preserve">Gg. Al Mukaromah</x:t>
  </x:si>
  <x:si>
    <x:t xml:space="preserve">PT. KAYYESA ELMA MAZEA</x:t>
  </x:si>
  <x:si>
    <x:t xml:space="preserve">Sariati</x:t>
  </x:si>
  <x:si>
    <x:t xml:space="preserve">PERMATA INTI KAMPAK</x:t>
  </x:si>
  <x:si>
    <x:t xml:space="preserve">PERMATA KULAN</x:t>
  </x:si>
  <x:si>
    <x:t xml:space="preserve">Jl. Kulan</x:t>
  </x:si>
  <x:si>
    <x:t xml:space="preserve">PT. LAUTAN EMAS ADI GRAHA</x:t>
  </x:si>
  <x:si>
    <x:t xml:space="preserve">Hendri</x:t>
  </x:si>
  <x:si>
    <x:t xml:space="preserve">PERMATA MANDIRI RESIDENCE 2</x:t>
  </x:si>
  <x:si>
    <x:t xml:space="preserve">PERMATA SELINDUNG RESIDENCE</x:t>
  </x:si>
  <x:si>
    <x:t xml:space="preserve">Jl. Lintas Timur No. 18</x:t>
  </x:si>
  <x:si>
    <x:t xml:space="preserve">PERMATA SRIWIJAYA</x:t>
  </x:si>
  <x:si>
    <x:t xml:space="preserve">Jl. Basuki Rahmat Ujung</x:t>
  </x:si>
  <x:si>
    <x:t xml:space="preserve">Suwandi</x:t>
  </x:si>
  <x:si>
    <x:t xml:space="preserve">PESONA ASROBAN INDAH</x:t>
  </x:si>
  <x:si>
    <x:t xml:space="preserve">CV. PBERLY'S</x:t>
  </x:si>
  <x:si>
    <x:t xml:space="preserve">PESONA KAMPAK PERMAI</x:t>
  </x:si>
  <x:si>
    <x:t xml:space="preserve">PESONA SELINDUNG</x:t>
  </x:si>
  <x:si>
    <x:t xml:space="preserve">Jl. Puri Kencana</x:t>
  </x:si>
  <x:si>
    <x:t xml:space="preserve">PINANG MAS</x:t>
  </x:si>
  <x:si>
    <x:t xml:space="preserve">PONDOK GRIYA KEDATON</x:t>
  </x:si>
  <x:si>
    <x:t xml:space="preserve">Jl. Depati Hamzah, Gg. Bandes</x:t>
  </x:si>
  <x:si>
    <x:t xml:space="preserve">PT. SUNGAILIAT BERKAH JAYA SENTOSA</x:t>
  </x:si>
  <x:si>
    <x:t xml:space="preserve">Hermawan Bayu Seno</x:t>
  </x:si>
  <x:si>
    <x:t xml:space="preserve">PONDOK INDAH</x:t>
  </x:si>
  <x:si>
    <x:t xml:space="preserve">Jl. Rustam Efendi</x:t>
  </x:si>
  <x:si>
    <x:t xml:space="preserve">PONDOK INDAH 2</x:t>
  </x:si>
  <x:si>
    <x:t xml:space="preserve">PT . BANGKA CIPTA MANDIRI</x:t>
  </x:si>
  <x:si>
    <x:t xml:space="preserve">Yuswan</x:t>
  </x:si>
  <x:si>
    <x:t xml:space="preserve">PONDOK INDAH 3</x:t>
  </x:si>
  <x:si>
    <x:t xml:space="preserve">PT.SUMBER MAS PRATAMA</x:t>
  </x:si>
  <x:si>
    <x:t xml:space="preserve">Selly</x:t>
  </x:si>
  <x:si>
    <x:t xml:space="preserve">PONDOK INDAH 5</x:t>
  </x:si>
  <x:si>
    <x:t xml:space="preserve">PT. SUMBER MAS PRATAMA</x:t>
  </x:si>
  <x:si>
    <x:t xml:space="preserve">PONDOK INDAH 6</x:t>
  </x:si>
  <x:si>
    <x:t xml:space="preserve">PONDOK INDAH 7</x:t>
  </x:si>
  <x:si>
    <x:t xml:space="preserve">Feri Sardani</x:t>
  </x:si>
  <x:si>
    <x:t xml:space="preserve">PONDOK INDAH 8</x:t>
  </x:si>
  <x:si>
    <x:t xml:space="preserve">Muhammad Rizki Ramadhan</x:t>
  </x:si>
  <x:si>
    <x:t xml:space="preserve">PONDOK INDAH 9</x:t>
  </x:si>
  <x:si>
    <x:t xml:space="preserve">PONDOK INDAH 10</x:t>
  </x:si>
  <x:si>
    <x:t xml:space="preserve">PONDOK INDAH 11</x:t>
  </x:si>
  <x:si>
    <x:t xml:space="preserve">PRIMA GARDEN 1</x:t>
  </x:si>
  <x:si>
    <x:t xml:space="preserve">Jl. Fatmawati Gg. Kulan</x:t>
  </x:si>
  <x:si>
    <x:t xml:space="preserve">PT. BABELINDO NUSANTARA PRIMA</x:t>
  </x:si>
  <x:si>
    <x:t xml:space="preserve">Muksen</x:t>
  </x:si>
  <x:si>
    <x:t xml:space="preserve">PRIMA GARDEN 1 TAHAP 2</x:t>
  </x:si>
  <x:si>
    <x:t xml:space="preserve">PURI ARWANA</x:t>
  </x:si>
  <x:si>
    <x:t xml:space="preserve">PT. GIBSI HMS SEJAHTERA PERSADA</x:t>
  </x:si>
  <x:si>
    <x:t xml:space="preserve">M. Dollar</x:t>
  </x:si>
  <x:si>
    <x:t xml:space="preserve">PURI KENCANA</x:t>
  </x:si>
  <x:si>
    <x:t xml:space="preserve">Edward</x:t>
  </x:si>
  <x:si>
    <x:t xml:space="preserve">PURI MANSION</x:t>
  </x:si>
  <x:si>
    <x:t xml:space="preserve">PT. MAHA KARYA KREASI</x:t>
  </x:si>
  <x:si>
    <x:t xml:space="preserve">Romitama Purwanto Wibowo</x:t>
  </x:si>
  <x:si>
    <x:t xml:space="preserve">PURI RESIDENCE</x:t>
  </x:si>
  <x:si>
    <x:t xml:space="preserve">PURI SEMABUNG INDAH</x:t>
  </x:si>
  <x:si>
    <x:t xml:space="preserve">Jl. Mustika II</x:t>
  </x:si>
  <x:si>
    <x:t xml:space="preserve">Heriyanto</x:t>
  </x:si>
  <x:si>
    <x:t xml:space="preserve">PURI SEMABUNG INDAH 1</x:t>
  </x:si>
  <x:si>
    <x:t xml:space="preserve">Jl. Semabung Lama</x:t>
  </x:si>
  <x:si>
    <x:t xml:space="preserve">RED WOOD</x:t>
  </x:si>
  <x:si>
    <x:t xml:space="preserve">Jl. Tayib</x:t>
  </x:si>
  <x:si>
    <x:t xml:space="preserve">RIVERA RESIDENCE</x:t>
  </x:si>
  <x:si>
    <x:t xml:space="preserve">Jl. Tanjung Bunga II</x:t>
  </x:si>
  <x:si>
    <x:t xml:space="preserve">Eko Yuliyanto</x:t>
  </x:si>
  <x:si>
    <x:t xml:space="preserve">RIZKI RESIDENCE</x:t>
  </x:si>
  <x:si>
    <x:t xml:space="preserve">PT.SUKMA KARYA ABADI</x:t>
  </x:si>
  <x:si>
    <x:t xml:space="preserve">Ebit Sugiarto</x:t>
  </x:si>
  <x:si>
    <x:t xml:space="preserve">RIZKY RESIDENCE 2</x:t>
  </x:si>
  <x:si>
    <x:t xml:space="preserve">PT. SUKMA KARYA ABADI PROPERTI</x:t>
  </x:si>
  <x:si>
    <x:t xml:space="preserve">Ebid Sugiarto</x:t>
  </x:si>
  <x:si>
    <x:t xml:space="preserve">ROSE WATER ESTATE</x:t>
  </x:si>
  <x:si>
    <x:t xml:space="preserve">ROYAL PERMATA INDAH</x:t>
  </x:si>
  <x:si>
    <x:t xml:space="preserve">PT. BERKAH BERSAMA KONSTRUKSI</x:t>
  </x:si>
  <x:si>
    <x:t xml:space="preserve">Agustian Safitri</x:t>
  </x:si>
  <x:si>
    <x:t xml:space="preserve">SILAM PARI</x:t>
  </x:si>
  <x:si>
    <x:t xml:space="preserve">PT. TUNGGARA BERKAH PROPERTY</x:t>
  </x:si>
  <x:si>
    <x:t xml:space="preserve">Rivaldy Oki Rudiansyah</x:t>
  </x:si>
  <x:si>
    <x:t xml:space="preserve">SINAR BANGKA INDAH</x:t>
  </x:si>
  <x:si>
    <x:t xml:space="preserve">Jl. Depati Hamzah Gg. Mirah Delima I</x:t>
  </x:si>
  <x:si>
    <x:t xml:space="preserve">PT. SINAR BANGKA INDAH</x:t>
  </x:si>
  <x:si>
    <x:t xml:space="preserve">TAMAN ANGGREK RESIDENCE 1</x:t>
  </x:si>
  <x:si>
    <x:t xml:space="preserve">TAMAN ANGGREK RESIDENCE 2</x:t>
  </x:si>
  <x:si>
    <x:t xml:space="preserve">Jl. Parit Lalang</x:t>
  </x:si>
  <x:si>
    <x:t xml:space="preserve">TAMAN GANDARIA MAS</x:t>
  </x:si>
  <x:si>
    <x:t xml:space="preserve">TAMAN GANDARIA MAS 3</x:t>
  </x:si>
  <x:si>
    <x:t xml:space="preserve">Gg. Melati</x:t>
  </x:si>
  <x:si>
    <x:t xml:space="preserve">TAMAN JAGUNG RESIDENCE 1</x:t>
  </x:si>
  <x:si>
    <x:t xml:space="preserve">Jl. Betutu Dalam</x:t>
  </x:si>
  <x:si>
    <x:t xml:space="preserve">PT. KARYA TEKNIK KONTRUKSI</x:t>
  </x:si>
  <x:si>
    <x:t xml:space="preserve">Dwi Pramono</x:t>
  </x:si>
  <x:si>
    <x:t xml:space="preserve">TAMAN JAGUNG RESIDENCE 2</x:t>
  </x:si>
  <x:si>
    <x:t xml:space="preserve">Jl. Jebung 1</x:t>
  </x:si>
  <x:si>
    <x:t xml:space="preserve">PT. KARYATEK PRIMA</x:t>
  </x:si>
  <x:si>
    <x:t xml:space="preserve">TAMAN JAGUNG RESIDENCE 3</x:t>
  </x:si>
  <x:si>
    <x:t xml:space="preserve">TAMAN JAGUNG RESIDENCE 4</x:t>
  </x:si>
  <x:si>
    <x:t xml:space="preserve">TAMAN JAGUNG RESIDENCE 5</x:t>
  </x:si>
  <x:si>
    <x:t xml:space="preserve">Jl. Terubuk Dalam</x:t>
  </x:si>
  <x:si>
    <x:t xml:space="preserve">TAMAN JAGUNG RESIDENCE 6</x:t>
  </x:si>
  <x:si>
    <x:t xml:space="preserve">Jl. Stadion Depati Amir</x:t>
  </x:si>
  <x:si>
    <x:t xml:space="preserve">TAMAN JAGUNG RESIDENCE 7</x:t>
  </x:si>
  <x:si>
    <x:t xml:space="preserve">Jl. Fatmawati Kampak</x:t>
  </x:si>
  <x:si>
    <x:t xml:space="preserve">TAMAN JAGUNG RESIDENCE 8</x:t>
  </x:si>
  <x:si>
    <x:t xml:space="preserve">TAMAN JAGUNG RESIDENCE 9</x:t>
  </x:si>
  <x:si>
    <x:t xml:space="preserve">Jl. M. Saleh Zainudin</x:t>
  </x:si>
  <x:si>
    <x:t xml:space="preserve">TAMAN JAGUNG RESIDENCE 10</x:t>
  </x:si>
  <x:si>
    <x:t xml:space="preserve">TAMAN JAGUNG RESIDENCE 11</x:t>
  </x:si>
  <x:si>
    <x:t xml:space="preserve">TAMAN JAGUNG RESIDENCE 12</x:t>
  </x:si>
  <x:si>
    <x:t xml:space="preserve">Jl. Mawar</x:t>
  </x:si>
  <x:si>
    <x:t xml:space="preserve">TAMAN JAGUNG RESIDENCE 14</x:t>
  </x:si>
  <x:si>
    <x:t xml:space="preserve">PT. KARYA TEKNIK KONSTRUKSI</x:t>
  </x:si>
  <x:si>
    <x:t xml:space="preserve">TAMAN JAGUNG RESIDENCE 15</x:t>
  </x:si>
  <x:si>
    <x:t xml:space="preserve">Rifky Pramana Putra</x:t>
  </x:si>
  <x:si>
    <x:t xml:space="preserve">TAMAN JAGUNG RESIDENCE 16</x:t>
  </x:si>
  <x:si>
    <x:t xml:space="preserve">Jl. Pikas 1</x:t>
  </x:si>
  <x:si>
    <x:t xml:space="preserve">TAMAN JAGUNG RESIDENCE 17</x:t>
  </x:si>
  <x:si>
    <x:t xml:space="preserve">TAMAN JAGUNG RESIDENCE 18</x:t>
  </x:si>
  <x:si>
    <x:t xml:space="preserve">Jl. Stadion Dalam</x:t>
  </x:si>
  <x:si>
    <x:t xml:space="preserve">TAMAN JAGUNG RESIDENCE ICON 1</x:t>
  </x:si>
  <x:si>
    <x:t xml:space="preserve">TAMAN JAGUNG RESIDENCE ICON 2</x:t>
  </x:si>
  <x:si>
    <x:t xml:space="preserve">TAMAN KOTA</x:t>
  </x:si>
  <x:si>
    <x:t xml:space="preserve">Jl. Pulad Bangka</x:t>
  </x:si>
  <x:si>
    <x:t xml:space="preserve">TAMAN MANGGIS 1</x:t>
  </x:si>
  <x:si>
    <x:t xml:space="preserve">PT. PARAHYANGAN DWI KARYA</x:t>
  </x:si>
  <x:si>
    <x:t xml:space="preserve">Hendrawan/Anugrah Wiyogo</x:t>
  </x:si>
  <x:si>
    <x:t xml:space="preserve">TAMAN MANGGIS 2</x:t>
  </x:si>
  <x:si>
    <x:t xml:space="preserve">TAMAN MANGGIS 2 TAHAP 2</x:t>
  </x:si>
  <x:si>
    <x:t xml:space="preserve">PT. PARAHYANGAN DWIKARYA</x:t>
  </x:si>
  <x:si>
    <x:t xml:space="preserve">TAMAN NAZHALEA</x:t>
  </x:si>
  <x:si>
    <x:t xml:space="preserve">PT. GITA PUTRI BANGKA</x:t>
  </x:si>
  <x:si>
    <x:t xml:space="preserve">Muhammad Ikhsan Suryaatmaja</x:t>
  </x:si>
  <x:si>
    <x:t xml:space="preserve">TAMAN PAPINKA</x:t>
  </x:si>
  <x:si>
    <x:t xml:space="preserve">CV. TAMAN PAPINKA</x:t>
  </x:si>
  <x:si>
    <x:t xml:space="preserve">TAMAN SEMESTA MAS</x:t>
  </x:si>
  <x:si>
    <x:t xml:space="preserve">TAMAN SRIWIJAYA</x:t>
  </x:si>
  <x:si>
    <x:t xml:space="preserve">Jl. Kubis</x:t>
  </x:si>
  <x:si>
    <x:t xml:space="preserve">TAMAN SRIWIJAYA II</x:t>
  </x:si>
  <x:si>
    <x:t xml:space="preserve">Jl. Kubis II</x:t>
  </x:si>
  <x:si>
    <x:t xml:space="preserve">TAMAN SURYA</x:t>
  </x:si>
  <x:si>
    <x:t xml:space="preserve">Jl. Fatmawati Gg. Makmur</x:t>
  </x:si>
  <x:si>
    <x:t xml:space="preserve">PT. BANGKA RAYA JAYA</x:t>
  </x:si>
  <x:si>
    <x:t xml:space="preserve">Julu Wahyono</x:t>
  </x:si>
  <x:si>
    <x:t xml:space="preserve">TAMAN SURYA MAS</x:t>
  </x:si>
  <x:si>
    <x:t xml:space="preserve">Jl. Kampak Gg. Haji Umar</x:t>
  </x:si>
  <x:si>
    <x:t xml:space="preserve">TAMAN SURYA MAS INDAH</x:t>
  </x:si>
  <x:si>
    <x:t xml:space="preserve">TAMAN TANJUNG BUNGA CLUSTER ANGGREK</x:t>
  </x:si>
  <x:si>
    <x:t xml:space="preserve">PT.CAHAYA INTAN ABADI SAKTI</x:t>
  </x:si>
  <x:si>
    <x:t xml:space="preserve">Welly Abdullah</x:t>
  </x:si>
  <x:si>
    <x:t xml:space="preserve">TAMAN TANJUNG BUNGA CLUSTER DAHLIA</x:t>
  </x:si>
  <x:si>
    <x:t xml:space="preserve">Jl. Perumahan Tanjung Bunga</x:t>
  </x:si>
  <x:si>
    <x:t xml:space="preserve">PT. CAHAYA INDAH ABADISAKTI</x:t>
  </x:si>
  <x:si>
    <x:t xml:space="preserve">Ferdinan</x:t>
  </x:si>
  <x:si>
    <x:t xml:space="preserve">TAMAN TANJUNG BUNGA CLUSTER LILI</x:t>
  </x:si>
  <x:si>
    <x:t xml:space="preserve">Jl. Taman Indah No 212</x:t>
  </x:si>
  <x:si>
    <x:t xml:space="preserve">TAMAN TANJUNG BUNGA CLUSTER MAWAR 1</x:t>
  </x:si>
  <x:si>
    <x:t xml:space="preserve">TAMAN TANJUNG BUNGA CLUSTER MAWAR 2</x:t>
  </x:si>
  <x:si>
    <x:t xml:space="preserve">TAMAN TANJUNG BUNGA CLUSTER SERUNI</x:t>
  </x:si>
  <x:si>
    <x:t xml:space="preserve">TAMARA DREAM LAND 2</x:t>
  </x:si>
  <x:si>
    <x:t xml:space="preserve">PT. BUSNI IPAH GEMA</x:t>
  </x:si>
  <x:si>
    <x:t xml:space="preserve">Harini</x:t>
  </x:si>
  <x:si>
    <x:t xml:space="preserve">ALIANSI PENGEMBANG PERUMAHAN NASIONAL JAYA (APPERNAS JAYA)</x:t>
  </x:si>
  <x:si>
    <x:t xml:space="preserve">TAMARA DREAM LAND 2 TAHAP 2</x:t>
  </x:si>
  <x:si>
    <x:t xml:space="preserve">Jl. Air Bebar</x:t>
  </x:si>
  <x:si>
    <x:t xml:space="preserve">TANJUNG MANDIRI</x:t>
  </x:si>
  <x:si>
    <x:t xml:space="preserve">TELAGA TIMUR 1</x:t>
  </x:si>
  <x:si>
    <x:t xml:space="preserve">Jl. Tambak Udang</x:t>
  </x:si>
  <x:si>
    <x:t xml:space="preserve">PT. CAHAYA VIATINDO PRIMA</x:t>
  </x:si>
  <x:si>
    <x:t xml:space="preserve">Doddy Primananda</x:t>
  </x:si>
  <x:si>
    <x:t xml:space="preserve">TELAGA TIMUR 2</x:t>
  </x:si>
  <x:si>
    <x:t xml:space="preserve">TELAGA TIMUR 3</x:t>
  </x:si>
  <x:si>
    <x:t xml:space="preserve">Jl. Lingkar Timur</x:t>
  </x:si>
  <x:si>
    <x:t xml:space="preserve">Efviar Said</x:t>
  </x:si>
  <x:si>
    <x:t xml:space="preserve">THE GREENLAND CITY</x:t>
  </x:si>
  <x:si>
    <x:t xml:space="preserve">Jl. Selindung Raya</x:t>
  </x:si>
  <x:si>
    <x:t xml:space="preserve">PT. MITRA ANUGRAH PERDANA</x:t>
  </x:si>
  <x:si>
    <x:t xml:space="preserve">Gunadi</x:t>
  </x:si>
  <x:si>
    <x:t xml:space="preserve">THE ZAMRUD LAND</x:t>
  </x:si>
  <x:si>
    <x:t xml:space="preserve">Jl. Perumahan Bhayangkara</x:t>
  </x:si>
  <x:si>
    <x:t xml:space="preserve">PT. BAPALINDO JAYA PROPERTI</x:t>
  </x:si>
  <x:si>
    <x:t xml:space="preserve">TIRTA KENCANA PERMAI</x:t>
  </x:si>
  <x:si>
    <x:t xml:space="preserve">Asiong</x:t>
  </x:si>
  <x:si>
    <x:t xml:space="preserve">TUNAS ILALANG</x:t>
  </x:si>
  <x:si>
    <x:t xml:space="preserve">PT. PERSLY DONNY SIREGAR</x:t>
  </x:si>
  <x:si>
    <x:t xml:space="preserve">Kristory Glorius S.</x:t>
  </x:si>
  <x:si>
    <x:t xml:space="preserve">TUNAS JERAMBAH GANTUNG</x:t>
  </x:si>
  <x:si>
    <x:t xml:space="preserve">TUNAS KAMPAK REGAR</x:t>
  </x:si>
  <x:si>
    <x:t xml:space="preserve">TUNAS TANJUNG BUNGA</x:t>
  </x:si>
  <x:si>
    <x:t xml:space="preserve">VALERI RESIDENCE</x:t>
  </x:si>
  <x:si>
    <x:t xml:space="preserve">Rangkui</x:t>
  </x:si>
  <x:si>
    <x:t xml:space="preserve">Asam</x:t>
  </x:si>
  <x:si>
    <x:t xml:space="preserve">Jl. Jeruk</x:t>
  </x:si>
  <x:si>
    <x:t xml:space="preserve">PT. PRESTIGE LAND PROPERTI</x:t>
  </x:si>
  <x:si>
    <x:t xml:space="preserve">Warino</x:t>
  </x:si>
  <x:si>
    <x:t xml:space="preserve">VALERI RESIDENCE 2</x:t>
  </x:si>
  <x:si>
    <x:t xml:space="preserve">VILLA BUKIT ASRI</x:t>
  </x:si>
  <x:si>
    <x:t xml:space="preserve">VILLA HARMONI</x:t>
  </x:si>
  <x:si>
    <x:t xml:space="preserve">Ampui</x:t>
  </x:si>
  <x:si>
    <x:t xml:space="preserve">Jl. Teluk Bayur</x:t>
  </x:si>
  <x:si>
    <x:t xml:space="preserve">Yurita Sari</x:t>
  </x:si>
  <x:si>
    <x:t xml:space="preserve">VILLA JAM'S RESIDENCE</x:t>
  </x:si>
  <x:si>
    <x:t xml:space="preserve">Jl. Padat Karya Dalam</x:t>
  </x:si>
  <x:si>
    <x:t xml:space="preserve">PT. FARISLA JAYA MAKMUR</x:t>
  </x:si>
  <x:si>
    <x:t xml:space="preserve">VILLA KAYU MAS</x:t>
  </x:si>
  <x:si>
    <x:t xml:space="preserve">Jl. Tua Tunu Raya</x:t>
  </x:si>
  <x:si>
    <x:t xml:space="preserve">PT. BUMI CITRA LESTARI PROPERTINDO</x:t>
  </x:si>
  <x:si>
    <x:t xml:space="preserve">VILLA SAKINAH INDAH</x:t>
  </x:si>
  <x:si>
    <x:t xml:space="preserve">Jl. Galanggang Kapal Selindung</x:t>
  </x:si>
  <x:si>
    <x:t xml:space="preserve">PD. DOK KARTINI</x:t>
  </x:si>
  <x:si>
    <x:t xml:space="preserve">Jibran Chairozi</x:t>
  </x:si>
  <x:si>
    <x:t xml:space="preserve">VIONA VILLAGE</x:t>
  </x:si>
  <x:si>
    <x:t xml:space="preserve">Jl. Sembilang No. 2</x:t>
  </x:si>
  <x:si>
    <x:t xml:space="preserve">WAN RESIDENCE 1</x:t>
  </x:si>
  <x:si>
    <x:t xml:space="preserve">Jl. Puskesmas/Len 30</x:t>
  </x:si>
  <x:si>
    <x:t xml:space="preserve">PT. WAN JANNAH RIA</x:t>
  </x:si>
  <x:si>
    <x:t xml:space="preserve">Dahlia</x:t>
  </x:si>
  <x:si>
    <x:t xml:space="preserve">WATERGATE PARK RESIDENCE</x:t>
  </x:si>
  <x:si>
    <x:t xml:space="preserve">Pintu Air</x:t>
  </x:si>
  <x:si>
    <x:t xml:space="preserve">Jl. Batin Iso No. 429</x:t>
  </x:si>
  <x:si>
    <x:t xml:space="preserve">ZIKRI RESIDENCE TAHAP 1</x:t>
  </x:si>
  <x:si>
    <x:t xml:space="preserve">PT. ROBIATUL RUBIEQA RABBANI</x:t>
  </x:si>
  <x:si>
    <x:t xml:space="preserve">Zikri</x:t>
  </x:si>
  <x:si>
    <x:t xml:space="preserve">ZIKRI RESIDENCE TAHAP 2</x:t>
  </x:si>
  <x:si>
    <x:t xml:space="preserve">ZIKRY RESIDENCE TAHAP 3</x:t>
  </x:si>
  <x:si>
    <x:t xml:space="preserve">ZIKRY RESIDENCE TAHAP 4</x:t>
  </x:si>
  <x:si>
    <x:t xml:space="preserve">Jl. Sungai Liat</x:t>
  </x:si>
  <x:si>
    <x:t xml:space="preserve">TEMPLATE RESMI DATABASE SIRUMAH — BACKLOG KEPEMILIKAN</x:t>
  </x:si>
  <x:si>
    <x:t xml:space="preserve">Gunakan baris Tingkat Wilayah = Kota untuk total kota. Jangan menjumlahkan ulang baris total kota dengan baris kecamatan.</x:t>
  </x:si>
  <x:si>
    <x:t xml:space="preserve">PETUNJUK: Jangan mengubah nama header. Kolom bertanda * wajib diisi. Isi data mulai baris 6. Kolom berwarna biru muda dihitung otomatis oleh Excel.</x:t>
  </x:si>
  <x:si>
    <x:t xml:space="preserve">ID_BACKLOG*</x:t>
  </x:si>
  <x:si>
    <x:t xml:space="preserve">TINGKAT_WILAYAH*</x:t>
  </x:si>
  <x:si>
    <x:t xml:space="preserve">KECAMATAN/WILAYAH*</x:t>
  </x:si>
  <x:si>
    <x:t xml:space="preserve">BACKLOG_KEPEMILIKAN</x:t>
  </x:si>
  <x:si>
    <x:t xml:space="preserve">BACKLOG_HUNIAN</x:t>
  </x:si>
  <x:si>
    <x:t xml:space="preserve">KETERANGAN</x:t>
  </x:si>
  <x:si>
    <x:t xml:space="preserve">1</x:t>
  </x:si>
  <x:si>
    <x:t xml:space="preserve">Kecamatan</x:t>
  </x:si>
  <x:si>
    <x:t xml:space="preserve">BKKBN</x:t>
  </x:si>
  <x:si>
    <x:t xml:space="preserve">Terverifikasi</x:t>
  </x:si>
  <x:si>
    <x:t xml:space="preserve">2</x:t>
  </x:si>
  <x:si>
    <x:t xml:space="preserve">3</x:t>
  </x:si>
  <x:si>
    <x:t xml:space="preserve">Taman Sari</x:t>
  </x:si>
  <x:si>
    <x:t xml:space="preserve">4</x:t>
  </x:si>
  <x:si>
    <x:t xml:space="preserve">5</x:t>
  </x:si>
  <x:si>
    <x:t xml:space="preserve">6</x:t>
  </x:si>
  <x:si>
    <x:t xml:space="preserve">7</x:t>
  </x:si>
  <x:si>
    <x:t xml:space="preserve">8</x:t>
  </x:si>
  <x:si>
    <x:t xml:space="preserve">Kota</x:t>
  </x:si>
  <x:si>
    <x:t xml:space="preserve">TEMPLATE RESMI DATABASE SIRUMAH — RTLH &amp; RLH PER KECAMATAN</x:t>
  </x:si>
  <x:si>
    <x:t xml:space="preserve">Kolom RLH dan Persentase RTLH dihitung otomatis. Pastikan Jumlah Rumah dan RTLH telah diverifikasi.</x:t>
  </x:si>
  <x:si>
    <x:t xml:space="preserve">ID_REKAP*</x:t>
  </x:si>
  <x:si>
    <x:t xml:space="preserve">JUMLAH_RUMAH*</x:t>
  </x:si>
  <x:si>
    <x:t xml:space="preserve">RTLH*</x:t>
  </x:si>
  <x:si>
    <x:t xml:space="preserve">RLH</x:t>
  </x:si>
  <x:si>
    <x:t xml:space="preserve">PERSENTASE_RTLH</x:t>
  </x:si>
  <x:si>
    <x:t xml:space="preserve">TEMPLATE RESMI DATABASE SIRUMAH — DATA UNIT RUSUNAWA</x:t>
  </x:si>
  <x:si>
    <x:t xml:space="preserve">Sumber Ringkasan Utama RUSUNAWA, status unit, tingkat hunian, unit siap huni, dan kondisi unit.</x:t>
  </x:si>
  <x:si>
    <x:t xml:space="preserve">ID_UNIT*</x:t>
  </x:si>
  <x:si>
    <x:t xml:space="preserve">NAMA_RUSUNAWA*</x:t>
  </x:si>
  <x:si>
    <x:t xml:space="preserve">BLOK*</x:t>
  </x:si>
  <x:si>
    <x:t xml:space="preserve">LANTAI*</x:t>
  </x:si>
  <x:si>
    <x:t xml:space="preserve">NOMOR_UNIT*</x:t>
  </x:si>
  <x:si>
    <x:t xml:space="preserve">TIPE_UNIT</x:t>
  </x:si>
  <x:si>
    <x:t xml:space="preserve">STATUS_UNIT*</x:t>
  </x:si>
  <x:si>
    <x:t xml:space="preserve">KONDISI_UNIT*</x:t>
  </x:si>
  <x:si>
    <x:t xml:space="preserve">RUSUNAWA Kota Pangkalpinang</x:t>
  </x:si>
  <x:si>
    <x:t xml:space="preserve">BLOK C</x:t>
  </x:si>
  <x:si>
    <x:t xml:space="preserve">DASAR</x:t>
  </x:si>
  <x:si>
    <x:t xml:space="preserve">Kosong</x:t>
  </x:si>
  <x:si>
    <x:t xml:space="preserve">Baik</x:t>
  </x:si>
  <x:si>
    <x:t xml:space="preserve">I</x:t>
  </x:si>
  <x:si>
    <x:t xml:space="preserve">Terisi</x:t>
  </x:si>
  <x:si>
    <x:t xml:space="preserve">Rusak Ringan</x:t>
  </x:si>
  <x:si>
    <x:t xml:space="preserve">9</x:t>
  </x:si>
  <x:si>
    <x:t xml:space="preserve">10</x:t>
  </x:si>
  <x:si>
    <x:t xml:space="preserve">Tidak Dapat Digunakan</x:t>
  </x:si>
  <x:si>
    <x:t xml:space="preserve">Rusak Berat</x:t>
  </x:si>
  <x:si>
    <x:t xml:space="preserve">11</x:t>
  </x:si>
  <x:si>
    <x:t xml:space="preserve">12</x:t>
  </x:si>
  <x:si>
    <x:t xml:space="preserve">13</x:t>
  </x:si>
  <x:si>
    <x:t xml:space="preserve">14</x:t>
  </x:si>
  <x:si>
    <x:t xml:space="preserve">15</x:t>
  </x:si>
  <x:si>
    <x:t xml:space="preserve">16</x:t>
  </x:si>
  <x:si>
    <x:t xml:space="preserve">17</x:t>
  </x:si>
  <x:si>
    <x:t xml:space="preserve">18</x:t>
  </x:si>
  <x:si>
    <x:t xml:space="preserve">19</x:t>
  </x:si>
  <x:si>
    <x:t xml:space="preserve">Rusak Sedang</x:t>
  </x:si>
  <x:si>
    <x:t xml:space="preserve">20</x:t>
  </x:si>
  <x:si>
    <x:t xml:space="preserve">21</x:t>
  </x:si>
  <x:si>
    <x:t xml:space="preserve">22</x:t>
  </x:si>
  <x:si>
    <x:t xml:space="preserve">23</x:t>
  </x:si>
  <x:si>
    <x:t xml:space="preserve">24</x:t>
  </x:si>
  <x:si>
    <x:t xml:space="preserve">II</x:t>
  </x:si>
  <x:si>
    <x:t xml:space="preserve">III</x:t>
  </x:si>
  <x:si>
    <x:t xml:space="preserve">IV</x:t>
  </x:si>
  <x:si>
    <x:t xml:space="preserve">BLOK D</x:t>
  </x:si>
  <x:si>
    <x:t xml:space="preserve">TEMPLATE RESMI DATABASE SIRUMAH — RETRIBUSI SEWA RUSUNAWA BULANAN DENGAN TARGET TAHUNAN</x:t>
  </x:si>
  <x:si>
    <x:t xml:space="preserve">Satu baris mewakili realisasi satu bulan. TARGET_TAHUNAN adalah target satu tahun anggaran, bukan target bulanan, dan harus bernilai sama pada seluruh baris bulan untuk RUSUNAWA dan tahun yang sama.</x:t>
  </x:si>
  <x:si>
    <x:t xml:space="preserve">PETUNJUK: Jangan mengubah nama header. Kolom bertanda * wajib diisi. Dashboard hanya menampilkan data tahun berjalan. REALISASI diisi per bulan; REALISASI_KUMULATIF dan CAPAIAN_PERSEN dihitung otomatis oleh Excel.</x:t>
  </x:si>
  <x:si>
    <x:t xml:space="preserve">ID_RETRIBUSI*</x:t>
  </x:si>
  <x:si>
    <x:t xml:space="preserve">TAHUN*</x:t>
  </x:si>
  <x:si>
    <x:t xml:space="preserve">BULAN*</x:t>
  </x:si>
  <x:si>
    <x:t xml:space="preserve">TARGET_TAHUNAN*</x:t>
  </x:si>
  <x:si>
    <x:t xml:space="preserve">REALISASI*</x:t>
  </x:si>
  <x:si>
    <x:t xml:space="preserve">REALISASI_KUMULATIF</x:t>
  </x:si>
  <x:si>
    <x:t xml:space="preserve">CAPAIAN_PERSEN</x:t>
  </x:si>
  <x:si>
    <x:t xml:space="preserve">RET-2026-001</x:t>
  </x:si>
  <x:si>
    <x:t xml:space="preserve">Januari</x:t>
  </x:si>
  <x:si>
    <x:t xml:space="preserve">Belum Diverifikasi</x:t>
  </x:si>
  <x:si>
    <x:t xml:space="preserve">Data Januari–Mei berasal dari template sebelumnya; lengkapi target tahunan dan metadata.</x:t>
  </x:si>
  <x:si>
    <x:t xml:space="preserve">RET-2026-002</x:t>
  </x:si>
  <x:si>
    <x:t xml:space="preserve">Februari</x:t>
  </x:si>
  <x:si>
    <x:t xml:space="preserve">RET-2026-003</x:t>
  </x:si>
  <x:si>
    <x:t xml:space="preserve">Maret</x:t>
  </x:si>
  <x:si>
    <x:t xml:space="preserve">RET-2026-004</x:t>
  </x:si>
  <x:si>
    <x:t xml:space="preserve">April</x:t>
  </x:si>
  <x:si>
    <x:t xml:space="preserve">RET-2026-005</x:t>
  </x:si>
  <x:si>
    <x:t xml:space="preserve">Mei</x:t>
  </x:si>
  <x:si>
    <x:t xml:space="preserve">TEMPLATE RESMI DATABASE SIRUMAH — SARANA PRASARANA RUSUNAWA</x:t>
  </x:si>
  <x:si>
    <x:t xml:space="preserve">Gunakan untuk monitoring kondisi bangunan, utilitas, fasilitas bersama, prioritas, dan tindak lanjut.</x:t>
  </x:si>
  <x:si>
    <x:t xml:space="preserve">ID_SARPRAS*</x:t>
  </x:si>
  <x:si>
    <x:t xml:space="preserve">KOMPONEN*</x:t>
  </x:si>
  <x:si>
    <x:t xml:space="preserve">LOKASI</x:t>
  </x:si>
  <x:si>
    <x:t xml:space="preserve">KONDISI*</x:t>
  </x:si>
  <x:si>
    <x:t xml:space="preserve">PRIORITAS*</x:t>
  </x:si>
  <x:si>
    <x:t xml:space="preserve">TINDAK_LANJUT*</x:t>
  </x:si>
  <x:si>
    <x:t xml:space="preserve">STATUS_TINDAK_LANJUT*</x:t>
  </x:si>
  <x:si>
    <x:t xml:space="preserve">TANGGAL_PEMERIKSAAN*</x:t>
  </x:si>
  <x:si>
    <x:t xml:space="preserve">Atap dan talang</x:t>
  </x:si>
  <x:si>
    <x:t xml:space="preserve">Gangguan Ringan</x:t>
  </x:si>
  <x:si>
    <x:t xml:space="preserve">Rendah</x:t>
  </x:si>
  <x:si>
    <x:t xml:space="preserve">Air bersih</x:t>
  </x:si>
  <x:si>
    <x:t xml:space="preserve">Listrik koridor</x:t>
  </x:si>
  <x:si>
    <x:t xml:space="preserve">Sedang</x:t>
  </x:si>
  <x:si>
    <x:t xml:space="preserve">Drainase lingkungan</x:t>
  </x:si>
  <x:si>
    <x:t xml:space="preserve">IPAL / septic tank</x:t>
  </x:si>
  <x:si>
    <x:t xml:space="preserve">Tangga dan railing</x:t>
  </x:si>
  <x:si>
    <x:t xml:space="preserve">Area parkir</x:t>
  </x:si>
</x:sst>
</file>

<file path=xl/styles.xml><?xml version="1.0" encoding="utf-8"?>
<x:styleSheet xmlns:x="http://schemas.openxmlformats.org/spreadsheetml/2006/main">
  <x:numFmts count="4">
    <x:numFmt numFmtId="164" formatCode="dd/mm/yyyy"/>
    <x:numFmt numFmtId="165" formatCode="0.000000"/>
    <x:numFmt numFmtId="166" formatCode="[$Rp-421]\ #,##0"/>
    <x:numFmt numFmtId="200" formatCode="0"/>
  </x:numFmts>
  <x:fonts count="18">
    <x:font>
      <x:sz val="11"/>
      <x:name val="Carlito"/>
    </x:font>
    <x:font>
      <x:b/>
      <x:sz val="18"/>
      <x:color rgb="FFFFFFFF"/>
      <x:name val="Carlito"/>
    </x:font>
    <x:font>
      <x:i/>
      <x:sz val="10"/>
      <x:color rgb="FF0F3F50"/>
      <x:name val="Carlito"/>
    </x:font>
    <x:font>
      <x:b/>
      <x:sz val="9"/>
      <x:color rgb="FF0F3F50"/>
      <x:name val="Carlito"/>
    </x:font>
    <x:font>
      <x:b/>
      <x:sz val="10"/>
      <x:color rgb="FFD3C584"/>
      <x:name val="Carlito"/>
    </x:font>
    <x:font>
      <x:sz val="10"/>
      <x:color rgb="FF1F2937"/>
      <x:name val="Carlito"/>
    </x:font>
    <x:font>
      <x:b/>
      <x:sz val="11"/>
      <x:color rgb="FFD3C584"/>
      <x:name val="Carlito"/>
    </x:font>
    <x:font>
      <x:sz val="11"/>
      <x:color rgb="FF1F2937"/>
      <x:name val="Carlito"/>
    </x:font>
    <x:font>
      <x:sz val="10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sz val="10"/>
      <x:color rgb="FF334155"/>
      <x:name val="Carlito"/>
    </x:font>
    <x:font>
      <x:b/>
      <x:sz val="10"/>
      <x:color rgb="FFDCCF79"/>
      <x:name val="Carlito"/>
    </x:font>
    <x:font>
      <x:b/>
      <x:sz val="11"/>
      <x:color rgb="FFFFFFFF"/>
      <x:name val="Carlito"/>
    </x:font>
    <x:font>
      <x:i/>
      <x:sz val="11"/>
      <x:color rgb="FF0F3F50"/>
      <x:name val="Carlito"/>
    </x:font>
    <x:font>
      <x:b/>
      <x:sz val="11"/>
      <x:color rgb="FF0F3F50"/>
      <x:name val="Carlito"/>
    </x:font>
    <x:font>
      <x:b/>
      <x:sz val="11"/>
      <x:color rgb="FF1F2937"/>
      <x:name val="Carlito"/>
    </x:font>
    <x:font>
      <x:sz val="11"/>
      <x:color rgb="FF0F3F50"/>
      <x:name val="Carlito"/>
    </x:font>
  </x:fonts>
  <x:fills count="49">
    <x:fill>
      <x:patternFill patternType="none"/>
    </x:fill>
    <x:fill>
      <x:patternFill patternType="gray125"/>
    </x:fill>
    <x:fill>
      <x:patternFill patternType="solid">
        <x:fgColor rgb="FF175B72"/>
      </x:patternFill>
    </x:fill>
    <x:fill>
      <x:patternFill patternType="solid">
        <x:fgColor rgb="FFE8F4F4"/>
      </x:patternFill>
    </x:fill>
    <x:fill>
      <x:patternFill patternType="solid">
        <x:fgColor rgb="FFF6F1DA"/>
      </x:patternFill>
    </x:fill>
    <x:fill>
      <x:patternFill patternType="solid">
        <x:fgColor rgb="FF0F3F50"/>
      </x:patternFill>
    </x:fill>
    <x:fill>
      <x:patternFill patternType="solid">
        <x:fgColor rgb="FFFFFFFF"/>
      </x:patternFill>
    </x:fill>
    <x:fill>
      <x:patternFill patternType="solid">
        <x:fgColor rgb="FFFFF8DD"/>
      </x:patternFill>
    </x:fill>
    <x:fill>
      <x:patternFill patternType="solid">
        <x:fgColor rgb="FFEAF2F8"/>
      </x:patternFill>
    </x:fill>
    <x:fill>
      <x:patternFill patternType="solid">
        <x:fgColor rgb="FF0F3F50"/>
      </x:patternFill>
    </x:fill>
    <x:fill>
      <x:patternFill patternType="solid">
        <x:fgColor rgb="FFFFF9E6"/>
      </x:patternFill>
    </x:fill>
    <x:fill>
      <x:patternFill patternType="solid">
        <x:fgColor rgb="FFEAF2F8"/>
      </x:patternFill>
    </x:fill>
    <x:fill>
      <x:patternFill patternType="solid">
        <x:fgColor theme="0"/>
      </x:patternFill>
    </x:fill>
    <x:fill>
      <x:patternFill patternType="solid">
        <x:fgColor rgb="FFFFF8DD"/>
      </x:patternFill>
    </x:fill>
    <x:fill>
      <x:patternFill patternType="solid">
        <x:fgColor rgb="FFEAF2F8"/>
      </x:patternFill>
    </x:fill>
    <x:fill>
      <x:patternFill patternType="solid">
        <x:fgColor rgb="FF1C6A80"/>
      </x:patternFill>
    </x:fill>
    <x:fill>
      <x:patternFill patternType="solid">
        <x:fgColor rgb="FFE6F3F7"/>
      </x:patternFill>
    </x:fill>
    <x:fill>
      <x:patternFill patternType="solid">
        <x:fgColor rgb="FFFFF7D6"/>
      </x:patternFill>
    </x:fill>
    <x:fill>
      <x:patternFill patternType="solid">
        <x:fgColor rgb="FF0F5366"/>
      </x:patternFill>
    </x:fill>
    <x:fill>
      <x:patternFill patternType="solid">
        <x:fgColor rgb="FFFFFBEA"/>
      </x:patternFill>
    </x:fill>
    <x:fill>
      <x:patternFill patternType="solid">
        <x:fgColor rgb="FFDDF0FF"/>
      </x:patternFill>
    </x:fill>
    <x:fill>
      <x:patternFill patternType="solid">
        <x:fgColor rgb="FF175B72"/>
      </x:patternFill>
    </x:fill>
    <x:fill>
      <x:patternFill patternType="solid">
        <x:fgColor rgb="FFE8F4F4"/>
      </x:patternFill>
    </x:fill>
    <x:fill>
      <x:patternFill patternType="solid">
        <x:fgColor rgb="FFF6F1DA"/>
      </x:patternFill>
    </x:fill>
    <x:fill>
      <x:patternFill patternType="solid">
        <x:fgColor rgb="FF0F3F50"/>
      </x:patternFill>
    </x:fill>
    <x:fill>
      <x:patternFill patternType="solid">
        <x:fgColor rgb="FFFFFDF0"/>
      </x:patternFill>
    </x:fill>
    <x:fill>
      <x:patternFill patternType="solid">
        <x:fgColor rgb="FF175B72"/>
      </x:patternFill>
    </x:fill>
    <x:fill>
      <x:patternFill patternType="solid">
        <x:fgColor rgb="FFE8F4F4"/>
      </x:patternFill>
    </x:fill>
    <x:fill>
      <x:patternFill patternType="solid">
        <x:fgColor rgb="FFF6F1DA"/>
      </x:patternFill>
    </x:fill>
    <x:fill>
      <x:patternFill patternType="solid">
        <x:fgColor rgb="FF0F3F50"/>
      </x:patternFill>
    </x:fill>
    <x:fill>
      <x:patternFill patternType="solid">
        <x:fgColor rgb="FFFFFDF0"/>
      </x:patternFill>
    </x:fill>
    <x:fill>
      <x:patternFill patternType="solid">
        <x:fgColor rgb="FFF8FAFC"/>
      </x:patternFill>
    </x:fill>
    <x:fill>
      <x:patternFill patternType="solid">
        <x:fgColor rgb="FF175B72"/>
      </x:patternFill>
    </x:fill>
    <x:fill>
      <x:patternFill patternType="solid">
        <x:fgColor rgb="FFE8F4F4"/>
      </x:patternFill>
    </x:fill>
    <x:fill>
      <x:patternFill patternType="solid">
        <x:fgColor rgb="FF0F3F50"/>
      </x:patternFill>
    </x:fill>
    <x:fill>
      <x:patternFill patternType="solid">
        <x:fgColor rgb="FFF8FAFC"/>
      </x:patternFill>
    </x:fill>
    <x:fill>
      <x:patternFill patternType="solid">
        <x:fgColor rgb="FFFFFDF0"/>
      </x:patternFill>
    </x:fill>
    <x:fill>
      <x:patternFill patternType="solid">
        <x:fgColor rgb="FF175B72"/>
      </x:patternFill>
    </x:fill>
    <x:fill>
      <x:patternFill patternType="solid">
        <x:fgColor rgb="FFE8F4F4"/>
      </x:patternFill>
    </x:fill>
    <x:fill>
      <x:patternFill patternType="solid">
        <x:fgColor rgb="FFF6F1DA"/>
      </x:patternFill>
    </x:fill>
    <x:fill>
      <x:patternFill patternType="solid">
        <x:fgColor rgb="FF0F3F50"/>
      </x:patternFill>
    </x:fill>
    <x:fill>
      <x:patternFill patternType="solid">
        <x:fgColor rgb="FFFFFDF0"/>
      </x:patternFill>
    </x:fill>
    <x:fill>
      <x:patternFill patternType="solid">
        <x:fgColor rgb="FFF5F3FF"/>
      </x:patternFill>
    </x:fill>
    <x:fill>
      <x:patternFill patternType="solid">
        <x:fgColor rgb="FFF8FAFC"/>
      </x:patternFill>
    </x:fill>
    <x:fill>
      <x:patternFill patternType="solid">
        <x:fgColor rgb="FF175B72"/>
      </x:patternFill>
    </x:fill>
    <x:fill>
      <x:patternFill patternType="solid">
        <x:fgColor rgb="FFE8F4F4"/>
      </x:patternFill>
    </x:fill>
    <x:fill>
      <x:patternFill patternType="solid">
        <x:fgColor rgb="FF0F3F50"/>
      </x:patternFill>
    </x:fill>
    <x:fill>
      <x:patternFill patternType="solid">
        <x:fgColor rgb="FFF5F3FF"/>
      </x:patternFill>
    </x:fill>
    <x:fill>
      <x:patternFill patternType="solid">
        <x:fgColor rgb="FFFFF7ED"/>
      </x:patternFill>
    </x:fill>
  </x:fills>
  <x:borders count="26">
    <x:border/>
    <x:border>
      <x:bottom style="thin">
        <x:color rgb="FFD3C584"/>
      </x:bottom>
    </x:border>
    <x:border>
      <x:left style="thin">
        <x:color rgb="FFD9E2E7"/>
      </x:left>
      <x:top style="thin">
        <x:color rgb="FFD9E2E7"/>
      </x:top>
      <x:bottom style="thin">
        <x:color rgb="FFD9E2E7"/>
      </x:bottom>
    </x:border>
    <x:border>
      <x:top style="thin">
        <x:color rgb="FFD9E2E7"/>
      </x:top>
      <x:bottom style="thin">
        <x:color rgb="FFD9E2E7"/>
      </x:bottom>
    </x:border>
    <x:border>
      <x:right style="thin">
        <x:color rgb="FFD9E2E7"/>
      </x:right>
      <x:top style="thin">
        <x:color rgb="FFD9E2E7"/>
      </x:top>
      <x:bottom style="thin">
        <x:color rgb="FFD9E2E7"/>
      </x:bottom>
    </x:border>
    <x:border>
      <x:left style="thin">
        <x:color rgb="FFD9E2E7"/>
      </x:left>
      <x:top style="thin">
        <x:color rgb="FFD9E2E7"/>
      </x:top>
    </x:border>
    <x:border>
      <x:top style="thin">
        <x:color rgb="FFD9E2E7"/>
      </x:top>
    </x:border>
    <x:border>
      <x:right style="thin">
        <x:color rgb="FFD9E2E7"/>
      </x:right>
      <x:top style="thin">
        <x:color rgb="FFD9E2E7"/>
      </x:top>
    </x:border>
    <x:border>
      <x:left style="thin">
        <x:color rgb="FFD9E2E7"/>
      </x:left>
    </x:border>
    <x:border>
      <x:right style="thin">
        <x:color rgb="FFD9E2E7"/>
      </x:right>
    </x:border>
    <x:border>
      <x:left style="thin">
        <x:color rgb="FFD9E2E7"/>
      </x:left>
      <x:bottom style="thin">
        <x:color rgb="FFD9E2E7"/>
      </x:bottom>
    </x:border>
    <x:border>
      <x:bottom style="thin">
        <x:color rgb="FFD9E2E7"/>
      </x:bottom>
    </x:border>
    <x:border>
      <x:right style="thin">
        <x:color rgb="FFD9E2E7"/>
      </x:right>
      <x:bottom style="thin">
        <x:color rgb="FFD9E2E7"/>
      </x:bottom>
    </x:border>
    <x:border/>
    <x:border>
      <x:left style="thin">
        <x:color rgb="FFD9E2E7"/>
      </x:left>
      <x:top style="thin">
        <x:color rgb="FFD9E2E7"/>
      </x:top>
      <x:bottom style="thin">
        <x:color rgb="FFD9E2E7"/>
      </x:bottom>
    </x:border>
    <x:border>
      <x:top style="thin">
        <x:color rgb="FFD9E2E7"/>
      </x:top>
      <x:bottom style="thin">
        <x:color rgb="FFD9E2E7"/>
      </x:bottom>
    </x:border>
    <x:border>
      <x:right style="thin">
        <x:color rgb="FFD9E2E7"/>
      </x:right>
      <x:top style="thin">
        <x:color rgb="FFD9E2E7"/>
      </x:top>
      <x:bottom style="thin">
        <x:color rgb="FFD9E2E7"/>
      </x:bottom>
    </x:border>
    <x:border>
      <x:top style="thin">
        <x:color rgb="FFD9E2E7"/>
      </x:top>
    </x:border>
    <x:border>
      <x:right style="thin">
        <x:color rgb="FFD9E2E7"/>
      </x:right>
      <x:top style="thin">
        <x:color rgb="FFD9E2E7"/>
      </x:top>
    </x:border>
    <x:border>
      <x:right style="thin">
        <x:color rgb="FFD9E2E7"/>
      </x:right>
    </x:border>
    <x:border>
      <x:bottom style="thin">
        <x:color rgb="FFD9E2E7"/>
      </x:bottom>
    </x:border>
    <x:border>
      <x:right style="thin">
        <x:color rgb="FFD9E2E7"/>
      </x:right>
      <x:bottom style="thin">
        <x:color rgb="FFD9E2E7"/>
      </x:bottom>
    </x:border>
    <x:border>
      <x:left style="thin">
        <x:color rgb="FFD9E2E7"/>
      </x:left>
      <x:top style="thin">
        <x:color rgb="FFD9E2E7"/>
      </x:top>
    </x:border>
    <x:border>
      <x:left style="thin">
        <x:color rgb="FFD9E2E7"/>
      </x:left>
    </x:border>
    <x:border>
      <x:left style="thin">
        <x:color rgb="FFD9E2E7"/>
      </x:left>
      <x:bottom style="thin">
        <x:color rgb="FFD9E2E7"/>
      </x:bottom>
    </x:border>
    <x:border>
      <x:bottom style="thin">
        <x:color rgb="FFD3C584"/>
      </x:bottom>
    </x:border>
  </x:borders>
  <x:cellStyleXfs count="1">
    <x:xf numFmtId="0" fontId="0" fillId="0" borderId="0"/>
  </x:cellStyleXfs>
  <x:cellXfs count="721">
    <x:xf numFmtId="0" fontId="0" fillId="0" borderId="0" xfId="0"/>
    <x:xf numFmtId="0" fontId="4" fillId="5" borderId="2" xfId="0" applyFont="1" applyFill="1" applyBorder="1" applyAlignment="1">
      <x:alignment horizontal="center" vertical="center" wrapText="1"/>
    </x:xf>
    <x:xf numFmtId="0" fontId="4" fillId="5" borderId="3" xfId="0" applyFont="1" applyFill="1" applyBorder="1" applyAlignment="1">
      <x:alignment horizontal="center" vertical="center" wrapText="1"/>
    </x:xf>
    <x:xf numFmtId="0" fontId="4" fillId="5" borderId="4" xfId="0" applyFont="1" applyFill="1" applyBorder="1" applyAlignment="1">
      <x:alignment horizontal="center" vertical="center" wrapText="1"/>
    </x:xf>
    <x:xf numFmtId="0" fontId="5" fillId="6" borderId="6" xfId="0" applyFont="1" applyFill="1" applyBorder="1" applyAlignment="1">
      <x:alignment vertical="center" wrapText="1"/>
    </x:xf>
    <x:xf numFmtId="0" fontId="5" fillId="6" borderId="7" xfId="0" applyFont="1" applyFill="1" applyBorder="1" applyAlignment="1">
      <x:alignment vertical="center" wrapText="1"/>
    </x:xf>
    <x:xf numFmtId="0" fontId="5" fillId="6" borderId="0" xfId="0" applyFont="1" applyFill="1" applyAlignment="1">
      <x:alignment vertical="center" wrapText="1"/>
    </x:xf>
    <x:xf numFmtId="0" fontId="5" fillId="6" borderId="9" xfId="0" applyFont="1" applyFill="1" applyBorder="1" applyAlignment="1">
      <x:alignment vertical="center" wrapText="1"/>
    </x:xf>
    <x:xf numFmtId="0" fontId="5" fillId="6" borderId="11" xfId="0" applyFont="1" applyFill="1" applyBorder="1" applyAlignment="1">
      <x:alignment vertical="center" wrapText="1"/>
    </x:xf>
    <x:xf numFmtId="0" fontId="5" fillId="6" borderId="12" xfId="0" applyFont="1" applyFill="1" applyBorder="1" applyAlignment="1">
      <x:alignment vertical="center" wrapText="1"/>
    </x:xf>
    <x:xf numFmtId="0" fontId="5" fillId="7" borderId="6" xfId="0" applyFont="1" applyFill="1" applyBorder="1" applyAlignment="1">
      <x:alignment vertical="center" wrapText="1"/>
    </x:xf>
    <x:xf numFmtId="0" fontId="5" fillId="7" borderId="0" xfId="0" applyFont="1" applyFill="1" applyAlignment="1">
      <x:alignment vertical="center" wrapText="1"/>
    </x:xf>
    <x:xf numFmtId="0" fontId="5" fillId="7" borderId="11" xfId="0" applyFont="1" applyFill="1" applyBorder="1" applyAlignment="1">
      <x:alignment vertical="center" wrapText="1"/>
    </x:xf>
    <x:xf numFmtId="164" fontId="5" fillId="7" borderId="6" xfId="0" applyNumberFormat="1" applyFont="1" applyFill="1" applyBorder="1" applyAlignment="1">
      <x:alignment vertical="center" wrapText="1"/>
    </x:xf>
    <x:xf numFmtId="164" fontId="5" fillId="7" borderId="0" xfId="0" applyNumberFormat="1" applyFont="1" applyFill="1" applyAlignment="1">
      <x:alignment vertical="center" wrapText="1"/>
    </x:xf>
    <x:xf numFmtId="164" fontId="5" fillId="7" borderId="11" xfId="0" applyNumberFormat="1" applyFont="1" applyFill="1" applyBorder="1" applyAlignment="1">
      <x:alignment vertical="center" wrapText="1"/>
    </x:xf>
    <x:xf numFmtId="3" fontId="5" fillId="6" borderId="6" xfId="0" applyNumberFormat="1" applyFont="1" applyFill="1" applyBorder="1" applyAlignment="1">
      <x:alignment vertical="center" wrapText="1"/>
    </x:xf>
    <x:xf numFmtId="3" fontId="5" fillId="6" borderId="0" xfId="0" applyNumberFormat="1" applyFont="1" applyFill="1" applyAlignment="1">
      <x:alignment vertical="center" wrapText="1"/>
    </x:xf>
    <x:xf numFmtId="3" fontId="5" fillId="6" borderId="11" xfId="0" applyNumberFormat="1" applyFont="1" applyFill="1" applyBorder="1" applyAlignment="1">
      <x:alignment vertical="center" wrapText="1"/>
    </x:xf>
    <x:xf numFmtId="3" fontId="5" fillId="7" borderId="6" xfId="0" applyNumberFormat="1" applyFont="1" applyFill="1" applyBorder="1" applyAlignment="1">
      <x:alignment vertical="center" wrapText="1"/>
    </x:xf>
    <x:xf numFmtId="3" fontId="5" fillId="7" borderId="0" xfId="0" applyNumberFormat="1" applyFont="1" applyFill="1" applyAlignment="1">
      <x:alignment vertical="center" wrapText="1"/>
    </x:xf>
    <x:xf numFmtId="3" fontId="5" fillId="7" borderId="11" xfId="0" applyNumberFormat="1" applyFont="1" applyFill="1" applyBorder="1" applyAlignment="1">
      <x:alignment vertical="center" wrapText="1"/>
    </x:xf>
    <x:xf numFmtId="165" fontId="5" fillId="6" borderId="6" xfId="0" applyNumberFormat="1" applyFont="1" applyFill="1" applyBorder="1" applyAlignment="1">
      <x:alignment vertical="center" wrapText="1"/>
    </x:xf>
    <x:xf numFmtId="165" fontId="5" fillId="6" borderId="0" xfId="0" applyNumberFormat="1" applyFont="1" applyFill="1" applyAlignment="1">
      <x:alignment vertical="center" wrapText="1"/>
    </x:xf>
    <x:xf numFmtId="165" fontId="5" fillId="6" borderId="11" xfId="0" applyNumberFormat="1" applyFont="1" applyFill="1" applyBorder="1" applyAlignment="1">
      <x:alignment vertical="center" wrapText="1"/>
    </x:xf>
    <x:xf numFmtId="9" fontId="5" fillId="8" borderId="6" xfId="0" applyNumberFormat="1" applyFont="1" applyFill="1" applyBorder="1" applyAlignment="1">
      <x:alignment vertical="center" wrapText="1"/>
    </x:xf>
    <x:xf numFmtId="9" fontId="5" fillId="8" borderId="0" xfId="0" applyNumberFormat="1" applyFont="1" applyFill="1" applyAlignment="1">
      <x:alignment vertical="center" wrapText="1"/>
    </x:xf>
    <x:xf numFmtId="9" fontId="5" fillId="8" borderId="11" xfId="0" applyNumberFormat="1" applyFont="1" applyFill="1" applyBorder="1" applyAlignment="1">
      <x:alignment vertical="center" wrapText="1"/>
    </x:xf>
    <x:xf numFmtId="9" fontId="5" fillId="8" borderId="7" xfId="0" applyNumberFormat="1" applyFont="1" applyFill="1" applyBorder="1" applyAlignment="1">
      <x:alignment vertical="center" wrapText="1"/>
    </x:xf>
    <x:xf numFmtId="9" fontId="5" fillId="8" borderId="9" xfId="0" applyNumberFormat="1" applyFont="1" applyFill="1" applyBorder="1" applyAlignment="1">
      <x:alignment vertical="center" wrapText="1"/>
    </x:xf>
    <x:xf numFmtId="9" fontId="5" fillId="8" borderId="12" xfId="0" applyNumberFormat="1" applyFont="1" applyFill="1" applyBorder="1" applyAlignment="1">
      <x:alignment vertical="center" wrapText="1"/>
    </x:xf>
    <x:xf numFmtId="49" fontId="5" fillId="7" borderId="5" xfId="0" applyNumberFormat="1" applyFont="1" applyFill="1" applyBorder="1" applyAlignment="1">
      <x:alignment vertical="center" wrapText="1"/>
    </x:xf>
    <x:xf numFmtId="49" fontId="5" fillId="7" borderId="8" xfId="0" applyNumberFormat="1" applyFont="1" applyFill="1" applyBorder="1" applyAlignment="1">
      <x:alignment vertical="center" wrapText="1"/>
    </x:xf>
    <x:xf numFmtId="49" fontId="5" fillId="7" borderId="10" xfId="0" applyNumberFormat="1" applyFont="1" applyFill="1" applyBorder="1" applyAlignment="1">
      <x:alignment vertical="center" wrapText="1"/>
    </x:xf>
    <x:xf numFmtId="0" fontId="5" fillId="7" borderId="7" xfId="0" applyFont="1" applyFill="1" applyBorder="1" applyAlignment="1">
      <x:alignment vertical="center" wrapText="1"/>
    </x:xf>
    <x:xf numFmtId="0" fontId="5" fillId="7" borderId="9" xfId="0" applyFont="1" applyFill="1" applyBorder="1" applyAlignment="1">
      <x:alignment vertical="center" wrapText="1"/>
    </x:xf>
    <x:xf numFmtId="0" fontId="5" fillId="7" borderId="12" xfId="0" applyFont="1" applyFill="1" applyBorder="1" applyAlignment="1">
      <x:alignment vertical="center" wrapText="1"/>
    </x:xf>
    <x:xf numFmtId="3" fontId="5" fillId="8" borderId="6" xfId="0" applyNumberFormat="1" applyFont="1" applyFill="1" applyBorder="1" applyAlignment="1">
      <x:alignment vertical="center" wrapText="1"/>
    </x:xf>
    <x:xf numFmtId="3" fontId="5" fillId="8" borderId="0" xfId="0" applyNumberFormat="1" applyFont="1" applyFill="1" applyAlignment="1">
      <x:alignment vertical="center" wrapText="1"/>
    </x:xf>
    <x:xf numFmtId="3" fontId="5" fillId="8" borderId="11" xfId="0" applyNumberFormat="1" applyFont="1" applyFill="1" applyBorder="1" applyAlignment="1">
      <x:alignment vertical="center" wrapText="1"/>
    </x:xf>
    <x:xf numFmtId="164" fontId="5" fillId="6" borderId="6" xfId="0" applyNumberFormat="1" applyFont="1" applyFill="1" applyBorder="1" applyAlignment="1">
      <x:alignment vertical="center" wrapText="1"/>
    </x:xf>
    <x:xf numFmtId="164" fontId="5" fillId="6" borderId="0" xfId="0" applyNumberFormat="1" applyFont="1" applyFill="1" applyAlignment="1">
      <x:alignment vertical="center" wrapText="1"/>
    </x:xf>
    <x:xf numFmtId="164" fontId="5" fillId="6" borderId="11" xfId="0" applyNumberFormat="1" applyFont="1" applyFill="1" applyBorder="1" applyAlignment="1">
      <x:alignment vertical="center" wrapText="1"/>
    </x:xf>
    <x:xf numFmtId="49" fontId="5" fillId="6" borderId="6" xfId="0" applyNumberFormat="1" applyFont="1" applyFill="1" applyBorder="1" applyAlignment="1">
      <x:alignment vertical="center" wrapText="1"/>
    </x:xf>
    <x:xf numFmtId="49" fontId="5" fillId="6" borderId="0" xfId="0" applyNumberFormat="1" applyFont="1" applyFill="1" applyAlignment="1">
      <x:alignment vertical="center" wrapText="1"/>
    </x:xf>
    <x:xf numFmtId="49" fontId="5" fillId="6" borderId="11" xfId="0" applyNumberFormat="1" applyFont="1" applyFill="1" applyBorder="1" applyAlignment="1">
      <x:alignment vertical="center" wrapText="1"/>
    </x:xf>
    <x:xf numFmtId="49" fontId="5" fillId="7" borderId="6" xfId="0" applyNumberFormat="1" applyFont="1" applyFill="1" applyBorder="1" applyAlignment="1">
      <x:alignment vertical="center" wrapText="1"/>
    </x:xf>
    <x:xf numFmtId="49" fontId="5" fillId="7" borderId="0" xfId="0" applyNumberFormat="1" applyFont="1" applyFill="1" applyAlignment="1">
      <x:alignment vertical="center" wrapText="1"/>
    </x:xf>
    <x:xf numFmtId="49" fontId="5" fillId="7" borderId="11" xfId="0" applyNumberFormat="1" applyFont="1" applyFill="1" applyBorder="1" applyAlignment="1">
      <x:alignment vertical="center" wrapText="1"/>
    </x:xf>
    <x:xf numFmtId="0" fontId="6" fillId="9" borderId="3" xfId="0" applyFont="1" applyFill="1" applyBorder="1" applyAlignment="1">
      <x:alignment horizontal="center" vertical="center" wrapText="1"/>
    </x:xf>
    <x:xf numFmtId="0" fontId="7" fillId="10" borderId="6" xfId="0" applyFont="1" applyFill="1" applyBorder="1" applyAlignment="1">
      <x:alignment wrapText="1"/>
    </x:xf>
    <x:xf numFmtId="0" fontId="7" fillId="10" borderId="0" xfId="0" applyFont="1" applyFill="1" applyAlignment="1">
      <x:alignment wrapText="1"/>
    </x:xf>
    <x:xf numFmtId="9" fontId="7" fillId="11" borderId="6" xfId="0" applyNumberFormat="1" applyFont="1" applyFill="1" applyBorder="1" applyAlignment="1">
      <x:alignment wrapText="1"/>
    </x:xf>
    <x:xf numFmtId="9" fontId="7" fillId="11" borderId="0" xfId="0" applyNumberFormat="1" applyFont="1" applyFill="1" applyAlignment="1">
      <x:alignment wrapText="1"/>
    </x:xf>
    <x:xf numFmtId="0" fontId="6" fillId="9" borderId="4" xfId="0" applyFont="1" applyFill="1" applyBorder="1" applyAlignment="1">
      <x:alignment horizontal="center" vertical="center" wrapText="1"/>
    </x:xf>
    <x:xf numFmtId="9" fontId="7" fillId="11" borderId="7" xfId="0" applyNumberFormat="1" applyFont="1" applyFill="1" applyBorder="1" applyAlignment="1">
      <x:alignment wrapText="1"/>
    </x:xf>
    <x:xf numFmtId="9" fontId="7" fillId="11" borderId="9" xfId="0" applyNumberFormat="1" applyFont="1" applyFill="1" applyBorder="1" applyAlignment="1">
      <x:alignment wrapText="1"/>
    </x:xf>
    <x:xf numFmtId="9" fontId="7" fillId="11" borderId="12" xfId="0" applyNumberFormat="1" applyFont="1" applyFill="1" applyBorder="1" applyAlignment="1">
      <x:alignment wrapText="1"/>
    </x:xf>
    <x:xf numFmtId="0" fontId="8" fillId="13" borderId="0" xfId="0" applyFont="1" applyFill="1"/>
    <x:xf numFmtId="0" fontId="8" fillId="12" borderId="0" xfId="0" applyFont="1" applyFill="1"/>
    <x:xf numFmtId="0" fontId="8" fillId="14" borderId="0" xfId="0" applyFont="1" applyFill="1"/>
    <x:xf numFmtId="0" fontId="8" fillId="0" borderId="0" xfId="0" applyFont="1"/>
    <x:xf numFmtId="49" fontId="8" fillId="13" borderId="0" xfId="0" applyNumberFormat="1" applyFont="1" applyFill="1" applyAlignment="1">
      <x:alignment vertical="center"/>
    </x:xf>
    <x:xf numFmtId="49" fontId="8" fillId="13" borderId="0" xfId="0" applyNumberFormat="1" applyFont="1" applyFill="1"/>
    <x:xf numFmtId="0" fontId="5" fillId="8" borderId="6" xfId="0" applyFont="1" applyFill="1" applyBorder="1" applyAlignment="1">
      <x:alignment vertical="center" wrapText="1"/>
    </x:xf>
    <x:xf numFmtId="0" fontId="5" fillId="8" borderId="0" xfId="0" applyFont="1" applyFill="1" applyAlignment="1">
      <x:alignment vertical="center" wrapText="1"/>
    </x:xf>
    <x:xf numFmtId="0" fontId="5" fillId="8" borderId="11" xfId="0" applyFont="1" applyFill="1" applyBorder="1" applyAlignment="1">
      <x:alignment vertical="center" wrapText="1"/>
    </x:xf>
    <x:xf numFmtId="0" fontId="12" fillId="18" borderId="0" xfId="0" applyFont="1" applyFill="1" applyAlignment="1">
      <x:alignment horizontal="center" vertical="center" wrapText="1"/>
    </x:xf>
    <x:xf numFmtId="0" fontId="5" fillId="19" borderId="0" xfId="0" applyFont="1" applyFill="1" applyAlignment="1">
      <x:alignment horizontal="center" vertical="center" wrapText="1"/>
    </x:xf>
    <x:xf numFmtId="0" fontId="5" fillId="19" borderId="0" xfId="0" applyFont="1" applyFill="1" applyAlignment="1">
      <x:alignment vertical="center" wrapText="1"/>
    </x:xf>
    <x:xf numFmtId="1" fontId="5" fillId="19" borderId="0" xfId="0" applyNumberFormat="1" applyFont="1" applyFill="1" applyAlignment="1">
      <x:alignment horizontal="center" vertical="center" wrapText="1"/>
    </x:xf>
    <x:xf numFmtId="166" fontId="5" fillId="19" borderId="0" xfId="0" applyNumberFormat="1" applyFont="1" applyFill="1" applyAlignment="1">
      <x:alignment vertical="center" wrapText="1"/>
    </x:xf>
    <x:xf numFmtId="166" fontId="5" fillId="20" borderId="0" xfId="0" applyNumberFormat="1" applyFont="1" applyFill="1" applyAlignment="1">
      <x:alignment horizontal="center" vertical="center" wrapText="1"/>
    </x:xf>
    <x:xf numFmtId="10" fontId="5" fillId="20" borderId="0" xfId="0" applyNumberFormat="1" applyFont="1" applyFill="1" applyAlignment="1">
      <x:alignment horizontal="center" vertical="center" wrapText="1"/>
    </x:xf>
    <x:xf numFmtId="164" fontId="5" fillId="19" borderId="0" xfId="0" applyNumberFormat="1" applyFont="1" applyFill="1" applyAlignment="1">
      <x:alignment horizontal="center" vertical="center" wrapText="1"/>
    </x:xf>
    <x:xf numFmtId="0" fontId="0" fillId="0" borderId="0" xfId="0" applyAlignment="1">
      <x:alignment vertical="center"/>
    </x:xf>
    <x:xf numFmtId="0" fontId="4" fillId="5" borderId="3" xfId="0" applyFont="1" applyFill="1" applyBorder="1" applyAlignment="1">
      <x:alignment vertical="center" wrapText="1"/>
    </x:xf>
    <x:xf numFmtId="0" fontId="1" fillId="2" borderId="0" xfId="0" applyFont="1" applyFill="1" applyAlignment="1">
      <x:alignment horizontal="left" vertical="center"/>
    </x:xf>
    <x:xf numFmtId="0" fontId="0" fillId="0" borderId="0" xfId="0"/>
    <x:xf numFmtId="0" fontId="2" fillId="3" borderId="0" xfId="0" applyFont="1" applyFill="1" applyAlignment="1">
      <x:alignment horizontal="left" vertical="center" wrapText="1"/>
    </x:xf>
    <x:xf numFmtId="0" fontId="3" fillId="4" borderId="1" xfId="0" applyFont="1" applyFill="1" applyBorder="1" applyAlignment="1">
      <x:alignment horizontal="left" vertical="center" wrapText="1"/>
    </x:xf>
    <x:xf numFmtId="0" fontId="0" fillId="0" borderId="0" xfId="0" applyAlignment="1">
      <x:alignment wrapText="1"/>
    </x:xf>
    <x:xf numFmtId="0" fontId="9" fillId="15" borderId="0" xfId="0" applyFont="1" applyFill="1" applyAlignment="1">
      <x:alignment horizontal="left" vertical="center" wrapText="1"/>
    </x:xf>
    <x:xf numFmtId="0" fontId="9" fillId="15" borderId="0" xfId="0" applyFont="1" applyFill="1" applyAlignment="1">
      <x:alignment vertical="center"/>
    </x:xf>
    <x:xf numFmtId="0" fontId="10" fillId="16" borderId="0" xfId="0" applyFont="1" applyFill="1" applyAlignment="1">
      <x:alignment horizontal="left" vertical="center" wrapText="1"/>
    </x:xf>
    <x:xf numFmtId="0" fontId="10" fillId="16" borderId="0" xfId="0" applyFont="1" applyFill="1" applyAlignment="1">
      <x:alignment vertical="center" wrapText="1"/>
    </x:xf>
    <x:xf numFmtId="0" fontId="11" fillId="17" borderId="1" xfId="0" applyFont="1" applyFill="1" applyBorder="1" applyAlignment="1">
      <x:alignment horizontal="left" vertical="center" wrapText="1"/>
    </x:xf>
    <x:xf numFmtId="0" fontId="11" fillId="17" borderId="0" xfId="0" applyFont="1" applyFill="1" applyAlignment="1">
      <x:alignment vertical="center" wrapText="1"/>
    </x:xf>
    <x:xf numFmtId="0" fontId="0" fillId="0" borderId="13" xfId="0" applyNumberFormat="1" applyFont="1" applyFill="1" applyBorder="1"/>
    <x:xf numFmtId="0" fontId="4" fillId="5" borderId="14" xfId="0" applyNumberFormat="1" applyFont="1" applyFill="1" applyBorder="1" applyAlignment="1">
      <x:alignment horizontal="center" vertical="center" wrapText="1"/>
    </x:xf>
    <x:xf numFmtId="0" fontId="4" fillId="5" borderId="15" xfId="0" applyNumberFormat="1" applyFont="1" applyFill="1" applyBorder="1" applyAlignment="1">
      <x:alignment horizontal="center" vertical="center" wrapText="1"/>
    </x:xf>
    <x:xf numFmtId="0" fontId="4" fillId="5" borderId="16" xfId="0" applyNumberFormat="1" applyFont="1" applyFill="1" applyBorder="1" applyAlignment="1">
      <x:alignment horizontal="center" vertical="center" wrapText="1"/>
    </x:xf>
    <x:xf numFmtId="0" fontId="5" fillId="6" borderId="17" xfId="0" applyNumberFormat="1" applyFont="1" applyFill="1" applyBorder="1" applyAlignment="1">
      <x:alignment vertical="center" wrapText="1"/>
    </x:xf>
    <x:xf numFmtId="0" fontId="5" fillId="6" borderId="18" xfId="0" applyNumberFormat="1" applyFont="1" applyFill="1" applyBorder="1" applyAlignment="1">
      <x:alignment vertical="center" wrapText="1"/>
    </x:xf>
    <x:xf numFmtId="0" fontId="5" fillId="6" borderId="13" xfId="0" applyNumberFormat="1" applyFont="1" applyFill="1" applyBorder="1" applyAlignment="1">
      <x:alignment vertical="center" wrapText="1"/>
    </x:xf>
    <x:xf numFmtId="0" fontId="5" fillId="6" borderId="19" xfId="0" applyNumberFormat="1" applyFont="1" applyFill="1" applyBorder="1" applyAlignment="1">
      <x:alignment vertical="center" wrapText="1"/>
    </x:xf>
    <x:xf numFmtId="0" fontId="5" fillId="6" borderId="20" xfId="0" applyNumberFormat="1" applyFont="1" applyFill="1" applyBorder="1" applyAlignment="1">
      <x:alignment vertical="center" wrapText="1"/>
    </x:xf>
    <x:xf numFmtId="0" fontId="5" fillId="6" borderId="21" xfId="0" applyNumberFormat="1" applyFont="1" applyFill="1" applyBorder="1" applyAlignment="1">
      <x:alignment vertical="center" wrapText="1"/>
    </x:xf>
    <x:xf numFmtId="0" fontId="5" fillId="7" borderId="17" xfId="0" applyNumberFormat="1" applyFont="1" applyFill="1" applyBorder="1" applyAlignment="1">
      <x:alignment vertical="center" wrapText="1"/>
    </x:xf>
    <x:xf numFmtId="0" fontId="5" fillId="7" borderId="13" xfId="0" applyNumberFormat="1" applyFont="1" applyFill="1" applyBorder="1" applyAlignment="1">
      <x:alignment vertical="center" wrapText="1"/>
    </x:xf>
    <x:xf numFmtId="0" fontId="5" fillId="7" borderId="20" xfId="0" applyNumberFormat="1" applyFont="1" applyFill="1" applyBorder="1" applyAlignment="1">
      <x:alignment vertical="center" wrapText="1"/>
    </x:xf>
    <x:xf numFmtId="164" fontId="5" fillId="7" borderId="17" xfId="0" applyNumberFormat="1" applyFont="1" applyFill="1" applyBorder="1" applyAlignment="1">
      <x:alignment vertical="center" wrapText="1"/>
    </x:xf>
    <x:xf numFmtId="164" fontId="5" fillId="7" borderId="13" xfId="0" applyNumberFormat="1" applyFont="1" applyFill="1" applyBorder="1" applyAlignment="1">
      <x:alignment vertical="center" wrapText="1"/>
    </x:xf>
    <x:xf numFmtId="164" fontId="5" fillId="7" borderId="20" xfId="0" applyNumberFormat="1" applyFont="1" applyFill="1" applyBorder="1" applyAlignment="1">
      <x:alignment vertical="center" wrapText="1"/>
    </x:xf>
    <x:xf numFmtId="3" fontId="5" fillId="6" borderId="17" xfId="0" applyNumberFormat="1" applyFont="1" applyFill="1" applyBorder="1" applyAlignment="1">
      <x:alignment vertical="center" wrapText="1"/>
    </x:xf>
    <x:xf numFmtId="3" fontId="5" fillId="6" borderId="13" xfId="0" applyNumberFormat="1" applyFont="1" applyFill="1" applyBorder="1" applyAlignment="1">
      <x:alignment vertical="center" wrapText="1"/>
    </x:xf>
    <x:xf numFmtId="3" fontId="5" fillId="6" borderId="20" xfId="0" applyNumberFormat="1" applyFont="1" applyFill="1" applyBorder="1" applyAlignment="1">
      <x:alignment vertical="center" wrapText="1"/>
    </x:xf>
    <x:xf numFmtId="3" fontId="5" fillId="7" borderId="17" xfId="0" applyNumberFormat="1" applyFont="1" applyFill="1" applyBorder="1" applyAlignment="1">
      <x:alignment vertical="center" wrapText="1"/>
    </x:xf>
    <x:xf numFmtId="3" fontId="5" fillId="7" borderId="13" xfId="0" applyNumberFormat="1" applyFont="1" applyFill="1" applyBorder="1" applyAlignment="1">
      <x:alignment vertical="center" wrapText="1"/>
    </x:xf>
    <x:xf numFmtId="3" fontId="5" fillId="7" borderId="20" xfId="0" applyNumberFormat="1" applyFont="1" applyFill="1" applyBorder="1" applyAlignment="1">
      <x:alignment vertical="center" wrapText="1"/>
    </x:xf>
    <x:xf numFmtId="165" fontId="5" fillId="6" borderId="17" xfId="0" applyNumberFormat="1" applyFont="1" applyFill="1" applyBorder="1" applyAlignment="1">
      <x:alignment vertical="center" wrapText="1"/>
    </x:xf>
    <x:xf numFmtId="165" fontId="5" fillId="6" borderId="13" xfId="0" applyNumberFormat="1" applyFont="1" applyFill="1" applyBorder="1" applyAlignment="1">
      <x:alignment vertical="center" wrapText="1"/>
    </x:xf>
    <x:xf numFmtId="165" fontId="5" fillId="6" borderId="20" xfId="0" applyNumberFormat="1" applyFont="1" applyFill="1" applyBorder="1" applyAlignment="1">
      <x:alignment vertical="center" wrapText="1"/>
    </x:xf>
    <x:xf numFmtId="9" fontId="5" fillId="8" borderId="17" xfId="0" applyNumberFormat="1" applyFont="1" applyFill="1" applyBorder="1" applyAlignment="1">
      <x:alignment vertical="center" wrapText="1"/>
    </x:xf>
    <x:xf numFmtId="9" fontId="5" fillId="8" borderId="13" xfId="0" applyNumberFormat="1" applyFont="1" applyFill="1" applyBorder="1" applyAlignment="1">
      <x:alignment vertical="center" wrapText="1"/>
    </x:xf>
    <x:xf numFmtId="9" fontId="5" fillId="8" borderId="20" xfId="0" applyNumberFormat="1" applyFont="1" applyFill="1" applyBorder="1" applyAlignment="1">
      <x:alignment vertical="center" wrapText="1"/>
    </x:xf>
    <x:xf numFmtId="9" fontId="5" fillId="8" borderId="18" xfId="0" applyNumberFormat="1" applyFont="1" applyFill="1" applyBorder="1" applyAlignment="1">
      <x:alignment vertical="center" wrapText="1"/>
    </x:xf>
    <x:xf numFmtId="9" fontId="5" fillId="8" borderId="19" xfId="0" applyNumberFormat="1" applyFont="1" applyFill="1" applyBorder="1" applyAlignment="1">
      <x:alignment vertical="center" wrapText="1"/>
    </x:xf>
    <x:xf numFmtId="9" fontId="5" fillId="8" borderId="21" xfId="0" applyNumberFormat="1" applyFont="1" applyFill="1" applyBorder="1" applyAlignment="1">
      <x:alignment vertical="center" wrapText="1"/>
    </x:xf>
    <x:xf numFmtId="49" fontId="5" fillId="7" borderId="22" xfId="0" applyNumberFormat="1" applyFont="1" applyFill="1" applyBorder="1" applyAlignment="1">
      <x:alignment vertical="center" wrapText="1"/>
    </x:xf>
    <x:xf numFmtId="49" fontId="5" fillId="7" borderId="23" xfId="0" applyNumberFormat="1" applyFont="1" applyFill="1" applyBorder="1" applyAlignment="1">
      <x:alignment vertical="center" wrapText="1"/>
    </x:xf>
    <x:xf numFmtId="49" fontId="5" fillId="7" borderId="24" xfId="0" applyNumberFormat="1" applyFont="1" applyFill="1" applyBorder="1" applyAlignment="1">
      <x:alignment vertical="center" wrapText="1"/>
    </x:xf>
    <x:xf numFmtId="0" fontId="5" fillId="7" borderId="18" xfId="0" applyNumberFormat="1" applyFont="1" applyFill="1" applyBorder="1" applyAlignment="1">
      <x:alignment vertical="center" wrapText="1"/>
    </x:xf>
    <x:xf numFmtId="0" fontId="5" fillId="7" borderId="19" xfId="0" applyNumberFormat="1" applyFont="1" applyFill="1" applyBorder="1" applyAlignment="1">
      <x:alignment vertical="center" wrapText="1"/>
    </x:xf>
    <x:xf numFmtId="0" fontId="5" fillId="7" borderId="21" xfId="0" applyNumberFormat="1" applyFont="1" applyFill="1" applyBorder="1" applyAlignment="1">
      <x:alignment vertical="center" wrapText="1"/>
    </x:xf>
    <x:xf numFmtId="3" fontId="5" fillId="8" borderId="17" xfId="0" applyNumberFormat="1" applyFont="1" applyFill="1" applyBorder="1" applyAlignment="1">
      <x:alignment vertical="center" wrapText="1"/>
    </x:xf>
    <x:xf numFmtId="3" fontId="5" fillId="8" borderId="13" xfId="0" applyNumberFormat="1" applyFont="1" applyFill="1" applyBorder="1" applyAlignment="1">
      <x:alignment vertical="center" wrapText="1"/>
    </x:xf>
    <x:xf numFmtId="3" fontId="5" fillId="8" borderId="20" xfId="0" applyNumberFormat="1" applyFont="1" applyFill="1" applyBorder="1" applyAlignment="1">
      <x:alignment vertical="center" wrapText="1"/>
    </x:xf>
    <x:xf numFmtId="164" fontId="5" fillId="6" borderId="17" xfId="0" applyNumberFormat="1" applyFont="1" applyFill="1" applyBorder="1" applyAlignment="1">
      <x:alignment vertical="center" wrapText="1"/>
    </x:xf>
    <x:xf numFmtId="164" fontId="5" fillId="6" borderId="13" xfId="0" applyNumberFormat="1" applyFont="1" applyFill="1" applyBorder="1" applyAlignment="1">
      <x:alignment vertical="center" wrapText="1"/>
    </x:xf>
    <x:xf numFmtId="164" fontId="5" fillId="6" borderId="20" xfId="0" applyNumberFormat="1" applyFont="1" applyFill="1" applyBorder="1" applyAlignment="1">
      <x:alignment vertical="center" wrapText="1"/>
    </x:xf>
    <x:xf numFmtId="49" fontId="5" fillId="6" borderId="17" xfId="0" applyNumberFormat="1" applyFont="1" applyFill="1" applyBorder="1" applyAlignment="1">
      <x:alignment vertical="center" wrapText="1"/>
    </x:xf>
    <x:xf numFmtId="49" fontId="5" fillId="6" borderId="13" xfId="0" applyNumberFormat="1" applyFont="1" applyFill="1" applyBorder="1" applyAlignment="1">
      <x:alignment vertical="center" wrapText="1"/>
    </x:xf>
    <x:xf numFmtId="49" fontId="5" fillId="6" borderId="20" xfId="0" applyNumberFormat="1" applyFont="1" applyFill="1" applyBorder="1" applyAlignment="1">
      <x:alignment vertical="center" wrapText="1"/>
    </x:xf>
    <x:xf numFmtId="49" fontId="5" fillId="7" borderId="17" xfId="0" applyNumberFormat="1" applyFont="1" applyFill="1" applyBorder="1" applyAlignment="1">
      <x:alignment vertical="center" wrapText="1"/>
    </x:xf>
    <x:xf numFmtId="49" fontId="5" fillId="7" borderId="13" xfId="0" applyNumberFormat="1" applyFont="1" applyFill="1" applyBorder="1" applyAlignment="1">
      <x:alignment vertical="center" wrapText="1"/>
    </x:xf>
    <x:xf numFmtId="49" fontId="5" fillId="7" borderId="20" xfId="0" applyNumberFormat="1" applyFont="1" applyFill="1" applyBorder="1" applyAlignment="1">
      <x:alignment vertical="center" wrapText="1"/>
    </x:xf>
    <x:xf numFmtId="0" fontId="6" fillId="5" borderId="15" xfId="0" applyNumberFormat="1" applyFont="1" applyFill="1" applyBorder="1" applyAlignment="1">
      <x:alignment horizontal="center" vertical="center" wrapText="1"/>
    </x:xf>
    <x:xf numFmtId="0" fontId="7" fillId="10" borderId="17" xfId="0" applyNumberFormat="1" applyFont="1" applyFill="1" applyBorder="1" applyAlignment="1">
      <x:alignment wrapText="1"/>
    </x:xf>
    <x:xf numFmtId="0" fontId="7" fillId="10" borderId="13" xfId="0" applyNumberFormat="1" applyFont="1" applyFill="1" applyBorder="1" applyAlignment="1">
      <x:alignment wrapText="1"/>
    </x:xf>
    <x:xf numFmtId="9" fontId="7" fillId="8" borderId="17" xfId="0" applyNumberFormat="1" applyFont="1" applyFill="1" applyBorder="1" applyAlignment="1">
      <x:alignment wrapText="1"/>
    </x:xf>
    <x:xf numFmtId="9" fontId="7" fillId="8" borderId="13" xfId="0" applyNumberFormat="1" applyFont="1" applyFill="1" applyBorder="1" applyAlignment="1">
      <x:alignment wrapText="1"/>
    </x:xf>
    <x:xf numFmtId="0" fontId="6" fillId="5" borderId="16" xfId="0" applyNumberFormat="1" applyFont="1" applyFill="1" applyBorder="1" applyAlignment="1">
      <x:alignment horizontal="center" vertical="center" wrapText="1"/>
    </x:xf>
    <x:xf numFmtId="9" fontId="7" fillId="8" borderId="18" xfId="0" applyNumberFormat="1" applyFont="1" applyFill="1" applyBorder="1" applyAlignment="1">
      <x:alignment wrapText="1"/>
    </x:xf>
    <x:xf numFmtId="9" fontId="7" fillId="8" borderId="19" xfId="0" applyNumberFormat="1" applyFont="1" applyFill="1" applyBorder="1" applyAlignment="1">
      <x:alignment wrapText="1"/>
    </x:xf>
    <x:xf numFmtId="9" fontId="7" fillId="8" borderId="21" xfId="0" applyNumberFormat="1" applyFont="1" applyFill="1" applyBorder="1" applyAlignment="1">
      <x:alignment wrapText="1"/>
    </x:xf>
    <x:xf numFmtId="0" fontId="8" fillId="7" borderId="13" xfId="0" applyNumberFormat="1" applyFont="1" applyFill="1" applyBorder="1"/>
    <x:xf numFmtId="0" fontId="8" fillId="12" borderId="13" xfId="0" applyNumberFormat="1" applyFont="1" applyFill="1" applyBorder="1"/>
    <x:xf numFmtId="0" fontId="8" fillId="8" borderId="13" xfId="0" applyNumberFormat="1" applyFont="1" applyFill="1" applyBorder="1"/>
    <x:xf numFmtId="0" fontId="8" fillId="0" borderId="13" xfId="0" applyNumberFormat="1" applyFont="1" applyFill="1" applyBorder="1"/>
    <x:xf numFmtId="49" fontId="8" fillId="7" borderId="13" xfId="0" applyNumberFormat="1" applyFont="1" applyFill="1" applyBorder="1" applyAlignment="1">
      <x:alignment vertical="center"/>
    </x:xf>
    <x:xf numFmtId="49" fontId="8" fillId="7" borderId="13" xfId="0" applyNumberFormat="1" applyFont="1" applyFill="1" applyBorder="1"/>
    <x:xf numFmtId="0" fontId="5" fillId="8" borderId="17" xfId="0" applyNumberFormat="1" applyFont="1" applyFill="1" applyBorder="1" applyAlignment="1">
      <x:alignment vertical="center" wrapText="1"/>
    </x:xf>
    <x:xf numFmtId="0" fontId="5" fillId="8" borderId="13" xfId="0" applyNumberFormat="1" applyFont="1" applyFill="1" applyBorder="1" applyAlignment="1">
      <x:alignment vertical="center" wrapText="1"/>
    </x:xf>
    <x:xf numFmtId="0" fontId="5" fillId="8" borderId="20" xfId="0" applyNumberFormat="1" applyFont="1" applyFill="1" applyBorder="1" applyAlignment="1">
      <x:alignment vertical="center" wrapText="1"/>
    </x:xf>
    <x:xf numFmtId="0" fontId="12" fillId="18" borderId="13" xfId="0" applyNumberFormat="1" applyFont="1" applyFill="1" applyBorder="1" applyAlignment="1">
      <x:alignment horizontal="center" vertical="center" wrapText="1"/>
    </x:xf>
    <x:xf numFmtId="0" fontId="5" fillId="19" borderId="13" xfId="0" applyNumberFormat="1" applyFont="1" applyFill="1" applyBorder="1" applyAlignment="1">
      <x:alignment horizontal="center" vertical="center" wrapText="1"/>
    </x:xf>
    <x:xf numFmtId="0" fontId="5" fillId="19" borderId="13" xfId="0" applyNumberFormat="1" applyFont="1" applyFill="1" applyBorder="1" applyAlignment="1">
      <x:alignment vertical="center" wrapText="1"/>
    </x:xf>
    <x:xf numFmtId="1" fontId="5" fillId="19" borderId="13" xfId="0" applyNumberFormat="1" applyFont="1" applyFill="1" applyBorder="1" applyAlignment="1">
      <x:alignment horizontal="center" vertical="center" wrapText="1"/>
    </x:xf>
    <x:xf numFmtId="166" fontId="5" fillId="19" borderId="13" xfId="0" applyNumberFormat="1" applyFont="1" applyFill="1" applyBorder="1" applyAlignment="1">
      <x:alignment vertical="center" wrapText="1"/>
    </x:xf>
    <x:xf numFmtId="166" fontId="5" fillId="20" borderId="13" xfId="0" applyNumberFormat="1" applyFont="1" applyFill="1" applyBorder="1" applyAlignment="1">
      <x:alignment horizontal="center" vertical="center" wrapText="1"/>
    </x:xf>
    <x:xf numFmtId="10" fontId="5" fillId="20" borderId="13" xfId="0" applyNumberFormat="1" applyFont="1" applyFill="1" applyBorder="1" applyAlignment="1">
      <x:alignment horizontal="center" vertical="center" wrapText="1"/>
    </x:xf>
    <x:xf numFmtId="164" fontId="5" fillId="19" borderId="13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center"/>
    </x:xf>
    <x:xf numFmtId="0" fontId="4" fillId="5" borderId="15" xfId="0" applyNumberFormat="1" applyFont="1" applyFill="1" applyBorder="1" applyAlignment="1">
      <x:alignment vertical="center" wrapText="1"/>
    </x:xf>
    <x:xf numFmtId="0" fontId="1" fillId="2" borderId="13" xfId="0" applyNumberFormat="1" applyFont="1" applyFill="1" applyBorder="1" applyAlignment="1">
      <x:alignment horizontal="left" vertical="center"/>
    </x:xf>
    <x:xf numFmtId="0" fontId="2" fillId="3" borderId="13" xfId="0" applyNumberFormat="1" applyFont="1" applyFill="1" applyBorder="1" applyAlignment="1">
      <x:alignment horizontal="left" vertical="center" wrapText="1"/>
    </x:xf>
    <x:xf numFmtId="0" fontId="3" fillId="4" borderId="25" xfId="0" applyNumberFormat="1" applyFont="1" applyFill="1" applyBorder="1" applyAlignment="1">
      <x:alignment horizontal="left" vertical="center" wrapText="1"/>
    </x:xf>
    <x:xf numFmtId="0" fontId="0" fillId="0" borderId="13" xfId="0" applyNumberFormat="1" applyFont="1" applyFill="1" applyBorder="1" applyAlignment="1">
      <x:alignment wrapText="1"/>
    </x:xf>
    <x:xf numFmtId="0" fontId="9" fillId="15" borderId="13" xfId="0" applyNumberFormat="1" applyFont="1" applyFill="1" applyBorder="1" applyAlignment="1">
      <x:alignment horizontal="left" vertical="center" wrapText="1"/>
    </x:xf>
    <x:xf numFmtId="0" fontId="9" fillId="15" borderId="13" xfId="0" applyNumberFormat="1" applyFont="1" applyFill="1" applyBorder="1" applyAlignment="1">
      <x:alignment vertical="center"/>
    </x:xf>
    <x:xf numFmtId="0" fontId="10" fillId="16" borderId="13" xfId="0" applyNumberFormat="1" applyFont="1" applyFill="1" applyBorder="1" applyAlignment="1">
      <x:alignment horizontal="left" vertical="center" wrapText="1"/>
    </x:xf>
    <x:xf numFmtId="0" fontId="10" fillId="16" borderId="13" xfId="0" applyNumberFormat="1" applyFont="1" applyFill="1" applyBorder="1" applyAlignment="1">
      <x:alignment vertical="center" wrapText="1"/>
    </x:xf>
    <x:xf numFmtId="0" fontId="11" fillId="17" borderId="25" xfId="0" applyNumberFormat="1" applyFont="1" applyFill="1" applyBorder="1" applyAlignment="1">
      <x:alignment horizontal="left" vertical="center" wrapText="1"/>
    </x:xf>
    <x:xf numFmtId="0" fontId="11" fillId="17" borderId="13" xfId="0" applyNumberFormat="1" applyFont="1" applyFill="1" applyBorder="1" applyAlignment="1">
      <x:alignment vertical="center" wrapText="1"/>
    </x:xf>
    <x:xf numFmtId="0" fontId="1" fillId="21" borderId="0" xfId="0" applyNumberFormat="1" applyFont="1" applyFill="1" applyBorder="1" applyAlignment="1">
      <x:alignment horizontal="left" vertical="center"/>
    </x:xf>
    <x:xf numFmtId="0" fontId="0" fillId="21" borderId="0" xfId="0" applyNumberFormat="1" applyFont="1" applyFill="1" applyBorder="1"/>
    <x:xf numFmtId="0" fontId="13" fillId="21" borderId="0" xfId="0" applyNumberFormat="1" applyFont="1" applyFill="1" applyBorder="1"/>
    <x:xf numFmtId="0" fontId="13" fillId="21" borderId="0" xfId="0" applyNumberFormat="1" applyFont="1" applyFill="1" applyBorder="1" applyAlignment="1">
      <x:alignment horizontal="left"/>
    </x:xf>
    <x:xf numFmtId="0" fontId="13" fillId="21" borderId="0" xfId="0" applyNumberFormat="1" applyFont="1" applyFill="1" applyBorder="1" applyAlignment="1">
      <x:alignment horizontal="left" vertical="center"/>
    </x:xf>
    <x:xf numFmtId="0" fontId="1" fillId="21" borderId="13" xfId="0" applyNumberFormat="1" applyFont="1" applyFill="1" applyBorder="1" applyAlignment="1">
      <x:alignment horizontal="left" vertical="center"/>
    </x:xf>
    <x:xf numFmtId="0" fontId="0" fillId="21" borderId="13" xfId="0" applyNumberFormat="1" applyFont="1" applyFill="1" applyBorder="1"/>
    <x:xf numFmtId="0" fontId="13" fillId="21" borderId="13" xfId="0" applyNumberFormat="1" applyFont="1" applyFill="1" applyBorder="1"/>
    <x:xf numFmtId="0" fontId="13" fillId="21" borderId="13" xfId="0" applyNumberFormat="1" applyFont="1" applyFill="1" applyBorder="1" applyAlignment="1">
      <x:alignment horizontal="left"/>
    </x:xf>
    <x:xf numFmtId="0" fontId="13" fillId="21" borderId="13" xfId="0" applyNumberFormat="1" applyFont="1" applyFill="1" applyBorder="1" applyAlignment="1">
      <x:alignment horizontal="left" vertical="center"/>
    </x:xf>
    <x:xf numFmtId="0" fontId="2" fillId="22" borderId="0" xfId="0" applyNumberFormat="1" applyFont="1" applyFill="1" applyBorder="1" applyAlignment="1">
      <x:alignment horizontal="left" vertical="center" wrapText="1"/>
    </x:xf>
    <x:xf numFmtId="0" fontId="0" fillId="22" borderId="0" xfId="0" applyNumberFormat="1" applyFont="1" applyFill="1" applyBorder="1"/>
    <x:xf numFmtId="0" fontId="14" fillId="22" borderId="0" xfId="0" applyNumberFormat="1" applyFont="1" applyFill="1" applyBorder="1"/>
    <x:xf numFmtId="0" fontId="14" fillId="22" borderId="0" xfId="0" applyNumberFormat="1" applyFont="1" applyFill="1" applyBorder="1" applyAlignment="1">
      <x:alignment wrapText="1"/>
    </x:xf>
    <x:xf numFmtId="0" fontId="14" fillId="22" borderId="0" xfId="0" applyNumberFormat="1" applyFont="1" applyFill="1" applyBorder="1" applyAlignment="1">
      <x:alignment horizontal="left" wrapText="1"/>
    </x:xf>
    <x:xf numFmtId="0" fontId="14" fillId="22" borderId="0" xfId="0" applyNumberFormat="1" applyFont="1" applyFill="1" applyBorder="1" applyAlignment="1">
      <x:alignment horizontal="left" vertical="center" wrapText="1"/>
    </x:xf>
    <x:xf numFmtId="0" fontId="2" fillId="22" borderId="13" xfId="0" applyNumberFormat="1" applyFont="1" applyFill="1" applyBorder="1" applyAlignment="1">
      <x:alignment horizontal="left" vertical="center" wrapText="1"/>
    </x:xf>
    <x:xf numFmtId="0" fontId="0" fillId="22" borderId="13" xfId="0" applyNumberFormat="1" applyFont="1" applyFill="1" applyBorder="1"/>
    <x:xf numFmtId="0" fontId="14" fillId="22" borderId="13" xfId="0" applyNumberFormat="1" applyFont="1" applyFill="1" applyBorder="1"/>
    <x:xf numFmtId="0" fontId="14" fillId="22" borderId="13" xfId="0" applyNumberFormat="1" applyFont="1" applyFill="1" applyBorder="1" applyAlignment="1">
      <x:alignment wrapText="1"/>
    </x:xf>
    <x:xf numFmtId="0" fontId="14" fillId="22" borderId="13" xfId="0" applyNumberFormat="1" applyFont="1" applyFill="1" applyBorder="1" applyAlignment="1">
      <x:alignment horizontal="left" wrapText="1"/>
    </x:xf>
    <x:xf numFmtId="0" fontId="14" fillId="22" borderId="13" xfId="0" applyNumberFormat="1" applyFont="1" applyFill="1" applyBorder="1" applyAlignment="1">
      <x:alignment horizontal="left" vertical="center" wrapText="1"/>
    </x:xf>
    <x:xf numFmtId="0" fontId="3" fillId="23" borderId="1" xfId="0" applyNumberFormat="1" applyFont="1" applyFill="1" applyBorder="1" applyAlignment="1">
      <x:alignment horizontal="left" vertical="center" wrapText="1"/>
    </x:xf>
    <x:xf numFmtId="0" fontId="0" fillId="23" borderId="0" xfId="0" applyNumberFormat="1" applyFont="1" applyFill="1" applyBorder="1"/>
    <x:xf numFmtId="0" fontId="15" fillId="23" borderId="0" xfId="0" applyNumberFormat="1" applyFont="1" applyFill="1" applyBorder="1"/>
    <x:xf numFmtId="0" fontId="15" fillId="23" borderId="1" xfId="0" applyNumberFormat="1" applyFont="1" applyFill="1" applyBorder="1"/>
    <x:xf numFmtId="0" fontId="15" fillId="23" borderId="1" xfId="0" applyNumberFormat="1" applyFont="1" applyFill="1" applyBorder="1" applyAlignment="1">
      <x:alignment wrapText="1"/>
    </x:xf>
    <x:xf numFmtId="0" fontId="15" fillId="23" borderId="1" xfId="0" applyNumberFormat="1" applyFont="1" applyFill="1" applyBorder="1" applyAlignment="1">
      <x:alignment horizontal="left" wrapText="1"/>
    </x:xf>
    <x:xf numFmtId="0" fontId="15" fillId="23" borderId="1" xfId="0" applyNumberFormat="1" applyFont="1" applyFill="1" applyBorder="1" applyAlignment="1">
      <x:alignment horizontal="left" vertical="center" wrapText="1"/>
    </x:xf>
    <x:xf numFmtId="0" fontId="3" fillId="23" borderId="25" xfId="0" applyNumberFormat="1" applyFont="1" applyFill="1" applyBorder="1" applyAlignment="1">
      <x:alignment horizontal="left" vertical="center" wrapText="1"/>
    </x:xf>
    <x:xf numFmtId="0" fontId="0" fillId="23" borderId="13" xfId="0" applyNumberFormat="1" applyFont="1" applyFill="1" applyBorder="1"/>
    <x:xf numFmtId="0" fontId="15" fillId="23" borderId="13" xfId="0" applyNumberFormat="1" applyFont="1" applyFill="1" applyBorder="1"/>
    <x:xf numFmtId="0" fontId="15" fillId="23" borderId="25" xfId="0" applyNumberFormat="1" applyFont="1" applyFill="1" applyBorder="1"/>
    <x:xf numFmtId="0" fontId="15" fillId="23" borderId="25" xfId="0" applyNumberFormat="1" applyFont="1" applyFill="1" applyBorder="1" applyAlignment="1">
      <x:alignment wrapText="1"/>
    </x:xf>
    <x:xf numFmtId="0" fontId="15" fillId="23" borderId="25" xfId="0" applyNumberFormat="1" applyFont="1" applyFill="1" applyBorder="1" applyAlignment="1">
      <x:alignment horizontal="left" wrapText="1"/>
    </x:xf>
    <x:xf numFmtId="0" fontId="15" fillId="23" borderId="25" xfId="0" applyNumberFormat="1" applyFont="1" applyFill="1" applyBorder="1" applyAlignment="1">
      <x:alignment horizontal="left" vertical="center" wrapText="1"/>
    </x:xf>
    <x:xf numFmtId="0" fontId="4" fillId="24" borderId="2" xfId="0" applyNumberFormat="1" applyFont="1" applyFill="1" applyBorder="1" applyAlignment="1">
      <x:alignment horizontal="center" vertical="center" wrapText="1"/>
    </x:xf>
    <x:xf numFmtId="0" fontId="4" fillId="24" borderId="3" xfId="0" applyNumberFormat="1" applyFont="1" applyFill="1" applyBorder="1" applyAlignment="1">
      <x:alignment horizontal="center" vertical="center" wrapText="1"/>
    </x:xf>
    <x:xf numFmtId="0" fontId="4" fillId="24" borderId="4" xfId="0" applyNumberFormat="1" applyFont="1" applyFill="1" applyBorder="1" applyAlignment="1">
      <x:alignment horizontal="center" vertical="center" wrapText="1"/>
    </x:xf>
    <x:xf numFmtId="0" fontId="0" fillId="24" borderId="0" xfId="0" applyNumberFormat="1" applyFont="1" applyFill="1" applyBorder="1"/>
    <x:xf numFmtId="0" fontId="6" fillId="24" borderId="0" xfId="0" applyNumberFormat="1" applyFont="1" applyFill="1" applyBorder="1"/>
    <x:xf numFmtId="0" fontId="6" fillId="24" borderId="3" xfId="0" applyNumberFormat="1" applyFont="1" applyFill="1" applyBorder="1"/>
    <x:xf numFmtId="0" fontId="6" fillId="24" borderId="4" xfId="0" applyNumberFormat="1" applyFont="1" applyFill="1" applyBorder="1"/>
    <x:xf numFmtId="0" fontId="6" fillId="24" borderId="3" xfId="0" applyNumberFormat="1" applyFont="1" applyFill="1" applyBorder="1" applyAlignment="1">
      <x:alignment wrapText="1"/>
    </x:xf>
    <x:xf numFmtId="0" fontId="6" fillId="24" borderId="4" xfId="0" applyNumberFormat="1" applyFont="1" applyFill="1" applyBorder="1" applyAlignment="1">
      <x:alignment wrapText="1"/>
    </x:xf>
    <x:xf numFmtId="0" fontId="6" fillId="24" borderId="3" xfId="0" applyNumberFormat="1" applyFont="1" applyFill="1" applyBorder="1" applyAlignment="1">
      <x:alignment horizontal="center" wrapText="1"/>
    </x:xf>
    <x:xf numFmtId="0" fontId="6" fillId="24" borderId="4" xfId="0" applyNumberFormat="1" applyFont="1" applyFill="1" applyBorder="1" applyAlignment="1">
      <x:alignment horizontal="center" wrapText="1"/>
    </x:xf>
    <x:xf numFmtId="0" fontId="6" fillId="24" borderId="3" xfId="0" applyNumberFormat="1" applyFont="1" applyFill="1" applyBorder="1" applyAlignment="1">
      <x:alignment horizontal="center" vertical="center" wrapText="1"/>
    </x:xf>
    <x:xf numFmtId="0" fontId="6" fillId="24" borderId="4" xfId="0" applyNumberFormat="1" applyFont="1" applyFill="1" applyBorder="1" applyAlignment="1">
      <x:alignment horizontal="center" vertical="center" wrapText="1"/>
    </x:xf>
    <x:xf numFmtId="0" fontId="4" fillId="24" borderId="14" xfId="0" applyNumberFormat="1" applyFont="1" applyFill="1" applyBorder="1" applyAlignment="1">
      <x:alignment horizontal="center" vertical="center" wrapText="1"/>
    </x:xf>
    <x:xf numFmtId="0" fontId="4" fillId="24" borderId="15" xfId="0" applyNumberFormat="1" applyFont="1" applyFill="1" applyBorder="1" applyAlignment="1">
      <x:alignment horizontal="center" vertical="center" wrapText="1"/>
    </x:xf>
    <x:xf numFmtId="0" fontId="4" fillId="24" borderId="16" xfId="0" applyNumberFormat="1" applyFont="1" applyFill="1" applyBorder="1" applyAlignment="1">
      <x:alignment horizontal="center" vertical="center" wrapText="1"/>
    </x:xf>
    <x:xf numFmtId="0" fontId="0" fillId="24" borderId="13" xfId="0" applyNumberFormat="1" applyFont="1" applyFill="1" applyBorder="1"/>
    <x:xf numFmtId="0" fontId="6" fillId="24" borderId="13" xfId="0" applyNumberFormat="1" applyFont="1" applyFill="1" applyBorder="1"/>
    <x:xf numFmtId="0" fontId="6" fillId="24" borderId="15" xfId="0" applyNumberFormat="1" applyFont="1" applyFill="1" applyBorder="1"/>
    <x:xf numFmtId="0" fontId="6" fillId="24" borderId="16" xfId="0" applyNumberFormat="1" applyFont="1" applyFill="1" applyBorder="1"/>
    <x:xf numFmtId="0" fontId="6" fillId="24" borderId="15" xfId="0" applyNumberFormat="1" applyFont="1" applyFill="1" applyBorder="1" applyAlignment="1">
      <x:alignment wrapText="1"/>
    </x:xf>
    <x:xf numFmtId="0" fontId="6" fillId="24" borderId="16" xfId="0" applyNumberFormat="1" applyFont="1" applyFill="1" applyBorder="1" applyAlignment="1">
      <x:alignment wrapText="1"/>
    </x:xf>
    <x:xf numFmtId="0" fontId="6" fillId="24" borderId="15" xfId="0" applyNumberFormat="1" applyFont="1" applyFill="1" applyBorder="1" applyAlignment="1">
      <x:alignment horizontal="center" wrapText="1"/>
    </x:xf>
    <x:xf numFmtId="0" fontId="6" fillId="24" borderId="16" xfId="0" applyNumberFormat="1" applyFont="1" applyFill="1" applyBorder="1" applyAlignment="1">
      <x:alignment horizontal="center" wrapText="1"/>
    </x:xf>
    <x:xf numFmtId="0" fontId="6" fillId="24" borderId="15" xfId="0" applyNumberFormat="1" applyFont="1" applyFill="1" applyBorder="1" applyAlignment="1">
      <x:alignment horizontal="center" vertical="center" wrapText="1"/>
    </x:xf>
    <x:xf numFmtId="0" fontId="6" fillId="24" borderId="16" xfId="0" applyNumberFormat="1" applyFont="1" applyFill="1" applyBorder="1" applyAlignment="1">
      <x:alignment horizontal="center" vertical="center" wrapText="1"/>
    </x:xf>
    <x:xf numFmtId="0" fontId="5" fillId="7" borderId="6" xfId="0" applyNumberFormat="1" applyFont="1" applyFill="1" applyBorder="1" applyAlignment="1">
      <x:alignment vertical="center" wrapText="1"/>
    </x:xf>
    <x:xf numFmtId="0" fontId="5" fillId="6" borderId="6" xfId="0" applyNumberFormat="1" applyFont="1" applyFill="1" applyBorder="1" applyAlignment="1">
      <x:alignment vertical="center" wrapText="1"/>
    </x:xf>
    <x:xf numFmtId="0" fontId="5" fillId="7" borderId="7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center" wrapText="1"/>
    </x:xf>
    <x:xf numFmtId="49" fontId="5" fillId="6" borderId="0" xfId="0" applyNumberFormat="1" applyFont="1" applyFill="1" applyBorder="1" applyAlignment="1">
      <x:alignment vertical="center" wrapText="1"/>
    </x:xf>
    <x:xf numFmtId="3" fontId="5" fillId="6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164" fontId="5" fillId="6" borderId="0" xfId="0" applyNumberFormat="1" applyFont="1" applyFill="1" applyBorder="1" applyAlignment="1">
      <x:alignment vertical="center" wrapText="1"/>
    </x:xf>
    <x:xf numFmtId="3" fontId="5" fillId="7" borderId="0" xfId="0" applyNumberFormat="1" applyFont="1" applyFill="1" applyBorder="1" applyAlignment="1">
      <x:alignment vertical="center" wrapText="1"/>
    </x:xf>
    <x:xf numFmtId="164" fontId="5" fillId="7" borderId="0" xfId="0" applyNumberFormat="1" applyFont="1" applyFill="1" applyBorder="1" applyAlignment="1">
      <x:alignment vertical="center" wrapText="1"/>
    </x:xf>
    <x:xf numFmtId="0" fontId="5" fillId="7" borderId="9" xfId="0" applyNumberFormat="1" applyFont="1" applyFill="1" applyBorder="1" applyAlignment="1">
      <x:alignment vertical="center" wrapText="1"/>
    </x:xf>
    <x:xf numFmtId="0" fontId="5" fillId="7" borderId="11" xfId="0" applyNumberFormat="1" applyFont="1" applyFill="1" applyBorder="1" applyAlignment="1">
      <x:alignment vertical="center" wrapText="1"/>
    </x:xf>
    <x:xf numFmtId="0" fontId="5" fillId="6" borderId="11" xfId="0" applyNumberFormat="1" applyFont="1" applyFill="1" applyBorder="1" applyAlignment="1">
      <x:alignment vertical="center" wrapText="1"/>
    </x:xf>
    <x:xf numFmtId="0" fontId="5" fillId="7" borderId="12" xfId="0" applyNumberFormat="1" applyFont="1" applyFill="1" applyBorder="1" applyAlignment="1">
      <x:alignment vertical="center" wrapText="1"/>
    </x:xf>
    <x:xf numFmtId="49" fontId="5" fillId="7" borderId="5" xfId="0" applyNumberFormat="1" applyFont="1" applyFill="1" applyBorder="1" applyAlignment="1">
      <x:alignment vertical="top" wrapText="1"/>
    </x:xf>
    <x:xf numFmtId="0" fontId="5" fillId="7" borderId="6" xfId="0" applyNumberFormat="1" applyFont="1" applyFill="1" applyBorder="1" applyAlignment="1">
      <x:alignment vertical="top" wrapText="1"/>
    </x:xf>
    <x:xf numFmtId="49" fontId="5" fillId="6" borderId="6" xfId="0" applyNumberFormat="1" applyFont="1" applyFill="1" applyBorder="1" applyAlignment="1">
      <x:alignment vertical="top" wrapText="1"/>
    </x:xf>
    <x:xf numFmtId="3" fontId="5" fillId="6" borderId="6" xfId="0" applyNumberFormat="1" applyFont="1" applyFill="1" applyBorder="1" applyAlignment="1">
      <x:alignment vertical="top" wrapText="1"/>
    </x:xf>
    <x:xf numFmtId="0" fontId="5" fillId="6" borderId="6" xfId="0" applyNumberFormat="1" applyFont="1" applyFill="1" applyBorder="1" applyAlignment="1">
      <x:alignment vertical="top" wrapText="1"/>
    </x:xf>
    <x:xf numFmtId="164" fontId="5" fillId="6" borderId="6" xfId="0" applyNumberFormat="1" applyFont="1" applyFill="1" applyBorder="1" applyAlignment="1">
      <x:alignment vertical="top" wrapText="1"/>
    </x:xf>
    <x:xf numFmtId="3" fontId="5" fillId="7" borderId="6" xfId="0" applyNumberFormat="1" applyFont="1" applyFill="1" applyBorder="1" applyAlignment="1">
      <x:alignment vertical="top" wrapText="1"/>
    </x:xf>
    <x:xf numFmtId="164" fontId="5" fillId="7" borderId="6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49" fontId="5" fillId="7" borderId="8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top" wrapText="1"/>
    </x:xf>
    <x:xf numFmtId="49" fontId="5" fillId="6" borderId="0" xfId="0" applyNumberFormat="1" applyFont="1" applyFill="1" applyBorder="1" applyAlignment="1">
      <x:alignment vertical="top" wrapText="1"/>
    </x:xf>
    <x:xf numFmtId="3" fontId="5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164" fontId="5" fillId="6" borderId="0" xfId="0" applyNumberFormat="1" applyFont="1" applyFill="1" applyBorder="1" applyAlignment="1">
      <x:alignment vertical="top" wrapText="1"/>
    </x:xf>
    <x:xf numFmtId="3" fontId="5" fillId="7" borderId="0" xfId="0" applyNumberFormat="1" applyFont="1" applyFill="1" applyBorder="1" applyAlignment="1">
      <x:alignment vertical="top" wrapText="1"/>
    </x:xf>
    <x:xf numFmtId="164" fontId="5" fillId="7" borderId="0" xfId="0" applyNumberFormat="1" applyFont="1" applyFill="1" applyBorder="1" applyAlignment="1">
      <x:alignment vertical="top" wrapText="1"/>
    </x:xf>
    <x:xf numFmtId="0" fontId="5" fillId="7" borderId="9" xfId="0" applyNumberFormat="1" applyFont="1" applyFill="1" applyBorder="1" applyAlignment="1">
      <x:alignment vertical="top" wrapText="1"/>
    </x:xf>
    <x:xf numFmtId="49" fontId="5" fillId="7" borderId="10" xfId="0" applyNumberFormat="1" applyFont="1" applyFill="1" applyBorder="1" applyAlignment="1">
      <x:alignment vertical="top" wrapText="1"/>
    </x:xf>
    <x:xf numFmtId="0" fontId="5" fillId="7" borderId="11" xfId="0" applyNumberFormat="1" applyFont="1" applyFill="1" applyBorder="1" applyAlignment="1">
      <x:alignment vertical="top" wrapText="1"/>
    </x:xf>
    <x:xf numFmtId="49" fontId="5" fillId="6" borderId="11" xfId="0" applyNumberFormat="1" applyFont="1" applyFill="1" applyBorder="1" applyAlignment="1">
      <x:alignment vertical="top" wrapText="1"/>
    </x:xf>
    <x:xf numFmtId="3" fontId="5" fillId="6" borderId="11" xfId="0" applyNumberFormat="1" applyFont="1" applyFill="1" applyBorder="1" applyAlignment="1">
      <x:alignment vertical="top" wrapText="1"/>
    </x:xf>
    <x:xf numFmtId="0" fontId="5" fillId="6" borderId="11" xfId="0" applyNumberFormat="1" applyFont="1" applyFill="1" applyBorder="1" applyAlignment="1">
      <x:alignment vertical="top" wrapText="1"/>
    </x:xf>
    <x:xf numFmtId="164" fontId="5" fillId="6" borderId="11" xfId="0" applyNumberFormat="1" applyFont="1" applyFill="1" applyBorder="1" applyAlignment="1">
      <x:alignment vertical="top" wrapText="1"/>
    </x:xf>
    <x:xf numFmtId="3" fontId="5" fillId="7" borderId="11" xfId="0" applyNumberFormat="1" applyFont="1" applyFill="1" applyBorder="1" applyAlignment="1">
      <x:alignment vertical="top" wrapText="1"/>
    </x:xf>
    <x:xf numFmtId="164" fontId="5" fillId="7" borderId="11" xfId="0" applyNumberFormat="1" applyFont="1" applyFill="1" applyBorder="1" applyAlignment="1">
      <x:alignment vertical="top" wrapText="1"/>
    </x:xf>
    <x:xf numFmtId="0" fontId="5" fillId="7" borderId="12" xfId="0" applyNumberFormat="1" applyFont="1" applyFill="1" applyBorder="1" applyAlignment="1">
      <x:alignment vertical="top" wrapText="1"/>
    </x:xf>
    <x:xf numFmtId="49" fontId="5" fillId="7" borderId="22" xfId="0" applyNumberFormat="1" applyFont="1" applyFill="1" applyBorder="1" applyAlignment="1">
      <x:alignment vertical="top" wrapText="1"/>
    </x:xf>
    <x:xf numFmtId="0" fontId="5" fillId="7" borderId="17" xfId="0" applyNumberFormat="1" applyFont="1" applyFill="1" applyBorder="1" applyAlignment="1">
      <x:alignment vertical="top" wrapText="1"/>
    </x:xf>
    <x:xf numFmtId="49" fontId="5" fillId="6" borderId="17" xfId="0" applyNumberFormat="1" applyFont="1" applyFill="1" applyBorder="1" applyAlignment="1">
      <x:alignment vertical="top" wrapText="1"/>
    </x:xf>
    <x:xf numFmtId="3" fontId="5" fillId="6" borderId="17" xfId="0" applyNumberFormat="1" applyFont="1" applyFill="1" applyBorder="1" applyAlignment="1">
      <x:alignment vertical="top" wrapText="1"/>
    </x:xf>
    <x:xf numFmtId="0" fontId="5" fillId="6" borderId="17" xfId="0" applyNumberFormat="1" applyFont="1" applyFill="1" applyBorder="1" applyAlignment="1">
      <x:alignment vertical="top" wrapText="1"/>
    </x:xf>
    <x:xf numFmtId="164" fontId="5" fillId="6" borderId="17" xfId="0" applyNumberFormat="1" applyFont="1" applyFill="1" applyBorder="1" applyAlignment="1">
      <x:alignment vertical="top" wrapText="1"/>
    </x:xf>
    <x:xf numFmtId="3" fontId="5" fillId="7" borderId="17" xfId="0" applyNumberFormat="1" applyFont="1" applyFill="1" applyBorder="1" applyAlignment="1">
      <x:alignment vertical="top" wrapText="1"/>
    </x:xf>
    <x:xf numFmtId="164" fontId="5" fillId="7" borderId="17" xfId="0" applyNumberFormat="1" applyFont="1" applyFill="1" applyBorder="1" applyAlignment="1">
      <x:alignment vertical="top" wrapText="1"/>
    </x:xf>
    <x:xf numFmtId="0" fontId="5" fillId="7" borderId="18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49" fontId="5" fillId="7" borderId="23" xfId="0" applyNumberFormat="1" applyFont="1" applyFill="1" applyBorder="1" applyAlignment="1">
      <x:alignment vertical="top" wrapText="1"/>
    </x:xf>
    <x:xf numFmtId="0" fontId="5" fillId="7" borderId="13" xfId="0" applyNumberFormat="1" applyFont="1" applyFill="1" applyBorder="1" applyAlignment="1">
      <x:alignment vertical="top" wrapText="1"/>
    </x:xf>
    <x:xf numFmtId="49" fontId="5" fillId="6" borderId="13" xfId="0" applyNumberFormat="1" applyFont="1" applyFill="1" applyBorder="1" applyAlignment="1">
      <x:alignment vertical="top" wrapText="1"/>
    </x:xf>
    <x:xf numFmtId="3" fontId="5" fillId="6" borderId="13" xfId="0" applyNumberFormat="1" applyFont="1" applyFill="1" applyBorder="1" applyAlignment="1">
      <x:alignment vertical="top" wrapText="1"/>
    </x:xf>
    <x:xf numFmtId="0" fontId="5" fillId="6" borderId="13" xfId="0" applyNumberFormat="1" applyFont="1" applyFill="1" applyBorder="1" applyAlignment="1">
      <x:alignment vertical="top" wrapText="1"/>
    </x:xf>
    <x:xf numFmtId="164" fontId="5" fillId="6" borderId="13" xfId="0" applyNumberFormat="1" applyFont="1" applyFill="1" applyBorder="1" applyAlignment="1">
      <x:alignment vertical="top" wrapText="1"/>
    </x:xf>
    <x:xf numFmtId="3" fontId="5" fillId="7" borderId="13" xfId="0" applyNumberFormat="1" applyFont="1" applyFill="1" applyBorder="1" applyAlignment="1">
      <x:alignment vertical="top" wrapText="1"/>
    </x:xf>
    <x:xf numFmtId="164" fontId="5" fillId="7" borderId="13" xfId="0" applyNumberFormat="1" applyFont="1" applyFill="1" applyBorder="1" applyAlignment="1">
      <x:alignment vertical="top" wrapText="1"/>
    </x:xf>
    <x:xf numFmtId="0" fontId="5" fillId="7" borderId="19" xfId="0" applyNumberFormat="1" applyFont="1" applyFill="1" applyBorder="1" applyAlignment="1">
      <x:alignment vertical="top" wrapText="1"/>
    </x:xf>
    <x:xf numFmtId="49" fontId="5" fillId="7" borderId="24" xfId="0" applyNumberFormat="1" applyFont="1" applyFill="1" applyBorder="1" applyAlignment="1">
      <x:alignment vertical="top" wrapText="1"/>
    </x:xf>
    <x:xf numFmtId="0" fontId="5" fillId="7" borderId="20" xfId="0" applyNumberFormat="1" applyFont="1" applyFill="1" applyBorder="1" applyAlignment="1">
      <x:alignment vertical="top" wrapText="1"/>
    </x:xf>
    <x:xf numFmtId="49" fontId="5" fillId="6" borderId="20" xfId="0" applyNumberFormat="1" applyFont="1" applyFill="1" applyBorder="1" applyAlignment="1">
      <x:alignment vertical="top" wrapText="1"/>
    </x:xf>
    <x:xf numFmtId="3" fontId="5" fillId="6" borderId="20" xfId="0" applyNumberFormat="1" applyFont="1" applyFill="1" applyBorder="1" applyAlignment="1">
      <x:alignment vertical="top" wrapText="1"/>
    </x:xf>
    <x:xf numFmtId="0" fontId="5" fillId="6" borderId="20" xfId="0" applyNumberFormat="1" applyFont="1" applyFill="1" applyBorder="1" applyAlignment="1">
      <x:alignment vertical="top" wrapText="1"/>
    </x:xf>
    <x:xf numFmtId="164" fontId="5" fillId="6" borderId="20" xfId="0" applyNumberFormat="1" applyFont="1" applyFill="1" applyBorder="1" applyAlignment="1">
      <x:alignment vertical="top" wrapText="1"/>
    </x:xf>
    <x:xf numFmtId="3" fontId="5" fillId="7" borderId="20" xfId="0" applyNumberFormat="1" applyFont="1" applyFill="1" applyBorder="1" applyAlignment="1">
      <x:alignment vertical="top" wrapText="1"/>
    </x:xf>
    <x:xf numFmtId="164" fontId="5" fillId="7" borderId="20" xfId="0" applyNumberFormat="1" applyFont="1" applyFill="1" applyBorder="1" applyAlignment="1">
      <x:alignment vertical="top" wrapText="1"/>
    </x:xf>
    <x:xf numFmtId="0" fontId="5" fillId="7" borderId="21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13" xfId="0" applyNumberFormat="1" applyFont="1" applyFill="1" applyBorder="1" applyAlignment="1">
      <x:alignment vertical="top" wrapText="1"/>
    </x:xf>
    <x:xf numFmtId="49" fontId="5" fillId="25" borderId="5" xfId="0" applyNumberFormat="1" applyFont="1" applyFill="1" applyBorder="1" applyAlignment="1">
      <x:alignment vertical="top" wrapText="1"/>
    </x:xf>
    <x:xf numFmtId="0" fontId="5" fillId="25" borderId="6" xfId="0" applyNumberFormat="1" applyFont="1" applyFill="1" applyBorder="1" applyAlignment="1">
      <x:alignment vertical="top" wrapText="1"/>
    </x:xf>
    <x:xf numFmtId="49" fontId="5" fillId="25" borderId="6" xfId="0" applyNumberFormat="1" applyFont="1" applyFill="1" applyBorder="1" applyAlignment="1">
      <x:alignment vertical="top" wrapText="1"/>
    </x:xf>
    <x:xf numFmtId="3" fontId="5" fillId="25" borderId="6" xfId="0" applyNumberFormat="1" applyFont="1" applyFill="1" applyBorder="1" applyAlignment="1">
      <x:alignment vertical="top" wrapText="1"/>
    </x:xf>
    <x:xf numFmtId="49" fontId="5" fillId="25" borderId="8" xfId="0" applyNumberFormat="1" applyFont="1" applyFill="1" applyBorder="1" applyAlignment="1">
      <x:alignment vertical="top" wrapText="1"/>
    </x:xf>
    <x:xf numFmtId="0" fontId="5" fillId="25" borderId="0" xfId="0" applyNumberFormat="1" applyFont="1" applyFill="1" applyBorder="1" applyAlignment="1">
      <x:alignment vertical="top" wrapText="1"/>
    </x:xf>
    <x:xf numFmtId="49" fontId="5" fillId="25" borderId="0" xfId="0" applyNumberFormat="1" applyFont="1" applyFill="1" applyBorder="1" applyAlignment="1">
      <x:alignment vertical="top" wrapText="1"/>
    </x:xf>
    <x:xf numFmtId="3" fontId="5" fillId="25" borderId="0" xfId="0" applyNumberFormat="1" applyFont="1" applyFill="1" applyBorder="1" applyAlignment="1">
      <x:alignment vertical="top" wrapText="1"/>
    </x:xf>
    <x:xf numFmtId="49" fontId="5" fillId="25" borderId="10" xfId="0" applyNumberFormat="1" applyFont="1" applyFill="1" applyBorder="1" applyAlignment="1">
      <x:alignment vertical="top" wrapText="1"/>
    </x:xf>
    <x:xf numFmtId="0" fontId="5" fillId="25" borderId="11" xfId="0" applyNumberFormat="1" applyFont="1" applyFill="1" applyBorder="1" applyAlignment="1">
      <x:alignment vertical="top" wrapText="1"/>
    </x:xf>
    <x:xf numFmtId="49" fontId="5" fillId="25" borderId="11" xfId="0" applyNumberFormat="1" applyFont="1" applyFill="1" applyBorder="1" applyAlignment="1">
      <x:alignment vertical="top" wrapText="1"/>
    </x:xf>
    <x:xf numFmtId="3" fontId="5" fillId="25" borderId="11" xfId="0" applyNumberFormat="1" applyFont="1" applyFill="1" applyBorder="1" applyAlignment="1">
      <x:alignment vertical="top" wrapText="1"/>
    </x:xf>
    <x:xf numFmtId="49" fontId="5" fillId="25" borderId="22" xfId="0" applyNumberFormat="1" applyFont="1" applyFill="1" applyBorder="1" applyAlignment="1">
      <x:alignment vertical="top" wrapText="1"/>
    </x:xf>
    <x:xf numFmtId="0" fontId="5" fillId="25" borderId="17" xfId="0" applyNumberFormat="1" applyFont="1" applyFill="1" applyBorder="1" applyAlignment="1">
      <x:alignment vertical="top" wrapText="1"/>
    </x:xf>
    <x:xf numFmtId="49" fontId="5" fillId="25" borderId="17" xfId="0" applyNumberFormat="1" applyFont="1" applyFill="1" applyBorder="1" applyAlignment="1">
      <x:alignment vertical="top" wrapText="1"/>
    </x:xf>
    <x:xf numFmtId="3" fontId="5" fillId="25" borderId="17" xfId="0" applyNumberFormat="1" applyFont="1" applyFill="1" applyBorder="1" applyAlignment="1">
      <x:alignment vertical="top" wrapText="1"/>
    </x:xf>
    <x:xf numFmtId="49" fontId="5" fillId="25" borderId="23" xfId="0" applyNumberFormat="1" applyFont="1" applyFill="1" applyBorder="1" applyAlignment="1">
      <x:alignment vertical="top" wrapText="1"/>
    </x:xf>
    <x:xf numFmtId="0" fontId="5" fillId="25" borderId="13" xfId="0" applyNumberFormat="1" applyFont="1" applyFill="1" applyBorder="1" applyAlignment="1">
      <x:alignment vertical="top" wrapText="1"/>
    </x:xf>
    <x:xf numFmtId="49" fontId="5" fillId="25" borderId="13" xfId="0" applyNumberFormat="1" applyFont="1" applyFill="1" applyBorder="1" applyAlignment="1">
      <x:alignment vertical="top" wrapText="1"/>
    </x:xf>
    <x:xf numFmtId="3" fontId="5" fillId="25" borderId="13" xfId="0" applyNumberFormat="1" applyFont="1" applyFill="1" applyBorder="1" applyAlignment="1">
      <x:alignment vertical="top" wrapText="1"/>
    </x:xf>
    <x:xf numFmtId="49" fontId="5" fillId="25" borderId="24" xfId="0" applyNumberFormat="1" applyFont="1" applyFill="1" applyBorder="1" applyAlignment="1">
      <x:alignment vertical="top" wrapText="1"/>
    </x:xf>
    <x:xf numFmtId="0" fontId="5" fillId="25" borderId="20" xfId="0" applyNumberFormat="1" applyFont="1" applyFill="1" applyBorder="1" applyAlignment="1">
      <x:alignment vertical="top" wrapText="1"/>
    </x:xf>
    <x:xf numFmtId="49" fontId="5" fillId="25" borderId="20" xfId="0" applyNumberFormat="1" applyFont="1" applyFill="1" applyBorder="1" applyAlignment="1">
      <x:alignment vertical="top" wrapText="1"/>
    </x:xf>
    <x:xf numFmtId="3" fontId="5" fillId="25" borderId="20" xfId="0" applyNumberFormat="1" applyFont="1" applyFill="1" applyBorder="1" applyAlignment="1">
      <x:alignment vertical="top" wrapText="1"/>
    </x:xf>
    <x:xf numFmtId="0" fontId="5" fillId="22" borderId="6" xfId="0" applyNumberFormat="1" applyFont="1" applyFill="1" applyBorder="1" applyAlignment="1">
      <x:alignment vertical="top" wrapText="1"/>
    </x:xf>
    <x:xf numFmtId="0" fontId="5" fillId="22" borderId="0" xfId="0" applyNumberFormat="1" applyFont="1" applyFill="1" applyBorder="1" applyAlignment="1">
      <x:alignment vertical="top" wrapText="1"/>
    </x:xf>
    <x:xf numFmtId="0" fontId="5" fillId="22" borderId="11" xfId="0" applyNumberFormat="1" applyFont="1" applyFill="1" applyBorder="1" applyAlignment="1">
      <x:alignment vertical="top" wrapText="1"/>
    </x:xf>
    <x:xf numFmtId="0" fontId="5" fillId="22" borderId="17" xfId="0" applyNumberFormat="1" applyFont="1" applyFill="1" applyBorder="1" applyAlignment="1">
      <x:alignment vertical="top" wrapText="1"/>
    </x:xf>
    <x:xf numFmtId="0" fontId="5" fillId="22" borderId="13" xfId="0" applyNumberFormat="1" applyFont="1" applyFill="1" applyBorder="1" applyAlignment="1">
      <x:alignment vertical="top" wrapText="1"/>
    </x:xf>
    <x:xf numFmtId="0" fontId="5" fillId="22" borderId="20" xfId="0" applyNumberFormat="1" applyFont="1" applyFill="1" applyBorder="1" applyAlignment="1">
      <x:alignment vertical="top" wrapText="1"/>
    </x:xf>
    <x:xf numFmtId="3" fontId="5" fillId="22" borderId="6" xfId="0" applyNumberFormat="1" applyFont="1" applyFill="1" applyBorder="1" applyAlignment="1">
      <x:alignment vertical="top" wrapText="1"/>
    </x:xf>
    <x:xf numFmtId="3" fontId="5" fillId="22" borderId="0" xfId="0" applyNumberFormat="1" applyFont="1" applyFill="1" applyBorder="1" applyAlignment="1">
      <x:alignment vertical="top" wrapText="1"/>
    </x:xf>
    <x:xf numFmtId="3" fontId="5" fillId="22" borderId="11" xfId="0" applyNumberFormat="1" applyFont="1" applyFill="1" applyBorder="1" applyAlignment="1">
      <x:alignment vertical="top" wrapText="1"/>
    </x:xf>
    <x:xf numFmtId="3" fontId="5" fillId="22" borderId="17" xfId="0" applyNumberFormat="1" applyFont="1" applyFill="1" applyBorder="1" applyAlignment="1">
      <x:alignment vertical="top" wrapText="1"/>
    </x:xf>
    <x:xf numFmtId="3" fontId="5" fillId="22" borderId="13" xfId="0" applyNumberFormat="1" applyFont="1" applyFill="1" applyBorder="1" applyAlignment="1">
      <x:alignment vertical="top" wrapText="1"/>
    </x:xf>
    <x:xf numFmtId="3" fontId="5" fillId="22" borderId="20" xfId="0" applyNumberFormat="1" applyFont="1" applyFill="1" applyBorder="1" applyAlignment="1">
      <x:alignment vertical="top" wrapText="1"/>
    </x:xf>
    <x:xf numFmtId="164" fontId="5" fillId="25" borderId="6" xfId="0" applyNumberFormat="1" applyFont="1" applyFill="1" applyBorder="1" applyAlignment="1">
      <x:alignment vertical="top" wrapText="1"/>
    </x:xf>
    <x:xf numFmtId="0" fontId="5" fillId="25" borderId="7" xfId="0" applyNumberFormat="1" applyFont="1" applyFill="1" applyBorder="1" applyAlignment="1">
      <x:alignment vertical="top" wrapText="1"/>
    </x:xf>
    <x:xf numFmtId="0" fontId="7" fillId="25" borderId="0" xfId="0" applyNumberFormat="1" applyFont="1" applyFill="1" applyBorder="1" applyAlignment="1">
      <x:alignment vertical="top" wrapText="1"/>
    </x:xf>
    <x:xf numFmtId="164" fontId="5" fillId="25" borderId="0" xfId="0" applyNumberFormat="1" applyFont="1" applyFill="1" applyBorder="1" applyAlignment="1">
      <x:alignment vertical="top" wrapText="1"/>
    </x:xf>
    <x:xf numFmtId="0" fontId="5" fillId="25" borderId="9" xfId="0" applyNumberFormat="1" applyFont="1" applyFill="1" applyBorder="1" applyAlignment="1">
      <x:alignment vertical="top" wrapText="1"/>
    </x:xf>
    <x:xf numFmtId="164" fontId="5" fillId="25" borderId="11" xfId="0" applyNumberFormat="1" applyFont="1" applyFill="1" applyBorder="1" applyAlignment="1">
      <x:alignment vertical="top" wrapText="1"/>
    </x:xf>
    <x:xf numFmtId="0" fontId="5" fillId="25" borderId="12" xfId="0" applyNumberFormat="1" applyFont="1" applyFill="1" applyBorder="1" applyAlignment="1">
      <x:alignment vertical="top" wrapText="1"/>
    </x:xf>
    <x:xf numFmtId="164" fontId="5" fillId="25" borderId="17" xfId="0" applyNumberFormat="1" applyFont="1" applyFill="1" applyBorder="1" applyAlignment="1">
      <x:alignment vertical="top" wrapText="1"/>
    </x:xf>
    <x:xf numFmtId="0" fontId="5" fillId="25" borderId="18" xfId="0" applyNumberFormat="1" applyFont="1" applyFill="1" applyBorder="1" applyAlignment="1">
      <x:alignment vertical="top" wrapText="1"/>
    </x:xf>
    <x:xf numFmtId="0" fontId="7" fillId="25" borderId="13" xfId="0" applyNumberFormat="1" applyFont="1" applyFill="1" applyBorder="1" applyAlignment="1">
      <x:alignment vertical="top" wrapText="1"/>
    </x:xf>
    <x:xf numFmtId="164" fontId="5" fillId="25" borderId="13" xfId="0" applyNumberFormat="1" applyFont="1" applyFill="1" applyBorder="1" applyAlignment="1">
      <x:alignment vertical="top" wrapText="1"/>
    </x:xf>
    <x:xf numFmtId="0" fontId="5" fillId="25" borderId="19" xfId="0" applyNumberFormat="1" applyFont="1" applyFill="1" applyBorder="1" applyAlignment="1">
      <x:alignment vertical="top" wrapText="1"/>
    </x:xf>
    <x:xf numFmtId="164" fontId="5" fillId="25" borderId="20" xfId="0" applyNumberFormat="1" applyFont="1" applyFill="1" applyBorder="1" applyAlignment="1">
      <x:alignment vertical="top" wrapText="1"/>
    </x:xf>
    <x:xf numFmtId="0" fontId="5" fillId="25" borderId="21" xfId="0" applyNumberFormat="1" applyFont="1" applyFill="1" applyBorder="1" applyAlignment="1">
      <x:alignment vertical="top" wrapText="1"/>
    </x:xf>
    <x:xf numFmtId="200" fontId="5" fillId="22" borderId="6" xfId="0" applyNumberFormat="1" applyFont="1" applyFill="1" applyBorder="1" applyAlignment="1">
      <x:alignment vertical="top" wrapText="1"/>
    </x:xf>
    <x:xf numFmtId="200" fontId="5" fillId="22" borderId="0" xfId="0" applyNumberFormat="1" applyFont="1" applyFill="1" applyBorder="1" applyAlignment="1">
      <x:alignment vertical="top" wrapText="1"/>
    </x:xf>
    <x:xf numFmtId="200" fontId="5" fillId="22" borderId="11" xfId="0" applyNumberFormat="1" applyFont="1" applyFill="1" applyBorder="1" applyAlignment="1">
      <x:alignment vertical="top" wrapText="1"/>
    </x:xf>
    <x:xf numFmtId="200" fontId="5" fillId="22" borderId="17" xfId="0" applyNumberFormat="1" applyFont="1" applyFill="1" applyBorder="1" applyAlignment="1">
      <x:alignment vertical="top" wrapText="1"/>
    </x:xf>
    <x:xf numFmtId="200" fontId="5" fillId="22" borderId="13" xfId="0" applyNumberFormat="1" applyFont="1" applyFill="1" applyBorder="1" applyAlignment="1">
      <x:alignment vertical="top" wrapText="1"/>
    </x:xf>
    <x:xf numFmtId="200" fontId="5" fillId="22" borderId="20" xfId="0" applyNumberFormat="1" applyFont="1" applyFill="1" applyBorder="1" applyAlignment="1">
      <x:alignment vertical="top" wrapText="1"/>
    </x:xf>
    <x:xf numFmtId="200" fontId="5" fillId="25" borderId="6" xfId="0" applyNumberFormat="1" applyFont="1" applyFill="1" applyBorder="1" applyAlignment="1">
      <x:alignment vertical="top" wrapText="1"/>
    </x:xf>
    <x:xf numFmtId="200" fontId="5" fillId="25" borderId="0" xfId="0" applyNumberFormat="1" applyFont="1" applyFill="1" applyBorder="1" applyAlignment="1">
      <x:alignment vertical="top" wrapText="1"/>
    </x:xf>
    <x:xf numFmtId="200" fontId="5" fillId="25" borderId="11" xfId="0" applyNumberFormat="1" applyFont="1" applyFill="1" applyBorder="1" applyAlignment="1">
      <x:alignment vertical="top" wrapText="1"/>
    </x:xf>
    <x:xf numFmtId="200" fontId="5" fillId="25" borderId="17" xfId="0" applyNumberFormat="1" applyFont="1" applyFill="1" applyBorder="1" applyAlignment="1">
      <x:alignment vertical="top" wrapText="1"/>
    </x:xf>
    <x:xf numFmtId="200" fontId="5" fillId="25" borderId="13" xfId="0" applyNumberFormat="1" applyFont="1" applyFill="1" applyBorder="1" applyAlignment="1">
      <x:alignment vertical="top" wrapText="1"/>
    </x:xf>
    <x:xf numFmtId="200" fontId="5" fillId="25" borderId="20" xfId="0" applyNumberFormat="1" applyFont="1" applyFill="1" applyBorder="1" applyAlignment="1">
      <x:alignment vertical="top" wrapText="1"/>
    </x:xf>
    <x:xf numFmtId="164" fontId="5" fillId="25" borderId="7" xfId="0" applyNumberFormat="1" applyFont="1" applyFill="1" applyBorder="1" applyAlignment="1">
      <x:alignment vertical="top" wrapText="1"/>
    </x:xf>
    <x:xf numFmtId="164" fontId="5" fillId="25" borderId="9" xfId="0" applyNumberFormat="1" applyFont="1" applyFill="1" applyBorder="1" applyAlignment="1">
      <x:alignment vertical="top" wrapText="1"/>
    </x:xf>
    <x:xf numFmtId="164" fontId="5" fillId="25" borderId="12" xfId="0" applyNumberFormat="1" applyFont="1" applyFill="1" applyBorder="1" applyAlignment="1">
      <x:alignment vertical="top" wrapText="1"/>
    </x:xf>
    <x:xf numFmtId="164" fontId="5" fillId="25" borderId="18" xfId="0" applyNumberFormat="1" applyFont="1" applyFill="1" applyBorder="1" applyAlignment="1">
      <x:alignment vertical="top" wrapText="1"/>
    </x:xf>
    <x:xf numFmtId="164" fontId="5" fillId="25" borderId="19" xfId="0" applyNumberFormat="1" applyFont="1" applyFill="1" applyBorder="1" applyAlignment="1">
      <x:alignment vertical="top" wrapText="1"/>
    </x:xf>
    <x:xf numFmtId="164" fontId="5" fillId="25" borderId="21" xfId="0" applyNumberFormat="1" applyFont="1" applyFill="1" applyBorder="1" applyAlignment="1">
      <x:alignment vertical="top" wrapText="1"/>
    </x:xf>
    <x:xf numFmtId="200" fontId="7" fillId="25" borderId="0" xfId="0" applyNumberFormat="1" applyFont="1" applyFill="1" applyBorder="1" applyAlignment="1">
      <x:alignment vertical="top" wrapText="1"/>
    </x:xf>
    <x:xf numFmtId="200" fontId="7" fillId="25" borderId="13" xfId="0" applyNumberFormat="1" applyFont="1" applyFill="1" applyBorder="1" applyAlignment="1">
      <x:alignment vertical="top" wrapText="1"/>
    </x:xf>
    <x:xf numFmtId="164" fontId="7" fillId="25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5" fillId="6" borderId="7" xfId="0" applyNumberFormat="1" applyFont="1" applyFill="1" applyBorder="1" applyAlignment="1">
      <x:alignment vertical="center" wrapText="1"/>
    </x:xf>
    <x:xf numFmtId="0" fontId="5" fillId="6" borderId="9" xfId="0" applyNumberFormat="1" applyFont="1" applyFill="1" applyBorder="1" applyAlignment="1">
      <x:alignment vertical="center" wrapText="1"/>
    </x:xf>
    <x:xf numFmtId="0" fontId="5" fillId="6" borderId="12" xfId="0" applyNumberFormat="1" applyFont="1" applyFill="1" applyBorder="1" applyAlignment="1">
      <x:alignment vertical="center" wrapText="1"/>
    </x:xf>
    <x:xf numFmtId="165" fontId="5" fillId="6" borderId="0" xfId="0" applyNumberFormat="1" applyFont="1" applyFill="1" applyBorder="1" applyAlignment="1">
      <x:alignment vertical="center" wrapText="1"/>
    </x:xf>
    <x:xf numFmtId="9" fontId="5" fillId="8" borderId="0" xfId="0" applyNumberFormat="1" applyFont="1" applyFill="1" applyBorder="1" applyAlignment="1">
      <x:alignment vertical="center" wrapText="1"/>
    </x:xf>
    <x:xf numFmtId="3" fontId="5" fillId="8" borderId="0" xfId="0" applyNumberFormat="1" applyFont="1" applyFill="1" applyBorder="1" applyAlignment="1">
      <x:alignment vertical="center" wrapText="1"/>
    </x:xf>
    <x:xf numFmtId="49" fontId="5" fillId="7" borderId="0" xfId="0" applyNumberFormat="1" applyFont="1" applyFill="1" applyBorder="1" applyAlignment="1">
      <x:alignment vertical="center" wrapText="1"/>
    </x:xf>
    <x:xf numFmtId="0" fontId="6" fillId="5" borderId="3" xfId="0" applyNumberFormat="1" applyFont="1" applyFill="1" applyBorder="1" applyAlignment="1">
      <x:alignment horizontal="center" vertical="center" wrapText="1"/>
    </x:xf>
    <x:xf numFmtId="0" fontId="7" fillId="10" borderId="6" xfId="0" applyNumberFormat="1" applyFont="1" applyFill="1" applyBorder="1" applyAlignment="1">
      <x:alignment wrapText="1"/>
    </x:xf>
    <x:xf numFmtId="0" fontId="7" fillId="10" borderId="0" xfId="0" applyNumberFormat="1" applyFont="1" applyFill="1" applyBorder="1" applyAlignment="1">
      <x:alignment wrapText="1"/>
    </x:xf>
    <x:xf numFmtId="9" fontId="7" fillId="8" borderId="6" xfId="0" applyNumberFormat="1" applyFont="1" applyFill="1" applyBorder="1" applyAlignment="1">
      <x:alignment wrapText="1"/>
    </x:xf>
    <x:xf numFmtId="9" fontId="7" fillId="8" borderId="0" xfId="0" applyNumberFormat="1" applyFont="1" applyFill="1" applyBorder="1" applyAlignment="1">
      <x:alignment wrapText="1"/>
    </x:xf>
    <x:xf numFmtId="0" fontId="6" fillId="5" borderId="4" xfId="0" applyNumberFormat="1" applyFont="1" applyFill="1" applyBorder="1" applyAlignment="1">
      <x:alignment horizontal="center" vertical="center" wrapText="1"/>
    </x:xf>
    <x:xf numFmtId="9" fontId="7" fillId="8" borderId="7" xfId="0" applyNumberFormat="1" applyFont="1" applyFill="1" applyBorder="1" applyAlignment="1">
      <x:alignment wrapText="1"/>
    </x:xf>
    <x:xf numFmtId="9" fontId="7" fillId="8" borderId="9" xfId="0" applyNumberFormat="1" applyFont="1" applyFill="1" applyBorder="1" applyAlignment="1">
      <x:alignment wrapText="1"/>
    </x:xf>
    <x:xf numFmtId="9" fontId="7" fillId="8" borderId="12" xfId="0" applyNumberFormat="1" applyFont="1" applyFill="1" applyBorder="1" applyAlignment="1">
      <x:alignment wrapText="1"/>
    </x:xf>
    <x:xf numFmtId="0" fontId="8" fillId="7" borderId="0" xfId="0" applyNumberFormat="1" applyFont="1" applyFill="1" applyBorder="1"/>
    <x:xf numFmtId="0" fontId="8" fillId="12" borderId="0" xfId="0" applyNumberFormat="1" applyFont="1" applyFill="1" applyBorder="1"/>
    <x:xf numFmtId="0" fontId="8" fillId="8" borderId="0" xfId="0" applyNumberFormat="1" applyFont="1" applyFill="1" applyBorder="1"/>
    <x:xf numFmtId="0" fontId="8" fillId="0" borderId="0" xfId="0" applyNumberFormat="1" applyFont="1" applyFill="1" applyBorder="1"/>
    <x:xf numFmtId="49" fontId="8" fillId="7" borderId="0" xfId="0" applyNumberFormat="1" applyFont="1" applyFill="1" applyBorder="1" applyAlignment="1">
      <x:alignment vertical="center"/>
    </x:xf>
    <x:xf numFmtId="49" fontId="8" fillId="7" borderId="0" xfId="0" applyNumberFormat="1" applyFont="1" applyFill="1" applyBorder="1"/>
    <x:xf numFmtId="0" fontId="5" fillId="8" borderId="6" xfId="0" applyNumberFormat="1" applyFont="1" applyFill="1" applyBorder="1" applyAlignment="1">
      <x:alignment vertical="center" wrapText="1"/>
    </x:xf>
    <x:xf numFmtId="0" fontId="5" fillId="8" borderId="0" xfId="0" applyNumberFormat="1" applyFont="1" applyFill="1" applyBorder="1" applyAlignment="1">
      <x:alignment vertical="center" wrapText="1"/>
    </x:xf>
    <x:xf numFmtId="0" fontId="5" fillId="8" borderId="11" xfId="0" applyNumberFormat="1" applyFont="1" applyFill="1" applyBorder="1" applyAlignment="1">
      <x:alignment vertical="center" wrapText="1"/>
    </x:xf>
    <x:xf numFmtId="0" fontId="12" fillId="18" borderId="0" xfId="0" applyNumberFormat="1" applyFont="1" applyFill="1" applyBorder="1" applyAlignment="1">
      <x:alignment horizontal="center" vertical="center" wrapText="1"/>
    </x:xf>
    <x:xf numFmtId="0" fontId="5" fillId="19" borderId="0" xfId="0" applyNumberFormat="1" applyFont="1" applyFill="1" applyBorder="1" applyAlignment="1">
      <x:alignment horizontal="center" vertical="center" wrapText="1"/>
    </x:xf>
    <x:xf numFmtId="0" fontId="5" fillId="19" borderId="0" xfId="0" applyNumberFormat="1" applyFont="1" applyFill="1" applyBorder="1" applyAlignment="1">
      <x:alignment vertical="center" wrapText="1"/>
    </x:xf>
    <x:xf numFmtId="1" fontId="5" fillId="19" borderId="0" xfId="0" applyNumberFormat="1" applyFont="1" applyFill="1" applyBorder="1" applyAlignment="1">
      <x:alignment horizontal="center" vertical="center" wrapText="1"/>
    </x:xf>
    <x:xf numFmtId="166" fontId="5" fillId="19" borderId="0" xfId="0" applyNumberFormat="1" applyFont="1" applyFill="1" applyBorder="1" applyAlignment="1">
      <x:alignment vertical="center" wrapText="1"/>
    </x:xf>
    <x:xf numFmtId="166" fontId="5" fillId="20" borderId="0" xfId="0" applyNumberFormat="1" applyFont="1" applyFill="1" applyBorder="1" applyAlignment="1">
      <x:alignment horizontal="center" vertical="center" wrapText="1"/>
    </x:xf>
    <x:xf numFmtId="10" fontId="5" fillId="20" borderId="0" xfId="0" applyNumberFormat="1" applyFont="1" applyFill="1" applyBorder="1" applyAlignment="1">
      <x:alignment horizontal="center" vertical="center" wrapText="1"/>
    </x:xf>
    <x:xf numFmtId="164" fontId="5" fillId="19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4" fillId="5" borderId="3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3" fillId="4" borderId="1" xfId="0" applyNumberFormat="1" applyFont="1" applyFill="1" applyBorder="1" applyAlignment="1">
      <x:alignment horizontal="left" vertical="center" wrapText="1"/>
    </x:xf>
    <x:xf numFmtId="0" fontId="9" fillId="15" borderId="0" xfId="0" applyNumberFormat="1" applyFont="1" applyFill="1" applyBorder="1" applyAlignment="1">
      <x:alignment horizontal="left" vertical="center" wrapText="1"/>
    </x:xf>
    <x:xf numFmtId="0" fontId="9" fillId="15" borderId="0" xfId="0" applyNumberFormat="1" applyFont="1" applyFill="1" applyBorder="1" applyAlignment="1">
      <x:alignment vertical="center"/>
    </x:xf>
    <x:xf numFmtId="0" fontId="10" fillId="16" borderId="0" xfId="0" applyNumberFormat="1" applyFont="1" applyFill="1" applyBorder="1" applyAlignment="1">
      <x:alignment horizontal="left" vertical="center" wrapText="1"/>
    </x:xf>
    <x:xf numFmtId="0" fontId="10" fillId="16" borderId="0" xfId="0" applyNumberFormat="1" applyFont="1" applyFill="1" applyBorder="1" applyAlignment="1">
      <x:alignment vertical="center" wrapText="1"/>
    </x:xf>
    <x:xf numFmtId="0" fontId="11" fillId="17" borderId="1" xfId="0" applyNumberFormat="1" applyFont="1" applyFill="1" applyBorder="1" applyAlignment="1">
      <x:alignment horizontal="left" vertical="center" wrapText="1"/>
    </x:xf>
    <x:xf numFmtId="0" fontId="11" fillId="17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13" fillId="2" borderId="0" xfId="0" applyNumberFormat="1" applyFont="1" applyFill="1" applyBorder="1"/>
    <x:xf numFmtId="0" fontId="13" fillId="2" borderId="0" xfId="0" applyNumberFormat="1" applyFont="1" applyFill="1" applyBorder="1" applyAlignment="1">
      <x:alignment horizontal="left"/>
    </x:xf>
    <x:xf numFmtId="0" fontId="13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14" fillId="3" borderId="0" xfId="0" applyNumberFormat="1" applyFont="1" applyFill="1" applyBorder="1"/>
    <x:xf numFmtId="0" fontId="14" fillId="3" borderId="0" xfId="0" applyNumberFormat="1" applyFont="1" applyFill="1" applyBorder="1" applyAlignment="1">
      <x:alignment wrapText="1"/>
    </x:xf>
    <x:xf numFmtId="0" fontId="14" fillId="3" borderId="0" xfId="0" applyNumberFormat="1" applyFont="1" applyFill="1" applyBorder="1" applyAlignment="1">
      <x:alignment horizontal="left" wrapText="1"/>
    </x:xf>
    <x:xf numFmtId="0" fontId="14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15" fillId="4" borderId="0" xfId="0" applyNumberFormat="1" applyFont="1" applyFill="1" applyBorder="1"/>
    <x:xf numFmtId="0" fontId="15" fillId="4" borderId="1" xfId="0" applyNumberFormat="1" applyFont="1" applyFill="1" applyBorder="1"/>
    <x:xf numFmtId="0" fontId="15" fillId="4" borderId="1" xfId="0" applyNumberFormat="1" applyFont="1" applyFill="1" applyBorder="1" applyAlignment="1">
      <x:alignment wrapText="1"/>
    </x:xf>
    <x:xf numFmtId="0" fontId="15" fillId="4" borderId="1" xfId="0" applyNumberFormat="1" applyFont="1" applyFill="1" applyBorder="1" applyAlignment="1">
      <x:alignment horizontal="left" wrapText="1"/>
    </x:xf>
    <x:xf numFmtId="0" fontId="15" fillId="4" borderId="1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3" xfId="0" applyNumberFormat="1" applyFont="1" applyFill="1" applyBorder="1"/>
    <x:xf numFmtId="0" fontId="6" fillId="5" borderId="4" xfId="0" applyNumberFormat="1" applyFont="1" applyFill="1" applyBorder="1"/>
    <x:xf numFmtId="0" fontId="6" fillId="5" borderId="3" xfId="0" applyNumberFormat="1" applyFont="1" applyFill="1" applyBorder="1" applyAlignment="1">
      <x:alignment wrapText="1"/>
    </x:xf>
    <x:xf numFmtId="0" fontId="6" fillId="5" borderId="4" xfId="0" applyNumberFormat="1" applyFont="1" applyFill="1" applyBorder="1" applyAlignment="1">
      <x:alignment wrapText="1"/>
    </x:xf>
    <x:xf numFmtId="0" fontId="6" fillId="5" borderId="3" xfId="0" applyNumberFormat="1" applyFont="1" applyFill="1" applyBorder="1" applyAlignment="1">
      <x:alignment horizontal="center" wrapText="1"/>
    </x:xf>
    <x:xf numFmtId="0" fontId="6" fillId="5" borderId="4" xfId="0" applyNumberFormat="1" applyFont="1" applyFill="1" applyBorder="1" applyAlignment="1">
      <x:alignment horizontal="center" wrapText="1"/>
    </x:xf>
    <x:xf numFmtId="0" fontId="5" fillId="3" borderId="6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3" borderId="11" xfId="0" applyNumberFormat="1" applyFont="1" applyFill="1" applyBorder="1" applyAlignment="1">
      <x:alignment vertical="top" wrapText="1"/>
    </x:xf>
    <x:xf numFmtId="3" fontId="5" fillId="3" borderId="6" xfId="0" applyNumberFormat="1" applyFont="1" applyFill="1" applyBorder="1" applyAlignment="1">
      <x:alignment vertical="top" wrapText="1"/>
    </x:xf>
    <x:xf numFmtId="3" fontId="5" fillId="3" borderId="0" xfId="0" applyNumberFormat="1" applyFont="1" applyFill="1" applyBorder="1" applyAlignment="1">
      <x:alignment vertical="top" wrapText="1"/>
    </x:xf>
    <x:xf numFmtId="3" fontId="5" fillId="3" borderId="11" xfId="0" applyNumberFormat="1" applyFont="1" applyFill="1" applyBorder="1" applyAlignment="1">
      <x:alignment vertical="top" wrapText="1"/>
    </x:xf>
    <x:xf numFmtId="200" fontId="5" fillId="3" borderId="6" xfId="0" applyNumberFormat="1" applyFont="1" applyFill="1" applyBorder="1" applyAlignment="1">
      <x:alignment vertical="top" wrapText="1"/>
    </x:xf>
    <x:xf numFmtId="200" fontId="5" fillId="3" borderId="0" xfId="0" applyNumberFormat="1" applyFont="1" applyFill="1" applyBorder="1" applyAlignment="1">
      <x:alignment vertical="top" wrapText="1"/>
    </x:xf>
    <x:xf numFmtId="200" fontId="5" fillId="3" borderId="11" xfId="0" applyNumberFormat="1" applyFont="1" applyFill="1" applyBorder="1" applyAlignment="1">
      <x:alignment vertical="top" wrapText="1"/>
    </x:xf>
    <x:xf numFmtId="0" fontId="1" fillId="26" borderId="0" xfId="0" applyNumberFormat="1" applyFont="1" applyFill="1" applyBorder="1" applyAlignment="1">
      <x:alignment horizontal="left" vertical="center"/>
    </x:xf>
    <x:xf numFmtId="0" fontId="13" fillId="26" borderId="0" xfId="0" applyNumberFormat="1" applyFont="1" applyFill="1" applyBorder="1" applyAlignment="1">
      <x:alignment horizontal="left" vertical="center"/>
    </x:xf>
    <x:xf numFmtId="0" fontId="0" fillId="26" borderId="0" xfId="0" applyNumberFormat="1" applyFont="1" applyFill="1" applyBorder="1"/>
    <x:xf numFmtId="0" fontId="13" fillId="26" borderId="0" xfId="0" applyNumberFormat="1" applyFont="1" applyFill="1" applyBorder="1"/>
    <x:xf numFmtId="0" fontId="13" fillId="26" borderId="0" xfId="0" applyNumberFormat="1" applyFont="1" applyFill="1" applyBorder="1" applyAlignment="1">
      <x:alignment horizontal="left"/>
    </x:xf>
    <x:xf numFmtId="0" fontId="2" fillId="27" borderId="0" xfId="0" applyNumberFormat="1" applyFont="1" applyFill="1" applyBorder="1" applyAlignment="1">
      <x:alignment horizontal="left" vertical="center" wrapText="1"/>
    </x:xf>
    <x:xf numFmtId="0" fontId="14" fillId="27" borderId="0" xfId="0" applyNumberFormat="1" applyFont="1" applyFill="1" applyBorder="1" applyAlignment="1">
      <x:alignment horizontal="left" vertical="center" wrapText="1"/>
    </x:xf>
    <x:xf numFmtId="0" fontId="0" fillId="27" borderId="0" xfId="0" applyNumberFormat="1" applyFont="1" applyFill="1" applyBorder="1"/>
    <x:xf numFmtId="0" fontId="14" fillId="27" borderId="0" xfId="0" applyNumberFormat="1" applyFont="1" applyFill="1" applyBorder="1"/>
    <x:xf numFmtId="0" fontId="14" fillId="27" borderId="0" xfId="0" applyNumberFormat="1" applyFont="1" applyFill="1" applyBorder="1" applyAlignment="1">
      <x:alignment wrapText="1"/>
    </x:xf>
    <x:xf numFmtId="0" fontId="14" fillId="27" borderId="0" xfId="0" applyNumberFormat="1" applyFont="1" applyFill="1" applyBorder="1" applyAlignment="1">
      <x:alignment horizontal="left" wrapText="1"/>
    </x:xf>
    <x:xf numFmtId="0" fontId="3" fillId="28" borderId="1" xfId="0" applyNumberFormat="1" applyFont="1" applyFill="1" applyBorder="1" applyAlignment="1">
      <x:alignment horizontal="left" vertical="center" wrapText="1"/>
    </x:xf>
    <x:xf numFmtId="0" fontId="15" fillId="28" borderId="1" xfId="0" applyNumberFormat="1" applyFont="1" applyFill="1" applyBorder="1" applyAlignment="1">
      <x:alignment horizontal="left" vertical="center" wrapText="1"/>
    </x:xf>
    <x:xf numFmtId="0" fontId="0" fillId="28" borderId="0" xfId="0" applyNumberFormat="1" applyFont="1" applyFill="1" applyBorder="1"/>
    <x:xf numFmtId="0" fontId="15" fillId="28" borderId="0" xfId="0" applyNumberFormat="1" applyFont="1" applyFill="1" applyBorder="1"/>
    <x:xf numFmtId="0" fontId="15" fillId="28" borderId="1" xfId="0" applyNumberFormat="1" applyFont="1" applyFill="1" applyBorder="1"/>
    <x:xf numFmtId="0" fontId="15" fillId="28" borderId="1" xfId="0" applyNumberFormat="1" applyFont="1" applyFill="1" applyBorder="1" applyAlignment="1">
      <x:alignment wrapText="1"/>
    </x:xf>
    <x:xf numFmtId="0" fontId="15" fillId="28" borderId="1" xfId="0" applyNumberFormat="1" applyFont="1" applyFill="1" applyBorder="1" applyAlignment="1">
      <x:alignment horizontal="left" wrapText="1"/>
    </x:xf>
    <x:xf numFmtId="0" fontId="4" fillId="29" borderId="2" xfId="0" applyNumberFormat="1" applyFont="1" applyFill="1" applyBorder="1" applyAlignment="1">
      <x:alignment horizontal="center" vertical="center" wrapText="1"/>
    </x:xf>
    <x:xf numFmtId="0" fontId="4" fillId="29" borderId="3" xfId="0" applyNumberFormat="1" applyFont="1" applyFill="1" applyBorder="1" applyAlignment="1">
      <x:alignment horizontal="center" vertical="center" wrapText="1"/>
    </x:xf>
    <x:xf numFmtId="0" fontId="4" fillId="29" borderId="4" xfId="0" applyNumberFormat="1" applyFont="1" applyFill="1" applyBorder="1" applyAlignment="1">
      <x:alignment horizontal="center" vertical="center" wrapText="1"/>
    </x:xf>
    <x:xf numFmtId="0" fontId="6" fillId="29" borderId="3" xfId="0" applyNumberFormat="1" applyFont="1" applyFill="1" applyBorder="1" applyAlignment="1">
      <x:alignment horizontal="center" vertical="center" wrapText="1"/>
    </x:xf>
    <x:xf numFmtId="0" fontId="6" fillId="29" borderId="4" xfId="0" applyNumberFormat="1" applyFont="1" applyFill="1" applyBorder="1" applyAlignment="1">
      <x:alignment horizontal="center" vertical="center" wrapText="1"/>
    </x:xf>
    <x:xf numFmtId="0" fontId="0" fillId="29" borderId="0" xfId="0" applyNumberFormat="1" applyFont="1" applyFill="1" applyBorder="1"/>
    <x:xf numFmtId="0" fontId="6" fillId="29" borderId="0" xfId="0" applyNumberFormat="1" applyFont="1" applyFill="1" applyBorder="1"/>
    <x:xf numFmtId="0" fontId="6" fillId="29" borderId="3" xfId="0" applyNumberFormat="1" applyFont="1" applyFill="1" applyBorder="1"/>
    <x:xf numFmtId="0" fontId="6" fillId="29" borderId="4" xfId="0" applyNumberFormat="1" applyFont="1" applyFill="1" applyBorder="1"/>
    <x:xf numFmtId="0" fontId="6" fillId="29" borderId="3" xfId="0" applyNumberFormat="1" applyFont="1" applyFill="1" applyBorder="1" applyAlignment="1">
      <x:alignment wrapText="1"/>
    </x:xf>
    <x:xf numFmtId="0" fontId="6" fillId="29" borderId="4" xfId="0" applyNumberFormat="1" applyFont="1" applyFill="1" applyBorder="1" applyAlignment="1">
      <x:alignment wrapText="1"/>
    </x:xf>
    <x:xf numFmtId="0" fontId="6" fillId="29" borderId="3" xfId="0" applyNumberFormat="1" applyFont="1" applyFill="1" applyBorder="1" applyAlignment="1">
      <x:alignment horizontal="center" wrapText="1"/>
    </x:xf>
    <x:xf numFmtId="0" fontId="6" fillId="29" borderId="4" xfId="0" applyNumberFormat="1" applyFont="1" applyFill="1" applyBorder="1" applyAlignment="1">
      <x:alignment horizontal="center" wrapText="1"/>
    </x:xf>
    <x:xf numFmtId="49" fontId="5" fillId="30" borderId="5" xfId="0" applyNumberFormat="1" applyFont="1" applyFill="1" applyBorder="1" applyAlignment="1">
      <x:alignment vertical="top" wrapText="1"/>
    </x:xf>
    <x:xf numFmtId="0" fontId="5" fillId="30" borderId="6" xfId="0" applyNumberFormat="1" applyFont="1" applyFill="1" applyBorder="1" applyAlignment="1">
      <x:alignment vertical="top" wrapText="1"/>
    </x:xf>
    <x:xf numFmtId="49" fontId="5" fillId="30" borderId="6" xfId="0" applyNumberFormat="1" applyFont="1" applyFill="1" applyBorder="1" applyAlignment="1">
      <x:alignment vertical="top" wrapText="1"/>
    </x:xf>
    <x:xf numFmtId="3" fontId="5" fillId="30" borderId="6" xfId="0" applyNumberFormat="1" applyFont="1" applyFill="1" applyBorder="1" applyAlignment="1">
      <x:alignment vertical="top" wrapText="1"/>
    </x:xf>
    <x:xf numFmtId="49" fontId="5" fillId="30" borderId="8" xfId="0" applyNumberFormat="1" applyFont="1" applyFill="1" applyBorder="1" applyAlignment="1">
      <x:alignment vertical="top" wrapText="1"/>
    </x:xf>
    <x:xf numFmtId="0" fontId="5" fillId="30" borderId="0" xfId="0" applyNumberFormat="1" applyFont="1" applyFill="1" applyBorder="1" applyAlignment="1">
      <x:alignment vertical="top" wrapText="1"/>
    </x:xf>
    <x:xf numFmtId="49" fontId="5" fillId="30" borderId="0" xfId="0" applyNumberFormat="1" applyFont="1" applyFill="1" applyBorder="1" applyAlignment="1">
      <x:alignment vertical="top" wrapText="1"/>
    </x:xf>
    <x:xf numFmtId="3" fontId="5" fillId="30" borderId="0" xfId="0" applyNumberFormat="1" applyFont="1" applyFill="1" applyBorder="1" applyAlignment="1">
      <x:alignment vertical="top" wrapText="1"/>
    </x:xf>
    <x:xf numFmtId="49" fontId="5" fillId="30" borderId="10" xfId="0" applyNumberFormat="1" applyFont="1" applyFill="1" applyBorder="1" applyAlignment="1">
      <x:alignment vertical="top" wrapText="1"/>
    </x:xf>
    <x:xf numFmtId="0" fontId="5" fillId="30" borderId="11" xfId="0" applyNumberFormat="1" applyFont="1" applyFill="1" applyBorder="1" applyAlignment="1">
      <x:alignment vertical="top" wrapText="1"/>
    </x:xf>
    <x:xf numFmtId="49" fontId="5" fillId="30" borderId="11" xfId="0" applyNumberFormat="1" applyFont="1" applyFill="1" applyBorder="1" applyAlignment="1">
      <x:alignment vertical="top" wrapText="1"/>
    </x:xf>
    <x:xf numFmtId="3" fontId="5" fillId="30" borderId="11" xfId="0" applyNumberFormat="1" applyFont="1" applyFill="1" applyBorder="1" applyAlignment="1">
      <x:alignment vertical="top" wrapText="1"/>
    </x:xf>
    <x:xf numFmtId="0" fontId="5" fillId="27" borderId="6" xfId="0" applyNumberFormat="1" applyFont="1" applyFill="1" applyBorder="1" applyAlignment="1">
      <x:alignment vertical="top" wrapText="1"/>
    </x:xf>
    <x:xf numFmtId="200" fontId="5" fillId="27" borderId="6" xfId="0" applyNumberFormat="1" applyFont="1" applyFill="1" applyBorder="1" applyAlignment="1">
      <x:alignment vertical="top" wrapText="1"/>
    </x:xf>
    <x:xf numFmtId="49" fontId="5" fillId="27" borderId="6" xfId="0" applyNumberFormat="1" applyFont="1" applyFill="1" applyBorder="1" applyAlignment="1">
      <x:alignment vertical="top" wrapText="1"/>
    </x:xf>
    <x:xf numFmtId="164" fontId="5" fillId="27" borderId="6" xfId="0" applyNumberFormat="1" applyFont="1" applyFill="1" applyBorder="1" applyAlignment="1">
      <x:alignment vertical="top" wrapText="1"/>
    </x:xf>
    <x:xf numFmtId="0" fontId="5" fillId="27" borderId="0" xfId="0" applyNumberFormat="1" applyFont="1" applyFill="1" applyBorder="1" applyAlignment="1">
      <x:alignment vertical="top" wrapText="1"/>
    </x:xf>
    <x:xf numFmtId="200" fontId="5" fillId="27" borderId="0" xfId="0" applyNumberFormat="1" applyFont="1" applyFill="1" applyBorder="1" applyAlignment="1">
      <x:alignment vertical="top" wrapText="1"/>
    </x:xf>
    <x:xf numFmtId="49" fontId="5" fillId="27" borderId="0" xfId="0" applyNumberFormat="1" applyFont="1" applyFill="1" applyBorder="1" applyAlignment="1">
      <x:alignment vertical="top" wrapText="1"/>
    </x:xf>
    <x:xf numFmtId="164" fontId="5" fillId="27" borderId="0" xfId="0" applyNumberFormat="1" applyFont="1" applyFill="1" applyBorder="1" applyAlignment="1">
      <x:alignment vertical="top" wrapText="1"/>
    </x:xf>
    <x:xf numFmtId="0" fontId="5" fillId="27" borderId="11" xfId="0" applyNumberFormat="1" applyFont="1" applyFill="1" applyBorder="1" applyAlignment="1">
      <x:alignment vertical="top" wrapText="1"/>
    </x:xf>
    <x:xf numFmtId="200" fontId="5" fillId="27" borderId="11" xfId="0" applyNumberFormat="1" applyFont="1" applyFill="1" applyBorder="1" applyAlignment="1">
      <x:alignment vertical="top" wrapText="1"/>
    </x:xf>
    <x:xf numFmtId="49" fontId="5" fillId="27" borderId="11" xfId="0" applyNumberFormat="1" applyFont="1" applyFill="1" applyBorder="1" applyAlignment="1">
      <x:alignment vertical="top" wrapText="1"/>
    </x:xf>
    <x:xf numFmtId="164" fontId="5" fillId="27" borderId="11" xfId="0" applyNumberFormat="1" applyFont="1" applyFill="1" applyBorder="1" applyAlignment="1">
      <x:alignment vertical="top" wrapText="1"/>
    </x:xf>
    <x:xf numFmtId="200" fontId="5" fillId="30" borderId="6" xfId="0" applyNumberFormat="1" applyFont="1" applyFill="1" applyBorder="1" applyAlignment="1">
      <x:alignment vertical="top" wrapText="1"/>
    </x:xf>
    <x:xf numFmtId="164" fontId="5" fillId="30" borderId="6" xfId="0" applyNumberFormat="1" applyFont="1" applyFill="1" applyBorder="1" applyAlignment="1">
      <x:alignment vertical="top" wrapText="1"/>
    </x:xf>
    <x:xf numFmtId="164" fontId="5" fillId="30" borderId="7" xfId="0" applyNumberFormat="1" applyFont="1" applyFill="1" applyBorder="1" applyAlignment="1">
      <x:alignment vertical="top" wrapText="1"/>
    </x:xf>
    <x:xf numFmtId="200" fontId="7" fillId="30" borderId="0" xfId="0" applyNumberFormat="1" applyFont="1" applyFill="1" applyBorder="1" applyAlignment="1">
      <x:alignment vertical="top" wrapText="1"/>
    </x:xf>
    <x:xf numFmtId="0" fontId="7" fillId="30" borderId="0" xfId="0" applyNumberFormat="1" applyFont="1" applyFill="1" applyBorder="1" applyAlignment="1">
      <x:alignment vertical="top" wrapText="1"/>
    </x:xf>
    <x:xf numFmtId="164" fontId="7" fillId="30" borderId="0" xfId="0" applyNumberFormat="1" applyFont="1" applyFill="1" applyBorder="1" applyAlignment="1">
      <x:alignment vertical="top" wrapText="1"/>
    </x:xf>
    <x:xf numFmtId="200" fontId="5" fillId="30" borderId="0" xfId="0" applyNumberFormat="1" applyFont="1" applyFill="1" applyBorder="1" applyAlignment="1">
      <x:alignment vertical="top" wrapText="1"/>
    </x:xf>
    <x:xf numFmtId="164" fontId="5" fillId="30" borderId="0" xfId="0" applyNumberFormat="1" applyFont="1" applyFill="1" applyBorder="1" applyAlignment="1">
      <x:alignment vertical="top" wrapText="1"/>
    </x:xf>
    <x:xf numFmtId="164" fontId="5" fillId="30" borderId="9" xfId="0" applyNumberFormat="1" applyFont="1" applyFill="1" applyBorder="1" applyAlignment="1">
      <x:alignment vertical="top" wrapText="1"/>
    </x:xf>
    <x:xf numFmtId="200" fontId="5" fillId="30" borderId="11" xfId="0" applyNumberFormat="1" applyFont="1" applyFill="1" applyBorder="1" applyAlignment="1">
      <x:alignment vertical="top" wrapText="1"/>
    </x:xf>
    <x:xf numFmtId="164" fontId="5" fillId="30" borderId="11" xfId="0" applyNumberFormat="1" applyFont="1" applyFill="1" applyBorder="1" applyAlignment="1">
      <x:alignment vertical="top" wrapText="1"/>
    </x:xf>
    <x:xf numFmtId="164" fontId="5" fillId="30" borderId="12" xfId="0" applyNumberFormat="1" applyFont="1" applyFill="1" applyBorder="1" applyAlignment="1">
      <x:alignment vertical="top" wrapText="1"/>
    </x:xf>
    <x:xf numFmtId="0" fontId="6" fillId="29" borderId="2" xfId="0" applyNumberFormat="1" applyFont="1" applyFill="1" applyBorder="1"/>
    <x:xf numFmtId="0" fontId="6" fillId="29" borderId="2" xfId="0" applyNumberFormat="1" applyFont="1" applyFill="1" applyBorder="1" applyAlignment="1">
      <x:alignment wrapText="1"/>
    </x:xf>
    <x:xf numFmtId="0" fontId="6" fillId="29" borderId="2" xfId="0" applyNumberFormat="1" applyFont="1" applyFill="1" applyBorder="1" applyAlignment="1">
      <x:alignment horizontal="center" wrapText="1"/>
    </x:xf>
    <x:xf numFmtId="0" fontId="6" fillId="29" borderId="2" xfId="0" applyNumberFormat="1" applyFont="1" applyFill="1" applyBorder="1" applyAlignment="1">
      <x:alignment horizontal="center" vertical="center" wrapText="1"/>
    </x:xf>
    <x:xf numFmtId="0" fontId="6" fillId="29" borderId="2" xfId="0" applyNumberFormat="1" applyFont="1" applyFill="1" applyBorder="1" applyAlignment="1">
      <x:alignment horizontal="center" vertical="top" wrapText="1"/>
    </x:xf>
    <x:xf numFmtId="0" fontId="6" fillId="29" borderId="4" xfId="0" applyNumberFormat="1" applyFont="1" applyFill="1" applyBorder="1" applyAlignment="1">
      <x:alignment horizontal="center" vertical="top" wrapText="1"/>
    </x:xf>
    <x:xf numFmtId="0" fontId="0" fillId="31" borderId="0" xfId="0" applyNumberFormat="1" applyFont="1" applyFill="1" applyBorder="1" applyAlignment="1">
      <x:alignment vertical="top" wrapText="1"/>
    </x:xf>
    <x:xf numFmtId="0" fontId="0" fillId="30" borderId="0" xfId="0" applyNumberFormat="1" applyFont="1" applyFill="1" applyBorder="1" applyAlignment="1">
      <x:alignment vertical="top" wrapText="1"/>
    </x:xf>
    <x:xf numFmtId="49" fontId="5" fillId="3" borderId="6" xfId="0" applyNumberFormat="1" applyFont="1" applyFill="1" applyBorder="1" applyAlignment="1">
      <x:alignment vertical="top" wrapText="1"/>
    </x:xf>
    <x:xf numFmtId="164" fontId="5" fillId="3" borderId="6" xfId="0" applyNumberFormat="1" applyFont="1" applyFill="1" applyBorder="1" applyAlignment="1">
      <x:alignment vertical="top" wrapText="1"/>
    </x:xf>
    <x:xf numFmtId="49" fontId="5" fillId="3" borderId="0" xfId="0" applyNumberFormat="1" applyFont="1" applyFill="1" applyBorder="1" applyAlignment="1">
      <x:alignment vertical="top" wrapText="1"/>
    </x:xf>
    <x:xf numFmtId="164" fontId="5" fillId="3" borderId="0" xfId="0" applyNumberFormat="1" applyFont="1" applyFill="1" applyBorder="1" applyAlignment="1">
      <x:alignment vertical="top" wrapText="1"/>
    </x:xf>
    <x:xf numFmtId="49" fontId="5" fillId="3" borderId="11" xfId="0" applyNumberFormat="1" applyFont="1" applyFill="1" applyBorder="1" applyAlignment="1">
      <x:alignment vertical="top" wrapText="1"/>
    </x:xf>
    <x:xf numFmtId="164" fontId="5" fillId="3" borderId="11" xfId="0" applyNumberFormat="1" applyFont="1" applyFill="1" applyBorder="1" applyAlignment="1">
      <x:alignment vertical="top" wrapText="1"/>
    </x:xf>
    <x:xf numFmtId="0" fontId="6" fillId="5" borderId="2" xfId="0" applyNumberFormat="1" applyFont="1" applyFill="1" applyBorder="1"/>
    <x:xf numFmtId="0" fontId="6" fillId="5" borderId="2" xfId="0" applyNumberFormat="1" applyFont="1" applyFill="1" applyBorder="1" applyAlignment="1">
      <x:alignment wrapText="1"/>
    </x:xf>
    <x:xf numFmtId="0" fontId="6" fillId="5" borderId="2" xfId="0" applyNumberFormat="1" applyFont="1" applyFill="1" applyBorder="1" applyAlignment="1">
      <x:alignment horizontal="center" wrapText="1"/>
    </x:xf>
    <x:xf numFmtId="0" fontId="6" fillId="5" borderId="2" xfId="0" applyNumberFormat="1" applyFont="1" applyFill="1" applyBorder="1" applyAlignment="1">
      <x:alignment horizontal="center" vertical="center" wrapText="1"/>
    </x:xf>
    <x:xf numFmtId="0" fontId="6" fillId="5" borderId="2" xfId="0" applyNumberFormat="1" applyFont="1" applyFill="1" applyBorder="1" applyAlignment="1">
      <x:alignment horizontal="center" vertical="top" wrapText="1"/>
    </x:xf>
    <x:xf numFmtId="0" fontId="6" fillId="5" borderId="4" xfId="0" applyNumberFormat="1" applyFont="1" applyFill="1" applyBorder="1" applyAlignment="1">
      <x:alignment horizontal="center" vertical="top" wrapText="1"/>
    </x:xf>
    <x:xf numFmtId="0" fontId="0" fillId="25" borderId="0" xfId="0" applyNumberFormat="1" applyFont="1" applyFill="1" applyBorder="1" applyAlignment="1">
      <x:alignment vertical="top" wrapText="1"/>
    </x:xf>
    <x:xf numFmtId="0" fontId="0" fillId="32" borderId="0" xfId="0" applyNumberFormat="1" applyFont="1" applyFill="1" applyBorder="1"/>
    <x:xf numFmtId="0" fontId="13" fillId="32" borderId="0" xfId="0" applyNumberFormat="1" applyFont="1" applyFill="1" applyBorder="1"/>
    <x:xf numFmtId="0" fontId="13" fillId="32" borderId="0" xfId="0" applyNumberFormat="1" applyFont="1" applyFill="1" applyBorder="1" applyAlignment="1">
      <x:alignment horizontal="left"/>
    </x:xf>
    <x:xf numFmtId="0" fontId="13" fillId="32" borderId="0" xfId="0" applyNumberFormat="1" applyFont="1" applyFill="1" applyBorder="1" applyAlignment="1">
      <x:alignment horizontal="left" vertical="center"/>
    </x:xf>
    <x:xf numFmtId="0" fontId="0" fillId="33" borderId="0" xfId="0" applyNumberFormat="1" applyFont="1" applyFill="1" applyBorder="1"/>
    <x:xf numFmtId="0" fontId="14" fillId="33" borderId="0" xfId="0" applyNumberFormat="1" applyFont="1" applyFill="1" applyBorder="1"/>
    <x:xf numFmtId="0" fontId="14" fillId="33" borderId="0" xfId="0" applyNumberFormat="1" applyFont="1" applyFill="1" applyBorder="1" applyAlignment="1">
      <x:alignment wrapText="1"/>
    </x:xf>
    <x:xf numFmtId="0" fontId="14" fillId="33" borderId="0" xfId="0" applyNumberFormat="1" applyFont="1" applyFill="1" applyBorder="1" applyAlignment="1">
      <x:alignment horizontal="left" wrapText="1"/>
    </x:xf>
    <x:xf numFmtId="0" fontId="14" fillId="33" borderId="0" xfId="0" applyNumberFormat="1" applyFont="1" applyFill="1" applyBorder="1" applyAlignment="1">
      <x:alignment horizontal="left" vertical="center" wrapText="1"/>
    </x:xf>
    <x:xf numFmtId="0" fontId="0" fillId="34" borderId="0" xfId="0" applyNumberFormat="1" applyFont="1" applyFill="1" applyBorder="1"/>
    <x:xf numFmtId="0" fontId="6" fillId="34" borderId="0" xfId="0" applyNumberFormat="1" applyFont="1" applyFill="1" applyBorder="1"/>
    <x:xf numFmtId="0" fontId="6" fillId="34" borderId="2" xfId="0" applyNumberFormat="1" applyFont="1" applyFill="1" applyBorder="1"/>
    <x:xf numFmtId="0" fontId="6" fillId="34" borderId="4" xfId="0" applyNumberFormat="1" applyFont="1" applyFill="1" applyBorder="1"/>
    <x:xf numFmtId="0" fontId="6" fillId="34" borderId="2" xfId="0" applyNumberFormat="1" applyFont="1" applyFill="1" applyBorder="1" applyAlignment="1">
      <x:alignment wrapText="1"/>
    </x:xf>
    <x:xf numFmtId="0" fontId="6" fillId="34" borderId="4" xfId="0" applyNumberFormat="1" applyFont="1" applyFill="1" applyBorder="1" applyAlignment="1">
      <x:alignment wrapText="1"/>
    </x:xf>
    <x:xf numFmtId="0" fontId="6" fillId="34" borderId="2" xfId="0" applyNumberFormat="1" applyFont="1" applyFill="1" applyBorder="1" applyAlignment="1">
      <x:alignment horizontal="center" wrapText="1"/>
    </x:xf>
    <x:xf numFmtId="0" fontId="6" fillId="34" borderId="4" xfId="0" applyNumberFormat="1" applyFont="1" applyFill="1" applyBorder="1" applyAlignment="1">
      <x:alignment horizontal="center" wrapText="1"/>
    </x:xf>
    <x:xf numFmtId="0" fontId="6" fillId="34" borderId="2" xfId="0" applyNumberFormat="1" applyFont="1" applyFill="1" applyBorder="1" applyAlignment="1">
      <x:alignment horizontal="center" vertical="center" wrapText="1"/>
    </x:xf>
    <x:xf numFmtId="0" fontId="6" fillId="34" borderId="4" xfId="0" applyNumberFormat="1" applyFont="1" applyFill="1" applyBorder="1" applyAlignment="1">
      <x:alignment horizontal="center" vertical="center" wrapText="1"/>
    </x:xf>
    <x:xf numFmtId="0" fontId="6" fillId="34" borderId="2" xfId="0" applyNumberFormat="1" applyFont="1" applyFill="1" applyBorder="1" applyAlignment="1">
      <x:alignment horizontal="center" vertical="top" wrapText="1"/>
    </x:xf>
    <x:xf numFmtId="0" fontId="6" fillId="34" borderId="4" xfId="0" applyNumberFormat="1" applyFont="1" applyFill="1" applyBorder="1" applyAlignment="1">
      <x:alignment horizontal="center" vertical="top" wrapText="1"/>
    </x:xf>
    <x:xf numFmtId="0" fontId="0" fillId="35" borderId="0" xfId="0" applyNumberFormat="1" applyFont="1" applyFill="1" applyBorder="1" applyAlignment="1">
      <x:alignment vertical="top" wrapText="1"/>
    </x:xf>
    <x:xf numFmtId="0" fontId="0" fillId="36" borderId="0" xfId="0" applyNumberFormat="1" applyFont="1" applyFill="1" applyBorder="1" applyAlignment="1">
      <x:alignment vertical="top" wrapText="1"/>
    </x:xf>
    <x:xf numFmtId="0" fontId="6" fillId="33" borderId="2" xfId="0" applyNumberFormat="1" applyFont="1" applyFill="1" applyBorder="1" applyAlignment="1">
      <x:alignment horizontal="center" vertical="top" wrapText="1"/>
    </x:xf>
    <x:xf numFmtId="0" fontId="6" fillId="33" borderId="4" xfId="0" applyNumberFormat="1" applyFont="1" applyFill="1" applyBorder="1" applyAlignment="1">
      <x:alignment horizontal="center" vertical="top" wrapText="1"/>
    </x:xf>
    <x:xf numFmtId="0" fontId="6" fillId="3" borderId="2" xfId="0" applyNumberFormat="1" applyFont="1" applyFill="1" applyBorder="1" applyAlignment="1">
      <x:alignment horizontal="center" vertical="top" wrapText="1"/>
    </x:xf>
    <x:xf numFmtId="0" fontId="6" fillId="3" borderId="4" xfId="0" applyNumberFormat="1" applyFont="1" applyFill="1" applyBorder="1" applyAlignment="1">
      <x:alignment horizontal="center" vertical="top" wrapText="1"/>
    </x:xf>
    <x:xf numFmtId="0" fontId="1" fillId="37" borderId="0" xfId="0" applyNumberFormat="1" applyFont="1" applyFill="1" applyBorder="1" applyAlignment="1">
      <x:alignment horizontal="left" vertical="center"/>
    </x:xf>
    <x:xf numFmtId="0" fontId="13" fillId="37" borderId="0" xfId="0" applyNumberFormat="1" applyFont="1" applyFill="1" applyBorder="1" applyAlignment="1">
      <x:alignment horizontal="left" vertical="center"/>
    </x:xf>
    <x:xf numFmtId="0" fontId="0" fillId="37" borderId="0" xfId="0" applyNumberFormat="1" applyFont="1" applyFill="1" applyBorder="1"/>
    <x:xf numFmtId="0" fontId="13" fillId="37" borderId="0" xfId="0" applyNumberFormat="1" applyFont="1" applyFill="1" applyBorder="1"/>
    <x:xf numFmtId="0" fontId="13" fillId="37" borderId="0" xfId="0" applyNumberFormat="1" applyFont="1" applyFill="1" applyBorder="1" applyAlignment="1">
      <x:alignment horizontal="left"/>
    </x:xf>
    <x:xf numFmtId="0" fontId="2" fillId="38" borderId="0" xfId="0" applyNumberFormat="1" applyFont="1" applyFill="1" applyBorder="1" applyAlignment="1">
      <x:alignment horizontal="left" vertical="center" wrapText="1"/>
    </x:xf>
    <x:xf numFmtId="0" fontId="14" fillId="38" borderId="0" xfId="0" applyNumberFormat="1" applyFont="1" applyFill="1" applyBorder="1" applyAlignment="1">
      <x:alignment horizontal="left" vertical="center" wrapText="1"/>
    </x:xf>
    <x:xf numFmtId="0" fontId="0" fillId="38" borderId="0" xfId="0" applyNumberFormat="1" applyFont="1" applyFill="1" applyBorder="1"/>
    <x:xf numFmtId="0" fontId="14" fillId="38" borderId="0" xfId="0" applyNumberFormat="1" applyFont="1" applyFill="1" applyBorder="1"/>
    <x:xf numFmtId="0" fontId="14" fillId="38" borderId="0" xfId="0" applyNumberFormat="1" applyFont="1" applyFill="1" applyBorder="1" applyAlignment="1">
      <x:alignment wrapText="1"/>
    </x:xf>
    <x:xf numFmtId="0" fontId="14" fillId="38" borderId="0" xfId="0" applyNumberFormat="1" applyFont="1" applyFill="1" applyBorder="1" applyAlignment="1">
      <x:alignment horizontal="left" wrapText="1"/>
    </x:xf>
    <x:xf numFmtId="0" fontId="3" fillId="39" borderId="1" xfId="0" applyNumberFormat="1" applyFont="1" applyFill="1" applyBorder="1" applyAlignment="1">
      <x:alignment horizontal="left" vertical="center" wrapText="1"/>
    </x:xf>
    <x:xf numFmtId="0" fontId="15" fillId="39" borderId="1" xfId="0" applyNumberFormat="1" applyFont="1" applyFill="1" applyBorder="1" applyAlignment="1">
      <x:alignment horizontal="left" vertical="center" wrapText="1"/>
    </x:xf>
    <x:xf numFmtId="0" fontId="0" fillId="39" borderId="0" xfId="0" applyNumberFormat="1" applyFont="1" applyFill="1" applyBorder="1"/>
    <x:xf numFmtId="0" fontId="15" fillId="39" borderId="0" xfId="0" applyNumberFormat="1" applyFont="1" applyFill="1" applyBorder="1"/>
    <x:xf numFmtId="0" fontId="15" fillId="39" borderId="1" xfId="0" applyNumberFormat="1" applyFont="1" applyFill="1" applyBorder="1"/>
    <x:xf numFmtId="0" fontId="15" fillId="39" borderId="1" xfId="0" applyNumberFormat="1" applyFont="1" applyFill="1" applyBorder="1" applyAlignment="1">
      <x:alignment wrapText="1"/>
    </x:xf>
    <x:xf numFmtId="0" fontId="15" fillId="39" borderId="1" xfId="0" applyNumberFormat="1" applyFont="1" applyFill="1" applyBorder="1" applyAlignment="1">
      <x:alignment horizontal="left" wrapText="1"/>
    </x:xf>
    <x:xf numFmtId="0" fontId="4" fillId="40" borderId="2" xfId="0" applyNumberFormat="1" applyFont="1" applyFill="1" applyBorder="1" applyAlignment="1">
      <x:alignment horizontal="center" vertical="center" wrapText="1"/>
    </x:xf>
    <x:xf numFmtId="0" fontId="4" fillId="40" borderId="3" xfId="0" applyNumberFormat="1" applyFont="1" applyFill="1" applyBorder="1" applyAlignment="1">
      <x:alignment horizontal="center" vertical="center" wrapText="1"/>
    </x:xf>
    <x:xf numFmtId="0" fontId="4" fillId="40" borderId="4" xfId="0" applyNumberFormat="1" applyFont="1" applyFill="1" applyBorder="1" applyAlignment="1">
      <x:alignment horizontal="center" vertical="center" wrapText="1"/>
    </x:xf>
    <x:xf numFmtId="0" fontId="6" fillId="40" borderId="3" xfId="0" applyNumberFormat="1" applyFont="1" applyFill="1" applyBorder="1" applyAlignment="1">
      <x:alignment horizontal="center" vertical="center" wrapText="1"/>
    </x:xf>
    <x:xf numFmtId="0" fontId="6" fillId="40" borderId="4" xfId="0" applyNumberFormat="1" applyFont="1" applyFill="1" applyBorder="1" applyAlignment="1">
      <x:alignment horizontal="center" vertical="center" wrapText="1"/>
    </x:xf>
    <x:xf numFmtId="0" fontId="0" fillId="40" borderId="0" xfId="0" applyNumberFormat="1" applyFont="1" applyFill="1" applyBorder="1"/>
    <x:xf numFmtId="0" fontId="0" fillId="40" borderId="0" xfId="0" applyNumberFormat="1" applyFont="1" applyFill="1" applyBorder="1" applyAlignment="1">
      <x:alignment vertical="top" wrapText="1"/>
    </x:xf>
    <x:xf numFmtId="0" fontId="6" fillId="40" borderId="0" xfId="0" applyNumberFormat="1" applyFont="1" applyFill="1" applyBorder="1"/>
    <x:xf numFmtId="0" fontId="6" fillId="40" borderId="0" xfId="0" applyNumberFormat="1" applyFont="1" applyFill="1" applyBorder="1" applyAlignment="1">
      <x:alignment vertical="top" wrapText="1"/>
    </x:xf>
    <x:xf numFmtId="0" fontId="6" fillId="40" borderId="3" xfId="0" applyNumberFormat="1" applyFont="1" applyFill="1" applyBorder="1"/>
    <x:xf numFmtId="0" fontId="6" fillId="40" borderId="3" xfId="0" applyNumberFormat="1" applyFont="1" applyFill="1" applyBorder="1" applyAlignment="1">
      <x:alignment vertical="top" wrapText="1"/>
    </x:xf>
    <x:xf numFmtId="0" fontId="6" fillId="40" borderId="4" xfId="0" applyNumberFormat="1" applyFont="1" applyFill="1" applyBorder="1"/>
    <x:xf numFmtId="0" fontId="6" fillId="40" borderId="3" xfId="0" applyNumberFormat="1" applyFont="1" applyFill="1" applyBorder="1" applyAlignment="1">
      <x:alignment wrapText="1"/>
    </x:xf>
    <x:xf numFmtId="0" fontId="6" fillId="40" borderId="4" xfId="0" applyNumberFormat="1" applyFont="1" applyFill="1" applyBorder="1" applyAlignment="1">
      <x:alignment wrapText="1"/>
    </x:xf>
    <x:xf numFmtId="0" fontId="6" fillId="40" borderId="3" xfId="0" applyNumberFormat="1" applyFont="1" applyFill="1" applyBorder="1" applyAlignment="1">
      <x:alignment horizontal="center" wrapText="1"/>
    </x:xf>
    <x:xf numFmtId="0" fontId="6" fillId="40" borderId="3" xfId="0" applyNumberFormat="1" applyFont="1" applyFill="1" applyBorder="1" applyAlignment="1">
      <x:alignment horizontal="center" vertical="top" wrapText="1"/>
    </x:xf>
    <x:xf numFmtId="0" fontId="6" fillId="40" borderId="4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7" fillId="31" borderId="0" xfId="0" applyNumberFormat="1" applyFont="1" applyFill="1" applyBorder="1" applyAlignment="1">
      <x:alignment vertical="top" wrapText="1"/>
    </x:xf>
    <x:xf numFmtId="0" fontId="16" fillId="5" borderId="2" xfId="0" applyNumberFormat="1" applyFont="1" applyFill="1" applyBorder="1" applyAlignment="1">
      <x:alignment horizontal="center" vertical="top" wrapText="1"/>
    </x:xf>
    <x:xf numFmtId="0" fontId="16" fillId="5" borderId="4" xfId="0" applyNumberFormat="1" applyFont="1" applyFill="1" applyBorder="1" applyAlignment="1">
      <x:alignment horizontal="center" vertical="top" wrapText="1"/>
    </x:xf>
    <x:xf numFmtId="0" fontId="7" fillId="3" borderId="0" xfId="0" applyNumberFormat="1" applyFont="1" applyFill="1" applyBorder="1" applyAlignment="1">
      <x:alignment vertical="top" wrapText="1"/>
    </x:xf>
    <x:xf numFmtId="49" fontId="5" fillId="41" borderId="5" xfId="0" applyNumberFormat="1" applyFont="1" applyFill="1" applyBorder="1" applyAlignment="1">
      <x:alignment vertical="top" wrapText="1"/>
    </x:xf>
    <x:xf numFmtId="0" fontId="5" fillId="41" borderId="6" xfId="0" applyNumberFormat="1" applyFont="1" applyFill="1" applyBorder="1" applyAlignment="1">
      <x:alignment vertical="top" wrapText="1"/>
    </x:xf>
    <x:xf numFmtId="49" fontId="5" fillId="41" borderId="6" xfId="0" applyNumberFormat="1" applyFont="1" applyFill="1" applyBorder="1" applyAlignment="1">
      <x:alignment vertical="top" wrapText="1"/>
    </x:xf>
    <x:xf numFmtId="3" fontId="5" fillId="41" borderId="6" xfId="0" applyNumberFormat="1" applyFont="1" applyFill="1" applyBorder="1" applyAlignment="1">
      <x:alignment vertical="top" wrapText="1"/>
    </x:xf>
    <x:xf numFmtId="200" fontId="5" fillId="41" borderId="6" xfId="0" applyNumberFormat="1" applyFont="1" applyFill="1" applyBorder="1" applyAlignment="1">
      <x:alignment vertical="top" wrapText="1"/>
    </x:xf>
    <x:xf numFmtId="164" fontId="5" fillId="41" borderId="6" xfId="0" applyNumberFormat="1" applyFont="1" applyFill="1" applyBorder="1" applyAlignment="1">
      <x:alignment vertical="top" wrapText="1"/>
    </x:xf>
    <x:xf numFmtId="49" fontId="5" fillId="41" borderId="8" xfId="0" applyNumberFormat="1" applyFont="1" applyFill="1" applyBorder="1" applyAlignment="1">
      <x:alignment vertical="top" wrapText="1"/>
    </x:xf>
    <x:xf numFmtId="0" fontId="5" fillId="41" borderId="0" xfId="0" applyNumberFormat="1" applyFont="1" applyFill="1" applyBorder="1" applyAlignment="1">
      <x:alignment vertical="top" wrapText="1"/>
    </x:xf>
    <x:xf numFmtId="49" fontId="5" fillId="41" borderId="0" xfId="0" applyNumberFormat="1" applyFont="1" applyFill="1" applyBorder="1" applyAlignment="1">
      <x:alignment vertical="top" wrapText="1"/>
    </x:xf>
    <x:xf numFmtId="3" fontId="5" fillId="41" borderId="0" xfId="0" applyNumberFormat="1" applyFont="1" applyFill="1" applyBorder="1" applyAlignment="1">
      <x:alignment vertical="top" wrapText="1"/>
    </x:xf>
    <x:xf numFmtId="200" fontId="5" fillId="41" borderId="0" xfId="0" applyNumberFormat="1" applyFont="1" applyFill="1" applyBorder="1" applyAlignment="1">
      <x:alignment vertical="top" wrapText="1"/>
    </x:xf>
    <x:xf numFmtId="164" fontId="5" fillId="41" borderId="0" xfId="0" applyNumberFormat="1" applyFont="1" applyFill="1" applyBorder="1" applyAlignment="1">
      <x:alignment vertical="top" wrapText="1"/>
    </x:xf>
    <x:xf numFmtId="49" fontId="5" fillId="41" borderId="10" xfId="0" applyNumberFormat="1" applyFont="1" applyFill="1" applyBorder="1" applyAlignment="1">
      <x:alignment vertical="top" wrapText="1"/>
    </x:xf>
    <x:xf numFmtId="0" fontId="5" fillId="41" borderId="11" xfId="0" applyNumberFormat="1" applyFont="1" applyFill="1" applyBorder="1" applyAlignment="1">
      <x:alignment vertical="top" wrapText="1"/>
    </x:xf>
    <x:xf numFmtId="49" fontId="5" fillId="41" borderId="11" xfId="0" applyNumberFormat="1" applyFont="1" applyFill="1" applyBorder="1" applyAlignment="1">
      <x:alignment vertical="top" wrapText="1"/>
    </x:xf>
    <x:xf numFmtId="3" fontId="5" fillId="41" borderId="11" xfId="0" applyNumberFormat="1" applyFont="1" applyFill="1" applyBorder="1" applyAlignment="1">
      <x:alignment vertical="top" wrapText="1"/>
    </x:xf>
    <x:xf numFmtId="200" fontId="5" fillId="41" borderId="11" xfId="0" applyNumberFormat="1" applyFont="1" applyFill="1" applyBorder="1" applyAlignment="1">
      <x:alignment vertical="top" wrapText="1"/>
    </x:xf>
    <x:xf numFmtId="164" fontId="5" fillId="41" borderId="11" xfId="0" applyNumberFormat="1" applyFont="1" applyFill="1" applyBorder="1" applyAlignment="1">
      <x:alignment vertical="top" wrapText="1"/>
    </x:xf>
    <x:xf numFmtId="200" fontId="5" fillId="42" borderId="6" xfId="0" applyNumberFormat="1" applyFont="1" applyFill="1" applyBorder="1" applyAlignment="1">
      <x:alignment vertical="top" wrapText="1"/>
    </x:xf>
    <x:xf numFmtId="164" fontId="5" fillId="42" borderId="6" xfId="0" applyNumberFormat="1" applyFont="1" applyFill="1" applyBorder="1" applyAlignment="1">
      <x:alignment vertical="top" wrapText="1"/>
    </x:xf>
    <x:xf numFmtId="164" fontId="5" fillId="42" borderId="7" xfId="0" applyNumberFormat="1" applyFont="1" applyFill="1" applyBorder="1" applyAlignment="1">
      <x:alignment vertical="top" wrapText="1"/>
    </x:xf>
    <x:xf numFmtId="200" fontId="7" fillId="42" borderId="0" xfId="0" applyNumberFormat="1" applyFont="1" applyFill="1" applyBorder="1" applyAlignment="1">
      <x:alignment vertical="top" wrapText="1"/>
    </x:xf>
    <x:xf numFmtId="200" fontId="5" fillId="42" borderId="0" xfId="0" applyNumberFormat="1" applyFont="1" applyFill="1" applyBorder="1" applyAlignment="1">
      <x:alignment vertical="top" wrapText="1"/>
    </x:xf>
    <x:xf numFmtId="164" fontId="5" fillId="42" borderId="0" xfId="0" applyNumberFormat="1" applyFont="1" applyFill="1" applyBorder="1" applyAlignment="1">
      <x:alignment vertical="top" wrapText="1"/>
    </x:xf>
    <x:xf numFmtId="164" fontId="5" fillId="42" borderId="9" xfId="0" applyNumberFormat="1" applyFont="1" applyFill="1" applyBorder="1" applyAlignment="1">
      <x:alignment vertical="top" wrapText="1"/>
    </x:xf>
    <x:xf numFmtId="200" fontId="5" fillId="42" borderId="11" xfId="0" applyNumberFormat="1" applyFont="1" applyFill="1" applyBorder="1" applyAlignment="1">
      <x:alignment vertical="top" wrapText="1"/>
    </x:xf>
    <x:xf numFmtId="164" fontId="5" fillId="42" borderId="11" xfId="0" applyNumberFormat="1" applyFont="1" applyFill="1" applyBorder="1" applyAlignment="1">
      <x:alignment vertical="top" wrapText="1"/>
    </x:xf>
    <x:xf numFmtId="164" fontId="5" fillId="42" borderId="12" xfId="0" applyNumberFormat="1" applyFont="1" applyFill="1" applyBorder="1" applyAlignment="1">
      <x:alignment vertical="top" wrapText="1"/>
    </x:xf>
    <x:xf numFmtId="200" fontId="7" fillId="38" borderId="0" xfId="0" applyNumberFormat="1" applyFont="1" applyFill="1" applyBorder="1" applyAlignment="1">
      <x:alignment vertical="top" wrapText="1"/>
    </x:xf>
    <x:xf numFmtId="164" fontId="7" fillId="38" borderId="0" xfId="0" applyNumberFormat="1" applyFont="1" applyFill="1" applyBorder="1" applyAlignment="1">
      <x:alignment vertical="top" wrapText="1"/>
    </x:xf>
    <x:xf numFmtId="0" fontId="7" fillId="38" borderId="0" xfId="0" applyNumberFormat="1" applyFont="1" applyFill="1" applyBorder="1" applyAlignment="1">
      <x:alignment vertical="top" wrapText="1"/>
    </x:xf>
    <x:xf numFmtId="0" fontId="7" fillId="41" borderId="0" xfId="0" applyNumberFormat="1" applyFont="1" applyFill="1" applyBorder="1" applyAlignment="1">
      <x:alignment vertical="top" wrapText="1"/>
    </x:xf>
    <x:xf numFmtId="164" fontId="7" fillId="41" borderId="0" xfId="0" applyNumberFormat="1" applyFont="1" applyFill="1" applyBorder="1" applyAlignment="1">
      <x:alignment vertical="top" wrapText="1"/>
    </x:xf>
    <x:xf numFmtId="0" fontId="16" fillId="41" borderId="2" xfId="0" applyNumberFormat="1" applyFont="1" applyFill="1" applyBorder="1" applyAlignment="1">
      <x:alignment horizontal="center" vertical="top" wrapText="1"/>
    </x:xf>
    <x:xf numFmtId="0" fontId="16" fillId="41" borderId="4" xfId="0" applyNumberFormat="1" applyFont="1" applyFill="1" applyBorder="1" applyAlignment="1">
      <x:alignment horizontal="center" vertical="top" wrapText="1"/>
    </x:xf>
    <x:xf numFmtId="200" fontId="7" fillId="41" borderId="0" xfId="0" applyNumberFormat="1" applyFont="1" applyFill="1" applyBorder="1" applyAlignment="1">
      <x:alignment vertical="top" wrapText="1"/>
    </x:xf>
    <x:xf numFmtId="200" fontId="16" fillId="41" borderId="2" xfId="0" applyNumberFormat="1" applyFont="1" applyFill="1" applyBorder="1" applyAlignment="1">
      <x:alignment horizontal="center" vertical="top" wrapText="1"/>
    </x:xf>
    <x:xf numFmtId="0" fontId="6" fillId="40" borderId="2" xfId="0" applyNumberFormat="1" applyFont="1" applyFill="1" applyBorder="1" applyAlignment="1">
      <x:alignment horizontal="center" vertical="center" wrapText="1"/>
    </x:xf>
    <x:xf numFmtId="0" fontId="6" fillId="40" borderId="2" xfId="0" applyNumberFormat="1" applyFont="1" applyFill="1" applyBorder="1" applyAlignment="1">
      <x:alignment vertical="top" wrapText="1"/>
    </x:xf>
    <x:xf numFmtId="0" fontId="6" fillId="40" borderId="2" xfId="0" applyNumberFormat="1" applyFont="1" applyFill="1" applyBorder="1" applyAlignment="1">
      <x:alignment horizontal="center" vertical="top" wrapText="1"/>
    </x:xf>
    <x:xf numFmtId="0" fontId="6" fillId="40" borderId="4" xfId="0" applyNumberFormat="1" applyFont="1" applyFill="1" applyBorder="1" applyAlignment="1">
      <x:alignment horizontal="center" vertical="top" wrapText="1"/>
    </x:xf>
    <x:xf numFmtId="0" fontId="0" fillId="43" borderId="0" xfId="0" applyNumberFormat="1" applyFont="1" applyFill="1" applyBorder="1" applyAlignment="1">
      <x:alignment vertical="top" wrapText="1"/>
    </x:xf>
    <x:xf numFmtId="0" fontId="6" fillId="43" borderId="2" xfId="0" applyNumberFormat="1" applyFont="1" applyFill="1" applyBorder="1" applyAlignment="1">
      <x:alignment horizontal="center" vertical="top" wrapText="1"/>
    </x:xf>
    <x:xf numFmtId="0" fontId="6" fillId="43" borderId="4" xfId="0" applyNumberFormat="1" applyFont="1" applyFill="1" applyBorder="1" applyAlignment="1">
      <x:alignment horizontal="center" vertical="top" wrapText="1"/>
    </x:xf>
    <x:xf numFmtId="0" fontId="0" fillId="41" borderId="0" xfId="0" applyNumberFormat="1" applyFont="1" applyFill="1" applyBorder="1" applyAlignment="1">
      <x:alignment vertical="top" wrapText="1"/>
    </x:xf>
    <x:xf numFmtId="0" fontId="0" fillId="38" borderId="0" xfId="0" applyNumberFormat="1" applyFont="1" applyFill="1" applyBorder="1" applyAlignment="1">
      <x:alignment vertical="top" wrapText="1"/>
    </x:xf>
    <x:xf numFmtId="0" fontId="15" fillId="38" borderId="0" xfId="0" applyNumberFormat="1" applyFont="1" applyFill="1" applyBorder="1" applyAlignment="1">
      <x:alignment vertical="top" wrapText="1"/>
    </x:xf>
    <x:xf numFmtId="0" fontId="6" fillId="40" borderId="4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  <x:xf numFmtId="0" fontId="6" fillId="5" borderId="3" xfId="0" applyNumberFormat="1" applyFont="1" applyFill="1" applyBorder="1" applyAlignment="1">
      <x:alignment vertical="top" wrapText="1"/>
    </x:xf>
    <x:xf numFmtId="0" fontId="6" fillId="5" borderId="3" xfId="0" applyNumberFormat="1" applyFont="1" applyFill="1" applyBorder="1" applyAlignment="1">
      <x:alignment horizontal="center" vertical="top" wrapText="1"/>
    </x:xf>
    <x:xf numFmtId="200" fontId="7" fillId="3" borderId="0" xfId="0" applyNumberFormat="1" applyFont="1" applyFill="1" applyBorder="1" applyAlignment="1">
      <x:alignment vertical="top" wrapText="1"/>
    </x:xf>
    <x:xf numFmtId="164" fontId="7" fillId="3" borderId="0" xfId="0" applyNumberFormat="1" applyFont="1" applyFill="1" applyBorder="1" applyAlignment="1">
      <x:alignment vertical="top" wrapText="1"/>
    </x:xf>
    <x:xf numFmtId="0" fontId="16" fillId="25" borderId="2" xfId="0" applyNumberFormat="1" applyFont="1" applyFill="1" applyBorder="1" applyAlignment="1">
      <x:alignment horizontal="center" vertical="top" wrapText="1"/>
    </x:xf>
    <x:xf numFmtId="0" fontId="16" fillId="25" borderId="4" xfId="0" applyNumberFormat="1" applyFont="1" applyFill="1" applyBorder="1" applyAlignment="1">
      <x:alignment horizontal="center" vertical="top" wrapText="1"/>
    </x:xf>
    <x:xf numFmtId="200" fontId="16" fillId="25" borderId="2" xfId="0" applyNumberFormat="1" applyFont="1" applyFill="1" applyBorder="1" applyAlignment="1">
      <x:alignment horizontal="center" vertical="top" wrapText="1"/>
    </x:xf>
    <x:xf numFmtId="0" fontId="6" fillId="5" borderId="2" xfId="0" applyNumberFormat="1" applyFont="1" applyFill="1" applyBorder="1" applyAlignment="1">
      <x:alignment vertical="top" wrapText="1"/>
    </x:xf>
    <x:xf numFmtId="0" fontId="6" fillId="31" borderId="2" xfId="0" applyNumberFormat="1" applyFont="1" applyFill="1" applyBorder="1" applyAlignment="1">
      <x:alignment horizontal="center" vertical="top" wrapText="1"/>
    </x:xf>
    <x:xf numFmtId="0" fontId="6" fillId="31" borderId="4" xfId="0" applyNumberFormat="1" applyFont="1" applyFill="1" applyBorder="1" applyAlignment="1">
      <x:alignment horizontal="center" vertical="top" wrapText="1"/>
    </x:xf>
    <x:xf numFmtId="0" fontId="15" fillId="3" borderId="0" xfId="0" applyNumberFormat="1" applyFont="1" applyFill="1" applyBorder="1" applyAlignment="1">
      <x:alignment vertical="top" wrapText="1"/>
    </x:xf>
    <x:xf numFmtId="0" fontId="6" fillId="5" borderId="4" xfId="0" applyNumberFormat="1" applyFont="1" applyFill="1" applyBorder="1" applyAlignment="1">
      <x:alignment vertical="top" wrapText="1"/>
    </x:xf>
    <x:xf numFmtId="0" fontId="1" fillId="44" borderId="0" xfId="0" applyNumberFormat="1" applyFont="1" applyFill="1" applyBorder="1" applyAlignment="1">
      <x:alignment horizontal="left" vertical="center"/>
    </x:xf>
    <x:xf numFmtId="0" fontId="13" fillId="44" borderId="0" xfId="0" applyNumberFormat="1" applyFont="1" applyFill="1" applyBorder="1" applyAlignment="1">
      <x:alignment horizontal="left" vertical="center"/>
    </x:xf>
    <x:xf numFmtId="0" fontId="0" fillId="44" borderId="0" xfId="0" applyNumberFormat="1" applyFont="1" applyFill="1" applyBorder="1"/>
    <x:xf numFmtId="0" fontId="13" fillId="44" borderId="0" xfId="0" applyNumberFormat="1" applyFont="1" applyFill="1" applyBorder="1"/>
    <x:xf numFmtId="0" fontId="13" fillId="44" borderId="0" xfId="0" applyNumberFormat="1" applyFont="1" applyFill="1" applyBorder="1" applyAlignment="1">
      <x:alignment vertical="center"/>
    </x:xf>
    <x:xf numFmtId="0" fontId="2" fillId="45" borderId="0" xfId="0" applyNumberFormat="1" applyFont="1" applyFill="1" applyBorder="1" applyAlignment="1">
      <x:alignment horizontal="left" vertical="center" wrapText="1"/>
    </x:xf>
    <x:xf numFmtId="0" fontId="14" fillId="45" borderId="0" xfId="0" applyNumberFormat="1" applyFont="1" applyFill="1" applyBorder="1" applyAlignment="1">
      <x:alignment horizontal="left" vertical="center" wrapText="1"/>
    </x:xf>
    <x:xf numFmtId="0" fontId="0" fillId="45" borderId="0" xfId="0" applyNumberFormat="1" applyFont="1" applyFill="1" applyBorder="1"/>
    <x:xf numFmtId="0" fontId="3" fillId="45" borderId="1" xfId="0" applyNumberFormat="1" applyFont="1" applyFill="1" applyBorder="1" applyAlignment="1">
      <x:alignment horizontal="left" vertical="center" wrapText="1"/>
    </x:xf>
    <x:xf numFmtId="0" fontId="15" fillId="45" borderId="1" xfId="0" applyNumberFormat="1" applyFont="1" applyFill="1" applyBorder="1" applyAlignment="1">
      <x:alignment horizontal="left" vertical="center" wrapText="1"/>
    </x:xf>
    <x:xf numFmtId="0" fontId="17" fillId="45" borderId="0" xfId="0" applyNumberFormat="1" applyFont="1" applyFill="1" applyBorder="1"/>
    <x:xf numFmtId="0" fontId="17" fillId="45" borderId="0" xfId="0" applyNumberFormat="1" applyFont="1" applyFill="1" applyBorder="1" applyAlignment="1">
      <x:alignment wrapText="1"/>
    </x:xf>
    <x:xf numFmtId="0" fontId="4" fillId="46" borderId="2" xfId="0" applyNumberFormat="1" applyFont="1" applyFill="1" applyBorder="1" applyAlignment="1">
      <x:alignment horizontal="center" vertical="center" wrapText="1"/>
    </x:xf>
    <x:xf numFmtId="0" fontId="4" fillId="46" borderId="3" xfId="0" applyNumberFormat="1" applyFont="1" applyFill="1" applyBorder="1" applyAlignment="1">
      <x:alignment horizontal="center" vertical="center" wrapText="1"/>
    </x:xf>
    <x:xf numFmtId="0" fontId="4" fillId="46" borderId="4" xfId="0" applyNumberFormat="1" applyFont="1" applyFill="1" applyBorder="1" applyAlignment="1">
      <x:alignment horizontal="center" vertical="center" wrapText="1"/>
    </x:xf>
    <x:xf numFmtId="0" fontId="6" fillId="46" borderId="3" xfId="0" applyNumberFormat="1" applyFont="1" applyFill="1" applyBorder="1" applyAlignment="1">
      <x:alignment horizontal="center" vertical="center" wrapText="1"/>
    </x:xf>
    <x:xf numFmtId="0" fontId="6" fillId="46" borderId="4" xfId="0" applyNumberFormat="1" applyFont="1" applyFill="1" applyBorder="1" applyAlignment="1">
      <x:alignment horizontal="center" vertical="center" wrapText="1"/>
    </x:xf>
    <x:xf numFmtId="0" fontId="0" fillId="46" borderId="0" xfId="0" applyNumberFormat="1" applyFont="1" applyFill="1" applyBorder="1"/>
    <x:xf numFmtId="0" fontId="6" fillId="46" borderId="0" xfId="0" applyNumberFormat="1" applyFont="1" applyFill="1" applyBorder="1"/>
    <x:xf numFmtId="0" fontId="6" fillId="46" borderId="0" xfId="0" applyNumberFormat="1" applyFont="1" applyFill="1" applyBorder="1" applyAlignment="1">
      <x:alignment wrapText="1"/>
    </x:xf>
    <x:xf numFmtId="0" fontId="6" fillId="46" borderId="0" xfId="0" applyNumberFormat="1" applyFont="1" applyFill="1" applyBorder="1" applyAlignment="1">
      <x:alignment horizontal="center" wrapText="1"/>
    </x:xf>
    <x:xf numFmtId="0" fontId="6" fillId="46" borderId="0" xfId="0" applyNumberFormat="1" applyFont="1" applyFill="1" applyBorder="1" applyAlignment="1">
      <x:alignment horizontal="center" vertical="center" wrapText="1"/>
    </x:xf>
    <x:xf numFmtId="200" fontId="5" fillId="47" borderId="6" xfId="0" applyNumberFormat="1" applyFont="1" applyFill="1" applyBorder="1" applyAlignment="1">
      <x:alignment vertical="top" wrapText="1"/>
    </x:xf>
    <x:xf numFmtId="164" fontId="5" fillId="47" borderId="6" xfId="0" applyNumberFormat="1" applyFont="1" applyFill="1" applyBorder="1" applyAlignment="1">
      <x:alignment vertical="top" wrapText="1"/>
    </x:xf>
    <x:xf numFmtId="164" fontId="5" fillId="47" borderId="7" xfId="0" applyNumberFormat="1" applyFont="1" applyFill="1" applyBorder="1" applyAlignment="1">
      <x:alignment vertical="top" wrapText="1"/>
    </x:xf>
    <x:xf numFmtId="200" fontId="7" fillId="47" borderId="0" xfId="0" applyNumberFormat="1" applyFont="1" applyFill="1" applyBorder="1" applyAlignment="1">
      <x:alignment vertical="top" wrapText="1"/>
    </x:xf>
    <x:xf numFmtId="0" fontId="7" fillId="47" borderId="0" xfId="0" applyNumberFormat="1" applyFont="1" applyFill="1" applyBorder="1" applyAlignment="1">
      <x:alignment vertical="top" wrapText="1"/>
    </x:xf>
    <x:xf numFmtId="164" fontId="7" fillId="47" borderId="0" xfId="0" applyNumberFormat="1" applyFont="1" applyFill="1" applyBorder="1" applyAlignment="1">
      <x:alignment vertical="top" wrapText="1"/>
    </x:xf>
    <x:xf numFmtId="200" fontId="5" fillId="47" borderId="0" xfId="0" applyNumberFormat="1" applyFont="1" applyFill="1" applyBorder="1" applyAlignment="1">
      <x:alignment vertical="top" wrapText="1"/>
    </x:xf>
    <x:xf numFmtId="164" fontId="5" fillId="47" borderId="0" xfId="0" applyNumberFormat="1" applyFont="1" applyFill="1" applyBorder="1" applyAlignment="1">
      <x:alignment vertical="top" wrapText="1"/>
    </x:xf>
    <x:xf numFmtId="164" fontId="5" fillId="47" borderId="9" xfId="0" applyNumberFormat="1" applyFont="1" applyFill="1" applyBorder="1" applyAlignment="1">
      <x:alignment vertical="top" wrapText="1"/>
    </x:xf>
    <x:xf numFmtId="200" fontId="5" fillId="47" borderId="11" xfId="0" applyNumberFormat="1" applyFont="1" applyFill="1" applyBorder="1" applyAlignment="1">
      <x:alignment vertical="top" wrapText="1"/>
    </x:xf>
    <x:xf numFmtId="164" fontId="5" fillId="47" borderId="11" xfId="0" applyNumberFormat="1" applyFont="1" applyFill="1" applyBorder="1" applyAlignment="1">
      <x:alignment vertical="top" wrapText="1"/>
    </x:xf>
    <x:xf numFmtId="164" fontId="5" fillId="47" borderId="12" xfId="0" applyNumberFormat="1" applyFont="1" applyFill="1" applyBorder="1" applyAlignment="1">
      <x:alignment vertical="top" wrapText="1"/>
    </x:xf>
    <x:xf numFmtId="0" fontId="7" fillId="48" borderId="0" xfId="0" applyNumberFormat="1" applyFont="1" applyFill="1" applyBorder="1" applyAlignment="1">
      <x:alignment vertical="top" wrapText="1"/>
    </x:xf>
    <x:xf numFmtId="200" fontId="7" fillId="48" borderId="0" xfId="0" applyNumberFormat="1" applyFont="1" applyFill="1" applyBorder="1" applyAlignment="1">
      <x:alignment vertical="top" wrapText="1"/>
    </x:xf>
    <x:xf numFmtId="164" fontId="7" fillId="48" borderId="0" xfId="0" applyNumberFormat="1" applyFont="1" applyFill="1" applyBorder="1" applyAlignment="1">
      <x:alignment vertical="top" wrapText="1"/>
    </x:xf>
    <x:xf numFmtId="0" fontId="0" fillId="48" borderId="0" xfId="0" applyNumberFormat="1" applyFont="1" applyFill="1" applyBorder="1" applyAlignment="1">
      <x:alignment wrapText="1"/>
    </x:xf>
    <x:xf numFmtId="200" fontId="16" fillId="48" borderId="2" xfId="0" applyNumberFormat="1" applyFont="1" applyFill="1" applyBorder="1" applyAlignment="1">
      <x:alignment horizontal="center" vertical="top" wrapText="1"/>
    </x:xf>
    <x:xf numFmtId="0" fontId="16" fillId="48" borderId="4" xfId="0" applyNumberFormat="1" applyFont="1" applyFill="1" applyBorder="1" applyAlignment="1">
      <x:alignment horizontal="center" vertical="top" wrapText="1"/>
    </x:xf>
    <x:xf numFmtId="0" fontId="0" fillId="45" borderId="0" xfId="0" applyNumberFormat="1" applyFont="1" applyFill="1" applyBorder="1" applyAlignment="1">
      <x:alignment wrapText="1"/>
    </x:xf>
    <x:xf numFmtId="0" fontId="6" fillId="46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0">
    <x:dxf/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A3412"/>
      </x:font>
      <x:fill>
        <x:patternFill>
          <x:bgColor rgb="FFFFEDD5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A3412"/>
      </x:font>
      <x:fill>
        <x:patternFill>
          <x:bgColor rgb="FFFFEDD5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A3412"/>
      </x:font>
      <x:fill>
        <x:patternFill>
          <x:bgColor rgb="FFFFEDD5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A3412"/>
      </x:font>
      <x:fill>
        <x:patternFill>
          <x:bgColor rgb="FFFFEDD5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A3412"/>
      </x:font>
      <x:fill>
        <x:patternFill>
          <x:bgColor rgb="FFFFEDD5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A3412"/>
      </x:font>
      <x:fill>
        <x:patternFill>
          <x:bgColor rgb="FFFFEDD5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A3412"/>
      </x:font>
      <x:fill>
        <x:patternFill>
          <x:bgColor rgb="FFFFEDD5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A3412"/>
      </x:font>
      <x:fill>
        <x:patternFill>
          <x:bgColor rgb="FFFFEDD5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A3412"/>
      </x:font>
      <x:fill>
        <x:patternFill>
          <x:bgColor rgb="FFFFEDD5"/>
        </x:patternFill>
      </x:fill>
    </x:dxf>
    <x:dxf>
      <x:font>
        <x:b/>
        <x:color rgb="FF1E40AF"/>
      </x:font>
      <x:fill>
        <x:patternFill>
          <x:bgColor rgb="FFDBEAFE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243305b87d437d" /><Relationship Type="http://schemas.openxmlformats.org/officeDocument/2006/relationships/theme" Target="/xl/theme/theme1.xml" Id="R074180b265b54963" /><Relationship Type="http://schemas.openxmlformats.org/officeDocument/2006/relationships/sharedStrings" Target="/xl/sharedStrings.xml" Id="R03078a11e6224ffb" /><Relationship Type="http://schemas.openxmlformats.org/officeDocument/2006/relationships/worksheet" Target="/xl/worksheets/sheet1.xml" Id="Ra103ab4e58324995" /><Relationship Type="http://schemas.openxmlformats.org/officeDocument/2006/relationships/worksheet" Target="/xl/worksheets/sheet2.xml" Id="Rfcd98b1081624c54" /><Relationship Type="http://schemas.openxmlformats.org/officeDocument/2006/relationships/worksheet" Target="/xl/worksheets/sheet3.xml" Id="R550d5689483e43a2" /><Relationship Type="http://schemas.openxmlformats.org/officeDocument/2006/relationships/worksheet" Target="/xl/worksheets/sheet4.xml" Id="R144b45496d1e4749" /><Relationship Type="http://schemas.openxmlformats.org/officeDocument/2006/relationships/worksheet" Target="/xl/worksheets/sheet5.xml" Id="R2bca7047a25e4362" /><Relationship Type="http://schemas.openxmlformats.org/officeDocument/2006/relationships/worksheet" Target="/xl/worksheets/sheet6.xml" Id="Rdb475365a19c43fe" /><Relationship Type="http://schemas.openxmlformats.org/officeDocument/2006/relationships/worksheet" Target="/xl/worksheets/sheet7.xml" Id="R0f619112859b4cfb" /></Relationships>
</file>

<file path=xl/tables/table1.xml><?xml version="1.0" encoding="utf-8"?>
<x:table xmlns:x="http://schemas.openxmlformats.org/spreadsheetml/2006/main" id="8" name="TblPerumahan" displayName="TblPerumahan" ref="A5:AD351">
  <x:tableColumns count="30">
    <x:tableColumn id="1" name="ID_PERUMAHAN*"/>
    <x:tableColumn id="2" name="NAMA_PERUMAHAN*"/>
    <x:tableColumn id="3" name="KATEGORI"/>
    <x:tableColumn id="4" name="KECAMATAN*"/>
    <x:tableColumn id="5" name="KELURAHAN*"/>
    <x:tableColumn id="6" name="ALAMAT"/>
    <x:tableColumn id="7" name="PENGEMBANG"/>
    <x:tableColumn id="8" name="DIREKTUR/PELAKSANA"/>
    <x:tableColumn id="9" name="ASOSIASI"/>
    <x:tableColumn id="10" name="TAHUN_SITEPLAN"/>
    <x:tableColumn id="11" name="JUMLAH_SITEPLAN"/>
    <x:tableColumn id="12" name="JUMLAH_TERBANGUN"/>
    <x:tableColumn id="13" name="JUMLAH_TERHUNI"/>
    <x:tableColumn id="14" name="STATUS_PSU*"/>
    <x:tableColumn id="15" name="TAHUN_SERAH_TERIMA_PSU"/>
    <x:tableColumn id="16" name="LUAS_RTH_M2"/>
    <x:tableColumn id="17" name="STATUS_RTH"/>
    <x:tableColumn id="18" name="STATUS_JALAN"/>
    <x:tableColumn id="19" name="STATUS_PENGEMBANG"/>
    <x:tableColumn id="20" name="STATUS_RAWAN_BANJIR"/>
    <x:tableColumn id="21" name="CATATAN"/>
    <x:tableColumn id="22" name="LATITUDE"/>
    <x:tableColumn id="23" name="LONGITUDE"/>
    <x:tableColumn id="24" name="TAHUN_DATA*"/>
    <x:tableColumn id="25" name="SUMBER_DATA*"/>
    <x:tableColumn id="26" name="STATUS_VERIFIKASI*"/>
    <x:tableColumn id="27" name="TANGGAL_UPDATE*"/>
    <x:tableColumn id="28" name="OPERATOR*"/>
    <x:tableColumn id="29" name="PERSEN_TERBANGUN"/>
    <x:tableColumn id="30" name="PERSEN_TERHUNI"/>
  </x:tableColumns>
  <x:tableStyleInfo name="TableStyleMedium2" showRowStripes="1"/>
</x:table>
</file>

<file path=xl/tables/table2.xml><?xml version="1.0" encoding="utf-8"?>
<x:table xmlns:x="http://schemas.openxmlformats.org/spreadsheetml/2006/main" id="2" name="TblBacklog" displayName="TblBacklog" ref="A5:K55">
  <x:tableColumns count="11">
    <x:tableColumn id="1" name="ID_BACKLOG*"/>
    <x:tableColumn id="2" name="TINGKAT_WILAYAH*"/>
    <x:tableColumn id="3" name="KECAMATAN/WILAYAH*"/>
    <x:tableColumn id="4" name="BACKLOG_KEPEMILIKAN"/>
    <x:tableColumn id="5" name="BACKLOG_HUNIAN"/>
    <x:tableColumn id="6" name="TAHUN_DATA*"/>
    <x:tableColumn id="7" name="SUMBER_DATA*"/>
    <x:tableColumn id="8" name="STATUS_VERIFIKASI*"/>
    <x:tableColumn id="9" name="TANGGAL_UPDATE*"/>
    <x:tableColumn id="10" name="OPERATOR*"/>
    <x:tableColumn id="11" name="KETERANGAN"/>
  </x:tableColumns>
  <x:tableStyleInfo name="TableStyleMedium2" showRowStripes="1"/>
</x:table>
</file>

<file path=xl/tables/table3.xml><?xml version="1.0" encoding="utf-8"?>
<x:table xmlns:x="http://schemas.openxmlformats.org/spreadsheetml/2006/main" id="3" name="TblRTLHRLH" displayName="TblRTLHRLH" ref="A5:K55">
  <x:tableColumns count="11">
    <x:tableColumn id="1" name="ID_REKAP*"/>
    <x:tableColumn id="2" name="KECAMATAN*"/>
    <x:tableColumn id="3" name="JUMLAH_RUMAH*"/>
    <x:tableColumn id="4" name="RTLH*"/>
    <x:tableColumn id="5" name="RLH"/>
    <x:tableColumn id="6" name="PERSENTASE_RTLH"/>
    <x:tableColumn id="7" name="TAHUN_DATA*"/>
    <x:tableColumn id="8" name="SUMBER_DATA*"/>
    <x:tableColumn id="9" name="STATUS_VERIFIKASI*"/>
    <x:tableColumn id="10" name="TANGGAL_UPDATE*"/>
    <x:tableColumn id="11" name="OPERATOR*"/>
  </x:tableColumns>
  <x:tableStyleInfo name="TableStyleMedium2" showRowStripes="1"/>
</x:table>
</file>

<file path=xl/tables/table4.xml><?xml version="1.0" encoding="utf-8"?>
<x:table xmlns:x="http://schemas.openxmlformats.org/spreadsheetml/2006/main" id="10" name="TblRTLHIndividu" displayName="TblRTLHIndividu" ref="A5:BF305" headerRowCount="1">
  <x:tableColumns count="58">
    <x:tableColumn id="1" name="ID_RTLH*"/>
    <x:tableColumn id="2" name="NAMA_KEPALA_KELUARGA*"/>
    <x:tableColumn id="3" name="NIK"/>
    <x:tableColumn id="4" name="NO_KK"/>
    <x:tableColumn id="5" name="ALAMAT*"/>
    <x:tableColumn id="6" name="KELURAHAN*"/>
    <x:tableColumn id="7" name="KECAMATAN*"/>
    <x:tableColumn id="8" name="JENIS_USULAN*"/>
    <x:tableColumn id="9" name="CATATAN_VERIFIKASI*"/>
    <x:tableColumn id="10" name="TIPE_KONSTRUKSI_RUMAH*"/>
    <x:tableColumn id="11" name="MATERIAL_ATAP"/>
    <x:tableColumn id="12" name="KONDISI_ATAP"/>
    <x:tableColumn id="13" name="MATERIAL_DINDING"/>
    <x:tableColumn id="14" name="KONDISI_DINDING"/>
    <x:tableColumn id="15" name="MATERIAL_LANTAI"/>
    <x:tableColumn id="16" name="KONDISI_LANTAI"/>
    <x:tableColumn id="17" name="STATUS_MBR*"/>
    <x:tableColumn id="18" name="RENTAN_LANSIA*"/>
    <x:tableColumn id="19" name="RENTAN_DISABILITAS*"/>
    <x:tableColumn id="20" name="RENTAN_KEPALA_KELUARGA_PEREMPUAN*"/>
    <x:tableColumn id="21" name="RENTAN_BALITA*"/>
    <x:tableColumn id="22" name="RENTAN_KETERGANTUNGAN_TINGGI*"/>
    <x:tableColumn id="23" name="CATATAN_KERENTANAN_PENGHUNI"/>
    <x:tableColumn id="24" name="FAKTOR_KERENTANAN_TERPILIH"/>
    <x:tableColumn id="25" name="TINGKAT_KERENTANAN_PENGHUNI"/>
    <x:tableColumn id="26" name="SKOR_MBR"/>
    <x:tableColumn id="27" name="SKOR_FAKTOR_RENTAN"/>
    <x:tableColumn id="28" name="SKOR_KERENTANAN"/>
    <x:tableColumn id="29" name="RISIKO_BANGUNAN_BERPOTENSI_ROBOH*"/>
    <x:tableColumn id="30" name="RISIKO_BEKAS_KEBAKARAN_TIDAK_AMAN*"/>
    <x:tableColumn id="31" name="RISIKO_ATAP_DINDING_HAMPIR_RUNTUH*"/>
    <x:tableColumn id="32" name="RISIKO_GENANGAN_MEMBAHAYAKAN*"/>
    <x:tableColumn id="33" name="RISIKO_STRUKTUR_TIDAK_STABIL*"/>
    <x:tableColumn id="34" name="RISIKO_INSTALASI_LISTRIK_BERBAHAYA*"/>
    <x:tableColumn id="35" name="RISIKO_KOMPONEN_LEPAS_LAPUK*"/>
    <x:tableColumn id="36" name="RISIKO_AKSES_EVAKUASI_TERBATAS*"/>
    <x:tableColumn id="37" name="RISIKO_LOKASI_RAWAN_BENCANA*"/>
    <x:tableColumn id="38" name="RISIKO_LAINNYA"/>
    <x:tableColumn id="39" name="TINGKAT_RISIKO_LAINNYA"/>
    <x:tableColumn id="40" name="FAKTOR_RISIKO_TERPILIH"/>
    <x:tableColumn id="41" name="TINGKAT_RISIKO_KESELAMATAN"/>
    <x:tableColumn id="42" name="CATATAN_RISIKO_KESELAMATAN"/>
    <x:tableColumn id="43" name="SKOR_TEKNIS"/>
    <x:tableColumn id="44" name="SKOR_RISIKO"/>
    <x:tableColumn id="45" name="SKOR_PRIORITAS"/>
    <x:tableColumn id="46" name="TINGKAT_PRIORITAS"/>
    <x:tableColumn id="47" name="STATUS_ADMINISTRASI*"/>
    <x:tableColumn id="48" name="STATUS_VERIFIKASI*"/>
    <x:tableColumn id="49" name="STATUS_PENANGANAN*"/>
    <x:tableColumn id="50" name="SUMBER_DANA"/>
    <x:tableColumn id="51" name="TAHUN_PENANGANAN"/>
    <x:tableColumn id="52" name="STATUS_KEPEMILIKAN_TANAH"/>
    <x:tableColumn id="53" name="NOMOR_HP"/>
    <x:tableColumn id="54" name="TANGGAL_SURVEI"/>
    <x:tableColumn id="55" name="TAHUN_DATA*"/>
    <x:tableColumn id="56" name="SUMBER_DATA*"/>
    <x:tableColumn id="57" name="TANGGAL_UPDATE*"/>
    <x:tableColumn id="58" name="OPERATOR*"/>
  </x:tableColumns>
  <x:tableStyleInfo name="TableStyleMedium2" showRowStripes="1"/>
</x:table>
</file>

<file path=xl/tables/table5.xml><?xml version="1.0" encoding="utf-8"?>
<x:table xmlns:x="http://schemas.openxmlformats.org/spreadsheetml/2006/main" id="5" name="TblRusunawaUnit" displayName="TblRusunawaUnit" ref="A5:N205">
  <x:tableColumns count="14">
    <x:tableColumn id="1" name="ID_UNIT*"/>
    <x:tableColumn id="2" name="NAMA_RUSUNAWA*"/>
    <x:tableColumn id="3" name="BLOK*"/>
    <x:tableColumn id="4" name="LANTAI*"/>
    <x:tableColumn id="5" name="NOMOR_UNIT*"/>
    <x:tableColumn id="6" name="TIPE_UNIT"/>
    <x:tableColumn id="7" name="STATUS_UNIT*"/>
    <x:tableColumn id="8" name="KONDISI_UNIT*"/>
    <x:tableColumn id="9" name="KETERANGAN"/>
    <x:tableColumn id="10" name="TAHUN_DATA*"/>
    <x:tableColumn id="11" name="SUMBER_DATA*"/>
    <x:tableColumn id="12" name="STATUS_VERIFIKASI*"/>
    <x:tableColumn id="13" name="TANGGAL_UPDATE*"/>
    <x:tableColumn id="14" name="OPERATOR*"/>
  </x:tableColumns>
  <x:tableStyleInfo name="TableStyleMedium2" showRowStripes="1"/>
</x:table>
</file>

<file path=xl/tables/table6.xml><?xml version="1.0" encoding="utf-8"?>
<x:table xmlns:x="http://schemas.openxmlformats.org/spreadsheetml/2006/main" id="9" name="TblRusunawaRetribusi2" displayName="TblRusunawaRetribusi2" ref="A5:M105">
  <x:tableColumns count="13">
    <x:tableColumn id="1" name="ID_RETRIBUSI*"/>
    <x:tableColumn id="2" name="NAMA_RUSUNAWA*"/>
    <x:tableColumn id="3" name="TAHUN*"/>
    <x:tableColumn id="4" name="BULAN*"/>
    <x:tableColumn id="5" name="TARGET_TAHUNAN*"/>
    <x:tableColumn id="6" name="REALISASI*"/>
    <x:tableColumn id="7" name="REALISASI_KUMULATIF"/>
    <x:tableColumn id="8" name="CAPAIAN_PERSEN"/>
    <x:tableColumn id="9" name="STATUS_VERIFIKASI*"/>
    <x:tableColumn id="10" name="SUMBER_DATA*"/>
    <x:tableColumn id="11" name="TANGGAL_UPDATE*"/>
    <x:tableColumn id="12" name="OPERATOR*"/>
    <x:tableColumn id="13" name="CATATAN"/>
  </x:tableColumns>
  <x:tableStyleInfo name="TableStyleMedium2" showRowStripes="1"/>
</x:table>
</file>

<file path=xl/tables/table7.xml><?xml version="1.0" encoding="utf-8"?>
<x:table xmlns:x="http://schemas.openxmlformats.org/spreadsheetml/2006/main" id="7" name="TblRusunawaSarpras" displayName="TblRusunawaSarpras" ref="A5:N155">
  <x:tableColumns count="14">
    <x:tableColumn id="1" name="ID_SARPRAS*"/>
    <x:tableColumn id="2" name="NAMA_RUSUNAWA*"/>
    <x:tableColumn id="3" name="KOMPONEN*"/>
    <x:tableColumn id="4" name="LOKASI"/>
    <x:tableColumn id="5" name="KONDISI*"/>
    <x:tableColumn id="6" name="PRIORITAS*"/>
    <x:tableColumn id="7" name="TINDAK_LANJUT*"/>
    <x:tableColumn id="8" name="STATUS_TINDAK_LANJUT*"/>
    <x:tableColumn id="9" name="TANGGAL_PEMERIKSAAN*"/>
    <x:tableColumn id="10" name="TAHUN_DATA*"/>
    <x:tableColumn id="11" name="SUMBER_DATA*"/>
    <x:tableColumn id="12" name="STATUS_VERIFIKASI*"/>
    <x:tableColumn id="13" name="TANGGAL_UPDATE*"/>
    <x:tableColumn id="14" name="OPERATOR*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63732b8656b465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25eea28871c43e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6ea1fbd37a2470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53d5ebcf3dc40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f28e782976943a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d94f72c7029422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9aa6d351a89c48bb" /></Relationships>
</file>

<file path=xl/worksheets/sheet1.xml><?xml version="1.0" encoding="utf-8"?>
<x:worksheet xmlns:x="http://schemas.openxmlformats.org/spreadsheetml/2006/main">
  <x:sheetFormatPr defaultRowHeight="14"/>
  <x:cols>
    <x:col min="1" max="1" width="7.4140625" customWidth="1"/>
    <x:col min="2" max="2" width="44.08203125" customWidth="1"/>
    <x:col min="3" max="3" width="14" customWidth="1"/>
    <x:col min="4" max="4" width="16" customWidth="1"/>
    <x:col min="5" max="5" width="18" customWidth="1"/>
    <x:col min="6" max="6" width="30" customWidth="1"/>
    <x:col min="7" max="7" width="28" customWidth="1"/>
    <x:col min="8" max="8" width="26" customWidth="1"/>
    <x:col min="9" max="9" width="24" customWidth="1"/>
    <x:col min="10" max="10" width="17" customWidth="1"/>
    <x:col min="11" max="11" width="15" customWidth="1"/>
    <x:col min="12" max="12" width="21" customWidth="1"/>
    <x:col min="13" max="13" width="19" customWidth="1"/>
    <x:col min="14" max="14" width="26.25" customWidth="1"/>
    <x:col min="15" max="15" width="20" customWidth="1"/>
    <x:col min="16" max="16" width="24" customWidth="1"/>
    <x:col min="17" max="17" width="25" customWidth="1"/>
    <x:col min="18" max="18" width="24" customWidth="1"/>
    <x:col min="19" max="19" width="25" customWidth="1"/>
    <x:col min="20" max="20" width="31" customWidth="1"/>
    <x:col min="21" max="21" width="32" customWidth="1"/>
    <x:col min="22" max="22" width="17.25" customWidth="1"/>
    <x:col min="23" max="30" width="18" customWidth="1"/>
  </x:cols>
  <x:sheetData>
    <x:row r="1" ht="13.399999618530273" customHeight="1">
      <x:c r="A1" s="77" t="s">
        <x:v>0</x:v>
      </x:c>
      <x:c r="B1" s="77"/>
      <x:c r="C1" s="77"/>
      <x:c r="D1" s="77"/>
      <x:c r="E1" s="77"/>
      <x:c r="F1" s="77"/>
      <x:c r="G1" s="77"/>
      <x:c r="H1" s="77"/>
      <x:c r="I1" s="77"/>
      <x:c r="J1" s="77"/>
      <x:c r="K1" s="77"/>
      <x:c r="L1" s="77"/>
      <x:c r="M1" s="77"/>
      <x:c r="N1" s="77"/>
      <x:c r="O1" s="77"/>
      <x:c r="P1" s="77"/>
      <x:c r="Q1" s="77"/>
      <x:c r="R1" s="77"/>
      <x:c r="S1" s="77"/>
      <x:c r="T1" s="77"/>
      <x:c r="U1" s="77"/>
      <x:c r="V1" s="77"/>
      <x:c r="W1" s="77"/>
      <x:c r="X1" s="77"/>
      <x:c r="Y1" s="77"/>
      <x:c r="Z1" s="78"/>
      <x:c r="AA1" s="78"/>
      <x:c r="AB1" s="78"/>
      <x:c r="AC1" s="78"/>
      <x:c r="AD1" s="78"/>
    </x:row>
    <x:row r="2" ht="11.649999618530273" customHeight="1">
      <x:c r="A2" s="79" t="s">
        <x:v>1</x:v>
      </x:c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8"/>
      <x:c r="AA2" s="78"/>
      <x:c r="AB2" s="78"/>
      <x:c r="AC2" s="78"/>
      <x:c r="AD2" s="78"/>
    </x:row>
    <x:row r="3" ht="16.899999618530273" customHeight="1">
      <x:c r="A3" s="80" t="s">
        <x:v>2</x:v>
      </x:c>
      <x:c r="B3" s="80"/>
      <x:c r="C3" s="80"/>
      <x:c r="D3" s="80"/>
      <x:c r="E3" s="80"/>
      <x:c r="F3" s="80"/>
      <x:c r="G3" s="80"/>
      <x:c r="H3" s="80"/>
      <x:c r="I3" s="80"/>
      <x:c r="J3" s="80"/>
      <x:c r="K3" s="80"/>
      <x:c r="L3" s="80"/>
      <x:c r="M3" s="80"/>
      <x:c r="N3" s="80"/>
      <x:c r="O3" s="80"/>
      <x:c r="P3" s="80"/>
      <x:c r="Q3" s="80"/>
      <x:c r="R3" s="80"/>
      <x:c r="S3" s="80"/>
      <x:c r="T3" s="80"/>
      <x:c r="U3" s="80"/>
      <x:c r="V3" s="80"/>
      <x:c r="W3" s="80"/>
      <x:c r="X3" s="80"/>
      <x:c r="Y3" s="80"/>
      <x:c r="Z3" s="81"/>
      <x:c r="AA3" s="81"/>
      <x:c r="AB3" s="81"/>
      <x:c r="AC3" s="81"/>
      <x:c r="AD3" s="81"/>
    </x:row>
    <x:row r="5" ht="16" customHeight="1">
      <x:c r="A5" s="1" t="s">
        <x:v>3</x:v>
      </x:c>
      <x:c r="B5" s="2" t="s">
        <x:v>4</x:v>
      </x:c>
      <x:c r="C5" s="2" t="s">
        <x:v>5</x:v>
      </x:c>
      <x:c r="D5" s="2" t="s">
        <x:v>6</x:v>
      </x:c>
      <x:c r="E5" s="2" t="s">
        <x:v>7</x:v>
      </x:c>
      <x:c r="F5" s="2" t="s">
        <x:v>8</x:v>
      </x:c>
      <x:c r="G5" s="2" t="s">
        <x:v>9</x:v>
      </x:c>
      <x:c r="H5" s="2" t="s">
        <x:v>10</x:v>
      </x:c>
      <x:c r="I5" s="2" t="s">
        <x:v>11</x:v>
      </x:c>
      <x:c r="J5" s="2" t="s">
        <x:v>12</x:v>
      </x:c>
      <x:c r="K5" s="2" t="s">
        <x:v>13</x:v>
      </x:c>
      <x:c r="L5" s="2" t="s">
        <x:v>14</x:v>
      </x:c>
      <x:c r="M5" s="2" t="s">
        <x:v>15</x:v>
      </x:c>
      <x:c r="N5" s="2" t="s">
        <x:v>16</x:v>
      </x:c>
      <x:c r="O5" s="2" t="s">
        <x:v>17</x:v>
      </x:c>
      <x:c r="P5" s="2" t="s">
        <x:v>18</x:v>
      </x:c>
      <x:c r="Q5" s="2" t="s">
        <x:v>19</x:v>
      </x:c>
      <x:c r="R5" s="2" t="s">
        <x:v>20</x:v>
      </x:c>
      <x:c r="S5" s="2" t="s">
        <x:v>21</x:v>
      </x:c>
      <x:c r="T5" s="2" t="s">
        <x:v>22</x:v>
      </x:c>
      <x:c r="U5" s="2" t="s">
        <x:v>23</x:v>
      </x:c>
      <x:c r="V5" s="2" t="s">
        <x:v>24</x:v>
      </x:c>
      <x:c r="W5" s="2" t="s">
        <x:v>25</x:v>
      </x:c>
      <x:c r="X5" s="2" t="s">
        <x:v>26</x:v>
      </x:c>
      <x:c r="Y5" s="3" t="s">
        <x:v>27</x:v>
      </x:c>
      <x:c r="Z5" s="49" t="s">
        <x:v>28</x:v>
      </x:c>
      <x:c r="AA5" s="49" t="s">
        <x:v>29</x:v>
      </x:c>
      <x:c r="AB5" s="54" t="s">
        <x:v>30</x:v>
      </x:c>
      <x:c r="AC5" t="s">
        <x:v>31</x:v>
      </x:c>
      <x:c r="AD5" t="s">
        <x:v>32</x:v>
      </x:c>
    </x:row>
    <x:row r="6" ht="9.75" customHeight="1">
      <x:c r="A6" s="31">
        <x:v>1</x:v>
      </x:c>
      <x:c r="B6" s="10" t="s">
        <x:v>33</x:v>
      </x:c>
      <x:c r="C6" s="4" t="s">
        <x:v>34</x:v>
      </x:c>
      <x:c r="D6" s="10" t="s">
        <x:v>35</x:v>
      </x:c>
      <x:c r="E6" s="10" t="s">
        <x:v>36</x:v>
      </x:c>
      <x:c r="F6" s="4" t="s">
        <x:v>37</x:v>
      </x:c>
      <x:c r="G6" s="4" t="s">
        <x:v>38</x:v>
      </x:c>
      <x:c r="H6" s="16" t="s">
        <x:v>39</x:v>
      </x:c>
      <x:c r="I6" s="16" t="s">
        <x:v>40</x:v>
      </x:c>
      <x:c r="J6" s="4">
        <x:v>2019</x:v>
      </x:c>
      <x:c r="K6" s="16">
        <x:v>54</x:v>
      </x:c>
      <x:c r="L6" s="10">
        <x:v>54</x:v>
      </x:c>
      <x:c r="M6" s="16">
        <x:v>54</x:v>
      </x:c>
      <x:c r="N6" s="16" t="s">
        <x:v>41</x:v>
      </x:c>
      <x:c r="O6" s="4" t="s">
        <x:v>42</x:v>
      </x:c>
      <x:c r="P6" s="4"/>
      <x:c r="Q6" s="22" t="s">
        <x:v>43</x:v>
      </x:c>
      <x:c r="R6" s="22"/>
      <x:c r="S6" s="19"/>
      <x:c r="T6" s="10" t="s">
        <x:v>44</x:v>
      </x:c>
      <x:c r="U6" s="10"/>
      <x:c r="V6" s="10">
        <x:v>-2.0962670999999999</x:v>
      </x:c>
      <x:c r="W6" s="10">
        <x:v>106.0769433</x:v>
      </x:c>
      <x:c r="X6" s="64">
        <x:v>2025</x:v>
      </x:c>
      <x:c r="Y6" s="28"/>
      <x:c r="Z6" s="50"/>
      <x:c r="AA6" s="52"/>
      <x:c r="AB6" s="55"/>
      <x:c r="AC6" t="n">
        <x:f t="shared" ref="AC6:AC37" si="0">IF(A6="","",IFERROR(L6/K6,0))</x:f>
        <x:v>1</x:v>
      </x:c>
      <x:c r="AD6" t="n">
        <x:f t="shared" ref="AD6:AD37" si="1">IF(A6="","",IFERROR(M6/L6,0))</x:f>
        <x:v>1</x:v>
      </x:c>
    </x:row>
    <x:row r="7" ht="9.75" customHeight="1">
      <x:c r="A7" s="32">
        <x:v>2</x:v>
      </x:c>
      <x:c r="B7" s="11" t="s">
        <x:v>45</x:v>
      </x:c>
      <x:c r="C7" s="6" t="s">
        <x:v>34</x:v>
      </x:c>
      <x:c r="D7" s="11" t="s">
        <x:v>35</x:v>
      </x:c>
      <x:c r="E7" s="11" t="s">
        <x:v>46</x:v>
      </x:c>
      <x:c r="F7" s="6" t="s">
        <x:v>47</x:v>
      </x:c>
      <x:c r="G7" s="6" t="s">
        <x:v>38</x:v>
      </x:c>
      <x:c r="H7" s="17" t="s">
        <x:v>39</x:v>
      </x:c>
      <x:c r="I7" s="17" t="s">
        <x:v>40</x:v>
      </x:c>
      <x:c r="J7" s="6">
        <x:v>2023</x:v>
      </x:c>
      <x:c r="K7" s="17">
        <x:v>46</x:v>
      </x:c>
      <x:c r="L7" s="11">
        <x:v>22</x:v>
      </x:c>
      <x:c r="M7" s="17">
        <x:v>0</x:v>
      </x:c>
      <x:c r="N7" s="17" t="s">
        <x:v>48</x:v>
      </x:c>
      <x:c r="O7" s="6">
        <x:v>2025</x:v>
      </x:c>
      <x:c r="P7" s="6"/>
      <x:c r="Q7" s="23" t="s">
        <x:v>43</x:v>
      </x:c>
      <x:c r="R7" s="23"/>
      <x:c r="S7" s="20"/>
      <x:c r="T7" s="11"/>
      <x:c r="U7" s="11"/>
      <x:c r="V7" s="11">
        <x:v>-2.1163816999999998</x:v>
      </x:c>
      <x:c r="W7" s="11">
        <x:v>106.06782029999999</x:v>
      </x:c>
      <x:c r="X7" s="65"/>
      <x:c r="Y7" s="29"/>
      <x:c r="Z7" s="51"/>
      <x:c r="AA7" s="53"/>
      <x:c r="AB7" s="56"/>
      <x:c r="AC7">
        <x:f t="shared" si="0"/>
        <x:v>0.47826086956521741</x:v>
      </x:c>
      <x:c r="AD7">
        <x:f t="shared" si="1"/>
        <x:v>0</x:v>
      </x:c>
    </x:row>
    <x:row r="8" ht="9.75" customHeight="1">
      <x:c r="A8" s="32">
        <x:v>3</x:v>
      </x:c>
      <x:c r="B8" s="11" t="s">
        <x:v>49</x:v>
      </x:c>
      <x:c r="C8" s="6" t="s">
        <x:v>34</x:v>
      </x:c>
      <x:c r="D8" s="11" t="s">
        <x:v>35</x:v>
      </x:c>
      <x:c r="E8" s="11" t="s">
        <x:v>46</x:v>
      </x:c>
      <x:c r="F8" s="6" t="s">
        <x:v>47</x:v>
      </x:c>
      <x:c r="G8" s="6" t="s">
        <x:v>38</x:v>
      </x:c>
      <x:c r="H8" s="17" t="s">
        <x:v>39</x:v>
      </x:c>
      <x:c r="I8" s="17" t="s">
        <x:v>40</x:v>
      </x:c>
      <x:c r="J8" s="6">
        <x:v>2020</x:v>
      </x:c>
      <x:c r="K8" s="17">
        <x:v>52</x:v>
      </x:c>
      <x:c r="L8" s="11">
        <x:v>52</x:v>
      </x:c>
      <x:c r="M8" s="17">
        <x:v>52</x:v>
      </x:c>
      <x:c r="N8" s="17" t="s">
        <x:v>48</x:v>
      </x:c>
      <x:c r="O8" s="6">
        <x:v>2025</x:v>
      </x:c>
      <x:c r="P8" s="6"/>
      <x:c r="Q8" s="23" t="s">
        <x:v>43</x:v>
      </x:c>
      <x:c r="R8" s="23"/>
      <x:c r="S8" s="20"/>
      <x:c r="T8" s="11"/>
      <x:c r="U8" s="11"/>
      <x:c r="V8" s="11">
        <x:v>-2.1141640000000002</x:v>
      </x:c>
      <x:c r="W8" s="11">
        <x:v>106.065597</x:v>
      </x:c>
      <x:c r="X8" s="65"/>
      <x:c r="Y8" s="29"/>
      <x:c r="Z8" s="51"/>
      <x:c r="AA8" s="53"/>
      <x:c r="AB8" s="56"/>
      <x:c r="AC8">
        <x:f t="shared" si="0"/>
        <x:v>1</x:v>
      </x:c>
      <x:c r="AD8">
        <x:f t="shared" si="1"/>
        <x:v>1</x:v>
      </x:c>
    </x:row>
    <x:row r="9" ht="9.75" customHeight="1">
      <x:c r="A9" s="32">
        <x:v>4</x:v>
      </x:c>
      <x:c r="B9" s="11" t="s">
        <x:v>50</x:v>
      </x:c>
      <x:c r="C9" s="6" t="s">
        <x:v>34</x:v>
      </x:c>
      <x:c r="D9" s="11" t="s">
        <x:v>35</x:v>
      </x:c>
      <x:c r="E9" s="11" t="s">
        <x:v>36</x:v>
      </x:c>
      <x:c r="F9" s="6" t="s">
        <x:v>51</x:v>
      </x:c>
      <x:c r="G9" s="6" t="s">
        <x:v>42</x:v>
      </x:c>
      <x:c r="H9" s="17" t="s">
        <x:v>52</x:v>
      </x:c>
      <x:c r="I9" s="17" t="s">
        <x:v>42</x:v>
      </x:c>
      <x:c r="J9" s="6">
        <x:v>2016</x:v>
      </x:c>
      <x:c r="K9" s="17">
        <x:v>41</x:v>
      </x:c>
      <x:c r="L9" s="11">
        <x:v>41</x:v>
      </x:c>
      <x:c r="M9" s="17">
        <x:v>41</x:v>
      </x:c>
      <x:c r="N9" s="17" t="s">
        <x:v>41</x:v>
      </x:c>
      <x:c r="O9" s="6" t="s">
        <x:v>42</x:v>
      </x:c>
      <x:c r="P9" s="6"/>
      <x:c r="Q9" s="23" t="s">
        <x:v>43</x:v>
      </x:c>
      <x:c r="R9" s="23"/>
      <x:c r="S9" s="20"/>
      <x:c r="T9" s="11"/>
      <x:c r="U9" s="11"/>
      <x:c r="V9" s="11">
        <x:v>-2.1202549999999998</x:v>
      </x:c>
      <x:c r="W9" s="11">
        <x:v>106.07257199999999</x:v>
      </x:c>
      <x:c r="X9" s="65"/>
      <x:c r="Y9" s="29"/>
      <x:c r="Z9" s="51"/>
      <x:c r="AA9" s="53"/>
      <x:c r="AB9" s="56"/>
      <x:c r="AC9">
        <x:f t="shared" si="0"/>
        <x:v>1</x:v>
      </x:c>
      <x:c r="AD9">
        <x:f t="shared" si="1"/>
        <x:v>1</x:v>
      </x:c>
    </x:row>
    <x:row r="10" ht="9.75" customHeight="1">
      <x:c r="A10" s="32">
        <x:v>5</x:v>
      </x:c>
      <x:c r="B10" s="11" t="s">
        <x:v>53</x:v>
      </x:c>
      <x:c r="C10" s="6" t="s">
        <x:v>34</x:v>
      </x:c>
      <x:c r="D10" s="11" t="s">
        <x:v>35</x:v>
      </x:c>
      <x:c r="E10" s="11" t="s">
        <x:v>36</x:v>
      </x:c>
      <x:c r="F10" s="6" t="s">
        <x:v>54</x:v>
      </x:c>
      <x:c r="G10" s="6" t="s">
        <x:v>42</x:v>
      </x:c>
      <x:c r="H10" s="17" t="s">
        <x:v>42</x:v>
      </x:c>
      <x:c r="I10" s="17" t="s">
        <x:v>42</x:v>
      </x:c>
      <x:c r="J10" s="6">
        <x:v>2015</x:v>
      </x:c>
      <x:c r="K10" s="17">
        <x:v>37</x:v>
      </x:c>
      <x:c r="L10" s="11">
        <x:v>37</x:v>
      </x:c>
      <x:c r="M10" s="17">
        <x:v>37</x:v>
      </x:c>
      <x:c r="N10" s="17" t="s">
        <x:v>41</x:v>
      </x:c>
      <x:c r="O10" s="6" t="s">
        <x:v>42</x:v>
      </x:c>
      <x:c r="P10" s="6"/>
      <x:c r="Q10" s="23" t="s">
        <x:v>43</x:v>
      </x:c>
      <x:c r="R10" s="23" t="s">
        <x:v>55</x:v>
      </x:c>
      <x:c r="S10" s="20"/>
      <x:c r="T10" s="11"/>
      <x:c r="U10" s="11"/>
      <x:c r="V10" s="11">
        <x:v>-2.094214</x:v>
      </x:c>
      <x:c r="W10" s="11">
        <x:v>106.0800655</x:v>
      </x:c>
      <x:c r="X10" s="65"/>
      <x:c r="Y10" s="29"/>
      <x:c r="Z10" s="51"/>
      <x:c r="AA10" s="53"/>
      <x:c r="AB10" s="56"/>
      <x:c r="AC10">
        <x:f t="shared" si="0"/>
        <x:v>1</x:v>
      </x:c>
      <x:c r="AD10">
        <x:f t="shared" si="1"/>
        <x:v>1</x:v>
      </x:c>
    </x:row>
    <x:row r="11" ht="9.75" customHeight="1">
      <x:c r="A11" s="32">
        <x:v>6</x:v>
      </x:c>
      <x:c r="B11" s="11" t="s">
        <x:v>56</x:v>
      </x:c>
      <x:c r="C11" s="6" t="s">
        <x:v>34</x:v>
      </x:c>
      <x:c r="D11" s="11" t="s">
        <x:v>35</x:v>
      </x:c>
      <x:c r="E11" s="11" t="s">
        <x:v>46</x:v>
      </x:c>
      <x:c r="F11" s="6" t="s">
        <x:v>47</x:v>
      </x:c>
      <x:c r="G11" s="6" t="s">
        <x:v>57</x:v>
      </x:c>
      <x:c r="H11" s="17" t="s">
        <x:v>58</x:v>
      </x:c>
      <x:c r="I11" s="17" t="s">
        <x:v>40</x:v>
      </x:c>
      <x:c r="J11" s="6">
        <x:v>2023</x:v>
      </x:c>
      <x:c r="K11" s="17">
        <x:v>80</x:v>
      </x:c>
      <x:c r="L11" s="11">
        <x:v>0</x:v>
      </x:c>
      <x:c r="M11" s="17">
        <x:v>0</x:v>
      </x:c>
      <x:c r="N11" s="17" t="s">
        <x:v>41</x:v>
      </x:c>
      <x:c r="O11" s="6" t="s">
        <x:v>42</x:v>
      </x:c>
      <x:c r="P11" s="6"/>
      <x:c r="Q11" s="23" t="s">
        <x:v>43</x:v>
      </x:c>
      <x:c r="R11" s="23"/>
      <x:c r="S11" s="20"/>
      <x:c r="T11" s="11"/>
      <x:c r="U11" s="11"/>
      <x:c r="V11" s="11">
        <x:v>-2.1142946999999999</x:v>
      </x:c>
      <x:c r="W11" s="11">
        <x:v>106.0637443</x:v>
      </x:c>
      <x:c r="X11" s="65"/>
      <x:c r="Y11" s="29"/>
      <x:c r="Z11" s="51"/>
      <x:c r="AA11" s="53"/>
      <x:c r="AB11" s="56"/>
      <x:c r="AC11">
        <x:f t="shared" si="0"/>
        <x:v>0</x:v>
      </x:c>
      <x:c r="AD11">
        <x:f t="shared" si="1"/>
        <x:v>0</x:v>
      </x:c>
    </x:row>
    <x:row r="12" ht="9.75" customHeight="1">
      <x:c r="A12" s="32">
        <x:v>7</x:v>
      </x:c>
      <x:c r="B12" s="11" t="s">
        <x:v>59</x:v>
      </x:c>
      <x:c r="C12" s="6" t="s">
        <x:v>34</x:v>
      </x:c>
      <x:c r="D12" s="11" t="s">
        <x:v>60</x:v>
      </x:c>
      <x:c r="E12" s="11" t="s">
        <x:v>61</x:v>
      </x:c>
      <x:c r="F12" s="6" t="s">
        <x:v>62</x:v>
      </x:c>
      <x:c r="G12" s="6" t="s">
        <x:v>63</x:v>
      </x:c>
      <x:c r="H12" s="17" t="s">
        <x:v>64</x:v>
      </x:c>
      <x:c r="I12" s="17" t="s">
        <x:v>65</x:v>
      </x:c>
      <x:c r="J12" s="6">
        <x:v>2015</x:v>
      </x:c>
      <x:c r="K12" s="17">
        <x:v>36</x:v>
      </x:c>
      <x:c r="L12" s="11">
        <x:v>36</x:v>
      </x:c>
      <x:c r="M12" s="17">
        <x:v>36</x:v>
      </x:c>
      <x:c r="N12" s="17" t="s">
        <x:v>41</x:v>
      </x:c>
      <x:c r="O12" s="6" t="s">
        <x:v>42</x:v>
      </x:c>
      <x:c r="P12" s="6"/>
      <x:c r="Q12" s="23" t="s">
        <x:v>43</x:v>
      </x:c>
      <x:c r="R12" s="23" t="s">
        <x:v>55</x:v>
      </x:c>
      <x:c r="S12" s="20"/>
      <x:c r="T12" s="11"/>
      <x:c r="U12" s="11"/>
      <x:c r="V12" s="11">
        <x:v>-2.1036899</x:v>
      </x:c>
      <x:c r="W12" s="11">
        <x:v>106.0958978</x:v>
      </x:c>
      <x:c r="X12" s="65"/>
      <x:c r="Y12" s="29"/>
      <x:c r="Z12" s="51"/>
      <x:c r="AA12" s="53"/>
      <x:c r="AB12" s="56"/>
      <x:c r="AC12">
        <x:f t="shared" si="0"/>
        <x:v>1</x:v>
      </x:c>
      <x:c r="AD12">
        <x:f t="shared" si="1"/>
        <x:v>1</x:v>
      </x:c>
    </x:row>
    <x:row r="13" ht="9.75" customHeight="1">
      <x:c r="A13" s="32">
        <x:v>8</x:v>
      </x:c>
      <x:c r="B13" s="11" t="s">
        <x:v>66</x:v>
      </x:c>
      <x:c r="C13" s="6" t="s">
        <x:v>34</x:v>
      </x:c>
      <x:c r="D13" s="11" t="s">
        <x:v>60</x:v>
      </x:c>
      <x:c r="E13" s="11" t="s">
        <x:v>67</x:v>
      </x:c>
      <x:c r="F13" s="6" t="s">
        <x:v>68</x:v>
      </x:c>
      <x:c r="G13" s="6" t="s">
        <x:v>63</x:v>
      </x:c>
      <x:c r="H13" s="17" t="s">
        <x:v>64</x:v>
      </x:c>
      <x:c r="I13" s="17" t="s">
        <x:v>65</x:v>
      </x:c>
      <x:c r="J13" s="6">
        <x:v>2018</x:v>
      </x:c>
      <x:c r="K13" s="17">
        <x:v>22</x:v>
      </x:c>
      <x:c r="L13" s="11">
        <x:v>22</x:v>
      </x:c>
      <x:c r="M13" s="17">
        <x:v>22</x:v>
      </x:c>
      <x:c r="N13" s="17" t="s">
        <x:v>41</x:v>
      </x:c>
      <x:c r="O13" s="6" t="s">
        <x:v>42</x:v>
      </x:c>
      <x:c r="P13" s="6"/>
      <x:c r="Q13" s="23" t="s">
        <x:v>43</x:v>
      </x:c>
      <x:c r="R13" s="23"/>
      <x:c r="S13" s="20"/>
      <x:c r="T13" s="11"/>
      <x:c r="U13" s="11"/>
      <x:c r="V13" s="11">
        <x:v>-2.1060007000000001</x:v>
      </x:c>
      <x:c r="W13" s="11">
        <x:v>106.10589899999999</x:v>
      </x:c>
      <x:c r="X13" s="65"/>
      <x:c r="Y13" s="29"/>
      <x:c r="Z13" s="51"/>
      <x:c r="AA13" s="53"/>
      <x:c r="AB13" s="56"/>
      <x:c r="AC13">
        <x:f t="shared" si="0"/>
        <x:v>1</x:v>
      </x:c>
      <x:c r="AD13">
        <x:f t="shared" si="1"/>
        <x:v>1</x:v>
      </x:c>
    </x:row>
    <x:row r="14" ht="9.75" customHeight="1">
      <x:c r="A14" s="32">
        <x:v>9</x:v>
      </x:c>
      <x:c r="B14" s="11" t="s">
        <x:v>69</x:v>
      </x:c>
      <x:c r="C14" s="6" t="s">
        <x:v>34</x:v>
      </x:c>
      <x:c r="D14" s="11" t="s">
        <x:v>60</x:v>
      </x:c>
      <x:c r="E14" s="11" t="s">
        <x:v>70</x:v>
      </x:c>
      <x:c r="F14" s="6" t="s">
        <x:v>71</x:v>
      </x:c>
      <x:c r="G14" s="6" t="s">
        <x:v>63</x:v>
      </x:c>
      <x:c r="H14" s="17" t="s">
        <x:v>64</x:v>
      </x:c>
      <x:c r="I14" s="17" t="s">
        <x:v>65</x:v>
      </x:c>
      <x:c r="J14" s="6">
        <x:v>2019</x:v>
      </x:c>
      <x:c r="K14" s="17">
        <x:v>45</x:v>
      </x:c>
      <x:c r="L14" s="11">
        <x:v>45</x:v>
      </x:c>
      <x:c r="M14" s="17">
        <x:v>45</x:v>
      </x:c>
      <x:c r="N14" s="17" t="s">
        <x:v>48</x:v>
      </x:c>
      <x:c r="O14" s="6">
        <x:v>2020</x:v>
      </x:c>
      <x:c r="P14" s="6"/>
      <x:c r="Q14" s="23" t="s">
        <x:v>72</x:v>
      </x:c>
      <x:c r="R14" s="23"/>
      <x:c r="S14" s="20"/>
      <x:c r="T14" s="11"/>
      <x:c r="U14" s="11"/>
      <x:c r="V14" s="11">
        <x:v>-2.0904376</x:v>
      </x:c>
      <x:c r="W14" s="11">
        <x:v>106.09290710000001</x:v>
      </x:c>
      <x:c r="X14" s="65"/>
      <x:c r="Y14" s="29"/>
      <x:c r="Z14" s="51"/>
      <x:c r="AA14" s="53"/>
      <x:c r="AB14" s="56"/>
      <x:c r="AC14">
        <x:f t="shared" si="0"/>
        <x:v>1</x:v>
      </x:c>
      <x:c r="AD14">
        <x:f t="shared" si="1"/>
        <x:v>1</x:v>
      </x:c>
    </x:row>
    <x:row r="15" ht="9.75" customHeight="1">
      <x:c r="A15" s="32">
        <x:v>10</x:v>
      </x:c>
      <x:c r="B15" s="11" t="s">
        <x:v>73</x:v>
      </x:c>
      <x:c r="C15" s="6" t="s">
        <x:v>34</x:v>
      </x:c>
      <x:c r="D15" s="11" t="s">
        <x:v>35</x:v>
      </x:c>
      <x:c r="E15" s="11" t="s">
        <x:v>36</x:v>
      </x:c>
      <x:c r="F15" s="6" t="s">
        <x:v>74</x:v>
      </x:c>
      <x:c r="G15" s="6" t="s">
        <x:v>63</x:v>
      </x:c>
      <x:c r="H15" s="17" t="s">
        <x:v>64</x:v>
      </x:c>
      <x:c r="I15" s="17" t="s">
        <x:v>65</x:v>
      </x:c>
      <x:c r="J15" s="6">
        <x:v>2020</x:v>
      </x:c>
      <x:c r="K15" s="17">
        <x:v>75</x:v>
      </x:c>
      <x:c r="L15" s="11">
        <x:v>75</x:v>
      </x:c>
      <x:c r="M15" s="17">
        <x:v>75</x:v>
      </x:c>
      <x:c r="N15" s="17" t="s">
        <x:v>41</x:v>
      </x:c>
      <x:c r="O15" s="6" t="s">
        <x:v>42</x:v>
      </x:c>
      <x:c r="P15" s="6"/>
      <x:c r="Q15" s="23" t="s">
        <x:v>75</x:v>
      </x:c>
      <x:c r="R15" s="23" t="s">
        <x:v>55</x:v>
      </x:c>
      <x:c r="S15" s="20"/>
      <x:c r="T15" s="11" t="s">
        <x:v>44</x:v>
      </x:c>
      <x:c r="U15" s="11"/>
      <x:c r="V15" s="11">
        <x:v>-2.100133</x:v>
      </x:c>
      <x:c r="W15" s="11">
        <x:v>106.07501499999999</x:v>
      </x:c>
      <x:c r="X15" s="65"/>
      <x:c r="Y15" s="29"/>
      <x:c r="Z15" s="51"/>
      <x:c r="AA15" s="53"/>
      <x:c r="AB15" s="56"/>
      <x:c r="AC15">
        <x:f t="shared" si="0"/>
        <x:v>1</x:v>
      </x:c>
      <x:c r="AD15">
        <x:f t="shared" si="1"/>
        <x:v>1</x:v>
      </x:c>
    </x:row>
    <x:row r="16" ht="9.75" customHeight="1">
      <x:c r="A16" s="32">
        <x:v>11</x:v>
      </x:c>
      <x:c r="B16" s="11" t="s">
        <x:v>76</x:v>
      </x:c>
      <x:c r="C16" s="6" t="s">
        <x:v>34</x:v>
      </x:c>
      <x:c r="D16" s="11" t="s">
        <x:v>35</x:v>
      </x:c>
      <x:c r="E16" s="11" t="s">
        <x:v>36</x:v>
      </x:c>
      <x:c r="F16" s="6" t="s">
        <x:v>77</x:v>
      </x:c>
      <x:c r="G16" s="6" t="s">
        <x:v>63</x:v>
      </x:c>
      <x:c r="H16" s="17" t="s">
        <x:v>64</x:v>
      </x:c>
      <x:c r="I16" s="17" t="s">
        <x:v>65</x:v>
      </x:c>
      <x:c r="J16" s="6">
        <x:v>2022</x:v>
      </x:c>
      <x:c r="K16" s="17">
        <x:v>51</x:v>
      </x:c>
      <x:c r="L16" s="11">
        <x:v>51</x:v>
      </x:c>
      <x:c r="M16" s="17">
        <x:v>51</x:v>
      </x:c>
      <x:c r="N16" s="17" t="s">
        <x:v>41</x:v>
      </x:c>
      <x:c r="O16" s="6" t="s">
        <x:v>42</x:v>
      </x:c>
      <x:c r="P16" s="6"/>
      <x:c r="Q16" s="23" t="s">
        <x:v>43</x:v>
      </x:c>
      <x:c r="R16" s="23"/>
      <x:c r="S16" s="20"/>
      <x:c r="T16" s="11"/>
      <x:c r="U16" s="11"/>
      <x:c r="V16" s="11">
        <x:v>-2.1091386999999999</x:v>
      </x:c>
      <x:c r="W16" s="11">
        <x:v>106.0656738</x:v>
      </x:c>
      <x:c r="X16" s="65"/>
      <x:c r="Y16" s="29"/>
      <x:c r="Z16" s="51"/>
      <x:c r="AA16" s="53"/>
      <x:c r="AB16" s="56"/>
      <x:c r="AC16">
        <x:f t="shared" si="0"/>
        <x:v>1</x:v>
      </x:c>
      <x:c r="AD16">
        <x:f t="shared" si="1"/>
        <x:v>1</x:v>
      </x:c>
    </x:row>
    <x:row r="17" ht="9.75" customHeight="1">
      <x:c r="A17" s="32">
        <x:v>12</x:v>
      </x:c>
      <x:c r="B17" s="11" t="s">
        <x:v>78</x:v>
      </x:c>
      <x:c r="C17" s="6" t="s">
        <x:v>34</x:v>
      </x:c>
      <x:c r="D17" s="11" t="s">
        <x:v>60</x:v>
      </x:c>
      <x:c r="E17" s="11" t="s">
        <x:v>70</x:v>
      </x:c>
      <x:c r="F17" s="6" t="s">
        <x:v>79</x:v>
      </x:c>
      <x:c r="G17" s="6" t="s">
        <x:v>63</x:v>
      </x:c>
      <x:c r="H17" s="17" t="s">
        <x:v>64</x:v>
      </x:c>
      <x:c r="I17" s="17" t="s">
        <x:v>65</x:v>
      </x:c>
      <x:c r="J17" s="6">
        <x:v>2023</x:v>
      </x:c>
      <x:c r="K17" s="17">
        <x:v>84</x:v>
      </x:c>
      <x:c r="L17" s="11">
        <x:v>51</x:v>
      </x:c>
      <x:c r="M17" s="17">
        <x:v>38</x:v>
      </x:c>
      <x:c r="N17" s="17" t="s">
        <x:v>41</x:v>
      </x:c>
      <x:c r="O17" s="6" t="s">
        <x:v>42</x:v>
      </x:c>
      <x:c r="P17" s="6"/>
      <x:c r="Q17" s="23" t="s">
        <x:v>43</x:v>
      </x:c>
      <x:c r="R17" s="23"/>
      <x:c r="S17" s="20"/>
      <x:c r="T17" s="11" t="s">
        <x:v>44</x:v>
      </x:c>
      <x:c r="U17" s="11"/>
      <x:c r="V17" s="11">
        <x:v>-2.0843104000000001</x:v>
      </x:c>
      <x:c r="W17" s="11">
        <x:v>106.09608110000001</x:v>
      </x:c>
      <x:c r="X17" s="65"/>
      <x:c r="Y17" s="29"/>
      <x:c r="Z17" s="51"/>
      <x:c r="AA17" s="53"/>
      <x:c r="AB17" s="56"/>
      <x:c r="AC17">
        <x:f t="shared" si="0"/>
        <x:v>0.6071428571428571</x:v>
      </x:c>
      <x:c r="AD17">
        <x:f t="shared" si="1"/>
        <x:v>0.74509803921568629</x:v>
      </x:c>
    </x:row>
    <x:row r="18" ht="9.75" customHeight="1">
      <x:c r="A18" s="32">
        <x:v>13</x:v>
      </x:c>
      <x:c r="B18" s="11" t="s">
        <x:v>80</x:v>
      </x:c>
      <x:c r="C18" s="6" t="s">
        <x:v>34</x:v>
      </x:c>
      <x:c r="D18" s="11" t="s">
        <x:v>81</x:v>
      </x:c>
      <x:c r="E18" s="11" t="s">
        <x:v>82</x:v>
      </x:c>
      <x:c r="F18" s="6" t="s">
        <x:v>83</x:v>
      </x:c>
      <x:c r="G18" s="6" t="s">
        <x:v>84</x:v>
      </x:c>
      <x:c r="H18" s="17" t="s">
        <x:v>85</x:v>
      </x:c>
      <x:c r="I18" s="17" t="s">
        <x:v>86</x:v>
      </x:c>
      <x:c r="J18" s="6">
        <x:v>2022</x:v>
      </x:c>
      <x:c r="K18" s="17">
        <x:v>112</x:v>
      </x:c>
      <x:c r="L18" s="11">
        <x:v>98</x:v>
      </x:c>
      <x:c r="M18" s="17">
        <x:v>98</x:v>
      </x:c>
      <x:c r="N18" s="17" t="s">
        <x:v>41</x:v>
      </x:c>
      <x:c r="O18" s="6" t="s">
        <x:v>42</x:v>
      </x:c>
      <x:c r="P18" s="6"/>
      <x:c r="Q18" s="23" t="s">
        <x:v>43</x:v>
      </x:c>
      <x:c r="R18" s="23"/>
      <x:c r="S18" s="20"/>
      <x:c r="T18" s="11" t="s">
        <x:v>44</x:v>
      </x:c>
      <x:c r="U18" s="11"/>
      <x:c r="V18" s="11">
        <x:v>-2.1291820000000001</x:v>
      </x:c>
      <x:c r="W18" s="11">
        <x:v>106.14707799999999</x:v>
      </x:c>
      <x:c r="X18" s="65"/>
      <x:c r="Y18" s="29"/>
      <x:c r="Z18" s="51"/>
      <x:c r="AA18" s="53"/>
      <x:c r="AB18" s="56"/>
      <x:c r="AC18">
        <x:f t="shared" si="0"/>
        <x:v>0.875</x:v>
      </x:c>
      <x:c r="AD18">
        <x:f t="shared" si="1"/>
        <x:v>1</x:v>
      </x:c>
    </x:row>
    <x:row r="19" ht="9.75" customHeight="1">
      <x:c r="A19" s="32">
        <x:v>14</x:v>
      </x:c>
      <x:c r="B19" s="11" t="s">
        <x:v>87</x:v>
      </x:c>
      <x:c r="C19" s="6" t="s">
        <x:v>34</x:v>
      </x:c>
      <x:c r="D19" s="11" t="s">
        <x:v>81</x:v>
      </x:c>
      <x:c r="E19" s="11" t="s">
        <x:v>82</x:v>
      </x:c>
      <x:c r="F19" s="6" t="s">
        <x:v>83</x:v>
      </x:c>
      <x:c r="G19" s="6" t="s">
        <x:v>84</x:v>
      </x:c>
      <x:c r="H19" s="17" t="s">
        <x:v>85</x:v>
      </x:c>
      <x:c r="I19" s="17" t="s">
        <x:v>86</x:v>
      </x:c>
      <x:c r="J19" s="6">
        <x:v>2023</x:v>
      </x:c>
      <x:c r="K19" s="17">
        <x:v>41</x:v>
      </x:c>
      <x:c r="L19" s="11">
        <x:v>37</x:v>
      </x:c>
      <x:c r="M19" s="17">
        <x:v>37</x:v>
      </x:c>
      <x:c r="N19" s="17" t="s">
        <x:v>41</x:v>
      </x:c>
      <x:c r="O19" s="6" t="s">
        <x:v>42</x:v>
      </x:c>
      <x:c r="P19" s="6"/>
      <x:c r="Q19" s="23" t="s">
        <x:v>43</x:v>
      </x:c>
      <x:c r="R19" s="23" t="s">
        <x:v>88</x:v>
      </x:c>
      <x:c r="S19" s="20"/>
      <x:c r="T19" s="11" t="s">
        <x:v>44</x:v>
      </x:c>
      <x:c r="U19" s="11"/>
      <x:c r="V19" s="11">
        <x:v>-2.1291820000000001</x:v>
      </x:c>
      <x:c r="W19" s="11">
        <x:v>106.14707900000001</x:v>
      </x:c>
      <x:c r="X19" s="65"/>
      <x:c r="Y19" s="29"/>
      <x:c r="Z19" s="51"/>
      <x:c r="AA19" s="53"/>
      <x:c r="AB19" s="56"/>
      <x:c r="AC19">
        <x:f t="shared" si="0"/>
        <x:v>0.90243902439024393</x:v>
      </x:c>
      <x:c r="AD19">
        <x:f t="shared" si="1"/>
        <x:v>1</x:v>
      </x:c>
    </x:row>
    <x:row r="20" ht="9.75" customHeight="1">
      <x:c r="A20" s="32">
        <x:v>15</x:v>
      </x:c>
      <x:c r="B20" s="11" t="s">
        <x:v>89</x:v>
      </x:c>
      <x:c r="C20" s="6" t="s">
        <x:v>90</x:v>
      </x:c>
      <x:c r="D20" s="11" t="s">
        <x:v>60</x:v>
      </x:c>
      <x:c r="E20" s="11" t="s">
        <x:v>91</x:v>
      </x:c>
      <x:c r="F20" s="6" t="s">
        <x:v>92</x:v>
      </x:c>
      <x:c r="G20" s="6" t="s">
        <x:v>84</x:v>
      </x:c>
      <x:c r="H20" s="17" t="s">
        <x:v>85</x:v>
      </x:c>
      <x:c r="I20" s="17" t="s">
        <x:v>86</x:v>
      </x:c>
      <x:c r="J20" s="6">
        <x:v>2022</x:v>
      </x:c>
      <x:c r="K20" s="17">
        <x:v>107</x:v>
      </x:c>
      <x:c r="L20" s="11">
        <x:v>90</x:v>
      </x:c>
      <x:c r="M20" s="17">
        <x:v>0</x:v>
      </x:c>
      <x:c r="N20" s="17" t="s">
        <x:v>41</x:v>
      </x:c>
      <x:c r="O20" s="6" t="s">
        <x:v>42</x:v>
      </x:c>
      <x:c r="P20" s="6"/>
      <x:c r="Q20" s="23" t="s">
        <x:v>43</x:v>
      </x:c>
      <x:c r="R20" s="23" t="s">
        <x:v>88</x:v>
      </x:c>
      <x:c r="S20" s="20"/>
      <x:c r="T20" s="11" t="s">
        <x:v>44</x:v>
      </x:c>
      <x:c r="U20" s="11"/>
      <x:c r="V20" s="11">
        <x:v>-2.0851687000000001</x:v>
      </x:c>
      <x:c r="W20" s="11">
        <x:v>106.1168948</x:v>
      </x:c>
      <x:c r="X20" s="65"/>
      <x:c r="Y20" s="29"/>
      <x:c r="Z20" s="51"/>
      <x:c r="AA20" s="53"/>
      <x:c r="AB20" s="56"/>
      <x:c r="AC20">
        <x:f t="shared" si="0"/>
        <x:v>0.84112149532710279</x:v>
      </x:c>
      <x:c r="AD20">
        <x:f t="shared" si="1"/>
        <x:v>0</x:v>
      </x:c>
    </x:row>
    <x:row r="21" ht="9.75" customHeight="1">
      <x:c r="A21" s="32">
        <x:v>16</x:v>
      </x:c>
      <x:c r="B21" s="11" t="s">
        <x:v>93</x:v>
      </x:c>
      <x:c r="C21" s="6" t="s">
        <x:v>34</x:v>
      </x:c>
      <x:c r="D21" s="11" t="s">
        <x:v>60</x:v>
      </x:c>
      <x:c r="E21" s="11" t="s">
        <x:v>91</x:v>
      </x:c>
      <x:c r="F21" s="6" t="s">
        <x:v>92</x:v>
      </x:c>
      <x:c r="G21" s="6" t="s">
        <x:v>84</x:v>
      </x:c>
      <x:c r="H21" s="17" t="s">
        <x:v>85</x:v>
      </x:c>
      <x:c r="I21" s="17" t="s">
        <x:v>86</x:v>
      </x:c>
      <x:c r="J21" s="6">
        <x:v>2023</x:v>
      </x:c>
      <x:c r="K21" s="17">
        <x:v>24</x:v>
      </x:c>
      <x:c r="L21" s="11">
        <x:v>0</x:v>
      </x:c>
      <x:c r="M21" s="17">
        <x:v>0</x:v>
      </x:c>
      <x:c r="N21" s="17" t="s">
        <x:v>41</x:v>
      </x:c>
      <x:c r="O21" s="6" t="s">
        <x:v>42</x:v>
      </x:c>
      <x:c r="P21" s="6"/>
      <x:c r="Q21" s="23" t="s">
        <x:v>43</x:v>
      </x:c>
      <x:c r="R21" s="23" t="s">
        <x:v>88</x:v>
      </x:c>
      <x:c r="S21" s="20"/>
      <x:c r="T21" s="11" t="s">
        <x:v>44</x:v>
      </x:c>
      <x:c r="U21" s="11"/>
      <x:c r="V21" s="11">
        <x:v>-2.0851687000000001</x:v>
      </x:c>
      <x:c r="W21" s="11">
        <x:v>106.11689490000001</x:v>
      </x:c>
      <x:c r="X21" s="65"/>
      <x:c r="Y21" s="29"/>
      <x:c r="Z21" s="51"/>
      <x:c r="AA21" s="53"/>
      <x:c r="AB21" s="56"/>
      <x:c r="AC21">
        <x:f t="shared" si="0"/>
        <x:v>0</x:v>
      </x:c>
      <x:c r="AD21">
        <x:f t="shared" si="1"/>
        <x:v>0</x:v>
      </x:c>
    </x:row>
    <x:row r="22" ht="9.75" customHeight="1">
      <x:c r="A22" s="32">
        <x:v>17</x:v>
      </x:c>
      <x:c r="B22" s="11" t="s">
        <x:v>94</x:v>
      </x:c>
      <x:c r="C22" s="6" t="s">
        <x:v>34</x:v>
      </x:c>
      <x:c r="D22" s="11" t="s">
        <x:v>81</x:v>
      </x:c>
      <x:c r="E22" s="11" t="s">
        <x:v>95</x:v>
      </x:c>
      <x:c r="F22" s="6" t="s">
        <x:v>96</x:v>
      </x:c>
      <x:c r="G22" s="6" t="s">
        <x:v>84</x:v>
      </x:c>
      <x:c r="H22" s="17" t="s">
        <x:v>85</x:v>
      </x:c>
      <x:c r="I22" s="17" t="s">
        <x:v>86</x:v>
      </x:c>
      <x:c r="J22" s="6">
        <x:v>2023</x:v>
      </x:c>
      <x:c r="K22" s="17">
        <x:v>144</x:v>
      </x:c>
      <x:c r="L22" s="11">
        <x:v>8</x:v>
      </x:c>
      <x:c r="M22" s="17">
        <x:v>0</x:v>
      </x:c>
      <x:c r="N22" s="17" t="s">
        <x:v>41</x:v>
      </x:c>
      <x:c r="O22" s="6" t="s">
        <x:v>42</x:v>
      </x:c>
      <x:c r="P22" s="6"/>
      <x:c r="Q22" s="23" t="s">
        <x:v>43</x:v>
      </x:c>
      <x:c r="R22" s="23" t="s">
        <x:v>88</x:v>
      </x:c>
      <x:c r="S22" s="20"/>
      <x:c r="T22" s="11"/>
      <x:c r="U22" s="11"/>
      <x:c r="V22" s="11">
        <x:v>-2.1510370000000001</x:v>
      </x:c>
      <x:c r="W22" s="11">
        <x:v>106.1741657</x:v>
      </x:c>
      <x:c r="X22" s="65"/>
      <x:c r="Y22" s="29"/>
      <x:c r="Z22" s="51"/>
      <x:c r="AA22" s="53"/>
      <x:c r="AB22" s="56"/>
      <x:c r="AC22">
        <x:f t="shared" si="0"/>
        <x:v>5.5555555555555552E-2</x:v>
      </x:c>
      <x:c r="AD22">
        <x:f t="shared" si="1"/>
        <x:v>0</x:v>
      </x:c>
    </x:row>
    <x:row r="23" ht="9.75" customHeight="1">
      <x:c r="A23" s="32">
        <x:v>18</x:v>
      </x:c>
      <x:c r="B23" s="11" t="s">
        <x:v>97</x:v>
      </x:c>
      <x:c r="C23" s="6" t="s">
        <x:v>34</x:v>
      </x:c>
      <x:c r="D23" s="11" t="s">
        <x:v>81</x:v>
      </x:c>
      <x:c r="E23" s="11" t="s">
        <x:v>95</x:v>
      </x:c>
      <x:c r="F23" s="6" t="s">
        <x:v>96</x:v>
      </x:c>
      <x:c r="G23" s="6" t="s">
        <x:v>84</x:v>
      </x:c>
      <x:c r="H23" s="17" t="s">
        <x:v>85</x:v>
      </x:c>
      <x:c r="I23" s="17" t="s">
        <x:v>86</x:v>
      </x:c>
      <x:c r="J23" s="6">
        <x:v>2023</x:v>
      </x:c>
      <x:c r="K23" s="17">
        <x:v>82</x:v>
      </x:c>
      <x:c r="L23" s="11">
        <x:v>0</x:v>
      </x:c>
      <x:c r="M23" s="17">
        <x:v>0</x:v>
      </x:c>
      <x:c r="N23" s="17" t="s">
        <x:v>41</x:v>
      </x:c>
      <x:c r="O23" s="6" t="s">
        <x:v>42</x:v>
      </x:c>
      <x:c r="P23" s="6"/>
      <x:c r="Q23" s="23" t="s">
        <x:v>43</x:v>
      </x:c>
      <x:c r="R23" s="23" t="s">
        <x:v>88</x:v>
      </x:c>
      <x:c r="S23" s="20"/>
      <x:c r="T23" s="11"/>
      <x:c r="U23" s="11"/>
      <x:c r="V23" s="11">
        <x:v>-2.1510370000000001</x:v>
      </x:c>
      <x:c r="W23" s="11">
        <x:v>106.1741657</x:v>
      </x:c>
      <x:c r="X23" s="65"/>
      <x:c r="Y23" s="29"/>
      <x:c r="Z23" s="51"/>
      <x:c r="AA23" s="53"/>
      <x:c r="AB23" s="56"/>
      <x:c r="AC23">
        <x:f t="shared" si="0"/>
        <x:v>0</x:v>
      </x:c>
      <x:c r="AD23">
        <x:f t="shared" si="1"/>
        <x:v>0</x:v>
      </x:c>
    </x:row>
    <x:row r="24" ht="9.75" customHeight="1">
      <x:c r="A24" s="32">
        <x:v>19</x:v>
      </x:c>
      <x:c r="B24" s="11" t="s">
        <x:v>98</x:v>
      </x:c>
      <x:c r="C24" s="6" t="s">
        <x:v>34</x:v>
      </x:c>
      <x:c r="D24" s="11" t="s">
        <x:v>99</x:v>
      </x:c>
      <x:c r="E24" s="11" t="s">
        <x:v>100</x:v>
      </x:c>
      <x:c r="F24" s="6" t="s">
        <x:v>101</x:v>
      </x:c>
      <x:c r="G24" s="6" t="s">
        <x:v>102</x:v>
      </x:c>
      <x:c r="H24" s="17" t="s">
        <x:v>42</x:v>
      </x:c>
      <x:c r="I24" s="17" t="s">
        <x:v>42</x:v>
      </x:c>
      <x:c r="J24" s="6">
        <x:v>2023</x:v>
      </x:c>
      <x:c r="K24" s="17">
        <x:v>34</x:v>
      </x:c>
      <x:c r="L24" s="11">
        <x:v>11</x:v>
      </x:c>
      <x:c r="M24" s="17">
        <x:v>0</x:v>
      </x:c>
      <x:c r="N24" s="17" t="s">
        <x:v>41</x:v>
      </x:c>
      <x:c r="O24" s="6" t="s">
        <x:v>42</x:v>
      </x:c>
      <x:c r="P24" s="6"/>
      <x:c r="Q24" s="23" t="s">
        <x:v>43</x:v>
      </x:c>
      <x:c r="R24" s="23"/>
      <x:c r="S24" s="20"/>
      <x:c r="T24" s="11"/>
      <x:c r="U24" s="11"/>
      <x:c r="V24" s="11">
        <x:v>-2.1040527</x:v>
      </x:c>
      <x:c r="W24" s="11">
        <x:v>106.13135629999999</x:v>
      </x:c>
      <x:c r="X24" s="65"/>
      <x:c r="Y24" s="29"/>
      <x:c r="Z24" s="51"/>
      <x:c r="AA24" s="53"/>
      <x:c r="AB24" s="56"/>
      <x:c r="AC24">
        <x:f t="shared" si="0"/>
        <x:v>0.3235294117647059</x:v>
      </x:c>
      <x:c r="AD24">
        <x:f t="shared" si="1"/>
        <x:v>0</x:v>
      </x:c>
    </x:row>
    <x:row r="25" ht="9.75" customHeight="1">
      <x:c r="A25" s="32">
        <x:v>20</x:v>
      </x:c>
      <x:c r="B25" s="11" t="s">
        <x:v>103</x:v>
      </x:c>
      <x:c r="C25" s="6" t="s">
        <x:v>34</x:v>
      </x:c>
      <x:c r="D25" s="11" t="s">
        <x:v>35</x:v>
      </x:c>
      <x:c r="E25" s="11" t="s">
        <x:v>36</x:v>
      </x:c>
      <x:c r="F25" s="6" t="s">
        <x:v>104</x:v>
      </x:c>
      <x:c r="G25" s="6" t="s">
        <x:v>105</x:v>
      </x:c>
      <x:c r="H25" s="17" t="s">
        <x:v>106</x:v>
      </x:c>
      <x:c r="I25" s="17" t="s">
        <x:v>86</x:v>
      </x:c>
      <x:c r="J25" s="6">
        <x:v>2017</x:v>
      </x:c>
      <x:c r="K25" s="17">
        <x:v>75</x:v>
      </x:c>
      <x:c r="L25" s="11">
        <x:v>75</x:v>
      </x:c>
      <x:c r="M25" s="17">
        <x:v>75</x:v>
      </x:c>
      <x:c r="N25" s="17" t="s">
        <x:v>41</x:v>
      </x:c>
      <x:c r="O25" s="6" t="s">
        <x:v>42</x:v>
      </x:c>
      <x:c r="P25" s="6"/>
      <x:c r="Q25" s="23" t="s">
        <x:v>43</x:v>
      </x:c>
      <x:c r="R25" s="23"/>
      <x:c r="S25" s="20"/>
      <x:c r="T25" s="11"/>
      <x:c r="U25" s="11"/>
      <x:c r="V25" s="11">
        <x:v>-2.1027433000000002</x:v>
      </x:c>
      <x:c r="W25" s="11">
        <x:v>106.0581504</x:v>
      </x:c>
      <x:c r="X25" s="65"/>
      <x:c r="Y25" s="29"/>
      <x:c r="Z25" s="51"/>
      <x:c r="AA25" s="53"/>
      <x:c r="AB25" s="56"/>
      <x:c r="AC25">
        <x:f t="shared" si="0"/>
        <x:v>1</x:v>
      </x:c>
      <x:c r="AD25">
        <x:f t="shared" si="1"/>
        <x:v>1</x:v>
      </x:c>
    </x:row>
    <x:row r="26" ht="9.75" customHeight="1">
      <x:c r="A26" s="32">
        <x:v>21</x:v>
      </x:c>
      <x:c r="B26" s="11" t="s">
        <x:v>107</x:v>
      </x:c>
      <x:c r="C26" s="6" t="s">
        <x:v>34</x:v>
      </x:c>
      <x:c r="D26" s="11" t="s">
        <x:v>35</x:v>
      </x:c>
      <x:c r="E26" s="11" t="s">
        <x:v>36</x:v>
      </x:c>
      <x:c r="F26" s="6" t="s">
        <x:v>104</x:v>
      </x:c>
      <x:c r="G26" s="6" t="s">
        <x:v>105</x:v>
      </x:c>
      <x:c r="H26" s="17" t="s">
        <x:v>106</x:v>
      </x:c>
      <x:c r="I26" s="17" t="s">
        <x:v>86</x:v>
      </x:c>
      <x:c r="J26" s="6">
        <x:v>2018</x:v>
      </x:c>
      <x:c r="K26" s="17">
        <x:v>42</x:v>
      </x:c>
      <x:c r="L26" s="11">
        <x:v>28</x:v>
      </x:c>
      <x:c r="M26" s="17">
        <x:v>28</x:v>
      </x:c>
      <x:c r="N26" s="17" t="s">
        <x:v>41</x:v>
      </x:c>
      <x:c r="O26" s="6" t="s">
        <x:v>42</x:v>
      </x:c>
      <x:c r="P26" s="6"/>
      <x:c r="Q26" s="23" t="s">
        <x:v>43</x:v>
      </x:c>
      <x:c r="R26" s="23"/>
      <x:c r="S26" s="20"/>
      <x:c r="T26" s="11"/>
      <x:c r="U26" s="11"/>
      <x:c r="V26" s="11">
        <x:v>-2.1027433000000002</x:v>
      </x:c>
      <x:c r="W26" s="11">
        <x:v>106.0581504</x:v>
      </x:c>
      <x:c r="X26" s="65"/>
      <x:c r="Y26" s="29"/>
      <x:c r="Z26" s="51"/>
      <x:c r="AA26" s="53"/>
      <x:c r="AB26" s="56"/>
      <x:c r="AC26">
        <x:f t="shared" si="0"/>
        <x:v>0.66666666666666663</x:v>
      </x:c>
      <x:c r="AD26">
        <x:f t="shared" si="1"/>
        <x:v>1</x:v>
      </x:c>
    </x:row>
    <x:row r="27" ht="9.75" customHeight="1">
      <x:c r="A27" s="32">
        <x:v>22</x:v>
      </x:c>
      <x:c r="B27" s="11" t="s">
        <x:v>108</x:v>
      </x:c>
      <x:c r="C27" s="6" t="s">
        <x:v>34</x:v>
      </x:c>
      <x:c r="D27" s="11" t="s">
        <x:v>35</x:v>
      </x:c>
      <x:c r="E27" s="11" t="s">
        <x:v>36</x:v>
      </x:c>
      <x:c r="F27" s="6" t="s">
        <x:v>109</x:v>
      </x:c>
      <x:c r="G27" s="6" t="s">
        <x:v>110</x:v>
      </x:c>
      <x:c r="H27" s="17" t="s">
        <x:v>111</x:v>
      </x:c>
      <x:c r="I27" s="17" t="s">
        <x:v>112</x:v>
      </x:c>
      <x:c r="J27" s="6">
        <x:v>2020</x:v>
      </x:c>
      <x:c r="K27" s="17">
        <x:v>33</x:v>
      </x:c>
      <x:c r="L27" s="11">
        <x:v>33</x:v>
      </x:c>
      <x:c r="M27" s="17">
        <x:v>31</x:v>
      </x:c>
      <x:c r="N27" s="17" t="s">
        <x:v>48</x:v>
      </x:c>
      <x:c r="O27" s="6">
        <x:v>2023</x:v>
      </x:c>
      <x:c r="P27" s="6"/>
      <x:c r="Q27" s="23" t="s">
        <x:v>43</x:v>
      </x:c>
      <x:c r="R27" s="23" t="s">
        <x:v>113</x:v>
      </x:c>
      <x:c r="S27" s="20"/>
      <x:c r="T27" s="11"/>
      <x:c r="U27" s="11"/>
      <x:c r="V27" s="11">
        <x:v>-2.1046360000000002</x:v>
      </x:c>
      <x:c r="W27" s="11">
        <x:v>106.08262999999999</x:v>
      </x:c>
      <x:c r="X27" s="65"/>
      <x:c r="Y27" s="29"/>
      <x:c r="Z27" s="51"/>
      <x:c r="AA27" s="53"/>
      <x:c r="AB27" s="56"/>
      <x:c r="AC27">
        <x:f t="shared" si="0"/>
        <x:v>1</x:v>
      </x:c>
      <x:c r="AD27">
        <x:f t="shared" si="1"/>
        <x:v>0.93939393939393945</x:v>
      </x:c>
    </x:row>
    <x:row r="28" ht="9.75" customHeight="1">
      <x:c r="A28" s="32">
        <x:v>23</x:v>
      </x:c>
      <x:c r="B28" s="11" t="s">
        <x:v>114</x:v>
      </x:c>
      <x:c r="C28" s="6" t="s">
        <x:v>34</x:v>
      </x:c>
      <x:c r="D28" s="11" t="s">
        <x:v>35</x:v>
      </x:c>
      <x:c r="E28" s="11" t="s">
        <x:v>46</x:v>
      </x:c>
      <x:c r="F28" s="6" t="s">
        <x:v>42</x:v>
      </x:c>
      <x:c r="G28" s="6" t="s">
        <x:v>110</x:v>
      </x:c>
      <x:c r="H28" s="17" t="s">
        <x:v>111</x:v>
      </x:c>
      <x:c r="I28" s="17" t="s">
        <x:v>112</x:v>
      </x:c>
      <x:c r="J28" s="6">
        <x:v>2023</x:v>
      </x:c>
      <x:c r="K28" s="17">
        <x:v>46</x:v>
      </x:c>
      <x:c r="L28" s="11">
        <x:v>46</x:v>
      </x:c>
      <x:c r="M28" s="17">
        <x:v>39</x:v>
      </x:c>
      <x:c r="N28" s="17" t="s">
        <x:v>48</x:v>
      </x:c>
      <x:c r="O28" s="6">
        <x:v>2024</x:v>
      </x:c>
      <x:c r="P28" s="6"/>
      <x:c r="Q28" s="23" t="s">
        <x:v>43</x:v>
      </x:c>
      <x:c r="R28" s="23"/>
      <x:c r="S28" s="20"/>
      <x:c r="T28" s="11"/>
      <x:c r="U28" s="11"/>
      <x:c r="V28" s="11">
        <x:v>-2.1201479999999999</x:v>
      </x:c>
      <x:c r="W28" s="11">
        <x:v>106.068039</x:v>
      </x:c>
      <x:c r="X28" s="65"/>
      <x:c r="Y28" s="29"/>
      <x:c r="Z28" s="51"/>
      <x:c r="AA28" s="53"/>
      <x:c r="AB28" s="56"/>
      <x:c r="AC28">
        <x:f t="shared" si="0"/>
        <x:v>1</x:v>
      </x:c>
      <x:c r="AD28">
        <x:f t="shared" si="1"/>
        <x:v>0.84782608695652173</x:v>
      </x:c>
    </x:row>
    <x:row r="29" ht="9.75" customHeight="1">
      <x:c r="A29" s="32">
        <x:v>24</x:v>
      </x:c>
      <x:c r="B29" s="11" t="s">
        <x:v>115</x:v>
      </x:c>
      <x:c r="C29" s="6" t="s">
        <x:v>34</x:v>
      </x:c>
      <x:c r="D29" s="11" t="s">
        <x:v>60</x:v>
      </x:c>
      <x:c r="E29" s="11" t="s">
        <x:v>70</x:v>
      </x:c>
      <x:c r="F29" s="6" t="s">
        <x:v>116</x:v>
      </x:c>
      <x:c r="G29" s="6" t="s">
        <x:v>110</x:v>
      </x:c>
      <x:c r="H29" s="17" t="s">
        <x:v>111</x:v>
      </x:c>
      <x:c r="I29" s="17" t="s">
        <x:v>112</x:v>
      </x:c>
      <x:c r="J29" s="6">
        <x:v>2023</x:v>
      </x:c>
      <x:c r="K29" s="17">
        <x:v>57</x:v>
      </x:c>
      <x:c r="L29" s="11">
        <x:v>5</x:v>
      </x:c>
      <x:c r="M29" s="17">
        <x:v>0</x:v>
      </x:c>
      <x:c r="N29" s="17" t="s">
        <x:v>41</x:v>
      </x:c>
      <x:c r="O29" s="6" t="s">
        <x:v>42</x:v>
      </x:c>
      <x:c r="P29" s="6"/>
      <x:c r="Q29" s="23" t="s">
        <x:v>43</x:v>
      </x:c>
      <x:c r="R29" s="23"/>
      <x:c r="S29" s="20"/>
      <x:c r="T29" s="11"/>
      <x:c r="U29" s="11"/>
      <x:c r="V29" s="11">
        <x:v>-2.0965927</x:v>
      </x:c>
      <x:c r="W29" s="11">
        <x:v>106.0855923</x:v>
      </x:c>
      <x:c r="X29" s="65"/>
      <x:c r="Y29" s="29"/>
      <x:c r="Z29" s="51"/>
      <x:c r="AA29" s="53"/>
      <x:c r="AB29" s="56"/>
      <x:c r="AC29">
        <x:f t="shared" si="0"/>
        <x:v>8.771929824561403E-2</x:v>
      </x:c>
      <x:c r="AD29">
        <x:f t="shared" si="1"/>
        <x:v>0</x:v>
      </x:c>
    </x:row>
    <x:row r="30" ht="9.75" customHeight="1">
      <x:c r="A30" s="32">
        <x:v>25</x:v>
      </x:c>
      <x:c r="B30" s="11" t="s">
        <x:v>117</x:v>
      </x:c>
      <x:c r="C30" s="6" t="s">
        <x:v>34</x:v>
      </x:c>
      <x:c r="D30" s="11" t="s">
        <x:v>60</x:v>
      </x:c>
      <x:c r="E30" s="11" t="s">
        <x:v>61</x:v>
      </x:c>
      <x:c r="F30" s="6" t="s">
        <x:v>118</x:v>
      </x:c>
      <x:c r="G30" s="6" t="s">
        <x:v>110</x:v>
      </x:c>
      <x:c r="H30" s="17" t="s">
        <x:v>111</x:v>
      </x:c>
      <x:c r="I30" s="17" t="s">
        <x:v>112</x:v>
      </x:c>
      <x:c r="J30" s="6">
        <x:v>2024</x:v>
      </x:c>
      <x:c r="K30" s="17">
        <x:v>37</x:v>
      </x:c>
      <x:c r="L30" s="11">
        <x:v>26</x:v>
      </x:c>
      <x:c r="M30" s="17">
        <x:v>13</x:v>
      </x:c>
      <x:c r="N30" s="17" t="s">
        <x:v>41</x:v>
      </x:c>
      <x:c r="O30" s="6" t="s">
        <x:v>42</x:v>
      </x:c>
      <x:c r="P30" s="6"/>
      <x:c r="Q30" s="23" t="s">
        <x:v>43</x:v>
      </x:c>
      <x:c r="R30" s="23"/>
      <x:c r="S30" s="20"/>
      <x:c r="T30" s="11"/>
      <x:c r="U30" s="11"/>
      <x:c r="V30" s="11">
        <x:v>-2.0999433999999999</x:v>
      </x:c>
      <x:c r="W30" s="11">
        <x:v>106.09478319999999</x:v>
      </x:c>
      <x:c r="X30" s="65"/>
      <x:c r="Y30" s="29"/>
      <x:c r="Z30" s="51"/>
      <x:c r="AA30" s="53"/>
      <x:c r="AB30" s="56"/>
      <x:c r="AC30">
        <x:f t="shared" si="0"/>
        <x:v>0.70270270270270274</x:v>
      </x:c>
      <x:c r="AD30">
        <x:f t="shared" si="1"/>
        <x:v>0.5</x:v>
      </x:c>
    </x:row>
    <x:row r="31" ht="9.75" customHeight="1">
      <x:c r="A31" s="32">
        <x:v>26</x:v>
      </x:c>
      <x:c r="B31" s="11" t="s">
        <x:v>119</x:v>
      </x:c>
      <x:c r="C31" s="6" t="s">
        <x:v>34</x:v>
      </x:c>
      <x:c r="D31" s="11" t="s">
        <x:v>35</x:v>
      </x:c>
      <x:c r="E31" s="11" t="s">
        <x:v>36</x:v>
      </x:c>
      <x:c r="F31" s="6" t="s">
        <x:v>120</x:v>
      </x:c>
      <x:c r="G31" s="6" t="s">
        <x:v>110</x:v>
      </x:c>
      <x:c r="H31" s="17" t="s">
        <x:v>111</x:v>
      </x:c>
      <x:c r="I31" s="17" t="s">
        <x:v>112</x:v>
      </x:c>
      <x:c r="J31" s="6">
        <x:v>2025</x:v>
      </x:c>
      <x:c r="K31" s="17">
        <x:v>51</x:v>
      </x:c>
      <x:c r="L31" s="11">
        <x:v>0</x:v>
      </x:c>
      <x:c r="M31" s="17">
        <x:v>0</x:v>
      </x:c>
      <x:c r="N31" s="17" t="s">
        <x:v>41</x:v>
      </x:c>
      <x:c r="O31" s="6" t="s">
        <x:v>42</x:v>
      </x:c>
      <x:c r="P31" s="6"/>
      <x:c r="Q31" s="23" t="s">
        <x:v>43</x:v>
      </x:c>
      <x:c r="R31" s="23"/>
      <x:c r="S31" s="20"/>
      <x:c r="T31" s="11"/>
      <x:c r="U31" s="11"/>
      <x:c r="V31" s="11"/>
      <x:c r="W31" s="11"/>
      <x:c r="X31" s="65"/>
      <x:c r="Y31" s="29"/>
      <x:c r="Z31" s="51"/>
      <x:c r="AA31" s="53"/>
      <x:c r="AB31" s="56"/>
      <x:c r="AC31">
        <x:f t="shared" si="0"/>
        <x:v>0</x:v>
      </x:c>
      <x:c r="AD31">
        <x:f t="shared" si="1"/>
        <x:v>0</x:v>
      </x:c>
    </x:row>
    <x:row r="32" ht="9.75" customHeight="1">
      <x:c r="A32" s="32">
        <x:v>27</x:v>
      </x:c>
      <x:c r="B32" s="11" t="s">
        <x:v>121</x:v>
      </x:c>
      <x:c r="C32" s="6" t="s">
        <x:v>34</x:v>
      </x:c>
      <x:c r="D32" s="11" t="s">
        <x:v>81</x:v>
      </x:c>
      <x:c r="E32" s="11" t="s">
        <x:v>122</x:v>
      </x:c>
      <x:c r="F32" s="6" t="s">
        <x:v>123</x:v>
      </x:c>
      <x:c r="G32" s="6" t="s">
        <x:v>124</x:v>
      </x:c>
      <x:c r="H32" s="17" t="s">
        <x:v>125</x:v>
      </x:c>
      <x:c r="I32" s="17" t="s">
        <x:v>40</x:v>
      </x:c>
      <x:c r="J32" s="6">
        <x:v>2020</x:v>
      </x:c>
      <x:c r="K32" s="17">
        <x:v>71</x:v>
      </x:c>
      <x:c r="L32" s="11">
        <x:v>69</x:v>
      </x:c>
      <x:c r="M32" s="17">
        <x:v>67</x:v>
      </x:c>
      <x:c r="N32" s="17" t="s">
        <x:v>48</x:v>
      </x:c>
      <x:c r="O32" s="6">
        <x:v>2024</x:v>
      </x:c>
      <x:c r="P32" s="6"/>
      <x:c r="Q32" s="23" t="s">
        <x:v>43</x:v>
      </x:c>
      <x:c r="R32" s="23" t="s">
        <x:v>113</x:v>
      </x:c>
      <x:c r="S32" s="20"/>
      <x:c r="T32" s="11"/>
      <x:c r="U32" s="11"/>
      <x:c r="V32" s="11">
        <x:v>-2.1265749999999999</x:v>
      </x:c>
      <x:c r="W32" s="11">
        <x:v>106.16171900000001</x:v>
      </x:c>
      <x:c r="X32" s="65"/>
      <x:c r="Y32" s="29"/>
      <x:c r="Z32" s="51"/>
      <x:c r="AA32" s="53"/>
      <x:c r="AB32" s="56"/>
      <x:c r="AC32">
        <x:f t="shared" si="0"/>
        <x:v>0.971830985915493</x:v>
      </x:c>
      <x:c r="AD32">
        <x:f t="shared" si="1"/>
        <x:v>0.97101449275362317</x:v>
      </x:c>
    </x:row>
    <x:row r="33" ht="9.75" customHeight="1">
      <x:c r="A33" s="32">
        <x:v>28</x:v>
      </x:c>
      <x:c r="B33" s="11" t="s">
        <x:v>126</x:v>
      </x:c>
      <x:c r="C33" s="6" t="s">
        <x:v>34</x:v>
      </x:c>
      <x:c r="D33" s="11" t="s">
        <x:v>81</x:v>
      </x:c>
      <x:c r="E33" s="11" t="s">
        <x:v>122</x:v>
      </x:c>
      <x:c r="F33" s="6" t="s">
        <x:v>127</x:v>
      </x:c>
      <x:c r="G33" s="6" t="s">
        <x:v>124</x:v>
      </x:c>
      <x:c r="H33" s="17" t="s">
        <x:v>125</x:v>
      </x:c>
      <x:c r="I33" s="17" t="s">
        <x:v>40</x:v>
      </x:c>
      <x:c r="J33" s="6">
        <x:v>2022</x:v>
      </x:c>
      <x:c r="K33" s="17">
        <x:v>48</x:v>
      </x:c>
      <x:c r="L33" s="11">
        <x:v>48</x:v>
      </x:c>
      <x:c r="M33" s="17">
        <x:v>44</x:v>
      </x:c>
      <x:c r="N33" s="17" t="s">
        <x:v>48</x:v>
      </x:c>
      <x:c r="O33" s="6">
        <x:v>2024</x:v>
      </x:c>
      <x:c r="P33" s="6"/>
      <x:c r="Q33" s="23" t="s">
        <x:v>43</x:v>
      </x:c>
      <x:c r="R33" s="23" t="s">
        <x:v>113</x:v>
      </x:c>
      <x:c r="S33" s="20"/>
      <x:c r="T33" s="11"/>
      <x:c r="U33" s="11"/>
      <x:c r="V33" s="11">
        <x:v>-2.1265160000000001</x:v>
      </x:c>
      <x:c r="W33" s="11">
        <x:v>106.162347</x:v>
      </x:c>
      <x:c r="X33" s="65"/>
      <x:c r="Y33" s="29"/>
      <x:c r="Z33" s="51"/>
      <x:c r="AA33" s="53"/>
      <x:c r="AB33" s="56"/>
      <x:c r="AC33">
        <x:f t="shared" si="0"/>
        <x:v>1</x:v>
      </x:c>
      <x:c r="AD33">
        <x:f t="shared" si="1"/>
        <x:v>0.91666666666666663</x:v>
      </x:c>
    </x:row>
    <x:row r="34" ht="9.75" customHeight="1">
      <x:c r="A34" s="32">
        <x:v>29</x:v>
      </x:c>
      <x:c r="B34" s="11" t="s">
        <x:v>128</x:v>
      </x:c>
      <x:c r="C34" s="6" t="s">
        <x:v>34</x:v>
      </x:c>
      <x:c r="D34" s="11" t="s">
        <x:v>81</x:v>
      </x:c>
      <x:c r="E34" s="11" t="s">
        <x:v>122</x:v>
      </x:c>
      <x:c r="F34" s="6" t="s">
        <x:v>129</x:v>
      </x:c>
      <x:c r="G34" s="6" t="s">
        <x:v>124</x:v>
      </x:c>
      <x:c r="H34" s="17" t="s">
        <x:v>125</x:v>
      </x:c>
      <x:c r="I34" s="17" t="s">
        <x:v>40</x:v>
      </x:c>
      <x:c r="J34" s="6">
        <x:v>2022</x:v>
      </x:c>
      <x:c r="K34" s="17">
        <x:v>42</x:v>
      </x:c>
      <x:c r="L34" s="11">
        <x:v>42</x:v>
      </x:c>
      <x:c r="M34" s="17">
        <x:v>37</x:v>
      </x:c>
      <x:c r="N34" s="17" t="s">
        <x:v>48</x:v>
      </x:c>
      <x:c r="O34" s="6">
        <x:v>2024</x:v>
      </x:c>
      <x:c r="P34" s="6"/>
      <x:c r="Q34" s="23" t="s">
        <x:v>43</x:v>
      </x:c>
      <x:c r="R34" s="23" t="s">
        <x:v>113</x:v>
      </x:c>
      <x:c r="S34" s="20"/>
      <x:c r="T34" s="11"/>
      <x:c r="U34" s="11"/>
      <x:c r="V34" s="11">
        <x:v>-2.1265869999999998</x:v>
      </x:c>
      <x:c r="W34" s="11">
        <x:v>106.163877</x:v>
      </x:c>
      <x:c r="X34" s="65"/>
      <x:c r="Y34" s="29"/>
      <x:c r="Z34" s="51"/>
      <x:c r="AA34" s="53"/>
      <x:c r="AB34" s="56"/>
      <x:c r="AC34">
        <x:f t="shared" si="0"/>
        <x:v>1</x:v>
      </x:c>
      <x:c r="AD34">
        <x:f t="shared" si="1"/>
        <x:v>0.88095238095238093</x:v>
      </x:c>
    </x:row>
    <x:row r="35" ht="9.75" customHeight="1">
      <x:c r="A35" s="32">
        <x:v>30</x:v>
      </x:c>
      <x:c r="B35" s="11" t="s">
        <x:v>130</x:v>
      </x:c>
      <x:c r="C35" s="6" t="s">
        <x:v>34</x:v>
      </x:c>
      <x:c r="D35" s="11" t="s">
        <x:v>81</x:v>
      </x:c>
      <x:c r="E35" s="11" t="s">
        <x:v>122</x:v>
      </x:c>
      <x:c r="F35" s="6" t="s">
        <x:v>129</x:v>
      </x:c>
      <x:c r="G35" s="6" t="s">
        <x:v>124</x:v>
      </x:c>
      <x:c r="H35" s="17" t="s">
        <x:v>125</x:v>
      </x:c>
      <x:c r="I35" s="17" t="s">
        <x:v>40</x:v>
      </x:c>
      <x:c r="J35" s="6">
        <x:v>2023</x:v>
      </x:c>
      <x:c r="K35" s="17">
        <x:v>118</x:v>
      </x:c>
      <x:c r="L35" s="11">
        <x:v>113</x:v>
      </x:c>
      <x:c r="M35" s="17">
        <x:v>113</x:v>
      </x:c>
      <x:c r="N35" s="17" t="s">
        <x:v>41</x:v>
      </x:c>
      <x:c r="O35" s="6" t="s">
        <x:v>42</x:v>
      </x:c>
      <x:c r="P35" s="6"/>
      <x:c r="Q35" s="23" t="s">
        <x:v>43</x:v>
      </x:c>
      <x:c r="R35" s="23"/>
      <x:c r="S35" s="20"/>
      <x:c r="T35" s="11"/>
      <x:c r="U35" s="11"/>
      <x:c r="V35" s="11">
        <x:v>-2.1284293000000001</x:v>
      </x:c>
      <x:c r="W35" s="11">
        <x:v>106.1647957</x:v>
      </x:c>
      <x:c r="X35" s="65"/>
      <x:c r="Y35" s="29"/>
      <x:c r="Z35" s="51"/>
      <x:c r="AA35" s="53"/>
      <x:c r="AB35" s="56"/>
      <x:c r="AC35">
        <x:f t="shared" si="0"/>
        <x:v>0.9576271186440678</x:v>
      </x:c>
      <x:c r="AD35">
        <x:f t="shared" si="1"/>
        <x:v>1</x:v>
      </x:c>
    </x:row>
    <x:row r="36" ht="9.75" customHeight="1">
      <x:c r="A36" s="32">
        <x:v>31</x:v>
      </x:c>
      <x:c r="B36" s="11" t="s">
        <x:v>131</x:v>
      </x:c>
      <x:c r="C36" s="6" t="s">
        <x:v>34</x:v>
      </x:c>
      <x:c r="D36" s="11" t="s">
        <x:v>35</x:v>
      </x:c>
      <x:c r="E36" s="11" t="s">
        <x:v>36</x:v>
      </x:c>
      <x:c r="F36" s="6" t="s">
        <x:v>132</x:v>
      </x:c>
      <x:c r="G36" s="6" t="s">
        <x:v>133</x:v>
      </x:c>
      <x:c r="H36" s="17" t="s">
        <x:v>134</x:v>
      </x:c>
      <x:c r="I36" s="17" t="s">
        <x:v>86</x:v>
      </x:c>
      <x:c r="J36" s="6">
        <x:v>2021</x:v>
      </x:c>
      <x:c r="K36" s="17">
        <x:v>37</x:v>
      </x:c>
      <x:c r="L36" s="11">
        <x:v>37</x:v>
      </x:c>
      <x:c r="M36" s="17">
        <x:v>37</x:v>
      </x:c>
      <x:c r="N36" s="17" t="s">
        <x:v>41</x:v>
      </x:c>
      <x:c r="O36" s="6" t="s">
        <x:v>42</x:v>
      </x:c>
      <x:c r="P36" s="6"/>
      <x:c r="Q36" s="23" t="s">
        <x:v>43</x:v>
      </x:c>
      <x:c r="R36" s="23"/>
      <x:c r="S36" s="20"/>
      <x:c r="T36" s="11" t="s">
        <x:v>44</x:v>
      </x:c>
      <x:c r="U36" s="11"/>
      <x:c r="V36" s="11">
        <x:v>-2.0998827000000002</x:v>
      </x:c>
      <x:c r="W36" s="11">
        <x:v>106.07701280000001</x:v>
      </x:c>
      <x:c r="X36" s="65"/>
      <x:c r="Y36" s="29"/>
      <x:c r="Z36" s="51"/>
      <x:c r="AA36" s="53"/>
      <x:c r="AB36" s="56"/>
      <x:c r="AC36">
        <x:f t="shared" si="0"/>
        <x:v>1</x:v>
      </x:c>
      <x:c r="AD36">
        <x:f t="shared" si="1"/>
        <x:v>1</x:v>
      </x:c>
    </x:row>
    <x:row r="37" ht="9.75" customHeight="1">
      <x:c r="A37" s="32">
        <x:v>32</x:v>
      </x:c>
      <x:c r="B37" s="11" t="s">
        <x:v>135</x:v>
      </x:c>
      <x:c r="C37" s="6" t="s">
        <x:v>34</x:v>
      </x:c>
      <x:c r="D37" s="11" t="s">
        <x:v>35</x:v>
      </x:c>
      <x:c r="E37" s="11" t="s">
        <x:v>136</x:v>
      </x:c>
      <x:c r="F37" s="6" t="s">
        <x:v>137</x:v>
      </x:c>
      <x:c r="G37" s="6" t="s">
        <x:v>42</x:v>
      </x:c>
      <x:c r="H37" s="17" t="s">
        <x:v>42</x:v>
      </x:c>
      <x:c r="I37" s="17" t="s">
        <x:v>42</x:v>
      </x:c>
      <x:c r="J37" s="6">
        <x:v>2019</x:v>
      </x:c>
      <x:c r="K37" s="17">
        <x:v>7</x:v>
      </x:c>
      <x:c r="L37" s="11">
        <x:v>7</x:v>
      </x:c>
      <x:c r="M37" s="17">
        <x:v>7</x:v>
      </x:c>
      <x:c r="N37" s="17" t="s">
        <x:v>41</x:v>
      </x:c>
      <x:c r="O37" s="6" t="s">
        <x:v>42</x:v>
      </x:c>
      <x:c r="P37" s="6"/>
      <x:c r="Q37" s="23" t="s">
        <x:v>43</x:v>
      </x:c>
      <x:c r="R37" s="23"/>
      <x:c r="S37" s="20"/>
      <x:c r="T37" s="11"/>
      <x:c r="U37" s="11"/>
      <x:c r="V37" s="11">
        <x:v>-2.1064750000000001</x:v>
      </x:c>
      <x:c r="W37" s="11">
        <x:v>106.09184</x:v>
      </x:c>
      <x:c r="X37" s="65"/>
      <x:c r="Y37" s="29"/>
      <x:c r="Z37" s="51"/>
      <x:c r="AA37" s="53"/>
      <x:c r="AB37" s="56"/>
      <x:c r="AC37">
        <x:f t="shared" si="0"/>
        <x:v>1</x:v>
      </x:c>
      <x:c r="AD37">
        <x:f t="shared" si="1"/>
        <x:v>1</x:v>
      </x:c>
    </x:row>
    <x:row r="38" ht="9.75" customHeight="1">
      <x:c r="A38" s="32">
        <x:v>33</x:v>
      </x:c>
      <x:c r="B38" s="11" t="s">
        <x:v>138</x:v>
      </x:c>
      <x:c r="C38" s="6" t="s">
        <x:v>34</x:v>
      </x:c>
      <x:c r="D38" s="11" t="s">
        <x:v>35</x:v>
      </x:c>
      <x:c r="E38" s="11" t="s">
        <x:v>36</x:v>
      </x:c>
      <x:c r="F38" s="6" t="s">
        <x:v>139</x:v>
      </x:c>
      <x:c r="G38" s="6" t="s">
        <x:v>140</x:v>
      </x:c>
      <x:c r="H38" s="17" t="s">
        <x:v>141</x:v>
      </x:c>
      <x:c r="I38" s="17" t="s">
        <x:v>86</x:v>
      </x:c>
      <x:c r="J38" s="6">
        <x:v>2021</x:v>
      </x:c>
      <x:c r="K38" s="17">
        <x:v>81</x:v>
      </x:c>
      <x:c r="L38" s="11">
        <x:v>81</x:v>
      </x:c>
      <x:c r="M38" s="17">
        <x:v>81</x:v>
      </x:c>
      <x:c r="N38" s="17" t="s">
        <x:v>48</x:v>
      </x:c>
      <x:c r="O38" s="6">
        <x:v>2025</x:v>
      </x:c>
      <x:c r="P38" s="6"/>
      <x:c r="Q38" s="23" t="s">
        <x:v>43</x:v>
      </x:c>
      <x:c r="R38" s="23"/>
      <x:c r="S38" s="20"/>
      <x:c r="T38" s="11"/>
      <x:c r="U38" s="11"/>
      <x:c r="V38" s="11">
        <x:v>-2.1070612</x:v>
      </x:c>
      <x:c r="W38" s="11">
        <x:v>106.0869773</x:v>
      </x:c>
      <x:c r="X38" s="65"/>
      <x:c r="Y38" s="29"/>
      <x:c r="Z38" s="51"/>
      <x:c r="AA38" s="53"/>
      <x:c r="AB38" s="56"/>
      <x:c r="AC38" t="n">
        <x:f t="shared" ref="AC38:AC69" si="2">IF(A38="","",IFERROR(L38/K38,0))</x:f>
        <x:v>1</x:v>
      </x:c>
      <x:c r="AD38" t="n">
        <x:f t="shared" ref="AD38:AD69" si="3">IF(A38="","",IFERROR(M38/L38,0))</x:f>
        <x:v>1</x:v>
      </x:c>
    </x:row>
    <x:row r="39" ht="9.75" customHeight="1">
      <x:c r="A39" s="32">
        <x:v>34</x:v>
      </x:c>
      <x:c r="B39" s="11" t="s">
        <x:v>142</x:v>
      </x:c>
      <x:c r="C39" s="6" t="s">
        <x:v>34</x:v>
      </x:c>
      <x:c r="D39" s="11" t="s">
        <x:v>35</x:v>
      </x:c>
      <x:c r="E39" s="11" t="s">
        <x:v>36</x:v>
      </x:c>
      <x:c r="F39" s="6" t="s">
        <x:v>143</x:v>
      </x:c>
      <x:c r="G39" s="6" t="s">
        <x:v>140</x:v>
      </x:c>
      <x:c r="H39" s="17" t="s">
        <x:v>141</x:v>
      </x:c>
      <x:c r="I39" s="17" t="s">
        <x:v>86</x:v>
      </x:c>
      <x:c r="J39" s="6">
        <x:v>2022</x:v>
      </x:c>
      <x:c r="K39" s="17">
        <x:v>102</x:v>
      </x:c>
      <x:c r="L39" s="11">
        <x:v>102</x:v>
      </x:c>
      <x:c r="M39" s="17">
        <x:v>102</x:v>
      </x:c>
      <x:c r="N39" s="17" t="s">
        <x:v>48</x:v>
      </x:c>
      <x:c r="O39" s="6">
        <x:v>2025</x:v>
      </x:c>
      <x:c r="P39" s="6"/>
      <x:c r="Q39" s="23" t="s">
        <x:v>43</x:v>
      </x:c>
      <x:c r="R39" s="23"/>
      <x:c r="S39" s="20"/>
      <x:c r="T39" s="11"/>
      <x:c r="U39" s="11"/>
      <x:c r="V39" s="11">
        <x:v>-2.105553</x:v>
      </x:c>
      <x:c r="W39" s="11">
        <x:v>106.078391</x:v>
      </x:c>
      <x:c r="X39" s="65"/>
      <x:c r="Y39" s="29"/>
      <x:c r="Z39" s="51"/>
      <x:c r="AA39" s="53"/>
      <x:c r="AB39" s="56"/>
      <x:c r="AC39">
        <x:f t="shared" si="2"/>
        <x:v>1</x:v>
      </x:c>
      <x:c r="AD39">
        <x:f t="shared" si="3"/>
        <x:v>1</x:v>
      </x:c>
    </x:row>
    <x:row r="40" ht="9.75" customHeight="1">
      <x:c r="A40" s="32">
        <x:v>35</x:v>
      </x:c>
      <x:c r="B40" s="11" t="s">
        <x:v>144</x:v>
      </x:c>
      <x:c r="C40" s="6" t="s">
        <x:v>34</x:v>
      </x:c>
      <x:c r="D40" s="11" t="s">
        <x:v>35</x:v>
      </x:c>
      <x:c r="E40" s="11" t="s">
        <x:v>36</x:v>
      </x:c>
      <x:c r="F40" s="6" t="s">
        <x:v>145</x:v>
      </x:c>
      <x:c r="G40" s="6" t="s">
        <x:v>140</x:v>
      </x:c>
      <x:c r="H40" s="17" t="s">
        <x:v>141</x:v>
      </x:c>
      <x:c r="I40" s="17" t="s">
        <x:v>86</x:v>
      </x:c>
      <x:c r="J40" s="6">
        <x:v>2025</x:v>
      </x:c>
      <x:c r="K40" s="17">
        <x:v>39</x:v>
      </x:c>
      <x:c r="L40" s="11">
        <x:v>0</x:v>
      </x:c>
      <x:c r="M40" s="17">
        <x:v>0</x:v>
      </x:c>
      <x:c r="N40" s="17" t="s">
        <x:v>41</x:v>
      </x:c>
      <x:c r="O40" s="6" t="s">
        <x:v>42</x:v>
      </x:c>
      <x:c r="P40" s="6"/>
      <x:c r="Q40" s="23" t="s">
        <x:v>43</x:v>
      </x:c>
      <x:c r="R40" s="23"/>
      <x:c r="S40" s="20"/>
      <x:c r="T40" s="11"/>
      <x:c r="U40" s="11"/>
      <x:c r="V40" s="11">
        <x:v>-2.1048140000000002</x:v>
      </x:c>
      <x:c r="W40" s="11">
        <x:v>106.07858899999999</x:v>
      </x:c>
      <x:c r="X40" s="65"/>
      <x:c r="Y40" s="29"/>
      <x:c r="Z40" s="51"/>
      <x:c r="AA40" s="53"/>
      <x:c r="AB40" s="56"/>
      <x:c r="AC40">
        <x:f t="shared" si="2"/>
        <x:v>0</x:v>
      </x:c>
      <x:c r="AD40">
        <x:f t="shared" si="3"/>
        <x:v>0</x:v>
      </x:c>
    </x:row>
    <x:row r="41" ht="9.75" customHeight="1">
      <x:c r="A41" s="32">
        <x:v>36</x:v>
      </x:c>
      <x:c r="B41" s="11" t="s">
        <x:v>146</x:v>
      </x:c>
      <x:c r="C41" s="6" t="s">
        <x:v>34</x:v>
      </x:c>
      <x:c r="D41" s="11" t="s">
        <x:v>35</x:v>
      </x:c>
      <x:c r="E41" s="11" t="s">
        <x:v>36</x:v>
      </x:c>
      <x:c r="F41" s="6" t="s">
        <x:v>147</x:v>
      </x:c>
      <x:c r="G41" s="6" t="s">
        <x:v>148</x:v>
      </x:c>
      <x:c r="H41" s="17" t="s">
        <x:v>149</x:v>
      </x:c>
      <x:c r="I41" s="17" t="s">
        <x:v>86</x:v>
      </x:c>
      <x:c r="J41" s="6">
        <x:v>2021</x:v>
      </x:c>
      <x:c r="K41" s="17">
        <x:v>115</x:v>
      </x:c>
      <x:c r="L41" s="11">
        <x:v>115</x:v>
      </x:c>
      <x:c r="M41" s="17">
        <x:v>115</x:v>
      </x:c>
      <x:c r="N41" s="17" t="s">
        <x:v>41</x:v>
      </x:c>
      <x:c r="O41" s="6" t="s">
        <x:v>42</x:v>
      </x:c>
      <x:c r="P41" s="6"/>
      <x:c r="Q41" s="23" t="s">
        <x:v>43</x:v>
      </x:c>
      <x:c r="R41" s="23"/>
      <x:c r="S41" s="20"/>
      <x:c r="T41" s="11"/>
      <x:c r="U41" s="11"/>
      <x:c r="V41" s="11">
        <x:v>-2.1149461000000001</x:v>
      </x:c>
      <x:c r="W41" s="11">
        <x:v>106.0729504</x:v>
      </x:c>
      <x:c r="X41" s="65"/>
      <x:c r="Y41" s="29"/>
      <x:c r="Z41" s="51"/>
      <x:c r="AA41" s="53"/>
      <x:c r="AB41" s="56"/>
      <x:c r="AC41">
        <x:f t="shared" si="2"/>
        <x:v>1</x:v>
      </x:c>
      <x:c r="AD41">
        <x:f t="shared" si="3"/>
        <x:v>1</x:v>
      </x:c>
    </x:row>
    <x:row r="42" ht="9.75" customHeight="1">
      <x:c r="A42" s="32">
        <x:v>37</x:v>
      </x:c>
      <x:c r="B42" s="11" t="s">
        <x:v>150</x:v>
      </x:c>
      <x:c r="C42" s="6" t="s">
        <x:v>34</x:v>
      </x:c>
      <x:c r="D42" s="11" t="s">
        <x:v>35</x:v>
      </x:c>
      <x:c r="E42" s="11" t="s">
        <x:v>36</x:v>
      </x:c>
      <x:c r="F42" s="6" t="s">
        <x:v>147</x:v>
      </x:c>
      <x:c r="G42" s="6" t="s">
        <x:v>148</x:v>
      </x:c>
      <x:c r="H42" s="17" t="s">
        <x:v>149</x:v>
      </x:c>
      <x:c r="I42" s="17" t="s">
        <x:v>86</x:v>
      </x:c>
      <x:c r="J42" s="6">
        <x:v>2023</x:v>
      </x:c>
      <x:c r="K42" s="17">
        <x:v>36</x:v>
      </x:c>
      <x:c r="L42" s="11">
        <x:v>36</x:v>
      </x:c>
      <x:c r="M42" s="17">
        <x:v>36</x:v>
      </x:c>
      <x:c r="N42" s="17" t="s">
        <x:v>41</x:v>
      </x:c>
      <x:c r="O42" s="6" t="s">
        <x:v>42</x:v>
      </x:c>
      <x:c r="P42" s="6"/>
      <x:c r="Q42" s="23" t="s">
        <x:v>43</x:v>
      </x:c>
      <x:c r="R42" s="23"/>
      <x:c r="S42" s="20"/>
      <x:c r="T42" s="11"/>
      <x:c r="U42" s="11"/>
      <x:c r="V42" s="11">
        <x:v>-2.1140292999999999</x:v>
      </x:c>
      <x:c r="W42" s="11">
        <x:v>106.0734587</x:v>
      </x:c>
      <x:c r="X42" s="65"/>
      <x:c r="Y42" s="29"/>
      <x:c r="Z42" s="51"/>
      <x:c r="AA42" s="53"/>
      <x:c r="AB42" s="56"/>
      <x:c r="AC42">
        <x:f t="shared" si="2"/>
        <x:v>1</x:v>
      </x:c>
      <x:c r="AD42">
        <x:f t="shared" si="3"/>
        <x:v>1</x:v>
      </x:c>
    </x:row>
    <x:row r="43" ht="9.75" customHeight="1">
      <x:c r="A43" s="32">
        <x:v>38</x:v>
      </x:c>
      <x:c r="B43" s="11" t="s">
        <x:v>151</x:v>
      </x:c>
      <x:c r="C43" s="6" t="s">
        <x:v>34</x:v>
      </x:c>
      <x:c r="D43" s="11" t="s">
        <x:v>35</x:v>
      </x:c>
      <x:c r="E43" s="11" t="s">
        <x:v>36</x:v>
      </x:c>
      <x:c r="F43" s="6" t="s">
        <x:v>104</x:v>
      </x:c>
      <x:c r="G43" s="6" t="s">
        <x:v>148</x:v>
      </x:c>
      <x:c r="H43" s="17" t="s">
        <x:v>149</x:v>
      </x:c>
      <x:c r="I43" s="17" t="s">
        <x:v>86</x:v>
      </x:c>
      <x:c r="J43" s="6">
        <x:v>2024</x:v>
      </x:c>
      <x:c r="K43" s="17">
        <x:v>92</x:v>
      </x:c>
      <x:c r="L43" s="11">
        <x:v>0</x:v>
      </x:c>
      <x:c r="M43" s="17">
        <x:v>0</x:v>
      </x:c>
      <x:c r="N43" s="17" t="s">
        <x:v>41</x:v>
      </x:c>
      <x:c r="O43" s="6" t="s">
        <x:v>42</x:v>
      </x:c>
      <x:c r="P43" s="6"/>
      <x:c r="Q43" s="23" t="s">
        <x:v>43</x:v>
      </x:c>
      <x:c r="R43" s="23"/>
      <x:c r="S43" s="20"/>
      <x:c r="T43" s="11"/>
      <x:c r="U43" s="11"/>
      <x:c r="V43" s="11">
        <x:v>-2.1030522999999999</x:v>
      </x:c>
      <x:c r="W43" s="11">
        <x:v>106.0597731</x:v>
      </x:c>
      <x:c r="X43" s="65"/>
      <x:c r="Y43" s="29"/>
      <x:c r="Z43" s="51"/>
      <x:c r="AA43" s="53"/>
      <x:c r="AB43" s="56"/>
      <x:c r="AC43">
        <x:f t="shared" si="2"/>
        <x:v>0</x:v>
      </x:c>
      <x:c r="AD43">
        <x:f t="shared" si="3"/>
        <x:v>0</x:v>
      </x:c>
    </x:row>
    <x:row r="44" ht="9.75" customHeight="1">
      <x:c r="A44" s="32">
        <x:v>39</x:v>
      </x:c>
      <x:c r="B44" s="11" t="s">
        <x:v>152</x:v>
      </x:c>
      <x:c r="C44" s="6" t="s">
        <x:v>34</x:v>
      </x:c>
      <x:c r="D44" s="11" t="s">
        <x:v>35</x:v>
      </x:c>
      <x:c r="E44" s="11" t="s">
        <x:v>36</x:v>
      </x:c>
      <x:c r="F44" s="6" t="s">
        <x:v>104</x:v>
      </x:c>
      <x:c r="G44" s="6" t="s">
        <x:v>148</x:v>
      </x:c>
      <x:c r="H44" s="17" t="s">
        <x:v>149</x:v>
      </x:c>
      <x:c r="I44" s="17" t="s">
        <x:v>86</x:v>
      </x:c>
      <x:c r="J44" s="6">
        <x:v>2024</x:v>
      </x:c>
      <x:c r="K44" s="17">
        <x:v>136</x:v>
      </x:c>
      <x:c r="L44" s="11">
        <x:v>34</x:v>
      </x:c>
      <x:c r="M44" s="17">
        <x:v>10</x:v>
      </x:c>
      <x:c r="N44" s="17" t="s">
        <x:v>41</x:v>
      </x:c>
      <x:c r="O44" s="6" t="s">
        <x:v>42</x:v>
      </x:c>
      <x:c r="P44" s="6"/>
      <x:c r="Q44" s="23" t="s">
        <x:v>43</x:v>
      </x:c>
      <x:c r="R44" s="23"/>
      <x:c r="S44" s="20"/>
      <x:c r="T44" s="11"/>
      <x:c r="U44" s="11"/>
      <x:c r="V44" s="11">
        <x:v>-2.1030522999999999</x:v>
      </x:c>
      <x:c r="W44" s="11">
        <x:v>106.0597731</x:v>
      </x:c>
      <x:c r="X44" s="65"/>
      <x:c r="Y44" s="29"/>
      <x:c r="Z44" s="51"/>
      <x:c r="AA44" s="53"/>
      <x:c r="AB44" s="56"/>
      <x:c r="AC44">
        <x:f t="shared" si="2"/>
        <x:v>0.25</x:v>
      </x:c>
      <x:c r="AD44">
        <x:f t="shared" si="3"/>
        <x:v>0.29411764705882354</x:v>
      </x:c>
    </x:row>
    <x:row r="45" ht="9.75" customHeight="1">
      <x:c r="A45" s="32">
        <x:v>40</x:v>
      </x:c>
      <x:c r="B45" s="11" t="s">
        <x:v>153</x:v>
      </x:c>
      <x:c r="C45" s="6" t="s">
        <x:v>34</x:v>
      </x:c>
      <x:c r="D45" s="11" t="s">
        <x:v>60</x:v>
      </x:c>
      <x:c r="E45" s="11" t="s">
        <x:v>91</x:v>
      </x:c>
      <x:c r="F45" s="6" t="s">
        <x:v>154</x:v>
      </x:c>
      <x:c r="G45" s="6" t="s">
        <x:v>155</x:v>
      </x:c>
      <x:c r="H45" s="17" t="s">
        <x:v>156</x:v>
      </x:c>
      <x:c r="I45" s="17" t="s">
        <x:v>65</x:v>
      </x:c>
      <x:c r="J45" s="6">
        <x:v>2017</x:v>
      </x:c>
      <x:c r="K45" s="17">
        <x:v>138</x:v>
      </x:c>
      <x:c r="L45" s="11">
        <x:v>132</x:v>
      </x:c>
      <x:c r="M45" s="17">
        <x:v>122</x:v>
      </x:c>
      <x:c r="N45" s="17" t="s">
        <x:v>48</x:v>
      </x:c>
      <x:c r="O45" s="6">
        <x:v>2022</x:v>
      </x:c>
      <x:c r="P45" s="6"/>
      <x:c r="Q45" s="23" t="s">
        <x:v>43</x:v>
      </x:c>
      <x:c r="R45" s="23" t="s">
        <x:v>113</x:v>
      </x:c>
      <x:c r="S45" s="20"/>
      <x:c r="T45" s="11"/>
      <x:c r="U45" s="11"/>
      <x:c r="V45" s="11">
        <x:v>-2.0896949999999999</x:v>
      </x:c>
      <x:c r="W45" s="11">
        <x:v>106.10564100000001</x:v>
      </x:c>
      <x:c r="X45" s="65"/>
      <x:c r="Y45" s="29"/>
      <x:c r="Z45" s="51"/>
      <x:c r="AA45" s="53"/>
      <x:c r="AB45" s="56"/>
      <x:c r="AC45">
        <x:f t="shared" si="2"/>
        <x:v>0.95652173913043481</x:v>
      </x:c>
      <x:c r="AD45">
        <x:f t="shared" si="3"/>
        <x:v>0.9242424242424242</x:v>
      </x:c>
    </x:row>
    <x:row r="46" ht="9.75" customHeight="1">
      <x:c r="A46" s="32">
        <x:v>41</x:v>
      </x:c>
      <x:c r="B46" s="11" t="s">
        <x:v>157</x:v>
      </x:c>
      <x:c r="C46" s="6" t="s">
        <x:v>34</x:v>
      </x:c>
      <x:c r="D46" s="11" t="s">
        <x:v>60</x:v>
      </x:c>
      <x:c r="E46" s="11" t="s">
        <x:v>70</x:v>
      </x:c>
      <x:c r="F46" s="6" t="s">
        <x:v>79</x:v>
      </x:c>
      <x:c r="G46" s="6" t="s">
        <x:v>42</x:v>
      </x:c>
      <x:c r="H46" s="17" t="s">
        <x:v>42</x:v>
      </x:c>
      <x:c r="I46" s="17" t="s">
        <x:v>42</x:v>
      </x:c>
      <x:c r="J46" s="6">
        <x:v>2017</x:v>
      </x:c>
      <x:c r="K46" s="17">
        <x:v>50</x:v>
      </x:c>
      <x:c r="L46" s="11">
        <x:v>50</x:v>
      </x:c>
      <x:c r="M46" s="17">
        <x:v>50</x:v>
      </x:c>
      <x:c r="N46" s="17" t="s">
        <x:v>41</x:v>
      </x:c>
      <x:c r="O46" s="6" t="s">
        <x:v>42</x:v>
      </x:c>
      <x:c r="P46" s="6"/>
      <x:c r="Q46" s="23" t="s">
        <x:v>43</x:v>
      </x:c>
      <x:c r="R46" s="23"/>
      <x:c r="S46" s="20"/>
      <x:c r="T46" s="11"/>
      <x:c r="U46" s="11"/>
      <x:c r="V46" s="11">
        <x:v>-2.084692</x:v>
      </x:c>
      <x:c r="W46" s="11">
        <x:v>106.09772599999999</x:v>
      </x:c>
      <x:c r="X46" s="65"/>
      <x:c r="Y46" s="29"/>
      <x:c r="Z46" s="51"/>
      <x:c r="AA46" s="53"/>
      <x:c r="AB46" s="56"/>
      <x:c r="AC46">
        <x:f t="shared" si="2"/>
        <x:v>1</x:v>
      </x:c>
      <x:c r="AD46">
        <x:f t="shared" si="3"/>
        <x:v>1</x:v>
      </x:c>
    </x:row>
    <x:row r="47" ht="9.75" customHeight="1">
      <x:c r="A47" s="32">
        <x:v>42</x:v>
      </x:c>
      <x:c r="B47" s="11" t="s">
        <x:v>158</x:v>
      </x:c>
      <x:c r="C47" s="6" t="s">
        <x:v>34</x:v>
      </x:c>
      <x:c r="D47" s="11" t="s">
        <x:v>81</x:v>
      </x:c>
      <x:c r="E47" s="11" t="s">
        <x:v>95</x:v>
      </x:c>
      <x:c r="F47" s="6" t="s">
        <x:v>159</x:v>
      </x:c>
      <x:c r="G47" s="6" t="s">
        <x:v>160</x:v>
      </x:c>
      <x:c r="H47" s="17" t="s">
        <x:v>161</x:v>
      </x:c>
      <x:c r="I47" s="17" t="s">
        <x:v>86</x:v>
      </x:c>
      <x:c r="J47" s="6">
        <x:v>2019</x:v>
      </x:c>
      <x:c r="K47" s="17">
        <x:v>228</x:v>
      </x:c>
      <x:c r="L47" s="11">
        <x:v>140</x:v>
      </x:c>
      <x:c r="M47" s="17">
        <x:v>140</x:v>
      </x:c>
      <x:c r="N47" s="17" t="s">
        <x:v>41</x:v>
      </x:c>
      <x:c r="O47" s="6" t="s">
        <x:v>42</x:v>
      </x:c>
      <x:c r="P47" s="6"/>
      <x:c r="Q47" s="23" t="s">
        <x:v>43</x:v>
      </x:c>
      <x:c r="R47" s="23"/>
      <x:c r="S47" s="20"/>
      <x:c r="T47" s="11"/>
      <x:c r="U47" s="11"/>
      <x:c r="V47" s="11">
        <x:v>-2.1513855</x:v>
      </x:c>
      <x:c r="W47" s="11">
        <x:v>106.1672731</x:v>
      </x:c>
      <x:c r="X47" s="65"/>
      <x:c r="Y47" s="29"/>
      <x:c r="Z47" s="51"/>
      <x:c r="AA47" s="53"/>
      <x:c r="AB47" s="56"/>
      <x:c r="AC47">
        <x:f t="shared" si="2"/>
        <x:v>0.61403508771929827</x:v>
      </x:c>
      <x:c r="AD47">
        <x:f t="shared" si="3"/>
        <x:v>1</x:v>
      </x:c>
    </x:row>
    <x:row r="48" ht="9.75" customHeight="1">
      <x:c r="A48" s="32">
        <x:v>43</x:v>
      </x:c>
      <x:c r="B48" s="11" t="s">
        <x:v>162</x:v>
      </x:c>
      <x:c r="C48" s="6" t="s">
        <x:v>34</x:v>
      </x:c>
      <x:c r="D48" s="11" t="s">
        <x:v>81</x:v>
      </x:c>
      <x:c r="E48" s="11" t="s">
        <x:v>95</x:v>
      </x:c>
      <x:c r="F48" s="6" t="s">
        <x:v>163</x:v>
      </x:c>
      <x:c r="G48" s="6" t="s">
        <x:v>164</x:v>
      </x:c>
      <x:c r="H48" s="17" t="s">
        <x:v>165</x:v>
      </x:c>
      <x:c r="I48" s="17" t="s">
        <x:v>166</x:v>
      </x:c>
      <x:c r="J48" s="6">
        <x:v>2021</x:v>
      </x:c>
      <x:c r="K48" s="17">
        <x:v>46</x:v>
      </x:c>
      <x:c r="L48" s="11">
        <x:v>46</x:v>
      </x:c>
      <x:c r="M48" s="17">
        <x:v>46</x:v>
      </x:c>
      <x:c r="N48" s="17" t="s">
        <x:v>48</x:v>
      </x:c>
      <x:c r="O48" s="6">
        <x:v>2025</x:v>
      </x:c>
      <x:c r="P48" s="6"/>
      <x:c r="Q48" s="23" t="s">
        <x:v>43</x:v>
      </x:c>
      <x:c r="R48" s="23"/>
      <x:c r="S48" s="20"/>
      <x:c r="T48" s="11"/>
      <x:c r="U48" s="11"/>
      <x:c r="V48" s="11">
        <x:v>-2.1406580000000002</x:v>
      </x:c>
      <x:c r="W48" s="11">
        <x:v>106.167591</x:v>
      </x:c>
      <x:c r="X48" s="65"/>
      <x:c r="Y48" s="29"/>
      <x:c r="Z48" s="51"/>
      <x:c r="AA48" s="53"/>
      <x:c r="AB48" s="56"/>
      <x:c r="AC48">
        <x:f t="shared" si="2"/>
        <x:v>1</x:v>
      </x:c>
      <x:c r="AD48">
        <x:f t="shared" si="3"/>
        <x:v>1</x:v>
      </x:c>
    </x:row>
    <x:row r="49" ht="9.75" customHeight="1">
      <x:c r="A49" s="32">
        <x:v>44</x:v>
      </x:c>
      <x:c r="B49" s="11" t="s">
        <x:v>167</x:v>
      </x:c>
      <x:c r="C49" s="6" t="s">
        <x:v>34</x:v>
      </x:c>
      <x:c r="D49" s="11" t="s">
        <x:v>60</x:v>
      </x:c>
      <x:c r="E49" s="11" t="s">
        <x:v>70</x:v>
      </x:c>
      <x:c r="F49" s="6" t="s">
        <x:v>168</x:v>
      </x:c>
      <x:c r="G49" s="6" t="s">
        <x:v>164</x:v>
      </x:c>
      <x:c r="H49" s="17" t="s">
        <x:v>165</x:v>
      </x:c>
      <x:c r="I49" s="17" t="s">
        <x:v>166</x:v>
      </x:c>
      <x:c r="J49" s="6">
        <x:v>2025</x:v>
      </x:c>
      <x:c r="K49" s="17">
        <x:v>42</x:v>
      </x:c>
      <x:c r="L49" s="11">
        <x:v>0</x:v>
      </x:c>
      <x:c r="M49" s="17">
        <x:v>0</x:v>
      </x:c>
      <x:c r="N49" s="17" t="s">
        <x:v>41</x:v>
      </x:c>
      <x:c r="O49" s="6" t="s">
        <x:v>42</x:v>
      </x:c>
      <x:c r="P49" s="6"/>
      <x:c r="Q49" s="23" t="s">
        <x:v>43</x:v>
      </x:c>
      <x:c r="R49" s="23"/>
      <x:c r="S49" s="20"/>
      <x:c r="T49" s="11"/>
      <x:c r="U49" s="11"/>
      <x:c r="V49" s="11"/>
      <x:c r="W49" s="11"/>
      <x:c r="X49" s="65"/>
      <x:c r="Y49" s="29"/>
      <x:c r="Z49" s="51"/>
      <x:c r="AA49" s="53"/>
      <x:c r="AB49" s="56"/>
      <x:c r="AC49">
        <x:f t="shared" si="2"/>
        <x:v>0</x:v>
      </x:c>
      <x:c r="AD49">
        <x:f t="shared" si="3"/>
        <x:v>0</x:v>
      </x:c>
    </x:row>
    <x:row r="50" ht="9.75" customHeight="1">
      <x:c r="A50" s="32">
        <x:v>45</x:v>
      </x:c>
      <x:c r="B50" s="11" t="s">
        <x:v>169</x:v>
      </x:c>
      <x:c r="C50" s="6" t="s">
        <x:v>170</x:v>
      </x:c>
      <x:c r="D50" s="11" t="s">
        <x:v>35</x:v>
      </x:c>
      <x:c r="E50" s="11" t="s">
        <x:v>36</x:v>
      </x:c>
      <x:c r="F50" s="6" t="s">
        <x:v>171</x:v>
      </x:c>
      <x:c r="G50" s="6" t="s">
        <x:v>42</x:v>
      </x:c>
      <x:c r="H50" s="17" t="s">
        <x:v>42</x:v>
      </x:c>
      <x:c r="I50" s="17" t="s">
        <x:v>42</x:v>
      </x:c>
      <x:c r="J50" s="6">
        <x:v>2015</x:v>
      </x:c>
      <x:c r="K50" s="17">
        <x:v>34</x:v>
      </x:c>
      <x:c r="L50" s="11">
        <x:v>4</x:v>
      </x:c>
      <x:c r="M50" s="17">
        <x:v>4</x:v>
      </x:c>
      <x:c r="N50" s="17" t="s">
        <x:v>41</x:v>
      </x:c>
      <x:c r="O50" s="6" t="s">
        <x:v>42</x:v>
      </x:c>
      <x:c r="P50" s="6"/>
      <x:c r="Q50" s="23" t="s">
        <x:v>72</x:v>
      </x:c>
      <x:c r="R50" s="23"/>
      <x:c r="S50" s="20"/>
      <x:c r="T50" s="11"/>
      <x:c r="U50" s="11"/>
      <x:c r="V50" s="11">
        <x:v>-2.1156009</x:v>
      </x:c>
      <x:c r="W50" s="11">
        <x:v>106.0769555</x:v>
      </x:c>
      <x:c r="X50" s="65"/>
      <x:c r="Y50" s="29"/>
      <x:c r="Z50" s="51"/>
      <x:c r="AA50" s="53"/>
      <x:c r="AB50" s="56"/>
      <x:c r="AC50">
        <x:f t="shared" si="2"/>
        <x:v>0.11764705882352941</x:v>
      </x:c>
      <x:c r="AD50">
        <x:f t="shared" si="3"/>
        <x:v>1</x:v>
      </x:c>
    </x:row>
    <x:row r="51" ht="9.75" customHeight="1">
      <x:c r="A51" s="32">
        <x:v>46</x:v>
      </x:c>
      <x:c r="B51" s="11" t="s">
        <x:v>172</x:v>
      </x:c>
      <x:c r="C51" s="6" t="s">
        <x:v>34</x:v>
      </x:c>
      <x:c r="D51" s="11" t="s">
        <x:v>60</x:v>
      </x:c>
      <x:c r="E51" s="11" t="s">
        <x:v>91</x:v>
      </x:c>
      <x:c r="F51" s="6" t="s">
        <x:v>154</x:v>
      </x:c>
      <x:c r="G51" s="6" t="s">
        <x:v>173</x:v>
      </x:c>
      <x:c r="H51" s="17" t="s">
        <x:v>174</x:v>
      </x:c>
      <x:c r="I51" s="17" t="s">
        <x:v>166</x:v>
      </x:c>
      <x:c r="J51" s="6">
        <x:v>2019</x:v>
      </x:c>
      <x:c r="K51" s="17">
        <x:v>71</x:v>
      </x:c>
      <x:c r="L51" s="11">
        <x:v>12</x:v>
      </x:c>
      <x:c r="M51" s="17">
        <x:v>7</x:v>
      </x:c>
      <x:c r="N51" s="17" t="s">
        <x:v>41</x:v>
      </x:c>
      <x:c r="O51" s="6" t="s">
        <x:v>42</x:v>
      </x:c>
      <x:c r="P51" s="6"/>
      <x:c r="Q51" s="23" t="s">
        <x:v>43</x:v>
      </x:c>
      <x:c r="R51" s="23"/>
      <x:c r="S51" s="20"/>
      <x:c r="T51" s="11"/>
      <x:c r="U51" s="11"/>
      <x:c r="V51" s="11">
        <x:v>-2.0902853000000001</x:v>
      </x:c>
      <x:c r="W51" s="11">
        <x:v>106.1002032</x:v>
      </x:c>
      <x:c r="X51" s="65"/>
      <x:c r="Y51" s="29"/>
      <x:c r="Z51" s="51"/>
      <x:c r="AA51" s="53"/>
      <x:c r="AB51" s="56"/>
      <x:c r="AC51">
        <x:f t="shared" si="2"/>
        <x:v>0.16901408450704225</x:v>
      </x:c>
      <x:c r="AD51">
        <x:f t="shared" si="3"/>
        <x:v>0.58333333333333337</x:v>
      </x:c>
    </x:row>
    <x:row r="52" ht="9.75" customHeight="1">
      <x:c r="A52" s="32">
        <x:v>47</x:v>
      </x:c>
      <x:c r="B52" s="11" t="s">
        <x:v>175</x:v>
      </x:c>
      <x:c r="C52" s="6" t="s">
        <x:v>170</x:v>
      </x:c>
      <x:c r="D52" s="11" t="s">
        <x:v>35</x:v>
      </x:c>
      <x:c r="E52" s="11" t="s">
        <x:v>136</x:v>
      </x:c>
      <x:c r="F52" s="6" t="s">
        <x:v>176</x:v>
      </x:c>
      <x:c r="G52" s="6" t="s">
        <x:v>155</x:v>
      </x:c>
      <x:c r="H52" s="17" t="s">
        <x:v>177</x:v>
      </x:c>
      <x:c r="I52" s="17" t="s">
        <x:v>65</x:v>
      </x:c>
      <x:c r="J52" s="6">
        <x:v>2014</x:v>
      </x:c>
      <x:c r="K52" s="17">
        <x:v>43</x:v>
      </x:c>
      <x:c r="L52" s="11">
        <x:v>43</x:v>
      </x:c>
      <x:c r="M52" s="17">
        <x:v>43</x:v>
      </x:c>
      <x:c r="N52" s="17" t="s">
        <x:v>41</x:v>
      </x:c>
      <x:c r="O52" s="6" t="s">
        <x:v>42</x:v>
      </x:c>
      <x:c r="P52" s="6"/>
      <x:c r="Q52" s="23" t="s">
        <x:v>43</x:v>
      </x:c>
      <x:c r="R52" s="23"/>
      <x:c r="S52" s="20" t="s">
        <x:v>178</x:v>
      </x:c>
      <x:c r="T52" s="11"/>
      <x:c r="U52" s="11"/>
      <x:c r="V52" s="11">
        <x:v>-2.1102129999999999</x:v>
      </x:c>
      <x:c r="W52" s="11">
        <x:v>106.09541299999999</x:v>
      </x:c>
      <x:c r="X52" s="65"/>
      <x:c r="Y52" s="29"/>
      <x:c r="Z52" s="51"/>
      <x:c r="AA52" s="53"/>
      <x:c r="AB52" s="56"/>
      <x:c r="AC52">
        <x:f t="shared" si="2"/>
        <x:v>1</x:v>
      </x:c>
      <x:c r="AD52">
        <x:f t="shared" si="3"/>
        <x:v>1</x:v>
      </x:c>
    </x:row>
    <x:row r="53" ht="9.75" customHeight="1">
      <x:c r="A53" s="32">
        <x:v>48</x:v>
      </x:c>
      <x:c r="B53" s="11" t="s">
        <x:v>179</x:v>
      </x:c>
      <x:c r="C53" s="6" t="s">
        <x:v>170</x:v>
      </x:c>
      <x:c r="D53" s="11" t="s">
        <x:v>35</x:v>
      </x:c>
      <x:c r="E53" s="11" t="s">
        <x:v>136</x:v>
      </x:c>
      <x:c r="F53" s="6" t="s">
        <x:v>180</x:v>
      </x:c>
      <x:c r="G53" s="6" t="s">
        <x:v>155</x:v>
      </x:c>
      <x:c r="H53" s="17" t="s">
        <x:v>177</x:v>
      </x:c>
      <x:c r="I53" s="17" t="s">
        <x:v>65</x:v>
      </x:c>
      <x:c r="J53" s="6">
        <x:v>2015</x:v>
      </x:c>
      <x:c r="K53" s="17">
        <x:v>15</x:v>
      </x:c>
      <x:c r="L53" s="11">
        <x:v>15</x:v>
      </x:c>
      <x:c r="M53" s="17">
        <x:v>9</x:v>
      </x:c>
      <x:c r="N53" s="17" t="s">
        <x:v>41</x:v>
      </x:c>
      <x:c r="O53" s="6" t="s">
        <x:v>42</x:v>
      </x:c>
      <x:c r="P53" s="6"/>
      <x:c r="Q53" s="23" t="s">
        <x:v>43</x:v>
      </x:c>
      <x:c r="R53" s="23"/>
      <x:c r="S53" s="20" t="s">
        <x:v>178</x:v>
      </x:c>
      <x:c r="T53" s="11"/>
      <x:c r="U53" s="11"/>
      <x:c r="V53" s="11">
        <x:v>-2.1096020000000002</x:v>
      </x:c>
      <x:c r="W53" s="11">
        <x:v>106.09485599999999</x:v>
      </x:c>
      <x:c r="X53" s="65"/>
      <x:c r="Y53" s="29"/>
      <x:c r="Z53" s="51"/>
      <x:c r="AA53" s="53"/>
      <x:c r="AB53" s="56"/>
      <x:c r="AC53">
        <x:f t="shared" si="2"/>
        <x:v>1</x:v>
      </x:c>
      <x:c r="AD53">
        <x:f t="shared" si="3"/>
        <x:v>0.6</x:v>
      </x:c>
    </x:row>
    <x:row r="54" ht="9.75" customHeight="1">
      <x:c r="A54" s="32">
        <x:v>49</x:v>
      </x:c>
      <x:c r="B54" s="11" t="s">
        <x:v>181</x:v>
      </x:c>
      <x:c r="C54" s="6" t="s">
        <x:v>34</x:v>
      </x:c>
      <x:c r="D54" s="11" t="s">
        <x:v>35</x:v>
      </x:c>
      <x:c r="E54" s="11" t="s">
        <x:v>136</x:v>
      </x:c>
      <x:c r="F54" s="6" t="s">
        <x:v>182</x:v>
      </x:c>
      <x:c r="G54" s="6" t="s">
        <x:v>155</x:v>
      </x:c>
      <x:c r="H54" s="17" t="s">
        <x:v>177</x:v>
      </x:c>
      <x:c r="I54" s="17" t="s">
        <x:v>65</x:v>
      </x:c>
      <x:c r="J54" s="6">
        <x:v>2016</x:v>
      </x:c>
      <x:c r="K54" s="17">
        <x:v>86</x:v>
      </x:c>
      <x:c r="L54" s="11">
        <x:v>86</x:v>
      </x:c>
      <x:c r="M54" s="17">
        <x:v>86</x:v>
      </x:c>
      <x:c r="N54" s="17" t="s">
        <x:v>41</x:v>
      </x:c>
      <x:c r="O54" s="6" t="s">
        <x:v>42</x:v>
      </x:c>
      <x:c r="P54" s="6"/>
      <x:c r="Q54" s="23" t="s">
        <x:v>43</x:v>
      </x:c>
      <x:c r="R54" s="23"/>
      <x:c r="S54" s="20" t="s">
        <x:v>178</x:v>
      </x:c>
      <x:c r="T54" s="11"/>
      <x:c r="U54" s="11"/>
      <x:c r="V54" s="11">
        <x:v>-2.107672</x:v>
      </x:c>
      <x:c r="W54" s="11">
        <x:v>106.092901</x:v>
      </x:c>
      <x:c r="X54" s="65"/>
      <x:c r="Y54" s="29"/>
      <x:c r="Z54" s="51"/>
      <x:c r="AA54" s="53"/>
      <x:c r="AB54" s="56"/>
      <x:c r="AC54">
        <x:f t="shared" si="2"/>
        <x:v>1</x:v>
      </x:c>
      <x:c r="AD54">
        <x:f t="shared" si="3"/>
        <x:v>1</x:v>
      </x:c>
    </x:row>
    <x:row r="55" ht="9.75" customHeight="1">
      <x:c r="A55" s="32">
        <x:v>50</x:v>
      </x:c>
      <x:c r="B55" s="11" t="s">
        <x:v>183</x:v>
      </x:c>
      <x:c r="C55" s="6" t="s">
        <x:v>34</x:v>
      </x:c>
      <x:c r="D55" s="11" t="s">
        <x:v>35</x:v>
      </x:c>
      <x:c r="E55" s="11" t="s">
        <x:v>184</x:v>
      </x:c>
      <x:c r="F55" s="6" t="s">
        <x:v>185</x:v>
      </x:c>
      <x:c r="G55" s="6" t="s">
        <x:v>155</x:v>
      </x:c>
      <x:c r="H55" s="17" t="s">
        <x:v>177</x:v>
      </x:c>
      <x:c r="I55" s="17" t="s">
        <x:v>65</x:v>
      </x:c>
      <x:c r="J55" s="6">
        <x:v>2017</x:v>
      </x:c>
      <x:c r="K55" s="17">
        <x:v>95</x:v>
      </x:c>
      <x:c r="L55" s="11">
        <x:v>95</x:v>
      </x:c>
      <x:c r="M55" s="17">
        <x:v>95</x:v>
      </x:c>
      <x:c r="N55" s="17" t="s">
        <x:v>41</x:v>
      </x:c>
      <x:c r="O55" s="6" t="s">
        <x:v>42</x:v>
      </x:c>
      <x:c r="P55" s="6"/>
      <x:c r="Q55" s="23" t="s">
        <x:v>43</x:v>
      </x:c>
      <x:c r="R55" s="23"/>
      <x:c r="S55" s="20" t="s">
        <x:v>178</x:v>
      </x:c>
      <x:c r="T55" s="11"/>
      <x:c r="U55" s="11"/>
      <x:c r="V55" s="11">
        <x:v>-2.1058629999999998</x:v>
      </x:c>
      <x:c r="W55" s="11">
        <x:v>106.089313</x:v>
      </x:c>
      <x:c r="X55" s="65"/>
      <x:c r="Y55" s="29"/>
      <x:c r="Z55" s="51"/>
      <x:c r="AA55" s="53"/>
      <x:c r="AB55" s="56"/>
      <x:c r="AC55">
        <x:f t="shared" si="2"/>
        <x:v>1</x:v>
      </x:c>
      <x:c r="AD55">
        <x:f t="shared" si="3"/>
        <x:v>1</x:v>
      </x:c>
    </x:row>
    <x:row r="56" ht="9.75" customHeight="1">
      <x:c r="A56" s="32">
        <x:v>51</x:v>
      </x:c>
      <x:c r="B56" s="11" t="s">
        <x:v>186</x:v>
      </x:c>
      <x:c r="C56" s="6" t="s">
        <x:v>170</x:v>
      </x:c>
      <x:c r="D56" s="11" t="s">
        <x:v>81</x:v>
      </x:c>
      <x:c r="E56" s="11" t="s">
        <x:v>82</x:v>
      </x:c>
      <x:c r="F56" s="6" t="s">
        <x:v>187</x:v>
      </x:c>
      <x:c r="G56" s="6" t="s">
        <x:v>42</x:v>
      </x:c>
      <x:c r="H56" s="17" t="s">
        <x:v>42</x:v>
      </x:c>
      <x:c r="I56" s="17" t="s">
        <x:v>42</x:v>
      </x:c>
      <x:c r="J56" s="6" t="s">
        <x:v>42</x:v>
      </x:c>
      <x:c r="K56" s="17">
        <x:v>0</x:v>
      </x:c>
      <x:c r="L56" s="11">
        <x:v>0</x:v>
      </x:c>
      <x:c r="M56" s="17">
        <x:v>0</x:v>
      </x:c>
      <x:c r="N56" s="17" t="s">
        <x:v>41</x:v>
      </x:c>
      <x:c r="O56" s="6" t="s">
        <x:v>42</x:v>
      </x:c>
      <x:c r="P56" s="6"/>
      <x:c r="Q56" s="23" t="s">
        <x:v>72</x:v>
      </x:c>
      <x:c r="R56" s="23"/>
      <x:c r="S56" s="20"/>
      <x:c r="T56" s="11"/>
      <x:c r="U56" s="11"/>
      <x:c r="V56" s="11">
        <x:v>-2.1422300000000001</x:v>
      </x:c>
      <x:c r="W56" s="11">
        <x:v>106.135379</x:v>
      </x:c>
      <x:c r="X56" s="65"/>
      <x:c r="Y56" s="29"/>
      <x:c r="Z56" s="51"/>
      <x:c r="AA56" s="53"/>
      <x:c r="AB56" s="56"/>
      <x:c r="AC56">
        <x:f t="shared" si="2"/>
        <x:v>0</x:v>
      </x:c>
      <x:c r="AD56">
        <x:f t="shared" si="3"/>
        <x:v>0</x:v>
      </x:c>
    </x:row>
    <x:row r="57" ht="9.75" customHeight="1">
      <x:c r="A57" s="32">
        <x:v>52</x:v>
      </x:c>
      <x:c r="B57" s="11" t="s">
        <x:v>188</x:v>
      </x:c>
      <x:c r="C57" s="6" t="s">
        <x:v>34</x:v>
      </x:c>
      <x:c r="D57" s="11" t="s">
        <x:v>35</x:v>
      </x:c>
      <x:c r="E57" s="11" t="s">
        <x:v>184</x:v>
      </x:c>
      <x:c r="F57" s="6" t="s">
        <x:v>62</x:v>
      </x:c>
      <x:c r="G57" s="6" t="s">
        <x:v>42</x:v>
      </x:c>
      <x:c r="H57" s="17" t="s">
        <x:v>189</x:v>
      </x:c>
      <x:c r="I57" s="17" t="s">
        <x:v>42</x:v>
      </x:c>
      <x:c r="J57" s="6">
        <x:v>2017</x:v>
      </x:c>
      <x:c r="K57" s="17">
        <x:v>10</x:v>
      </x:c>
      <x:c r="L57" s="11">
        <x:v>6</x:v>
      </x:c>
      <x:c r="M57" s="17">
        <x:v>6</x:v>
      </x:c>
      <x:c r="N57" s="17" t="s">
        <x:v>41</x:v>
      </x:c>
      <x:c r="O57" s="6" t="s">
        <x:v>42</x:v>
      </x:c>
      <x:c r="P57" s="6"/>
      <x:c r="Q57" s="23" t="s">
        <x:v>43</x:v>
      </x:c>
      <x:c r="R57" s="23"/>
      <x:c r="S57" s="20"/>
      <x:c r="T57" s="11"/>
      <x:c r="U57" s="11"/>
      <x:c r="V57" s="11">
        <x:v>-2.1050179999999998</x:v>
      </x:c>
      <x:c r="W57" s="11">
        <x:v>106.089422</x:v>
      </x:c>
      <x:c r="X57" s="65"/>
      <x:c r="Y57" s="29"/>
      <x:c r="Z57" s="51"/>
      <x:c r="AA57" s="53"/>
      <x:c r="AB57" s="56"/>
      <x:c r="AC57">
        <x:f t="shared" si="2"/>
        <x:v>0.6</x:v>
      </x:c>
      <x:c r="AD57">
        <x:f t="shared" si="3"/>
        <x:v>1</x:v>
      </x:c>
    </x:row>
    <x:row r="58" ht="9.75" customHeight="1">
      <x:c r="A58" s="32">
        <x:v>53</x:v>
      </x:c>
      <x:c r="B58" s="11" t="s">
        <x:v>190</x:v>
      </x:c>
      <x:c r="C58" s="6" t="s">
        <x:v>170</x:v>
      </x:c>
      <x:c r="D58" s="11" t="s">
        <x:v>35</x:v>
      </x:c>
      <x:c r="E58" s="11" t="s">
        <x:v>184</x:v>
      </x:c>
      <x:c r="F58" s="6" t="s">
        <x:v>191</x:v>
      </x:c>
      <x:c r="G58" s="6" t="s">
        <x:v>42</x:v>
      </x:c>
      <x:c r="H58" s="17" t="s">
        <x:v>42</x:v>
      </x:c>
      <x:c r="I58" s="17" t="s">
        <x:v>42</x:v>
      </x:c>
      <x:c r="J58" s="6" t="s">
        <x:v>42</x:v>
      </x:c>
      <x:c r="K58" s="17">
        <x:v>0</x:v>
      </x:c>
      <x:c r="L58" s="11">
        <x:v>0</x:v>
      </x:c>
      <x:c r="M58" s="17">
        <x:v>0</x:v>
      </x:c>
      <x:c r="N58" s="17" t="s">
        <x:v>41</x:v>
      </x:c>
      <x:c r="O58" s="6" t="s">
        <x:v>42</x:v>
      </x:c>
      <x:c r="P58" s="6"/>
      <x:c r="Q58" s="23" t="s">
        <x:v>43</x:v>
      </x:c>
      <x:c r="R58" s="23"/>
      <x:c r="S58" s="20"/>
      <x:c r="T58" s="11"/>
      <x:c r="U58" s="11"/>
      <x:c r="V58" s="11">
        <x:v>-2.1097991</x:v>
      </x:c>
      <x:c r="W58" s="11">
        <x:v>106.0891817</x:v>
      </x:c>
      <x:c r="X58" s="65"/>
      <x:c r="Y58" s="29"/>
      <x:c r="Z58" s="51"/>
      <x:c r="AA58" s="53"/>
      <x:c r="AB58" s="56"/>
      <x:c r="AC58">
        <x:f t="shared" si="2"/>
        <x:v>0</x:v>
      </x:c>
      <x:c r="AD58">
        <x:f t="shared" si="3"/>
        <x:v>0</x:v>
      </x:c>
    </x:row>
    <x:row r="59" ht="9.75" customHeight="1">
      <x:c r="A59" s="32">
        <x:v>54</x:v>
      </x:c>
      <x:c r="B59" s="11" t="s">
        <x:v>192</x:v>
      </x:c>
      <x:c r="C59" s="6" t="s">
        <x:v>34</x:v>
      </x:c>
      <x:c r="D59" s="11" t="s">
        <x:v>35</x:v>
      </x:c>
      <x:c r="E59" s="11" t="s">
        <x:v>184</x:v>
      </x:c>
      <x:c r="F59" s="6" t="s">
        <x:v>193</x:v>
      </x:c>
      <x:c r="G59" s="6" t="s">
        <x:v>194</x:v>
      </x:c>
      <x:c r="H59" s="17" t="s">
        <x:v>195</x:v>
      </x:c>
      <x:c r="I59" s="17" t="s">
        <x:v>196</x:v>
      </x:c>
      <x:c r="J59" s="6">
        <x:v>2017</x:v>
      </x:c>
      <x:c r="K59" s="17">
        <x:v>77</x:v>
      </x:c>
      <x:c r="L59" s="11">
        <x:v>65</x:v>
      </x:c>
      <x:c r="M59" s="17">
        <x:v>61</x:v>
      </x:c>
      <x:c r="N59" s="17" t="s">
        <x:v>48</x:v>
      </x:c>
      <x:c r="O59" s="6">
        <x:v>2020</x:v>
      </x:c>
      <x:c r="P59" s="6"/>
      <x:c r="Q59" s="23" t="s">
        <x:v>43</x:v>
      </x:c>
      <x:c r="R59" s="23"/>
      <x:c r="S59" s="20"/>
      <x:c r="T59" s="11"/>
      <x:c r="U59" s="11"/>
      <x:c r="V59" s="11">
        <x:v>-2.11145</x:v>
      </x:c>
      <x:c r="W59" s="11">
        <x:v>106.088959</x:v>
      </x:c>
      <x:c r="X59" s="65"/>
      <x:c r="Y59" s="29"/>
      <x:c r="Z59" s="51"/>
      <x:c r="AA59" s="53"/>
      <x:c r="AB59" s="56"/>
      <x:c r="AC59">
        <x:f t="shared" si="2"/>
        <x:v>0.8441558441558441</x:v>
      </x:c>
      <x:c r="AD59">
        <x:f t="shared" si="3"/>
        <x:v>0.93846153846153846</x:v>
      </x:c>
    </x:row>
    <x:row r="60" ht="9.75" customHeight="1">
      <x:c r="A60" s="32">
        <x:v>55</x:v>
      </x:c>
      <x:c r="B60" s="11" t="s">
        <x:v>197</x:v>
      </x:c>
      <x:c r="C60" s="6" t="s">
        <x:v>34</x:v>
      </x:c>
      <x:c r="D60" s="11" t="s">
        <x:v>35</x:v>
      </x:c>
      <x:c r="E60" s="11" t="s">
        <x:v>36</x:v>
      </x:c>
      <x:c r="F60" s="6" t="s">
        <x:v>104</x:v>
      </x:c>
      <x:c r="G60" s="6" t="s">
        <x:v>198</x:v>
      </x:c>
      <x:c r="H60" s="17" t="s">
        <x:v>199</x:v>
      </x:c>
      <x:c r="I60" s="17" t="s">
        <x:v>86</x:v>
      </x:c>
      <x:c r="J60" s="6">
        <x:v>2018</x:v>
      </x:c>
      <x:c r="K60" s="17">
        <x:v>119</x:v>
      </x:c>
      <x:c r="L60" s="11">
        <x:v>44</x:v>
      </x:c>
      <x:c r="M60" s="17">
        <x:v>44</x:v>
      </x:c>
      <x:c r="N60" s="17" t="s">
        <x:v>41</x:v>
      </x:c>
      <x:c r="O60" s="6" t="s">
        <x:v>42</x:v>
      </x:c>
      <x:c r="P60" s="6"/>
      <x:c r="Q60" s="23" t="s">
        <x:v>72</x:v>
      </x:c>
      <x:c r="R60" s="23"/>
      <x:c r="S60" s="20"/>
      <x:c r="T60" s="11"/>
      <x:c r="U60" s="11"/>
      <x:c r="V60" s="11">
        <x:v>-2.1020436</x:v>
      </x:c>
      <x:c r="W60" s="11">
        <x:v>106.04731630000001</x:v>
      </x:c>
      <x:c r="X60" s="65"/>
      <x:c r="Y60" s="29"/>
      <x:c r="Z60" s="51"/>
      <x:c r="AA60" s="53"/>
      <x:c r="AB60" s="56"/>
      <x:c r="AC60">
        <x:f t="shared" si="2"/>
        <x:v>0.36974789915966388</x:v>
      </x:c>
      <x:c r="AD60">
        <x:f t="shared" si="3"/>
        <x:v>1</x:v>
      </x:c>
    </x:row>
    <x:row r="61" ht="9.75" customHeight="1">
      <x:c r="A61" s="32">
        <x:v>56</x:v>
      </x:c>
      <x:c r="B61" s="11" t="s">
        <x:v>200</x:v>
      </x:c>
      <x:c r="C61" s="6" t="s">
        <x:v>34</x:v>
      </x:c>
      <x:c r="D61" s="11" t="s">
        <x:v>35</x:v>
      </x:c>
      <x:c r="E61" s="11" t="s">
        <x:v>36</x:v>
      </x:c>
      <x:c r="F61" s="6" t="s">
        <x:v>104</x:v>
      </x:c>
      <x:c r="G61" s="6" t="s">
        <x:v>198</x:v>
      </x:c>
      <x:c r="H61" s="17" t="s">
        <x:v>199</x:v>
      </x:c>
      <x:c r="I61" s="17" t="s">
        <x:v>86</x:v>
      </x:c>
      <x:c r="J61" s="6">
        <x:v>2018</x:v>
      </x:c>
      <x:c r="K61" s="17">
        <x:v>131</x:v>
      </x:c>
      <x:c r="L61" s="11">
        <x:v>37</x:v>
      </x:c>
      <x:c r="M61" s="17">
        <x:v>37</x:v>
      </x:c>
      <x:c r="N61" s="17" t="s">
        <x:v>41</x:v>
      </x:c>
      <x:c r="O61" s="6" t="s">
        <x:v>42</x:v>
      </x:c>
      <x:c r="P61" s="6"/>
      <x:c r="Q61" s="23" t="s">
        <x:v>43</x:v>
      </x:c>
      <x:c r="R61" s="23"/>
      <x:c r="S61" s="20"/>
      <x:c r="T61" s="11"/>
      <x:c r="U61" s="11"/>
      <x:c r="V61" s="11">
        <x:v>-2.1020436</x:v>
      </x:c>
      <x:c r="W61" s="11">
        <x:v>106.0473164</x:v>
      </x:c>
      <x:c r="X61" s="65"/>
      <x:c r="Y61" s="29"/>
      <x:c r="Z61" s="51"/>
      <x:c r="AA61" s="53"/>
      <x:c r="AB61" s="56"/>
      <x:c r="AC61">
        <x:f t="shared" si="2"/>
        <x:v>0.28244274809160308</x:v>
      </x:c>
      <x:c r="AD61">
        <x:f t="shared" si="3"/>
        <x:v>1</x:v>
      </x:c>
    </x:row>
    <x:row r="62" ht="9.75" customHeight="1">
      <x:c r="A62" s="32">
        <x:v>57</x:v>
      </x:c>
      <x:c r="B62" s="11" t="s">
        <x:v>201</x:v>
      </x:c>
      <x:c r="C62" s="6" t="s">
        <x:v>34</x:v>
      </x:c>
      <x:c r="D62" s="11" t="s">
        <x:v>81</x:v>
      </x:c>
      <x:c r="E62" s="11" t="s">
        <x:v>202</x:v>
      </x:c>
      <x:c r="F62" s="6" t="s">
        <x:v>42</x:v>
      </x:c>
      <x:c r="G62" s="6" t="s">
        <x:v>203</x:v>
      </x:c>
      <x:c r="H62" s="17" t="s">
        <x:v>204</x:v>
      </x:c>
      <x:c r="I62" s="17" t="s">
        <x:v>42</x:v>
      </x:c>
      <x:c r="J62" s="6">
        <x:v>2018</x:v>
      </x:c>
      <x:c r="K62" s="17">
        <x:v>70</x:v>
      </x:c>
      <x:c r="L62" s="11">
        <x:v>0</x:v>
      </x:c>
      <x:c r="M62" s="17">
        <x:v>0</x:v>
      </x:c>
      <x:c r="N62" s="17" t="s">
        <x:v>41</x:v>
      </x:c>
      <x:c r="O62" s="6" t="s">
        <x:v>42</x:v>
      </x:c>
      <x:c r="P62" s="6"/>
      <x:c r="Q62" s="23" t="s">
        <x:v>43</x:v>
      </x:c>
      <x:c r="R62" s="23"/>
      <x:c r="S62" s="20"/>
      <x:c r="T62" s="11"/>
      <x:c r="U62" s="11"/>
      <x:c r="V62" s="11"/>
      <x:c r="W62" s="11"/>
      <x:c r="X62" s="65"/>
      <x:c r="Y62" s="29"/>
      <x:c r="Z62" s="51"/>
      <x:c r="AA62" s="53"/>
      <x:c r="AB62" s="56"/>
      <x:c r="AC62">
        <x:f t="shared" si="2"/>
        <x:v>0</x:v>
      </x:c>
      <x:c r="AD62">
        <x:f t="shared" si="3"/>
        <x:v>0</x:v>
      </x:c>
    </x:row>
    <x:row r="63" ht="9.75" customHeight="1">
      <x:c r="A63" s="32">
        <x:v>58</x:v>
      </x:c>
      <x:c r="B63" s="11" t="s">
        <x:v>205</x:v>
      </x:c>
      <x:c r="C63" s="6" t="s">
        <x:v>34</x:v>
      </x:c>
      <x:c r="D63" s="11" t="s">
        <x:v>35</x:v>
      </x:c>
      <x:c r="E63" s="11" t="s">
        <x:v>36</x:v>
      </x:c>
      <x:c r="F63" s="6" t="s">
        <x:v>143</x:v>
      </x:c>
      <x:c r="G63" s="6" t="s">
        <x:v>206</x:v>
      </x:c>
      <x:c r="H63" s="17" t="s">
        <x:v>207</x:v>
      </x:c>
      <x:c r="I63" s="17" t="s">
        <x:v>86</x:v>
      </x:c>
      <x:c r="J63" s="6">
        <x:v>2019</x:v>
      </x:c>
      <x:c r="K63" s="17">
        <x:v>199</x:v>
      </x:c>
      <x:c r="L63" s="11">
        <x:v>150</x:v>
      </x:c>
      <x:c r="M63" s="17">
        <x:v>140</x:v>
      </x:c>
      <x:c r="N63" s="17" t="s">
        <x:v>41</x:v>
      </x:c>
      <x:c r="O63" s="6" t="s">
        <x:v>42</x:v>
      </x:c>
      <x:c r="P63" s="6"/>
      <x:c r="Q63" s="23" t="s">
        <x:v>43</x:v>
      </x:c>
      <x:c r="R63" s="23"/>
      <x:c r="S63" s="20"/>
      <x:c r="T63" s="11" t="s">
        <x:v>44</x:v>
      </x:c>
      <x:c r="U63" s="11"/>
      <x:c r="V63" s="11">
        <x:v>-2.1043018</x:v>
      </x:c>
      <x:c r="W63" s="11">
        <x:v>106.0806498</x:v>
      </x:c>
      <x:c r="X63" s="65"/>
      <x:c r="Y63" s="29"/>
      <x:c r="Z63" s="51"/>
      <x:c r="AA63" s="53"/>
      <x:c r="AB63" s="56"/>
      <x:c r="AC63">
        <x:f t="shared" si="2"/>
        <x:v>0.75376884422110557</x:v>
      </x:c>
      <x:c r="AD63">
        <x:f t="shared" si="3"/>
        <x:v>0.93333333333333335</x:v>
      </x:c>
    </x:row>
    <x:row r="64" ht="9.75" customHeight="1">
      <x:c r="A64" s="32">
        <x:v>59</x:v>
      </x:c>
      <x:c r="B64" s="11" t="s">
        <x:v>208</x:v>
      </x:c>
      <x:c r="C64" s="6" t="s">
        <x:v>34</x:v>
      </x:c>
      <x:c r="D64" s="11" t="s">
        <x:v>60</x:v>
      </x:c>
      <x:c r="E64" s="11" t="s">
        <x:v>91</x:v>
      </x:c>
      <x:c r="F64" s="6" t="s">
        <x:v>209</x:v>
      </x:c>
      <x:c r="G64" s="6" t="s">
        <x:v>210</x:v>
      </x:c>
      <x:c r="H64" s="17" t="s">
        <x:v>211</x:v>
      </x:c>
      <x:c r="I64" s="17" t="s">
        <x:v>112</x:v>
      </x:c>
      <x:c r="J64" s="6">
        <x:v>2017</x:v>
      </x:c>
      <x:c r="K64" s="17">
        <x:v>150</x:v>
      </x:c>
      <x:c r="L64" s="11">
        <x:v>42</x:v>
      </x:c>
      <x:c r="M64" s="17">
        <x:v>42</x:v>
      </x:c>
      <x:c r="N64" s="17" t="s">
        <x:v>41</x:v>
      </x:c>
      <x:c r="O64" s="6" t="s">
        <x:v>42</x:v>
      </x:c>
      <x:c r="P64" s="6"/>
      <x:c r="Q64" s="23" t="s">
        <x:v>43</x:v>
      </x:c>
      <x:c r="R64" s="23"/>
      <x:c r="S64" s="20"/>
      <x:c r="T64" s="11"/>
      <x:c r="U64" s="11"/>
      <x:c r="V64" s="11">
        <x:v>-2.0780973399999998</x:v>
      </x:c>
      <x:c r="W64" s="11">
        <x:v>106.1239751</x:v>
      </x:c>
      <x:c r="X64" s="65"/>
      <x:c r="Y64" s="29"/>
      <x:c r="Z64" s="51"/>
      <x:c r="AA64" s="53"/>
      <x:c r="AB64" s="56"/>
      <x:c r="AC64">
        <x:f t="shared" si="2"/>
        <x:v>0.28000000000000003</x:v>
      </x:c>
      <x:c r="AD64">
        <x:f t="shared" si="3"/>
        <x:v>1</x:v>
      </x:c>
    </x:row>
    <x:row r="65" ht="9.75" customHeight="1">
      <x:c r="A65" s="32">
        <x:v>60</x:v>
      </x:c>
      <x:c r="B65" s="11" t="s">
        <x:v>212</x:v>
      </x:c>
      <x:c r="C65" s="6" t="s">
        <x:v>34</x:v>
      </x:c>
      <x:c r="D65" s="11" t="s">
        <x:v>99</x:v>
      </x:c>
      <x:c r="E65" s="11" t="s">
        <x:v>213</x:v>
      </x:c>
      <x:c r="F65" s="6" t="s">
        <x:v>214</x:v>
      </x:c>
      <x:c r="G65" s="6" t="s">
        <x:v>215</x:v>
      </x:c>
      <x:c r="H65" s="17" t="s">
        <x:v>216</x:v>
      </x:c>
      <x:c r="I65" s="17" t="s">
        <x:v>112</x:v>
      </x:c>
      <x:c r="J65" s="6">
        <x:v>2024</x:v>
      </x:c>
      <x:c r="K65" s="17">
        <x:v>39</x:v>
      </x:c>
      <x:c r="L65" s="11">
        <x:v>34</x:v>
      </x:c>
      <x:c r="M65" s="17">
        <x:v>29</x:v>
      </x:c>
      <x:c r="N65" s="17" t="s">
        <x:v>41</x:v>
      </x:c>
      <x:c r="O65" s="6" t="s">
        <x:v>42</x:v>
      </x:c>
      <x:c r="P65" s="6"/>
      <x:c r="Q65" s="23" t="s">
        <x:v>43</x:v>
      </x:c>
      <x:c r="R65" s="23"/>
      <x:c r="S65" s="20"/>
      <x:c r="T65" s="11"/>
      <x:c r="U65" s="11"/>
      <x:c r="V65" s="11">
        <x:v>-2.0876017</x:v>
      </x:c>
      <x:c r="W65" s="11">
        <x:v>106.12235029999999</x:v>
      </x:c>
      <x:c r="X65" s="65"/>
      <x:c r="Y65" s="29"/>
      <x:c r="Z65" s="51"/>
      <x:c r="AA65" s="53"/>
      <x:c r="AB65" s="56"/>
      <x:c r="AC65">
        <x:f t="shared" si="2"/>
        <x:v>0.87179487179487181</x:v>
      </x:c>
      <x:c r="AD65">
        <x:f t="shared" si="3"/>
        <x:v>0.8529411764705882</x:v>
      </x:c>
    </x:row>
    <x:row r="66" ht="9.75" customHeight="1">
      <x:c r="A66" s="32">
        <x:v>61</x:v>
      </x:c>
      <x:c r="B66" s="11" t="s">
        <x:v>217</x:v>
      </x:c>
      <x:c r="C66" s="6" t="s">
        <x:v>34</x:v>
      </x:c>
      <x:c r="D66" s="11" t="s">
        <x:v>81</x:v>
      </x:c>
      <x:c r="E66" s="11" t="s">
        <x:v>95</x:v>
      </x:c>
      <x:c r="F66" s="6" t="s">
        <x:v>96</x:v>
      </x:c>
      <x:c r="G66" s="6" t="s">
        <x:v>215</x:v>
      </x:c>
      <x:c r="H66" s="17" t="s">
        <x:v>216</x:v>
      </x:c>
      <x:c r="I66" s="17" t="s">
        <x:v>112</x:v>
      </x:c>
      <x:c r="J66" s="6">
        <x:v>2020</x:v>
      </x:c>
      <x:c r="K66" s="17">
        <x:v>70</x:v>
      </x:c>
      <x:c r="L66" s="11">
        <x:v>70</x:v>
      </x:c>
      <x:c r="M66" s="17">
        <x:v>70</x:v>
      </x:c>
      <x:c r="N66" s="17" t="s">
        <x:v>41</x:v>
      </x:c>
      <x:c r="O66" s="6" t="s">
        <x:v>42</x:v>
      </x:c>
      <x:c r="P66" s="6"/>
      <x:c r="Q66" s="23" t="s">
        <x:v>43</x:v>
      </x:c>
      <x:c r="R66" s="23"/>
      <x:c r="S66" s="20"/>
      <x:c r="T66" s="11"/>
      <x:c r="U66" s="11"/>
      <x:c r="V66" s="11">
        <x:v>-2.1467825</x:v>
      </x:c>
      <x:c r="W66" s="11">
        <x:v>106.16664129999999</x:v>
      </x:c>
      <x:c r="X66" s="65"/>
      <x:c r="Y66" s="29"/>
      <x:c r="Z66" s="51"/>
      <x:c r="AA66" s="53"/>
      <x:c r="AB66" s="56"/>
      <x:c r="AC66">
        <x:f t="shared" si="2"/>
        <x:v>1</x:v>
      </x:c>
      <x:c r="AD66">
        <x:f t="shared" si="3"/>
        <x:v>1</x:v>
      </x:c>
    </x:row>
    <x:row r="67" ht="9.75" customHeight="1">
      <x:c r="A67" s="32">
        <x:v>62</x:v>
      </x:c>
      <x:c r="B67" s="11" t="s">
        <x:v>218</x:v>
      </x:c>
      <x:c r="C67" s="6" t="s">
        <x:v>34</x:v>
      </x:c>
      <x:c r="D67" s="11" t="s">
        <x:v>35</x:v>
      </x:c>
      <x:c r="E67" s="11" t="s">
        <x:v>36</x:v>
      </x:c>
      <x:c r="F67" s="6" t="s">
        <x:v>143</x:v>
      </x:c>
      <x:c r="G67" s="6" t="s">
        <x:v>215</x:v>
      </x:c>
      <x:c r="H67" s="17" t="s">
        <x:v>216</x:v>
      </x:c>
      <x:c r="I67" s="17" t="s">
        <x:v>112</x:v>
      </x:c>
      <x:c r="J67" s="6">
        <x:v>2016</x:v>
      </x:c>
      <x:c r="K67" s="17">
        <x:v>22</x:v>
      </x:c>
      <x:c r="L67" s="11">
        <x:v>22</x:v>
      </x:c>
      <x:c r="M67" s="17">
        <x:v>22</x:v>
      </x:c>
      <x:c r="N67" s="17" t="s">
        <x:v>41</x:v>
      </x:c>
      <x:c r="O67" s="6" t="s">
        <x:v>42</x:v>
      </x:c>
      <x:c r="P67" s="6"/>
      <x:c r="Q67" s="23" t="s">
        <x:v>43</x:v>
      </x:c>
      <x:c r="R67" s="23" t="s">
        <x:v>88</x:v>
      </x:c>
      <x:c r="S67" s="20"/>
      <x:c r="T67" s="11"/>
      <x:c r="U67" s="11"/>
      <x:c r="V67" s="11">
        <x:v>-2.107863</x:v>
      </x:c>
      <x:c r="W67" s="11">
        <x:v>106.084007</x:v>
      </x:c>
      <x:c r="X67" s="65"/>
      <x:c r="Y67" s="29"/>
      <x:c r="Z67" s="51"/>
      <x:c r="AA67" s="53"/>
      <x:c r="AB67" s="56"/>
      <x:c r="AC67">
        <x:f t="shared" si="2"/>
        <x:v>1</x:v>
      </x:c>
      <x:c r="AD67">
        <x:f t="shared" si="3"/>
        <x:v>1</x:v>
      </x:c>
    </x:row>
    <x:row r="68" ht="9.75" customHeight="1">
      <x:c r="A68" s="32">
        <x:v>63</x:v>
      </x:c>
      <x:c r="B68" s="11" t="s">
        <x:v>219</x:v>
      </x:c>
      <x:c r="C68" s="6" t="s">
        <x:v>34</x:v>
      </x:c>
      <x:c r="D68" s="11" t="s">
        <x:v>35</x:v>
      </x:c>
      <x:c r="E68" s="11" t="s">
        <x:v>36</x:v>
      </x:c>
      <x:c r="F68" s="6" t="s">
        <x:v>54</x:v>
      </x:c>
      <x:c r="G68" s="6" t="s">
        <x:v>215</x:v>
      </x:c>
      <x:c r="H68" s="17" t="s">
        <x:v>216</x:v>
      </x:c>
      <x:c r="I68" s="17" t="s">
        <x:v>112</x:v>
      </x:c>
      <x:c r="J68" s="6">
        <x:v>2016</x:v>
      </x:c>
      <x:c r="K68" s="17">
        <x:v>35</x:v>
      </x:c>
      <x:c r="L68" s="11">
        <x:v>35</x:v>
      </x:c>
      <x:c r="M68" s="17">
        <x:v>35</x:v>
      </x:c>
      <x:c r="N68" s="17" t="s">
        <x:v>41</x:v>
      </x:c>
      <x:c r="O68" s="6" t="s">
        <x:v>42</x:v>
      </x:c>
      <x:c r="P68" s="6"/>
      <x:c r="Q68" s="23" t="s">
        <x:v>43</x:v>
      </x:c>
      <x:c r="R68" s="23" t="s">
        <x:v>88</x:v>
      </x:c>
      <x:c r="S68" s="20"/>
      <x:c r="T68" s="11"/>
      <x:c r="U68" s="11"/>
      <x:c r="V68" s="11">
        <x:v>-2.0983489999999998</x:v>
      </x:c>
      <x:c r="W68" s="11">
        <x:v>106.080001</x:v>
      </x:c>
      <x:c r="X68" s="65"/>
      <x:c r="Y68" s="29"/>
      <x:c r="Z68" s="51"/>
      <x:c r="AA68" s="53"/>
      <x:c r="AB68" s="56"/>
      <x:c r="AC68">
        <x:f t="shared" si="2"/>
        <x:v>1</x:v>
      </x:c>
      <x:c r="AD68">
        <x:f t="shared" si="3"/>
        <x:v>1</x:v>
      </x:c>
    </x:row>
    <x:row r="69" ht="9.75" customHeight="1">
      <x:c r="A69" s="32">
        <x:v>64</x:v>
      </x:c>
      <x:c r="B69" s="11" t="s">
        <x:v>220</x:v>
      </x:c>
      <x:c r="C69" s="6" t="s">
        <x:v>34</x:v>
      </x:c>
      <x:c r="D69" s="11" t="s">
        <x:v>35</x:v>
      </x:c>
      <x:c r="E69" s="11" t="s">
        <x:v>36</x:v>
      </x:c>
      <x:c r="F69" s="6" t="s">
        <x:v>54</x:v>
      </x:c>
      <x:c r="G69" s="6" t="s">
        <x:v>215</x:v>
      </x:c>
      <x:c r="H69" s="17" t="s">
        <x:v>216</x:v>
      </x:c>
      <x:c r="I69" s="17" t="s">
        <x:v>112</x:v>
      </x:c>
      <x:c r="J69" s="6">
        <x:v>2016</x:v>
      </x:c>
      <x:c r="K69" s="17">
        <x:v>32</x:v>
      </x:c>
      <x:c r="L69" s="11">
        <x:v>32</x:v>
      </x:c>
      <x:c r="M69" s="17">
        <x:v>32</x:v>
      </x:c>
      <x:c r="N69" s="17" t="s">
        <x:v>41</x:v>
      </x:c>
      <x:c r="O69" s="6" t="s">
        <x:v>42</x:v>
      </x:c>
      <x:c r="P69" s="6"/>
      <x:c r="Q69" s="23" t="s">
        <x:v>43</x:v>
      </x:c>
      <x:c r="R69" s="23" t="s">
        <x:v>88</x:v>
      </x:c>
      <x:c r="S69" s="20"/>
      <x:c r="T69" s="11"/>
      <x:c r="U69" s="11"/>
      <x:c r="V69" s="11">
        <x:v>-2.0990563</x:v>
      </x:c>
      <x:c r="W69" s="11">
        <x:v>106.0800362</x:v>
      </x:c>
      <x:c r="X69" s="65"/>
      <x:c r="Y69" s="29"/>
      <x:c r="Z69" s="51"/>
      <x:c r="AA69" s="53"/>
      <x:c r="AB69" s="56"/>
      <x:c r="AC69">
        <x:f t="shared" si="2"/>
        <x:v>1</x:v>
      </x:c>
      <x:c r="AD69">
        <x:f t="shared" si="3"/>
        <x:v>1</x:v>
      </x:c>
    </x:row>
    <x:row r="70" ht="9.75" customHeight="1">
      <x:c r="A70" s="32">
        <x:v>65</x:v>
      </x:c>
      <x:c r="B70" s="11" t="s">
        <x:v>221</x:v>
      </x:c>
      <x:c r="C70" s="6" t="s">
        <x:v>34</x:v>
      </x:c>
      <x:c r="D70" s="11" t="s">
        <x:v>35</x:v>
      </x:c>
      <x:c r="E70" s="11" t="s">
        <x:v>36</x:v>
      </x:c>
      <x:c r="F70" s="6" t="s">
        <x:v>54</x:v>
      </x:c>
      <x:c r="G70" s="6" t="s">
        <x:v>215</x:v>
      </x:c>
      <x:c r="H70" s="17" t="s">
        <x:v>216</x:v>
      </x:c>
      <x:c r="I70" s="17" t="s">
        <x:v>112</x:v>
      </x:c>
      <x:c r="J70" s="6">
        <x:v>2017</x:v>
      </x:c>
      <x:c r="K70" s="17">
        <x:v>21</x:v>
      </x:c>
      <x:c r="L70" s="11">
        <x:v>21</x:v>
      </x:c>
      <x:c r="M70" s="17">
        <x:v>21</x:v>
      </x:c>
      <x:c r="N70" s="17" t="s">
        <x:v>41</x:v>
      </x:c>
      <x:c r="O70" s="6" t="s">
        <x:v>42</x:v>
      </x:c>
      <x:c r="P70" s="6"/>
      <x:c r="Q70" s="23" t="s">
        <x:v>43</x:v>
      </x:c>
      <x:c r="R70" s="23" t="s">
        <x:v>88</x:v>
      </x:c>
      <x:c r="S70" s="20"/>
      <x:c r="T70" s="11"/>
      <x:c r="U70" s="11"/>
      <x:c r="V70" s="11">
        <x:v>-2.099672</x:v>
      </x:c>
      <x:c r="W70" s="11">
        <x:v>106.080805</x:v>
      </x:c>
      <x:c r="X70" s="65"/>
      <x:c r="Y70" s="29"/>
      <x:c r="Z70" s="51"/>
      <x:c r="AA70" s="53"/>
      <x:c r="AB70" s="56"/>
      <x:c r="AC70" t="n">
        <x:f t="shared" ref="AC70:AC101" si="4">IF(A70="","",IFERROR(L70/K70,0))</x:f>
        <x:v>1</x:v>
      </x:c>
      <x:c r="AD70" t="n">
        <x:f t="shared" ref="AD70:AD101" si="5">IF(A70="","",IFERROR(M70/L70,0))</x:f>
        <x:v>1</x:v>
      </x:c>
    </x:row>
    <x:row r="71" ht="9.75" customHeight="1">
      <x:c r="A71" s="32">
        <x:v>66</x:v>
      </x:c>
      <x:c r="B71" s="11" t="s">
        <x:v>222</x:v>
      </x:c>
      <x:c r="C71" s="6" t="s">
        <x:v>34</x:v>
      </x:c>
      <x:c r="D71" s="11" t="s">
        <x:v>35</x:v>
      </x:c>
      <x:c r="E71" s="11" t="s">
        <x:v>184</x:v>
      </x:c>
      <x:c r="F71" s="6" t="s">
        <x:v>185</x:v>
      </x:c>
      <x:c r="G71" s="6" t="s">
        <x:v>223</x:v>
      </x:c>
      <x:c r="H71" s="17" t="s">
        <x:v>224</x:v>
      </x:c>
      <x:c r="I71" s="17" t="s">
        <x:v>112</x:v>
      </x:c>
      <x:c r="J71" s="6">
        <x:v>2018</x:v>
      </x:c>
      <x:c r="K71" s="17">
        <x:v>85</x:v>
      </x:c>
      <x:c r="L71" s="11">
        <x:v>85</x:v>
      </x:c>
      <x:c r="M71" s="17">
        <x:v>85</x:v>
      </x:c>
      <x:c r="N71" s="17" t="s">
        <x:v>41</x:v>
      </x:c>
      <x:c r="O71" s="6" t="s">
        <x:v>42</x:v>
      </x:c>
      <x:c r="P71" s="6"/>
      <x:c r="Q71" s="23" t="s">
        <x:v>72</x:v>
      </x:c>
      <x:c r="R71" s="23" t="s">
        <x:v>88</x:v>
      </x:c>
      <x:c r="S71" s="20"/>
      <x:c r="T71" s="11"/>
      <x:c r="U71" s="11"/>
      <x:c r="V71" s="11">
        <x:v>-2.1105010000000002</x:v>
      </x:c>
      <x:c r="W71" s="11">
        <x:v>106.088167</x:v>
      </x:c>
      <x:c r="X71" s="65"/>
      <x:c r="Y71" s="29"/>
      <x:c r="Z71" s="51"/>
      <x:c r="AA71" s="53"/>
      <x:c r="AB71" s="56"/>
      <x:c r="AC71">
        <x:f t="shared" si="4"/>
        <x:v>1</x:v>
      </x:c>
      <x:c r="AD71">
        <x:f t="shared" si="5"/>
        <x:v>1</x:v>
      </x:c>
    </x:row>
    <x:row r="72" ht="9.75" customHeight="1">
      <x:c r="A72" s="32">
        <x:v>67</x:v>
      </x:c>
      <x:c r="B72" s="11" t="s">
        <x:v>225</x:v>
      </x:c>
      <x:c r="C72" s="6" t="s">
        <x:v>34</x:v>
      </x:c>
      <x:c r="D72" s="11" t="s">
        <x:v>35</x:v>
      </x:c>
      <x:c r="E72" s="11" t="s">
        <x:v>184</x:v>
      </x:c>
      <x:c r="F72" s="6" t="s">
        <x:v>185</x:v>
      </x:c>
      <x:c r="G72" s="6" t="s">
        <x:v>223</x:v>
      </x:c>
      <x:c r="H72" s="17" t="s">
        <x:v>224</x:v>
      </x:c>
      <x:c r="I72" s="17" t="s">
        <x:v>112</x:v>
      </x:c>
      <x:c r="J72" s="6">
        <x:v>2018</x:v>
      </x:c>
      <x:c r="K72" s="17">
        <x:v>80</x:v>
      </x:c>
      <x:c r="L72" s="11">
        <x:v>80</x:v>
      </x:c>
      <x:c r="M72" s="17">
        <x:v>80</x:v>
      </x:c>
      <x:c r="N72" s="17" t="s">
        <x:v>41</x:v>
      </x:c>
      <x:c r="O72" s="6" t="s">
        <x:v>42</x:v>
      </x:c>
      <x:c r="P72" s="6"/>
      <x:c r="Q72" s="23" t="s">
        <x:v>43</x:v>
      </x:c>
      <x:c r="R72" s="23" t="s">
        <x:v>88</x:v>
      </x:c>
      <x:c r="S72" s="20"/>
      <x:c r="T72" s="11"/>
      <x:c r="U72" s="11"/>
      <x:c r="V72" s="11">
        <x:v>-2.1059435</x:v>
      </x:c>
      <x:c r="W72" s="11">
        <x:v>106.0873139</x:v>
      </x:c>
      <x:c r="X72" s="65"/>
      <x:c r="Y72" s="29"/>
      <x:c r="Z72" s="51"/>
      <x:c r="AA72" s="53"/>
      <x:c r="AB72" s="56"/>
      <x:c r="AC72">
        <x:f t="shared" si="4"/>
        <x:v>1</x:v>
      </x:c>
      <x:c r="AD72">
        <x:f t="shared" si="5"/>
        <x:v>1</x:v>
      </x:c>
    </x:row>
    <x:row r="73" ht="9.75" customHeight="1">
      <x:c r="A73" s="32">
        <x:v>68</x:v>
      </x:c>
      <x:c r="B73" s="11" t="s">
        <x:v>226</x:v>
      </x:c>
      <x:c r="C73" s="6" t="s">
        <x:v>34</x:v>
      </x:c>
      <x:c r="D73" s="11" t="s">
        <x:v>35</x:v>
      </x:c>
      <x:c r="E73" s="11" t="s">
        <x:v>136</x:v>
      </x:c>
      <x:c r="F73" s="6" t="s">
        <x:v>227</x:v>
      </x:c>
      <x:c r="G73" s="6" t="s">
        <x:v>215</x:v>
      </x:c>
      <x:c r="H73" s="17" t="s">
        <x:v>216</x:v>
      </x:c>
      <x:c r="I73" s="17" t="s">
        <x:v>112</x:v>
      </x:c>
      <x:c r="J73" s="6">
        <x:v>2018</x:v>
      </x:c>
      <x:c r="K73" s="17">
        <x:v>18</x:v>
      </x:c>
      <x:c r="L73" s="11">
        <x:v>18</x:v>
      </x:c>
      <x:c r="M73" s="17">
        <x:v>18</x:v>
      </x:c>
      <x:c r="N73" s="17" t="s">
        <x:v>41</x:v>
      </x:c>
      <x:c r="O73" s="6" t="s">
        <x:v>42</x:v>
      </x:c>
      <x:c r="P73" s="6"/>
      <x:c r="Q73" s="23" t="s">
        <x:v>43</x:v>
      </x:c>
      <x:c r="R73" s="23" t="s">
        <x:v>88</x:v>
      </x:c>
      <x:c r="S73" s="20"/>
      <x:c r="T73" s="11"/>
      <x:c r="U73" s="11"/>
      <x:c r="V73" s="11">
        <x:v>-2.1110685</x:v>
      </x:c>
      <x:c r="W73" s="11">
        <x:v>106.0932651</x:v>
      </x:c>
      <x:c r="X73" s="65"/>
      <x:c r="Y73" s="29"/>
      <x:c r="Z73" s="51"/>
      <x:c r="AA73" s="53"/>
      <x:c r="AB73" s="56"/>
      <x:c r="AC73">
        <x:f t="shared" si="4"/>
        <x:v>1</x:v>
      </x:c>
      <x:c r="AD73">
        <x:f t="shared" si="5"/>
        <x:v>1</x:v>
      </x:c>
    </x:row>
    <x:row r="74" ht="9.75" customHeight="1">
      <x:c r="A74" s="32">
        <x:v>69</x:v>
      </x:c>
      <x:c r="B74" s="11" t="s">
        <x:v>228</x:v>
      </x:c>
      <x:c r="C74" s="6" t="s">
        <x:v>34</x:v>
      </x:c>
      <x:c r="D74" s="11" t="s">
        <x:v>60</x:v>
      </x:c>
      <x:c r="E74" s="11" t="s">
        <x:v>91</x:v>
      </x:c>
      <x:c r="F74" s="6" t="s">
        <x:v>229</x:v>
      </x:c>
      <x:c r="G74" s="6" t="s">
        <x:v>215</x:v>
      </x:c>
      <x:c r="H74" s="17" t="s">
        <x:v>216</x:v>
      </x:c>
      <x:c r="I74" s="17" t="s">
        <x:v>112</x:v>
      </x:c>
      <x:c r="J74" s="6">
        <x:v>2018</x:v>
      </x:c>
      <x:c r="K74" s="17">
        <x:v>32</x:v>
      </x:c>
      <x:c r="L74" s="11">
        <x:v>32</x:v>
      </x:c>
      <x:c r="M74" s="17">
        <x:v>32</x:v>
      </x:c>
      <x:c r="N74" s="17" t="s">
        <x:v>41</x:v>
      </x:c>
      <x:c r="O74" s="6" t="s">
        <x:v>42</x:v>
      </x:c>
      <x:c r="P74" s="6"/>
      <x:c r="Q74" s="23" t="s">
        <x:v>43</x:v>
      </x:c>
      <x:c r="R74" s="23"/>
      <x:c r="S74" s="20"/>
      <x:c r="T74" s="11"/>
      <x:c r="U74" s="11"/>
      <x:c r="V74" s="11">
        <x:v>-2.094849</x:v>
      </x:c>
      <x:c r="W74" s="11">
        <x:v>106.098916</x:v>
      </x:c>
      <x:c r="X74" s="65"/>
      <x:c r="Y74" s="29"/>
      <x:c r="Z74" s="51"/>
      <x:c r="AA74" s="53"/>
      <x:c r="AB74" s="56"/>
      <x:c r="AC74">
        <x:f t="shared" si="4"/>
        <x:v>1</x:v>
      </x:c>
      <x:c r="AD74">
        <x:f t="shared" si="5"/>
        <x:v>1</x:v>
      </x:c>
    </x:row>
    <x:row r="75" ht="9.75" customHeight="1">
      <x:c r="A75" s="32">
        <x:v>70</x:v>
      </x:c>
      <x:c r="B75" s="11" t="s">
        <x:v>230</x:v>
      </x:c>
      <x:c r="C75" s="6" t="s">
        <x:v>34</x:v>
      </x:c>
      <x:c r="D75" s="11" t="s">
        <x:v>60</x:v>
      </x:c>
      <x:c r="E75" s="11" t="s">
        <x:v>70</x:v>
      </x:c>
      <x:c r="F75" s="6" t="s">
        <x:v>168</x:v>
      </x:c>
      <x:c r="G75" s="6" t="s">
        <x:v>215</x:v>
      </x:c>
      <x:c r="H75" s="17" t="s">
        <x:v>216</x:v>
      </x:c>
      <x:c r="I75" s="17" t="s">
        <x:v>112</x:v>
      </x:c>
      <x:c r="J75" s="6">
        <x:v>2018</x:v>
      </x:c>
      <x:c r="K75" s="17">
        <x:v>72</x:v>
      </x:c>
      <x:c r="L75" s="11">
        <x:v>72</x:v>
      </x:c>
      <x:c r="M75" s="17">
        <x:v>72</x:v>
      </x:c>
      <x:c r="N75" s="17" t="s">
        <x:v>41</x:v>
      </x:c>
      <x:c r="O75" s="6" t="s">
        <x:v>42</x:v>
      </x:c>
      <x:c r="P75" s="6"/>
      <x:c r="Q75" s="23" t="s">
        <x:v>43</x:v>
      </x:c>
      <x:c r="R75" s="23"/>
      <x:c r="S75" s="20"/>
      <x:c r="T75" s="11"/>
      <x:c r="U75" s="11"/>
      <x:c r="V75" s="11">
        <x:v>-2.1015929999999998</x:v>
      </x:c>
      <x:c r="W75" s="11">
        <x:v>106.096616</x:v>
      </x:c>
      <x:c r="X75" s="65"/>
      <x:c r="Y75" s="29"/>
      <x:c r="Z75" s="51"/>
      <x:c r="AA75" s="53"/>
      <x:c r="AB75" s="56"/>
      <x:c r="AC75">
        <x:f t="shared" si="4"/>
        <x:v>1</x:v>
      </x:c>
      <x:c r="AD75">
        <x:f t="shared" si="5"/>
        <x:v>1</x:v>
      </x:c>
    </x:row>
    <x:row r="76" ht="9.75" customHeight="1">
      <x:c r="A76" s="32">
        <x:v>71</x:v>
      </x:c>
      <x:c r="B76" s="11" t="s">
        <x:v>231</x:v>
      </x:c>
      <x:c r="C76" s="6" t="s">
        <x:v>34</x:v>
      </x:c>
      <x:c r="D76" s="11" t="s">
        <x:v>35</x:v>
      </x:c>
      <x:c r="E76" s="11" t="s">
        <x:v>36</x:v>
      </x:c>
      <x:c r="F76" s="6" t="s">
        <x:v>232</x:v>
      </x:c>
      <x:c r="G76" s="6" t="s">
        <x:v>215</x:v>
      </x:c>
      <x:c r="H76" s="17" t="s">
        <x:v>216</x:v>
      </x:c>
      <x:c r="I76" s="17" t="s">
        <x:v>112</x:v>
      </x:c>
      <x:c r="J76" s="6">
        <x:v>2018</x:v>
      </x:c>
      <x:c r="K76" s="17">
        <x:v>83</x:v>
      </x:c>
      <x:c r="L76" s="11">
        <x:v>83</x:v>
      </x:c>
      <x:c r="M76" s="17">
        <x:v>0</x:v>
      </x:c>
      <x:c r="N76" s="17" t="s">
        <x:v>41</x:v>
      </x:c>
      <x:c r="O76" s="6" t="s">
        <x:v>42</x:v>
      </x:c>
      <x:c r="P76" s="6"/>
      <x:c r="Q76" s="23" t="s">
        <x:v>43</x:v>
      </x:c>
      <x:c r="R76" s="23"/>
      <x:c r="S76" s="20"/>
      <x:c r="T76" s="11"/>
      <x:c r="U76" s="11"/>
      <x:c r="V76" s="11">
        <x:v>-2.1018757099999998</x:v>
      </x:c>
      <x:c r="W76" s="11">
        <x:v>106.0948856</x:v>
      </x:c>
      <x:c r="X76" s="65"/>
      <x:c r="Y76" s="29"/>
      <x:c r="Z76" s="51"/>
      <x:c r="AA76" s="53"/>
      <x:c r="AB76" s="56"/>
      <x:c r="AC76">
        <x:f t="shared" si="4"/>
        <x:v>1</x:v>
      </x:c>
      <x:c r="AD76">
        <x:f t="shared" si="5"/>
        <x:v>0</x:v>
      </x:c>
    </x:row>
    <x:row r="77" ht="9.75" customHeight="1">
      <x:c r="A77" s="32">
        <x:v>72</x:v>
      </x:c>
      <x:c r="B77" s="11" t="s">
        <x:v>233</x:v>
      </x:c>
      <x:c r="C77" s="6" t="s">
        <x:v>34</x:v>
      </x:c>
      <x:c r="D77" s="11" t="s">
        <x:v>35</x:v>
      </x:c>
      <x:c r="E77" s="11" t="s">
        <x:v>36</x:v>
      </x:c>
      <x:c r="F77" s="6" t="s">
        <x:v>234</x:v>
      </x:c>
      <x:c r="G77" s="6" t="s">
        <x:v>215</x:v>
      </x:c>
      <x:c r="H77" s="17" t="s">
        <x:v>216</x:v>
      </x:c>
      <x:c r="I77" s="17" t="s">
        <x:v>112</x:v>
      </x:c>
      <x:c r="J77" s="6">
        <x:v>2018</x:v>
      </x:c>
      <x:c r="K77" s="17">
        <x:v>16</x:v>
      </x:c>
      <x:c r="L77" s="11">
        <x:v>16</x:v>
      </x:c>
      <x:c r="M77" s="17">
        <x:v>16</x:v>
      </x:c>
      <x:c r="N77" s="17" t="s">
        <x:v>41</x:v>
      </x:c>
      <x:c r="O77" s="6" t="s">
        <x:v>42</x:v>
      </x:c>
      <x:c r="P77" s="6"/>
      <x:c r="Q77" s="23" t="s">
        <x:v>43</x:v>
      </x:c>
      <x:c r="R77" s="23"/>
      <x:c r="S77" s="20"/>
      <x:c r="T77" s="11"/>
      <x:c r="U77" s="11"/>
      <x:c r="V77" s="11">
        <x:v>-2.1027453999999999</x:v>
      </x:c>
      <x:c r="W77" s="11">
        <x:v>106.08195600000001</x:v>
      </x:c>
      <x:c r="X77" s="65"/>
      <x:c r="Y77" s="29"/>
      <x:c r="Z77" s="51"/>
      <x:c r="AA77" s="53"/>
      <x:c r="AB77" s="56"/>
      <x:c r="AC77">
        <x:f t="shared" si="4"/>
        <x:v>1</x:v>
      </x:c>
      <x:c r="AD77">
        <x:f t="shared" si="5"/>
        <x:v>1</x:v>
      </x:c>
    </x:row>
    <x:row r="78" ht="9.75" customHeight="1">
      <x:c r="A78" s="32">
        <x:v>73</x:v>
      </x:c>
      <x:c r="B78" s="11" t="s">
        <x:v>235</x:v>
      </x:c>
      <x:c r="C78" s="6" t="s">
        <x:v>34</x:v>
      </x:c>
      <x:c r="D78" s="11" t="s">
        <x:v>60</x:v>
      </x:c>
      <x:c r="E78" s="11" t="s">
        <x:v>70</x:v>
      </x:c>
      <x:c r="F78" s="6" t="s">
        <x:v>236</x:v>
      </x:c>
      <x:c r="G78" s="6" t="s">
        <x:v>237</x:v>
      </x:c>
      <x:c r="H78" s="17" t="s">
        <x:v>216</x:v>
      </x:c>
      <x:c r="I78" s="17" t="s">
        <x:v>112</x:v>
      </x:c>
      <x:c r="J78" s="6">
        <x:v>2021</x:v>
      </x:c>
      <x:c r="K78" s="17">
        <x:v>48</x:v>
      </x:c>
      <x:c r="L78" s="11">
        <x:v>48</x:v>
      </x:c>
      <x:c r="M78" s="17">
        <x:v>48</x:v>
      </x:c>
      <x:c r="N78" s="17" t="s">
        <x:v>41</x:v>
      </x:c>
      <x:c r="O78" s="6" t="s">
        <x:v>42</x:v>
      </x:c>
      <x:c r="P78" s="6"/>
      <x:c r="Q78" s="23" t="s">
        <x:v>43</x:v>
      </x:c>
      <x:c r="R78" s="23"/>
      <x:c r="S78" s="20"/>
      <x:c r="T78" s="11"/>
      <x:c r="U78" s="11"/>
      <x:c r="V78" s="11">
        <x:v>-2.0908709999999999</x:v>
      </x:c>
      <x:c r="W78" s="11">
        <x:v>106.095277</x:v>
      </x:c>
      <x:c r="X78" s="65"/>
      <x:c r="Y78" s="29"/>
      <x:c r="Z78" s="51"/>
      <x:c r="AA78" s="53"/>
      <x:c r="AB78" s="56"/>
      <x:c r="AC78">
        <x:f t="shared" si="4"/>
        <x:v>1</x:v>
      </x:c>
      <x:c r="AD78">
        <x:f t="shared" si="5"/>
        <x:v>1</x:v>
      </x:c>
    </x:row>
    <x:row r="79" ht="9.75" customHeight="1">
      <x:c r="A79" s="32">
        <x:v>74</x:v>
      </x:c>
      <x:c r="B79" s="11" t="s">
        <x:v>238</x:v>
      </x:c>
      <x:c r="C79" s="6" t="s">
        <x:v>34</x:v>
      </x:c>
      <x:c r="D79" s="11" t="s">
        <x:v>60</x:v>
      </x:c>
      <x:c r="E79" s="11" t="s">
        <x:v>70</x:v>
      </x:c>
      <x:c r="F79" s="6" t="s">
        <x:v>229</x:v>
      </x:c>
      <x:c r="G79" s="6" t="s">
        <x:v>237</x:v>
      </x:c>
      <x:c r="H79" s="17" t="s">
        <x:v>216</x:v>
      </x:c>
      <x:c r="I79" s="17" t="s">
        <x:v>112</x:v>
      </x:c>
      <x:c r="J79" s="6">
        <x:v>2019</x:v>
      </x:c>
      <x:c r="K79" s="17">
        <x:v>66</x:v>
      </x:c>
      <x:c r="L79" s="11">
        <x:v>66</x:v>
      </x:c>
      <x:c r="M79" s="17">
        <x:v>66</x:v>
      </x:c>
      <x:c r="N79" s="17" t="s">
        <x:v>41</x:v>
      </x:c>
      <x:c r="O79" s="6" t="s">
        <x:v>42</x:v>
      </x:c>
      <x:c r="P79" s="6"/>
      <x:c r="Q79" s="23" t="s">
        <x:v>43</x:v>
      </x:c>
      <x:c r="R79" s="23"/>
      <x:c r="S79" s="20"/>
      <x:c r="T79" s="11"/>
      <x:c r="U79" s="11"/>
      <x:c r="V79" s="11">
        <x:v>-2.091539</x:v>
      </x:c>
      <x:c r="W79" s="11">
        <x:v>106.094336</x:v>
      </x:c>
      <x:c r="X79" s="65"/>
      <x:c r="Y79" s="29"/>
      <x:c r="Z79" s="51"/>
      <x:c r="AA79" s="53"/>
      <x:c r="AB79" s="56"/>
      <x:c r="AC79">
        <x:f t="shared" si="4"/>
        <x:v>1</x:v>
      </x:c>
      <x:c r="AD79">
        <x:f t="shared" si="5"/>
        <x:v>1</x:v>
      </x:c>
    </x:row>
    <x:row r="80" ht="9.75" customHeight="1">
      <x:c r="A80" s="32">
        <x:v>75</x:v>
      </x:c>
      <x:c r="B80" s="11" t="s">
        <x:v>239</x:v>
      </x:c>
      <x:c r="C80" s="6" t="s">
        <x:v>34</x:v>
      </x:c>
      <x:c r="D80" s="11" t="s">
        <x:v>35</x:v>
      </x:c>
      <x:c r="E80" s="11" t="s">
        <x:v>36</x:v>
      </x:c>
      <x:c r="F80" s="6" t="s">
        <x:v>42</x:v>
      </x:c>
      <x:c r="G80" s="6" t="s">
        <x:v>215</x:v>
      </x:c>
      <x:c r="H80" s="17" t="s">
        <x:v>216</x:v>
      </x:c>
      <x:c r="I80" s="17" t="s">
        <x:v>112</x:v>
      </x:c>
      <x:c r="J80" s="6">
        <x:v>2022</x:v>
      </x:c>
      <x:c r="K80" s="17">
        <x:v>49</x:v>
      </x:c>
      <x:c r="L80" s="11">
        <x:v>49</x:v>
      </x:c>
      <x:c r="M80" s="17">
        <x:v>49</x:v>
      </x:c>
      <x:c r="N80" s="17" t="s">
        <x:v>41</x:v>
      </x:c>
      <x:c r="O80" s="6" t="s">
        <x:v>42</x:v>
      </x:c>
      <x:c r="P80" s="6"/>
      <x:c r="Q80" s="23" t="s">
        <x:v>43</x:v>
      </x:c>
      <x:c r="R80" s="23"/>
      <x:c r="S80" s="20"/>
      <x:c r="T80" s="11"/>
      <x:c r="U80" s="11"/>
      <x:c r="V80" s="11">
        <x:v>-2.1189081000000001</x:v>
      </x:c>
      <x:c r="W80" s="11">
        <x:v>106.08377350000001</x:v>
      </x:c>
      <x:c r="X80" s="65"/>
      <x:c r="Y80" s="29"/>
      <x:c r="Z80" s="51"/>
      <x:c r="AA80" s="53"/>
      <x:c r="AB80" s="56"/>
      <x:c r="AC80">
        <x:f t="shared" si="4"/>
        <x:v>1</x:v>
      </x:c>
      <x:c r="AD80">
        <x:f t="shared" si="5"/>
        <x:v>1</x:v>
      </x:c>
    </x:row>
    <x:row r="81" ht="9.75" customHeight="1">
      <x:c r="A81" s="32">
        <x:v>76</x:v>
      </x:c>
      <x:c r="B81" s="11" t="s">
        <x:v>240</x:v>
      </x:c>
      <x:c r="C81" s="6" t="s">
        <x:v>34</x:v>
      </x:c>
      <x:c r="D81" s="11" t="s">
        <x:v>35</x:v>
      </x:c>
      <x:c r="E81" s="11" t="s">
        <x:v>36</x:v>
      </x:c>
      <x:c r="F81" s="6" t="s">
        <x:v>241</x:v>
      </x:c>
      <x:c r="G81" s="6" t="s">
        <x:v>215</x:v>
      </x:c>
      <x:c r="H81" s="17" t="s">
        <x:v>216</x:v>
      </x:c>
      <x:c r="I81" s="17" t="s">
        <x:v>112</x:v>
      </x:c>
      <x:c r="J81" s="6">
        <x:v>2022</x:v>
      </x:c>
      <x:c r="K81" s="17">
        <x:v>132</x:v>
      </x:c>
      <x:c r="L81" s="11">
        <x:v>132</x:v>
      </x:c>
      <x:c r="M81" s="17">
        <x:v>132</x:v>
      </x:c>
      <x:c r="N81" s="17" t="s">
        <x:v>41</x:v>
      </x:c>
      <x:c r="O81" s="6" t="s">
        <x:v>42</x:v>
      </x:c>
      <x:c r="P81" s="6"/>
      <x:c r="Q81" s="23" t="s">
        <x:v>43</x:v>
      </x:c>
      <x:c r="R81" s="23"/>
      <x:c r="S81" s="20"/>
      <x:c r="T81" s="11"/>
      <x:c r="U81" s="11"/>
      <x:c r="V81" s="11">
        <x:v>-2.1064370000000001</x:v>
      </x:c>
      <x:c r="W81" s="11">
        <x:v>106.083372</x:v>
      </x:c>
      <x:c r="X81" s="65"/>
      <x:c r="Y81" s="29"/>
      <x:c r="Z81" s="51"/>
      <x:c r="AA81" s="53"/>
      <x:c r="AB81" s="56"/>
      <x:c r="AC81">
        <x:f t="shared" si="4"/>
        <x:v>1</x:v>
      </x:c>
      <x:c r="AD81">
        <x:f t="shared" si="5"/>
        <x:v>1</x:v>
      </x:c>
    </x:row>
    <x:row r="82" ht="9.75" customHeight="1">
      <x:c r="A82" s="32">
        <x:v>77</x:v>
      </x:c>
      <x:c r="B82" s="11" t="s">
        <x:v>242</x:v>
      </x:c>
      <x:c r="C82" s="6" t="s">
        <x:v>34</x:v>
      </x:c>
      <x:c r="D82" s="11" t="s">
        <x:v>60</x:v>
      </x:c>
      <x:c r="E82" s="11" t="s">
        <x:v>70</x:v>
      </x:c>
      <x:c r="F82" s="6" t="s">
        <x:v>243</x:v>
      </x:c>
      <x:c r="G82" s="6" t="s">
        <x:v>215</x:v>
      </x:c>
      <x:c r="H82" s="17" t="s">
        <x:v>216</x:v>
      </x:c>
      <x:c r="I82" s="17" t="s">
        <x:v>112</x:v>
      </x:c>
      <x:c r="J82" s="6">
        <x:v>2023</x:v>
      </x:c>
      <x:c r="K82" s="17">
        <x:v>38</x:v>
      </x:c>
      <x:c r="L82" s="11">
        <x:v>38</x:v>
      </x:c>
      <x:c r="M82" s="17">
        <x:v>38</x:v>
      </x:c>
      <x:c r="N82" s="17" t="s">
        <x:v>41</x:v>
      </x:c>
      <x:c r="O82" s="6" t="s">
        <x:v>42</x:v>
      </x:c>
      <x:c r="P82" s="6"/>
      <x:c r="Q82" s="23" t="s">
        <x:v>43</x:v>
      </x:c>
      <x:c r="R82" s="23"/>
      <x:c r="S82" s="20"/>
      <x:c r="T82" s="11"/>
      <x:c r="U82" s="11"/>
      <x:c r="V82" s="11">
        <x:v>-2.0986220000000002</x:v>
      </x:c>
      <x:c r="W82" s="11">
        <x:v>106.08407010000001</x:v>
      </x:c>
      <x:c r="X82" s="65"/>
      <x:c r="Y82" s="29"/>
      <x:c r="Z82" s="51"/>
      <x:c r="AA82" s="53"/>
      <x:c r="AB82" s="56"/>
      <x:c r="AC82">
        <x:f t="shared" si="4"/>
        <x:v>1</x:v>
      </x:c>
      <x:c r="AD82">
        <x:f t="shared" si="5"/>
        <x:v>1</x:v>
      </x:c>
    </x:row>
    <x:row r="83" ht="9.75" customHeight="1">
      <x:c r="A83" s="32">
        <x:v>78</x:v>
      </x:c>
      <x:c r="B83" s="11" t="s">
        <x:v>244</x:v>
      </x:c>
      <x:c r="C83" s="6" t="s">
        <x:v>34</x:v>
      </x:c>
      <x:c r="D83" s="11" t="s">
        <x:v>35</x:v>
      </x:c>
      <x:c r="E83" s="11" t="s">
        <x:v>36</x:v>
      </x:c>
      <x:c r="F83" s="6" t="s">
        <x:v>116</x:v>
      </x:c>
      <x:c r="G83" s="6" t="s">
        <x:v>245</x:v>
      </x:c>
      <x:c r="H83" s="17" t="s">
        <x:v>246</x:v>
      </x:c>
      <x:c r="I83" s="17" t="s">
        <x:v>86</x:v>
      </x:c>
      <x:c r="J83" s="6">
        <x:v>2019</x:v>
      </x:c>
      <x:c r="K83" s="17">
        <x:v>83</x:v>
      </x:c>
      <x:c r="L83" s="11">
        <x:v>83</x:v>
      </x:c>
      <x:c r="M83" s="17">
        <x:v>79</x:v>
      </x:c>
      <x:c r="N83" s="17" t="s">
        <x:v>48</x:v>
      </x:c>
      <x:c r="O83" s="6">
        <x:v>2022</x:v>
      </x:c>
      <x:c r="P83" s="6"/>
      <x:c r="Q83" s="23" t="s">
        <x:v>43</x:v>
      </x:c>
      <x:c r="R83" s="23" t="s">
        <x:v>247</x:v>
      </x:c>
      <x:c r="S83" s="20"/>
      <x:c r="T83" s="11"/>
      <x:c r="U83" s="11"/>
      <x:c r="V83" s="11">
        <x:v>-2.0963539999999998</x:v>
      </x:c>
      <x:c r="W83" s="11">
        <x:v>106.08517500000001</x:v>
      </x:c>
      <x:c r="X83" s="65"/>
      <x:c r="Y83" s="29"/>
      <x:c r="Z83" s="51"/>
      <x:c r="AA83" s="53"/>
      <x:c r="AB83" s="56"/>
      <x:c r="AC83">
        <x:f t="shared" si="4"/>
        <x:v>1</x:v>
      </x:c>
      <x:c r="AD83">
        <x:f t="shared" si="5"/>
        <x:v>0.95180722891566261</x:v>
      </x:c>
    </x:row>
    <x:row r="84" ht="9.75" customHeight="1">
      <x:c r="A84" s="32">
        <x:v>79</x:v>
      </x:c>
      <x:c r="B84" s="11" t="s">
        <x:v>248</x:v>
      </x:c>
      <x:c r="C84" s="6" t="s">
        <x:v>34</x:v>
      </x:c>
      <x:c r="D84" s="11" t="s">
        <x:v>35</x:v>
      </x:c>
      <x:c r="E84" s="11" t="s">
        <x:v>46</x:v>
      </x:c>
      <x:c r="F84" s="6" t="s">
        <x:v>249</x:v>
      </x:c>
      <x:c r="G84" s="6" t="s">
        <x:v>245</x:v>
      </x:c>
      <x:c r="H84" s="17" t="s">
        <x:v>246</x:v>
      </x:c>
      <x:c r="I84" s="17" t="s">
        <x:v>86</x:v>
      </x:c>
      <x:c r="J84" s="6">
        <x:v>2022</x:v>
      </x:c>
      <x:c r="K84" s="17">
        <x:v>97</x:v>
      </x:c>
      <x:c r="L84" s="11">
        <x:v>97</x:v>
      </x:c>
      <x:c r="M84" s="17">
        <x:v>97</x:v>
      </x:c>
      <x:c r="N84" s="17" t="s">
        <x:v>41</x:v>
      </x:c>
      <x:c r="O84" s="6" t="s">
        <x:v>42</x:v>
      </x:c>
      <x:c r="P84" s="6"/>
      <x:c r="Q84" s="23" t="s">
        <x:v>75</x:v>
      </x:c>
      <x:c r="R84" s="23"/>
      <x:c r="S84" s="20"/>
      <x:c r="T84" s="11"/>
      <x:c r="U84" s="11"/>
      <x:c r="V84" s="11">
        <x:v>-2.1202122999999999</x:v>
      </x:c>
      <x:c r="W84" s="11">
        <x:v>106.0750427</x:v>
      </x:c>
      <x:c r="X84" s="65"/>
      <x:c r="Y84" s="29"/>
      <x:c r="Z84" s="51"/>
      <x:c r="AA84" s="53"/>
      <x:c r="AB84" s="56"/>
      <x:c r="AC84">
        <x:f t="shared" si="4"/>
        <x:v>1</x:v>
      </x:c>
      <x:c r="AD84">
        <x:f t="shared" si="5"/>
        <x:v>1</x:v>
      </x:c>
    </x:row>
    <x:row r="85" ht="9.75" customHeight="1">
      <x:c r="A85" s="32">
        <x:v>80</x:v>
      </x:c>
      <x:c r="B85" s="11" t="s">
        <x:v>250</x:v>
      </x:c>
      <x:c r="C85" s="6" t="s">
        <x:v>34</x:v>
      </x:c>
      <x:c r="D85" s="11" t="s">
        <x:v>60</x:v>
      </x:c>
      <x:c r="E85" s="11" t="s">
        <x:v>70</x:v>
      </x:c>
      <x:c r="F85" s="6" t="s">
        <x:v>236</x:v>
      </x:c>
      <x:c r="G85" s="6" t="s">
        <x:v>245</x:v>
      </x:c>
      <x:c r="H85" s="17" t="s">
        <x:v>246</x:v>
      </x:c>
      <x:c r="I85" s="17" t="s">
        <x:v>86</x:v>
      </x:c>
      <x:c r="J85" s="6">
        <x:v>2023</x:v>
      </x:c>
      <x:c r="K85" s="17">
        <x:v>97</x:v>
      </x:c>
      <x:c r="L85" s="11">
        <x:v>97</x:v>
      </x:c>
      <x:c r="M85" s="17">
        <x:v>97</x:v>
      </x:c>
      <x:c r="N85" s="17" t="s">
        <x:v>48</x:v>
      </x:c>
      <x:c r="O85" s="6">
        <x:v>2025</x:v>
      </x:c>
      <x:c r="P85" s="6"/>
      <x:c r="Q85" s="23" t="s">
        <x:v>43</x:v>
      </x:c>
      <x:c r="R85" s="23"/>
      <x:c r="S85" s="20"/>
      <x:c r="T85" s="11"/>
      <x:c r="U85" s="11"/>
      <x:c r="V85" s="11">
        <x:v>-2.0932569999999999</x:v>
      </x:c>
      <x:c r="W85" s="11">
        <x:v>106.09328499999999</x:v>
      </x:c>
      <x:c r="X85" s="65"/>
      <x:c r="Y85" s="29"/>
      <x:c r="Z85" s="51"/>
      <x:c r="AA85" s="53"/>
      <x:c r="AB85" s="56"/>
      <x:c r="AC85">
        <x:f t="shared" si="4"/>
        <x:v>1</x:v>
      </x:c>
      <x:c r="AD85">
        <x:f t="shared" si="5"/>
        <x:v>1</x:v>
      </x:c>
    </x:row>
    <x:row r="86" ht="9.75" customHeight="1">
      <x:c r="A86" s="32">
        <x:v>81</x:v>
      </x:c>
      <x:c r="B86" s="11" t="s">
        <x:v>251</x:v>
      </x:c>
      <x:c r="C86" s="6" t="s">
        <x:v>34</x:v>
      </x:c>
      <x:c r="D86" s="11" t="s">
        <x:v>60</x:v>
      </x:c>
      <x:c r="E86" s="11" t="s">
        <x:v>70</x:v>
      </x:c>
      <x:c r="F86" s="6" t="s">
        <x:v>236</x:v>
      </x:c>
      <x:c r="G86" s="6" t="s">
        <x:v>245</x:v>
      </x:c>
      <x:c r="H86" s="17" t="s">
        <x:v>246</x:v>
      </x:c>
      <x:c r="I86" s="17" t="s">
        <x:v>86</x:v>
      </x:c>
      <x:c r="J86" s="6">
        <x:v>2024</x:v>
      </x:c>
      <x:c r="K86" s="17">
        <x:v>128</x:v>
      </x:c>
      <x:c r="L86" s="11">
        <x:v>76</x:v>
      </x:c>
      <x:c r="M86" s="17">
        <x:v>76</x:v>
      </x:c>
      <x:c r="N86" s="17" t="s">
        <x:v>41</x:v>
      </x:c>
      <x:c r="O86" s="6" t="s">
        <x:v>42</x:v>
      </x:c>
      <x:c r="P86" s="6"/>
      <x:c r="Q86" s="23" t="s">
        <x:v>43</x:v>
      </x:c>
      <x:c r="R86" s="23" t="s">
        <x:v>88</x:v>
      </x:c>
      <x:c r="S86" s="20"/>
      <x:c r="T86" s="11"/>
      <x:c r="U86" s="11"/>
      <x:c r="V86" s="11">
        <x:v>-2.0918890000000001</x:v>
      </x:c>
      <x:c r="W86" s="11">
        <x:v>106.09471600000001</x:v>
      </x:c>
      <x:c r="X86" s="65"/>
      <x:c r="Y86" s="29"/>
      <x:c r="Z86" s="51"/>
      <x:c r="AA86" s="53"/>
      <x:c r="AB86" s="56"/>
      <x:c r="AC86">
        <x:f t="shared" si="4"/>
        <x:v>0.59375</x:v>
      </x:c>
      <x:c r="AD86">
        <x:f t="shared" si="5"/>
        <x:v>1</x:v>
      </x:c>
    </x:row>
    <x:row r="87" ht="9.75" customHeight="1">
      <x:c r="A87" s="32">
        <x:v>82</x:v>
      </x:c>
      <x:c r="B87" s="11" t="s">
        <x:v>252</x:v>
      </x:c>
      <x:c r="C87" s="6" t="s">
        <x:v>34</x:v>
      </x:c>
      <x:c r="D87" s="11" t="s">
        <x:v>81</x:v>
      </x:c>
      <x:c r="E87" s="11" t="s">
        <x:v>202</x:v>
      </x:c>
      <x:c r="F87" s="6" t="s">
        <x:v>253</x:v>
      </x:c>
      <x:c r="G87" s="6" t="s">
        <x:v>254</x:v>
      </x:c>
      <x:c r="H87" s="17" t="s">
        <x:v>255</x:v>
      </x:c>
      <x:c r="I87" s="17" t="s">
        <x:v>42</x:v>
      </x:c>
      <x:c r="J87" s="6">
        <x:v>2017</x:v>
      </x:c>
      <x:c r="K87" s="17">
        <x:v>48</x:v>
      </x:c>
      <x:c r="L87" s="11">
        <x:v>48</x:v>
      </x:c>
      <x:c r="M87" s="17">
        <x:v>48</x:v>
      </x:c>
      <x:c r="N87" s="17" t="s">
        <x:v>41</x:v>
      </x:c>
      <x:c r="O87" s="6" t="s">
        <x:v>42</x:v>
      </x:c>
      <x:c r="P87" s="6"/>
      <x:c r="Q87" s="23" t="s">
        <x:v>43</x:v>
      </x:c>
      <x:c r="R87" s="23"/>
      <x:c r="S87" s="20"/>
      <x:c r="T87" s="11"/>
      <x:c r="U87" s="11"/>
      <x:c r="V87" s="11"/>
      <x:c r="W87" s="11"/>
      <x:c r="X87" s="65"/>
      <x:c r="Y87" s="29"/>
      <x:c r="Z87" s="51"/>
      <x:c r="AA87" s="53"/>
      <x:c r="AB87" s="56"/>
      <x:c r="AC87">
        <x:f t="shared" si="4"/>
        <x:v>1</x:v>
      </x:c>
      <x:c r="AD87">
        <x:f t="shared" si="5"/>
        <x:v>1</x:v>
      </x:c>
    </x:row>
    <x:row r="88" ht="9.75" customHeight="1">
      <x:c r="A88" s="32">
        <x:v>83</x:v>
      </x:c>
      <x:c r="B88" s="11" t="s">
        <x:v>256</x:v>
      </x:c>
      <x:c r="C88" s="6" t="s">
        <x:v>34</x:v>
      </x:c>
      <x:c r="D88" s="11" t="s">
        <x:v>35</x:v>
      </x:c>
      <x:c r="E88" s="11" t="s">
        <x:v>136</x:v>
      </x:c>
      <x:c r="F88" s="6" t="s">
        <x:v>137</x:v>
      </x:c>
      <x:c r="G88" s="6" t="s">
        <x:v>42</x:v>
      </x:c>
      <x:c r="H88" s="17" t="s">
        <x:v>42</x:v>
      </x:c>
      <x:c r="I88" s="17" t="s">
        <x:v>42</x:v>
      </x:c>
      <x:c r="J88" s="6" t="s">
        <x:v>42</x:v>
      </x:c>
      <x:c r="K88" s="17">
        <x:v>12</x:v>
      </x:c>
      <x:c r="L88" s="11">
        <x:v>12</x:v>
      </x:c>
      <x:c r="M88" s="17">
        <x:v>12</x:v>
      </x:c>
      <x:c r="N88" s="17" t="s">
        <x:v>41</x:v>
      </x:c>
      <x:c r="O88" s="6" t="s">
        <x:v>42</x:v>
      </x:c>
      <x:c r="P88" s="6"/>
      <x:c r="Q88" s="23" t="s">
        <x:v>43</x:v>
      </x:c>
      <x:c r="R88" s="23"/>
      <x:c r="S88" s="20"/>
      <x:c r="T88" s="11"/>
      <x:c r="U88" s="11"/>
      <x:c r="V88" s="11">
        <x:v>-2.106166</x:v>
      </x:c>
      <x:c r="W88" s="11">
        <x:v>106.092079</x:v>
      </x:c>
      <x:c r="X88" s="65"/>
      <x:c r="Y88" s="29"/>
      <x:c r="Z88" s="51"/>
      <x:c r="AA88" s="53"/>
      <x:c r="AB88" s="56"/>
      <x:c r="AC88">
        <x:f t="shared" si="4"/>
        <x:v>1</x:v>
      </x:c>
      <x:c r="AD88">
        <x:f t="shared" si="5"/>
        <x:v>1</x:v>
      </x:c>
    </x:row>
    <x:row r="89" ht="9.75" customHeight="1">
      <x:c r="A89" s="32">
        <x:v>84</x:v>
      </x:c>
      <x:c r="B89" s="11" t="s">
        <x:v>257</x:v>
      </x:c>
      <x:c r="C89" s="6" t="s">
        <x:v>170</x:v>
      </x:c>
      <x:c r="D89" s="11" t="s">
        <x:v>81</x:v>
      </x:c>
      <x:c r="E89" s="11" t="s">
        <x:v>202</x:v>
      </x:c>
      <x:c r="F89" s="6" t="s">
        <x:v>258</x:v>
      </x:c>
      <x:c r="G89" s="6" t="s">
        <x:v>259</x:v>
      </x:c>
      <x:c r="H89" s="17" t="s">
        <x:v>42</x:v>
      </x:c>
      <x:c r="I89" s="17" t="s">
        <x:v>42</x:v>
      </x:c>
      <x:c r="J89" s="6">
        <x:v>2019</x:v>
      </x:c>
      <x:c r="K89" s="17">
        <x:v>0</x:v>
      </x:c>
      <x:c r="L89" s="11">
        <x:v>339</x:v>
      </x:c>
      <x:c r="M89" s="17">
        <x:v>134</x:v>
      </x:c>
      <x:c r="N89" s="17" t="s">
        <x:v>41</x:v>
      </x:c>
      <x:c r="O89" s="6" t="s">
        <x:v>42</x:v>
      </x:c>
      <x:c r="P89" s="6"/>
      <x:c r="Q89" s="23" t="s">
        <x:v>72</x:v>
      </x:c>
      <x:c r="R89" s="23"/>
      <x:c r="S89" s="20"/>
      <x:c r="T89" s="11"/>
      <x:c r="U89" s="11"/>
      <x:c r="V89" s="11">
        <x:v>-2.1276793999999999</x:v>
      </x:c>
      <x:c r="W89" s="11">
        <x:v>106.1520824</x:v>
      </x:c>
      <x:c r="X89" s="65"/>
      <x:c r="Y89" s="29"/>
      <x:c r="Z89" s="51"/>
      <x:c r="AA89" s="53"/>
      <x:c r="AB89" s="56"/>
      <x:c r="AC89">
        <x:f t="shared" si="4"/>
        <x:v>0</x:v>
      </x:c>
      <x:c r="AD89">
        <x:f t="shared" si="5"/>
        <x:v>0.39528023598820061</x:v>
      </x:c>
    </x:row>
    <x:row r="90" ht="9.75" customHeight="1">
      <x:c r="A90" s="32">
        <x:v>85</x:v>
      </x:c>
      <x:c r="B90" s="11" t="s">
        <x:v>260</x:v>
      </x:c>
      <x:c r="C90" s="6" t="s">
        <x:v>170</x:v>
      </x:c>
      <x:c r="D90" s="11" t="s">
        <x:v>35</x:v>
      </x:c>
      <x:c r="E90" s="11" t="s">
        <x:v>36</x:v>
      </x:c>
      <x:c r="F90" s="6" t="s">
        <x:v>42</x:v>
      </x:c>
      <x:c r="G90" s="6" t="s">
        <x:v>42</x:v>
      </x:c>
      <x:c r="H90" s="17" t="s">
        <x:v>42</x:v>
      </x:c>
      <x:c r="I90" s="17" t="s">
        <x:v>42</x:v>
      </x:c>
      <x:c r="J90" s="6">
        <x:v>2021</x:v>
      </x:c>
      <x:c r="K90" s="17">
        <x:v>0</x:v>
      </x:c>
      <x:c r="L90" s="11">
        <x:v>0</x:v>
      </x:c>
      <x:c r="M90" s="17">
        <x:v>0</x:v>
      </x:c>
      <x:c r="N90" s="17" t="s">
        <x:v>41</x:v>
      </x:c>
      <x:c r="O90" s="6" t="s">
        <x:v>42</x:v>
      </x:c>
      <x:c r="P90" s="6"/>
      <x:c r="Q90" s="23" t="s">
        <x:v>43</x:v>
      </x:c>
      <x:c r="R90" s="23"/>
      <x:c r="S90" s="20"/>
      <x:c r="T90" s="11"/>
      <x:c r="U90" s="11"/>
      <x:c r="V90" s="11">
        <x:v>-2.1150597000000002</x:v>
      </x:c>
      <x:c r="W90" s="11">
        <x:v>106.08923830000001</x:v>
      </x:c>
      <x:c r="X90" s="65"/>
      <x:c r="Y90" s="29"/>
      <x:c r="Z90" s="51"/>
      <x:c r="AA90" s="53"/>
      <x:c r="AB90" s="56"/>
      <x:c r="AC90">
        <x:f t="shared" si="4"/>
        <x:v>0</x:v>
      </x:c>
      <x:c r="AD90">
        <x:f t="shared" si="5"/>
        <x:v>0</x:v>
      </x:c>
    </x:row>
    <x:row r="91" ht="9.75" customHeight="1">
      <x:c r="A91" s="32">
        <x:v>86</x:v>
      </x:c>
      <x:c r="B91" s="11" t="s">
        <x:v>261</x:v>
      </x:c>
      <x:c r="C91" s="6" t="s">
        <x:v>90</x:v>
      </x:c>
      <x:c r="D91" s="11" t="s">
        <x:v>81</x:v>
      </x:c>
      <x:c r="E91" s="11" t="s">
        <x:v>82</x:v>
      </x:c>
      <x:c r="F91" s="6" t="s">
        <x:v>262</x:v>
      </x:c>
      <x:c r="G91" s="6" t="s">
        <x:v>263</x:v>
      </x:c>
      <x:c r="H91" s="17" t="s">
        <x:v>85</x:v>
      </x:c>
      <x:c r="I91" s="17" t="s">
        <x:v>86</x:v>
      </x:c>
      <x:c r="J91" s="6">
        <x:v>2018</x:v>
      </x:c>
      <x:c r="K91" s="17">
        <x:v>168</x:v>
      </x:c>
      <x:c r="L91" s="11">
        <x:v>168</x:v>
      </x:c>
      <x:c r="M91" s="17">
        <x:v>157</x:v>
      </x:c>
      <x:c r="N91" s="17" t="s">
        <x:v>48</x:v>
      </x:c>
      <x:c r="O91" s="6">
        <x:v>2020</x:v>
      </x:c>
      <x:c r="P91" s="6"/>
      <x:c r="Q91" s="23" t="s">
        <x:v>72</x:v>
      </x:c>
      <x:c r="R91" s="23"/>
      <x:c r="S91" s="20"/>
      <x:c r="T91" s="11"/>
      <x:c r="U91" s="11"/>
      <x:c r="V91" s="11">
        <x:v>-2.1409722000000002</x:v>
      </x:c>
      <x:c r="W91" s="11">
        <x:v>106.1375556</x:v>
      </x:c>
      <x:c r="X91" s="65"/>
      <x:c r="Y91" s="29"/>
      <x:c r="Z91" s="51"/>
      <x:c r="AA91" s="53"/>
      <x:c r="AB91" s="56"/>
      <x:c r="AC91">
        <x:f t="shared" si="4"/>
        <x:v>1</x:v>
      </x:c>
      <x:c r="AD91">
        <x:f t="shared" si="5"/>
        <x:v>0.93452380952380953</x:v>
      </x:c>
    </x:row>
    <x:row r="92">
      <x:c r="A92" s="32">
        <x:v>87</x:v>
      </x:c>
      <x:c r="B92" s="11" t="s">
        <x:v>264</x:v>
      </x:c>
      <x:c r="C92" s="6" t="s">
        <x:v>34</x:v>
      </x:c>
      <x:c r="D92" s="11" t="s">
        <x:v>81</x:v>
      </x:c>
      <x:c r="E92" s="11" t="s">
        <x:v>122</x:v>
      </x:c>
      <x:c r="F92" s="6" t="s">
        <x:v>163</x:v>
      </x:c>
      <x:c r="G92" s="6" t="s">
        <x:v>263</x:v>
      </x:c>
      <x:c r="H92" s="17" t="s">
        <x:v>85</x:v>
      </x:c>
      <x:c r="I92" s="17" t="s">
        <x:v>86</x:v>
      </x:c>
      <x:c r="J92" s="6">
        <x:v>2016</x:v>
      </x:c>
      <x:c r="K92" s="17">
        <x:v>147</x:v>
      </x:c>
      <x:c r="L92" s="11">
        <x:v>147</x:v>
      </x:c>
      <x:c r="M92" s="17">
        <x:v>147</x:v>
      </x:c>
      <x:c r="N92" s="17" t="s">
        <x:v>48</x:v>
      </x:c>
      <x:c r="O92" s="6">
        <x:v>2020</x:v>
      </x:c>
      <x:c r="P92" s="6"/>
      <x:c r="Q92" s="23" t="s">
        <x:v>72</x:v>
      </x:c>
      <x:c r="R92" s="23" t="s">
        <x:v>55</x:v>
      </x:c>
      <x:c r="S92" s="20"/>
      <x:c r="T92" s="11"/>
      <x:c r="U92" s="11"/>
      <x:c r="V92" s="11">
        <x:v>-2.1399853000000002</x:v>
      </x:c>
      <x:c r="W92" s="11">
        <x:v>106.165569</x:v>
      </x:c>
      <x:c r="X92" s="65"/>
      <x:c r="Y92" s="29"/>
      <x:c r="Z92" s="51"/>
      <x:c r="AA92" s="53"/>
      <x:c r="AB92" s="56"/>
      <x:c r="AC92">
        <x:f t="shared" si="4"/>
        <x:v>1</x:v>
      </x:c>
      <x:c r="AD92">
        <x:f t="shared" si="5"/>
        <x:v>1</x:v>
      </x:c>
    </x:row>
    <x:row r="93">
      <x:c r="A93" s="32">
        <x:v>88</x:v>
      </x:c>
      <x:c r="B93" s="11" t="s">
        <x:v>265</x:v>
      </x:c>
      <x:c r="C93" s="6" t="s">
        <x:v>34</x:v>
      </x:c>
      <x:c r="D93" s="11" t="s">
        <x:v>81</x:v>
      </x:c>
      <x:c r="E93" s="11" t="s">
        <x:v>122</x:v>
      </x:c>
      <x:c r="F93" s="6" t="s">
        <x:v>163</x:v>
      </x:c>
      <x:c r="G93" s="6" t="s">
        <x:v>263</x:v>
      </x:c>
      <x:c r="H93" s="17" t="s">
        <x:v>85</x:v>
      </x:c>
      <x:c r="I93" s="17" t="s">
        <x:v>86</x:v>
      </x:c>
      <x:c r="J93" s="6">
        <x:v>2020</x:v>
      </x:c>
      <x:c r="K93" s="17">
        <x:v>43</x:v>
      </x:c>
      <x:c r="L93" s="11">
        <x:v>43</x:v>
      </x:c>
      <x:c r="M93" s="17">
        <x:v>36</x:v>
      </x:c>
      <x:c r="N93" s="17" t="s">
        <x:v>48</x:v>
      </x:c>
      <x:c r="O93" s="6">
        <x:v>2021</x:v>
      </x:c>
      <x:c r="P93" s="6"/>
      <x:c r="Q93" s="23" t="s">
        <x:v>72</x:v>
      </x:c>
      <x:c r="R93" s="23" t="s">
        <x:v>55</x:v>
      </x:c>
      <x:c r="S93" s="20"/>
      <x:c r="T93" s="11" t="s">
        <x:v>44</x:v>
      </x:c>
      <x:c r="U93" s="11"/>
      <x:c r="V93" s="11">
        <x:v>-2.1399853000000002</x:v>
      </x:c>
      <x:c r="W93" s="11">
        <x:v>106.1655691</x:v>
      </x:c>
      <x:c r="X93" s="65"/>
      <x:c r="Y93" s="29"/>
      <x:c r="Z93" s="51"/>
      <x:c r="AA93" s="53"/>
      <x:c r="AB93" s="56"/>
      <x:c r="AC93">
        <x:f t="shared" si="4"/>
        <x:v>1</x:v>
      </x:c>
      <x:c r="AD93">
        <x:f t="shared" si="5"/>
        <x:v>0.83720930232558144</x:v>
      </x:c>
    </x:row>
    <x:row r="94">
      <x:c r="A94" s="32">
        <x:v>89</x:v>
      </x:c>
      <x:c r="B94" s="11" t="s">
        <x:v>266</x:v>
      </x:c>
      <x:c r="C94" s="6" t="s">
        <x:v>34</x:v>
      </x:c>
      <x:c r="D94" s="11" t="s">
        <x:v>60</x:v>
      </x:c>
      <x:c r="E94" s="11" t="s">
        <x:v>267</x:v>
      </x:c>
      <x:c r="F94" s="6" t="s">
        <x:v>268</x:v>
      </x:c>
      <x:c r="G94" s="6" t="s">
        <x:v>269</x:v>
      </x:c>
      <x:c r="H94" s="17" t="s">
        <x:v>85</x:v>
      </x:c>
      <x:c r="I94" s="17" t="s">
        <x:v>86</x:v>
      </x:c>
      <x:c r="J94" s="6">
        <x:v>2021</x:v>
      </x:c>
      <x:c r="K94" s="17">
        <x:v>92</x:v>
      </x:c>
      <x:c r="L94" s="11">
        <x:v>92</x:v>
      </x:c>
      <x:c r="M94" s="17">
        <x:v>92</x:v>
      </x:c>
      <x:c r="N94" s="17" t="s">
        <x:v>41</x:v>
      </x:c>
      <x:c r="O94" s="6" t="s">
        <x:v>42</x:v>
      </x:c>
      <x:c r="P94" s="6"/>
      <x:c r="Q94" s="23" t="s">
        <x:v>43</x:v>
      </x:c>
      <x:c r="R94" s="23"/>
      <x:c r="S94" s="20"/>
      <x:c r="T94" s="11" t="s">
        <x:v>44</x:v>
      </x:c>
      <x:c r="U94" s="11"/>
      <x:c r="V94" s="11">
        <x:v>-2.0881560000000001</x:v>
      </x:c>
      <x:c r="W94" s="11">
        <x:v>106.11421300000001</x:v>
      </x:c>
      <x:c r="X94" s="65"/>
      <x:c r="Y94" s="29"/>
      <x:c r="Z94" s="51"/>
      <x:c r="AA94" s="53"/>
      <x:c r="AB94" s="56"/>
      <x:c r="AC94">
        <x:f t="shared" si="4"/>
        <x:v>1</x:v>
      </x:c>
      <x:c r="AD94">
        <x:f t="shared" si="5"/>
        <x:v>1</x:v>
      </x:c>
    </x:row>
    <x:row r="95" ht="9.75" customHeight="1">
      <x:c r="A95" s="32">
        <x:v>90</x:v>
      </x:c>
      <x:c r="B95" s="11" t="s">
        <x:v>270</x:v>
      </x:c>
      <x:c r="C95" s="6" t="s">
        <x:v>34</x:v>
      </x:c>
      <x:c r="D95" s="11" t="s">
        <x:v>60</x:v>
      </x:c>
      <x:c r="E95" s="11" t="s">
        <x:v>267</x:v>
      </x:c>
      <x:c r="F95" s="6" t="s">
        <x:v>268</x:v>
      </x:c>
      <x:c r="G95" s="6" t="s">
        <x:v>269</x:v>
      </x:c>
      <x:c r="H95" s="17" t="s">
        <x:v>85</x:v>
      </x:c>
      <x:c r="I95" s="17" t="s">
        <x:v>86</x:v>
      </x:c>
      <x:c r="J95" s="6">
        <x:v>2024</x:v>
      </x:c>
      <x:c r="K95" s="17">
        <x:v>69</x:v>
      </x:c>
      <x:c r="L95" s="11">
        <x:v>0</x:v>
      </x:c>
      <x:c r="M95" s="17">
        <x:v>0</x:v>
      </x:c>
      <x:c r="N95" s="17" t="s">
        <x:v>41</x:v>
      </x:c>
      <x:c r="O95" s="6" t="s">
        <x:v>42</x:v>
      </x:c>
      <x:c r="P95" s="6"/>
      <x:c r="Q95" s="23" t="s">
        <x:v>43</x:v>
      </x:c>
      <x:c r="R95" s="23"/>
      <x:c r="S95" s="20"/>
      <x:c r="T95" s="11"/>
      <x:c r="U95" s="11"/>
      <x:c r="V95" s="11">
        <x:v>-2.0873370000000002</x:v>
      </x:c>
      <x:c r="W95" s="11">
        <x:v>106.115123</x:v>
      </x:c>
      <x:c r="X95" s="65"/>
      <x:c r="Y95" s="29"/>
      <x:c r="Z95" s="51"/>
      <x:c r="AA95" s="53"/>
      <x:c r="AB95" s="56"/>
      <x:c r="AC95">
        <x:f t="shared" si="4"/>
        <x:v>0</x:v>
      </x:c>
      <x:c r="AD95">
        <x:f t="shared" si="5"/>
        <x:v>0</x:v>
      </x:c>
    </x:row>
    <x:row r="96">
      <x:c r="A96" s="32">
        <x:v>91</x:v>
      </x:c>
      <x:c r="B96" s="11" t="s">
        <x:v>271</x:v>
      </x:c>
      <x:c r="C96" s="6" t="s">
        <x:v>34</x:v>
      </x:c>
      <x:c r="D96" s="11" t="s">
        <x:v>81</x:v>
      </x:c>
      <x:c r="E96" s="11" t="s">
        <x:v>122</x:v>
      </x:c>
      <x:c r="F96" s="6" t="s">
        <x:v>129</x:v>
      </x:c>
      <x:c r="G96" s="6" t="s">
        <x:v>263</x:v>
      </x:c>
      <x:c r="H96" s="17" t="s">
        <x:v>85</x:v>
      </x:c>
      <x:c r="I96" s="17" t="s">
        <x:v>86</x:v>
      </x:c>
      <x:c r="J96" s="6">
        <x:v>2019</x:v>
      </x:c>
      <x:c r="K96" s="17">
        <x:v>98</x:v>
      </x:c>
      <x:c r="L96" s="11">
        <x:v>90</x:v>
      </x:c>
      <x:c r="M96" s="17">
        <x:v>84</x:v>
      </x:c>
      <x:c r="N96" s="17" t="s">
        <x:v>48</x:v>
      </x:c>
      <x:c r="O96" s="6">
        <x:v>2021</x:v>
      </x:c>
      <x:c r="P96" s="6"/>
      <x:c r="Q96" s="23" t="s">
        <x:v>43</x:v>
      </x:c>
      <x:c r="R96" s="23"/>
      <x:c r="S96" s="20"/>
      <x:c r="T96" s="11"/>
      <x:c r="U96" s="11"/>
      <x:c r="V96" s="11">
        <x:v>-2.1327805999999998</x:v>
      </x:c>
      <x:c r="W96" s="11">
        <x:v>106.16383949999999</x:v>
      </x:c>
      <x:c r="X96" s="65"/>
      <x:c r="Y96" s="29"/>
      <x:c r="Z96" s="51"/>
      <x:c r="AA96" s="53"/>
      <x:c r="AB96" s="56"/>
      <x:c r="AC96">
        <x:f t="shared" si="4"/>
        <x:v>0.91836734693877553</x:v>
      </x:c>
      <x:c r="AD96">
        <x:f t="shared" si="5"/>
        <x:v>0.93333333333333335</x:v>
      </x:c>
    </x:row>
    <x:row r="97">
      <x:c r="A97" s="32">
        <x:v>92</x:v>
      </x:c>
      <x:c r="B97" s="11" t="s">
        <x:v>272</x:v>
      </x:c>
      <x:c r="C97" s="6" t="s">
        <x:v>34</x:v>
      </x:c>
      <x:c r="D97" s="11" t="s">
        <x:v>81</x:v>
      </x:c>
      <x:c r="E97" s="11" t="s">
        <x:v>122</x:v>
      </x:c>
      <x:c r="F97" s="6" t="s">
        <x:v>129</x:v>
      </x:c>
      <x:c r="G97" s="6" t="s">
        <x:v>263</x:v>
      </x:c>
      <x:c r="H97" s="17" t="s">
        <x:v>85</x:v>
      </x:c>
      <x:c r="I97" s="17" t="s">
        <x:v>86</x:v>
      </x:c>
      <x:c r="J97" s="6">
        <x:v>2019</x:v>
      </x:c>
      <x:c r="K97" s="17">
        <x:v>139</x:v>
      </x:c>
      <x:c r="L97" s="11">
        <x:v>139</x:v>
      </x:c>
      <x:c r="M97" s="17">
        <x:v>136</x:v>
      </x:c>
      <x:c r="N97" s="17" t="s">
        <x:v>48</x:v>
      </x:c>
      <x:c r="O97" s="6">
        <x:v>2023</x:v>
      </x:c>
      <x:c r="P97" s="6"/>
      <x:c r="Q97" s="23" t="s">
        <x:v>43</x:v>
      </x:c>
      <x:c r="R97" s="23"/>
      <x:c r="S97" s="20"/>
      <x:c r="T97" s="11"/>
      <x:c r="U97" s="11"/>
      <x:c r="V97" s="11">
        <x:v>-2.1327805999999998</x:v>
      </x:c>
      <x:c r="W97" s="11">
        <x:v>106.1638396</x:v>
      </x:c>
      <x:c r="X97" s="65"/>
      <x:c r="Y97" s="29"/>
      <x:c r="Z97" s="51"/>
      <x:c r="AA97" s="53"/>
      <x:c r="AB97" s="56"/>
      <x:c r="AC97">
        <x:f t="shared" si="4"/>
        <x:v>1</x:v>
      </x:c>
      <x:c r="AD97">
        <x:f t="shared" si="5"/>
        <x:v>0.97841726618705038</x:v>
      </x:c>
    </x:row>
    <x:row r="98" ht="9.75" customHeight="1">
      <x:c r="A98" s="32">
        <x:v>93</x:v>
      </x:c>
      <x:c r="B98" s="11" t="s">
        <x:v>273</x:v>
      </x:c>
      <x:c r="C98" s="6" t="s">
        <x:v>34</x:v>
      </x:c>
      <x:c r="D98" s="11" t="s">
        <x:v>35</x:v>
      </x:c>
      <x:c r="E98" s="11" t="s">
        <x:v>36</x:v>
      </x:c>
      <x:c r="F98" s="6" t="s">
        <x:v>54</x:v>
      </x:c>
      <x:c r="G98" s="6" t="s">
        <x:v>263</x:v>
      </x:c>
      <x:c r="H98" s="17" t="s">
        <x:v>85</x:v>
      </x:c>
      <x:c r="I98" s="17" t="s">
        <x:v>86</x:v>
      </x:c>
      <x:c r="J98" s="6">
        <x:v>2021</x:v>
      </x:c>
      <x:c r="K98" s="17">
        <x:v>112</x:v>
      </x:c>
      <x:c r="L98" s="11">
        <x:v>90</x:v>
      </x:c>
      <x:c r="M98" s="17">
        <x:v>90</x:v>
      </x:c>
      <x:c r="N98" s="17" t="s">
        <x:v>41</x:v>
      </x:c>
      <x:c r="O98" s="6" t="s">
        <x:v>42</x:v>
      </x:c>
      <x:c r="P98" s="6"/>
      <x:c r="Q98" s="23" t="s">
        <x:v>43</x:v>
      </x:c>
      <x:c r="R98" s="23" t="s">
        <x:v>88</x:v>
      </x:c>
      <x:c r="S98" s="20"/>
      <x:c r="T98" s="11" t="s">
        <x:v>44</x:v>
      </x:c>
      <x:c r="U98" s="11"/>
      <x:c r="V98" s="11">
        <x:v>-2.099383</x:v>
      </x:c>
      <x:c r="W98" s="11">
        <x:v>106.0753648</x:v>
      </x:c>
      <x:c r="X98" s="65"/>
      <x:c r="Y98" s="29"/>
      <x:c r="Z98" s="51"/>
      <x:c r="AA98" s="53"/>
      <x:c r="AB98" s="56"/>
      <x:c r="AC98">
        <x:f t="shared" si="4"/>
        <x:v>0.8035714285714286</x:v>
      </x:c>
      <x:c r="AD98">
        <x:f t="shared" si="5"/>
        <x:v>1</x:v>
      </x:c>
    </x:row>
    <x:row r="99">
      <x:c r="A99" s="32">
        <x:v>94</x:v>
      </x:c>
      <x:c r="B99" s="11" t="s">
        <x:v>274</x:v>
      </x:c>
      <x:c r="C99" s="6" t="s">
        <x:v>34</x:v>
      </x:c>
      <x:c r="D99" s="11" t="s">
        <x:v>35</x:v>
      </x:c>
      <x:c r="E99" s="11" t="s">
        <x:v>36</x:v>
      </x:c>
      <x:c r="F99" s="6" t="s">
        <x:v>275</x:v>
      </x:c>
      <x:c r="G99" s="6" t="s">
        <x:v>263</x:v>
      </x:c>
      <x:c r="H99" s="17" t="s">
        <x:v>85</x:v>
      </x:c>
      <x:c r="I99" s="17" t="s">
        <x:v>86</x:v>
      </x:c>
      <x:c r="J99" s="6">
        <x:v>2024</x:v>
      </x:c>
      <x:c r="K99" s="17">
        <x:v>71</x:v>
      </x:c>
      <x:c r="L99" s="11">
        <x:v>12</x:v>
      </x:c>
      <x:c r="M99" s="17">
        <x:v>0</x:v>
      </x:c>
      <x:c r="N99" s="17" t="s">
        <x:v>41</x:v>
      </x:c>
      <x:c r="O99" s="6" t="s">
        <x:v>42</x:v>
      </x:c>
      <x:c r="P99" s="6"/>
      <x:c r="Q99" s="23" t="s">
        <x:v>43</x:v>
      </x:c>
      <x:c r="R99" s="23" t="s">
        <x:v>88</x:v>
      </x:c>
      <x:c r="S99" s="20"/>
      <x:c r="T99" s="11" t="s">
        <x:v>44</x:v>
      </x:c>
      <x:c r="U99" s="11"/>
      <x:c r="V99" s="11">
        <x:v>-2.0993406999999999</x:v>
      </x:c>
      <x:c r="W99" s="11">
        <x:v>106.07502890000001</x:v>
      </x:c>
      <x:c r="X99" s="65"/>
      <x:c r="Y99" s="29"/>
      <x:c r="Z99" s="51"/>
      <x:c r="AA99" s="53"/>
      <x:c r="AB99" s="56"/>
      <x:c r="AC99">
        <x:f t="shared" si="4"/>
        <x:v>0.16901408450704225</x:v>
      </x:c>
      <x:c r="AD99">
        <x:f t="shared" si="5"/>
        <x:v>0</x:v>
      </x:c>
    </x:row>
    <x:row r="100">
      <x:c r="A100" s="32">
        <x:v>95</x:v>
      </x:c>
      <x:c r="B100" s="11" t="s">
        <x:v>276</x:v>
      </x:c>
      <x:c r="C100" s="6" t="s">
        <x:v>34</x:v>
      </x:c>
      <x:c r="D100" s="11" t="s">
        <x:v>81</x:v>
      </x:c>
      <x:c r="E100" s="11" t="s">
        <x:v>122</x:v>
      </x:c>
      <x:c r="F100" s="6" t="s">
        <x:v>277</x:v>
      </x:c>
      <x:c r="G100" s="6" t="s">
        <x:v>269</x:v>
      </x:c>
      <x:c r="H100" s="17" t="s">
        <x:v>85</x:v>
      </x:c>
      <x:c r="I100" s="17" t="s">
        <x:v>86</x:v>
      </x:c>
      <x:c r="J100" s="6">
        <x:v>2023</x:v>
      </x:c>
      <x:c r="K100" s="17">
        <x:v>133</x:v>
      </x:c>
      <x:c r="L100" s="11">
        <x:v>78</x:v>
      </x:c>
      <x:c r="M100" s="17">
        <x:v>33</x:v>
      </x:c>
      <x:c r="N100" s="17" t="s">
        <x:v>41</x:v>
      </x:c>
      <x:c r="O100" s="6" t="s">
        <x:v>42</x:v>
      </x:c>
      <x:c r="P100" s="6"/>
      <x:c r="Q100" s="23" t="s">
        <x:v>43</x:v>
      </x:c>
      <x:c r="R100" s="23" t="s">
        <x:v>88</x:v>
      </x:c>
      <x:c r="S100" s="20"/>
      <x:c r="T100" s="11"/>
      <x:c r="U100" s="11"/>
      <x:c r="V100" s="11">
        <x:v>-2.1267033</x:v>
      </x:c>
      <x:c r="W100" s="11">
        <x:v>106.1668955</x:v>
      </x:c>
      <x:c r="X100" s="65"/>
      <x:c r="Y100" s="29"/>
      <x:c r="Z100" s="51"/>
      <x:c r="AA100" s="53"/>
      <x:c r="AB100" s="56"/>
      <x:c r="AC100">
        <x:f t="shared" si="4"/>
        <x:v>0.5864661654135338</x:v>
      </x:c>
      <x:c r="AD100">
        <x:f t="shared" si="5"/>
        <x:v>0.42307692307692307</x:v>
      </x:c>
    </x:row>
    <x:row r="101">
      <x:c r="A101" s="32">
        <x:v>96</x:v>
      </x:c>
      <x:c r="B101" s="11" t="s">
        <x:v>278</x:v>
      </x:c>
      <x:c r="C101" s="6" t="s">
        <x:v>34</x:v>
      </x:c>
      <x:c r="D101" s="11" t="s">
        <x:v>81</x:v>
      </x:c>
      <x:c r="E101" s="11" t="s">
        <x:v>122</x:v>
      </x:c>
      <x:c r="F101" s="6" t="s">
        <x:v>277</x:v>
      </x:c>
      <x:c r="G101" s="6" t="s">
        <x:v>269</x:v>
      </x:c>
      <x:c r="H101" s="17" t="s">
        <x:v>85</x:v>
      </x:c>
      <x:c r="I101" s="17" t="s">
        <x:v>86</x:v>
      </x:c>
      <x:c r="J101" s="6">
        <x:v>2023</x:v>
      </x:c>
      <x:c r="K101" s="17">
        <x:v>130</x:v>
      </x:c>
      <x:c r="L101" s="11">
        <x:v>46</x:v>
      </x:c>
      <x:c r="M101" s="17">
        <x:v>18</x:v>
      </x:c>
      <x:c r="N101" s="17" t="s">
        <x:v>41</x:v>
      </x:c>
      <x:c r="O101" s="6" t="s">
        <x:v>42</x:v>
      </x:c>
      <x:c r="P101" s="6"/>
      <x:c r="Q101" s="23" t="s">
        <x:v>43</x:v>
      </x:c>
      <x:c r="R101" s="23" t="s">
        <x:v>88</x:v>
      </x:c>
      <x:c r="S101" s="20"/>
      <x:c r="T101" s="11"/>
      <x:c r="U101" s="11"/>
      <x:c r="V101" s="11">
        <x:v>-2.1267033</x:v>
      </x:c>
      <x:c r="W101" s="11">
        <x:v>106.1668955</x:v>
      </x:c>
      <x:c r="X101" s="65"/>
      <x:c r="Y101" s="29"/>
      <x:c r="Z101" s="51"/>
      <x:c r="AA101" s="53"/>
      <x:c r="AB101" s="56"/>
      <x:c r="AC101">
        <x:f t="shared" si="4"/>
        <x:v>0.35384615384615387</x:v>
      </x:c>
      <x:c r="AD101">
        <x:f t="shared" si="5"/>
        <x:v>0.39130434782608697</x:v>
      </x:c>
    </x:row>
    <x:row r="102" ht="9.75" customHeight="1">
      <x:c r="A102" s="32">
        <x:v>97</x:v>
      </x:c>
      <x:c r="B102" s="11" t="s">
        <x:v>279</x:v>
      </x:c>
      <x:c r="C102" s="6" t="s">
        <x:v>34</x:v>
      </x:c>
      <x:c r="D102" s="11" t="s">
        <x:v>35</x:v>
      </x:c>
      <x:c r="E102" s="11" t="s">
        <x:v>46</x:v>
      </x:c>
      <x:c r="F102" s="6" t="s">
        <x:v>51</x:v>
      </x:c>
      <x:c r="G102" s="6" t="s">
        <x:v>38</x:v>
      </x:c>
      <x:c r="H102" s="17" t="s">
        <x:v>39</x:v>
      </x:c>
      <x:c r="I102" s="17" t="s">
        <x:v>40</x:v>
      </x:c>
      <x:c r="J102" s="6">
        <x:v>2016</x:v>
      </x:c>
      <x:c r="K102" s="17">
        <x:v>31</x:v>
      </x:c>
      <x:c r="L102" s="11">
        <x:v>31</x:v>
      </x:c>
      <x:c r="M102" s="17">
        <x:v>31</x:v>
      </x:c>
      <x:c r="N102" s="17" t="s">
        <x:v>41</x:v>
      </x:c>
      <x:c r="O102" s="6" t="s">
        <x:v>42</x:v>
      </x:c>
      <x:c r="P102" s="6"/>
      <x:c r="Q102" s="23" t="s">
        <x:v>43</x:v>
      </x:c>
      <x:c r="R102" s="23"/>
      <x:c r="S102" s="20"/>
      <x:c r="T102" s="11"/>
      <x:c r="U102" s="11"/>
      <x:c r="V102" s="11">
        <x:v>-2.1219239000000001</x:v>
      </x:c>
      <x:c r="W102" s="11">
        <x:v>106.07392950000001</x:v>
      </x:c>
      <x:c r="X102" s="65"/>
      <x:c r="Y102" s="29"/>
      <x:c r="Z102" s="51"/>
      <x:c r="AA102" s="53"/>
      <x:c r="AB102" s="56"/>
      <x:c r="AC102" t="n">
        <x:f t="shared" ref="AC102:AC133" si="6">IF(A102="","",IFERROR(L102/K102,0))</x:f>
        <x:v>1</x:v>
      </x:c>
      <x:c r="AD102" t="n">
        <x:f t="shared" ref="AD102:AD133" si="7">IF(A102="","",IFERROR(M102/L102,0))</x:f>
        <x:v>1</x:v>
      </x:c>
    </x:row>
    <x:row r="103" ht="9.75" customHeight="1">
      <x:c r="A103" s="32">
        <x:v>98</x:v>
      </x:c>
      <x:c r="B103" s="11" t="s">
        <x:v>280</x:v>
      </x:c>
      <x:c r="C103" s="6" t="s">
        <x:v>34</x:v>
      </x:c>
      <x:c r="D103" s="11" t="s">
        <x:v>35</x:v>
      </x:c>
      <x:c r="E103" s="11" t="s">
        <x:v>46</x:v>
      </x:c>
      <x:c r="F103" s="6" t="s">
        <x:v>281</x:v>
      </x:c>
      <x:c r="G103" s="6" t="s">
        <x:v>282</x:v>
      </x:c>
      <x:c r="H103" s="17" t="s">
        <x:v>283</x:v>
      </x:c>
      <x:c r="I103" s="17" t="s">
        <x:v>86</x:v>
      </x:c>
      <x:c r="J103" s="6">
        <x:v>2017</x:v>
      </x:c>
      <x:c r="K103" s="17">
        <x:v>316</x:v>
      </x:c>
      <x:c r="L103" s="11">
        <x:v>316</x:v>
      </x:c>
      <x:c r="M103" s="17">
        <x:v>306</x:v>
      </x:c>
      <x:c r="N103" s="17" t="s">
        <x:v>48</x:v>
      </x:c>
      <x:c r="O103" s="6">
        <x:v>2020</x:v>
      </x:c>
      <x:c r="P103" s="6"/>
      <x:c r="Q103" s="23" t="s">
        <x:v>72</x:v>
      </x:c>
      <x:c r="R103" s="23"/>
      <x:c r="S103" s="20"/>
      <x:c r="T103" s="11"/>
      <x:c r="U103" s="11"/>
      <x:c r="V103" s="11">
        <x:v>-2.1249530000000001</x:v>
      </x:c>
      <x:c r="W103" s="11">
        <x:v>106.07577000000001</x:v>
      </x:c>
      <x:c r="X103" s="65"/>
      <x:c r="Y103" s="29"/>
      <x:c r="Z103" s="51"/>
      <x:c r="AA103" s="53"/>
      <x:c r="AB103" s="56"/>
      <x:c r="AC103">
        <x:f t="shared" si="6"/>
        <x:v>1</x:v>
      </x:c>
      <x:c r="AD103">
        <x:f t="shared" si="7"/>
        <x:v>0.96835443037974689</x:v>
      </x:c>
    </x:row>
    <x:row r="104" ht="9.75" customHeight="1">
      <x:c r="A104" s="32">
        <x:v>99</x:v>
      </x:c>
      <x:c r="B104" s="11" t="s">
        <x:v>284</x:v>
      </x:c>
      <x:c r="C104" s="6" t="s">
        <x:v>34</x:v>
      </x:c>
      <x:c r="D104" s="11" t="s">
        <x:v>35</x:v>
      </x:c>
      <x:c r="E104" s="11" t="s">
        <x:v>46</x:v>
      </x:c>
      <x:c r="F104" s="6" t="s">
        <x:v>285</x:v>
      </x:c>
      <x:c r="G104" s="6" t="s">
        <x:v>282</x:v>
      </x:c>
      <x:c r="H104" s="17" t="s">
        <x:v>283</x:v>
      </x:c>
      <x:c r="I104" s="17" t="s">
        <x:v>86</x:v>
      </x:c>
      <x:c r="J104" s="6">
        <x:v>2020</x:v>
      </x:c>
      <x:c r="K104" s="17">
        <x:v>271</x:v>
      </x:c>
      <x:c r="L104" s="11">
        <x:v>271</x:v>
      </x:c>
      <x:c r="M104" s="17">
        <x:v>271</x:v>
      </x:c>
      <x:c r="N104" s="17" t="s">
        <x:v>41</x:v>
      </x:c>
      <x:c r="O104" s="6" t="s">
        <x:v>42</x:v>
      </x:c>
      <x:c r="P104" s="6"/>
      <x:c r="Q104" s="23" t="s">
        <x:v>43</x:v>
      </x:c>
      <x:c r="R104" s="23"/>
      <x:c r="S104" s="20"/>
      <x:c r="T104" s="11"/>
      <x:c r="U104" s="11"/>
      <x:c r="V104" s="11">
        <x:v>-2.1245880000000001</x:v>
      </x:c>
      <x:c r="W104" s="11">
        <x:v>106.07570800000001</x:v>
      </x:c>
      <x:c r="X104" s="65"/>
      <x:c r="Y104" s="29"/>
      <x:c r="Z104" s="51"/>
      <x:c r="AA104" s="53"/>
      <x:c r="AB104" s="56"/>
      <x:c r="AC104">
        <x:f t="shared" si="6"/>
        <x:v>1</x:v>
      </x:c>
      <x:c r="AD104">
        <x:f t="shared" si="7"/>
        <x:v>1</x:v>
      </x:c>
    </x:row>
    <x:row r="105" ht="9.75" customHeight="1">
      <x:c r="A105" s="32">
        <x:v>100</x:v>
      </x:c>
      <x:c r="B105" s="11" t="s">
        <x:v>286</x:v>
      </x:c>
      <x:c r="C105" s="6" t="s">
        <x:v>34</x:v>
      </x:c>
      <x:c r="D105" s="11" t="s">
        <x:v>60</x:v>
      </x:c>
      <x:c r="E105" s="11" t="s">
        <x:v>70</x:v>
      </x:c>
      <x:c r="F105" s="6" t="s">
        <x:v>287</x:v>
      </x:c>
      <x:c r="G105" s="6" t="s">
        <x:v>288</x:v>
      </x:c>
      <x:c r="H105" s="17" t="s">
        <x:v>289</x:v>
      </x:c>
      <x:c r="I105" s="17" t="s">
        <x:v>86</x:v>
      </x:c>
      <x:c r="J105" s="6">
        <x:v>2019</x:v>
      </x:c>
      <x:c r="K105" s="17">
        <x:v>50</x:v>
      </x:c>
      <x:c r="L105" s="11">
        <x:v>50</x:v>
      </x:c>
      <x:c r="M105" s="17">
        <x:v>47</x:v>
      </x:c>
      <x:c r="N105" s="17" t="s">
        <x:v>48</x:v>
      </x:c>
      <x:c r="O105" s="6">
        <x:v>2022</x:v>
      </x:c>
      <x:c r="P105" s="6"/>
      <x:c r="Q105" s="23" t="s">
        <x:v>43</x:v>
      </x:c>
      <x:c r="R105" s="23" t="s">
        <x:v>113</x:v>
      </x:c>
      <x:c r="S105" s="20"/>
      <x:c r="T105" s="11"/>
      <x:c r="U105" s="11"/>
      <x:c r="V105" s="11">
        <x:v>-2.101267</x:v>
      </x:c>
      <x:c r="W105" s="11">
        <x:v>106.093493</x:v>
      </x:c>
      <x:c r="X105" s="65"/>
      <x:c r="Y105" s="29"/>
      <x:c r="Z105" s="51"/>
      <x:c r="AA105" s="53"/>
      <x:c r="AB105" s="56"/>
      <x:c r="AC105">
        <x:f t="shared" si="6"/>
        <x:v>1</x:v>
      </x:c>
      <x:c r="AD105">
        <x:f t="shared" si="7"/>
        <x:v>0.94</x:v>
      </x:c>
    </x:row>
    <x:row r="106" ht="9.75" customHeight="1">
      <x:c r="A106" s="32">
        <x:v>101</x:v>
      </x:c>
      <x:c r="B106" s="11" t="s">
        <x:v>290</x:v>
      </x:c>
      <x:c r="C106" s="6" t="s">
        <x:v>34</x:v>
      </x:c>
      <x:c r="D106" s="11" t="s">
        <x:v>81</x:v>
      </x:c>
      <x:c r="E106" s="11" t="s">
        <x:v>291</x:v>
      </x:c>
      <x:c r="F106" s="6" t="s">
        <x:v>292</x:v>
      </x:c>
      <x:c r="G106" s="6" t="s">
        <x:v>288</x:v>
      </x:c>
      <x:c r="H106" s="17" t="s">
        <x:v>289</x:v>
      </x:c>
      <x:c r="I106" s="17" t="s">
        <x:v>86</x:v>
      </x:c>
      <x:c r="J106" s="6">
        <x:v>2022</x:v>
      </x:c>
      <x:c r="K106" s="17">
        <x:v>34</x:v>
      </x:c>
      <x:c r="L106" s="11">
        <x:v>8</x:v>
      </x:c>
      <x:c r="M106" s="17">
        <x:v>4</x:v>
      </x:c>
      <x:c r="N106" s="17" t="s">
        <x:v>41</x:v>
      </x:c>
      <x:c r="O106" s="6" t="s">
        <x:v>42</x:v>
      </x:c>
      <x:c r="P106" s="6"/>
      <x:c r="Q106" s="23" t="s">
        <x:v>43</x:v>
      </x:c>
      <x:c r="R106" s="23" t="s">
        <x:v>88</x:v>
      </x:c>
      <x:c r="S106" s="20"/>
      <x:c r="T106" s="11"/>
      <x:c r="U106" s="11"/>
      <x:c r="V106" s="11">
        <x:v>-2.1226183000000001</x:v>
      </x:c>
      <x:c r="W106" s="11">
        <x:v>106.1419678</x:v>
      </x:c>
      <x:c r="X106" s="65"/>
      <x:c r="Y106" s="29"/>
      <x:c r="Z106" s="51"/>
      <x:c r="AA106" s="53"/>
      <x:c r="AB106" s="56"/>
      <x:c r="AC106">
        <x:f t="shared" si="6"/>
        <x:v>0.23529411764705882</x:v>
      </x:c>
      <x:c r="AD106">
        <x:f t="shared" si="7"/>
        <x:v>0.5</x:v>
      </x:c>
    </x:row>
    <x:row r="107" ht="9.75" customHeight="1">
      <x:c r="A107" s="32">
        <x:v>102</x:v>
      </x:c>
      <x:c r="B107" s="11" t="s">
        <x:v>293</x:v>
      </x:c>
      <x:c r="C107" s="6" t="s">
        <x:v>34</x:v>
      </x:c>
      <x:c r="D107" s="11" t="s">
        <x:v>81</x:v>
      </x:c>
      <x:c r="E107" s="11" t="s">
        <x:v>202</x:v>
      </x:c>
      <x:c r="F107" s="6" t="s">
        <x:v>294</x:v>
      </x:c>
      <x:c r="G107" s="6" t="s">
        <x:v>282</x:v>
      </x:c>
      <x:c r="H107" s="17" t="s">
        <x:v>283</x:v>
      </x:c>
      <x:c r="I107" s="17" t="s">
        <x:v>86</x:v>
      </x:c>
      <x:c r="J107" s="6">
        <x:v>2018</x:v>
      </x:c>
      <x:c r="K107" s="17">
        <x:v>46</x:v>
      </x:c>
      <x:c r="L107" s="11">
        <x:v>46</x:v>
      </x:c>
      <x:c r="M107" s="17">
        <x:v>46</x:v>
      </x:c>
      <x:c r="N107" s="17" t="s">
        <x:v>41</x:v>
      </x:c>
      <x:c r="O107" s="6" t="s">
        <x:v>42</x:v>
      </x:c>
      <x:c r="P107" s="6"/>
      <x:c r="Q107" s="23" t="s">
        <x:v>43</x:v>
      </x:c>
      <x:c r="R107" s="23"/>
      <x:c r="S107" s="20"/>
      <x:c r="T107" s="11"/>
      <x:c r="U107" s="11"/>
      <x:c r="V107" s="11">
        <x:v>-2.1398174999999999</x:v>
      </x:c>
      <x:c r="W107" s="11">
        <x:v>106.1503439</x:v>
      </x:c>
      <x:c r="X107" s="65"/>
      <x:c r="Y107" s="29"/>
      <x:c r="Z107" s="51"/>
      <x:c r="AA107" s="53"/>
      <x:c r="AB107" s="56"/>
      <x:c r="AC107">
        <x:f t="shared" si="6"/>
        <x:v>1</x:v>
      </x:c>
      <x:c r="AD107">
        <x:f t="shared" si="7"/>
        <x:v>1</x:v>
      </x:c>
    </x:row>
    <x:row r="108" ht="9.75" customHeight="1">
      <x:c r="A108" s="32">
        <x:v>103</x:v>
      </x:c>
      <x:c r="B108" s="11" t="s">
        <x:v>295</x:v>
      </x:c>
      <x:c r="C108" s="6" t="s">
        <x:v>34</x:v>
      </x:c>
      <x:c r="D108" s="11" t="s">
        <x:v>60</x:v>
      </x:c>
      <x:c r="E108" s="11" t="s">
        <x:v>91</x:v>
      </x:c>
      <x:c r="F108" s="6" t="s">
        <x:v>154</x:v>
      </x:c>
      <x:c r="G108" s="6" t="s">
        <x:v>296</x:v>
      </x:c>
      <x:c r="H108" s="17" t="s">
        <x:v>297</x:v>
      </x:c>
      <x:c r="I108" s="17" t="s">
        <x:v>42</x:v>
      </x:c>
      <x:c r="J108" s="6">
        <x:v>2017</x:v>
      </x:c>
      <x:c r="K108" s="17">
        <x:v>72</x:v>
      </x:c>
      <x:c r="L108" s="11">
        <x:v>12</x:v>
      </x:c>
      <x:c r="M108" s="17">
        <x:v>12</x:v>
      </x:c>
      <x:c r="N108" s="17" t="s">
        <x:v>41</x:v>
      </x:c>
      <x:c r="O108" s="6" t="s">
        <x:v>42</x:v>
      </x:c>
      <x:c r="P108" s="6"/>
      <x:c r="Q108" s="23" t="s">
        <x:v>43</x:v>
      </x:c>
      <x:c r="R108" s="23"/>
      <x:c r="S108" s="20"/>
      <x:c r="T108" s="11"/>
      <x:c r="U108" s="11"/>
      <x:c r="V108" s="11">
        <x:v>-2.0840390000000002</x:v>
      </x:c>
      <x:c r="W108" s="11">
        <x:v>106.09747900000001</x:v>
      </x:c>
      <x:c r="X108" s="65"/>
      <x:c r="Y108" s="29"/>
      <x:c r="Z108" s="51"/>
      <x:c r="AA108" s="53"/>
      <x:c r="AB108" s="56"/>
      <x:c r="AC108">
        <x:f t="shared" si="6"/>
        <x:v>0.16666666666666666</x:v>
      </x:c>
      <x:c r="AD108">
        <x:f t="shared" si="7"/>
        <x:v>1</x:v>
      </x:c>
    </x:row>
    <x:row r="109" ht="9.75" customHeight="1">
      <x:c r="A109" s="32">
        <x:v>104</x:v>
      </x:c>
      <x:c r="B109" s="11" t="s">
        <x:v>298</x:v>
      </x:c>
      <x:c r="C109" s="6" t="s">
        <x:v>34</x:v>
      </x:c>
      <x:c r="D109" s="11" t="s">
        <x:v>35</x:v>
      </x:c>
      <x:c r="E109" s="11" t="s">
        <x:v>46</x:v>
      </x:c>
      <x:c r="F109" s="6" t="s">
        <x:v>171</x:v>
      </x:c>
      <x:c r="G109" s="6" t="s">
        <x:v>299</x:v>
      </x:c>
      <x:c r="H109" s="17" t="s">
        <x:v>300</x:v>
      </x:c>
      <x:c r="I109" s="17" t="s">
        <x:v>112</x:v>
      </x:c>
      <x:c r="J109" s="6">
        <x:v>2017</x:v>
      </x:c>
      <x:c r="K109" s="17">
        <x:v>48</x:v>
      </x:c>
      <x:c r="L109" s="11">
        <x:v>46</x:v>
      </x:c>
      <x:c r="M109" s="17">
        <x:v>46</x:v>
      </x:c>
      <x:c r="N109" s="17" t="s">
        <x:v>41</x:v>
      </x:c>
      <x:c r="O109" s="6" t="s">
        <x:v>42</x:v>
      </x:c>
      <x:c r="P109" s="6"/>
      <x:c r="Q109" s="23" t="s">
        <x:v>43</x:v>
      </x:c>
      <x:c r="R109" s="23"/>
      <x:c r="S109" s="20"/>
      <x:c r="T109" s="11"/>
      <x:c r="U109" s="11"/>
      <x:c r="V109" s="11">
        <x:v>-2.113772</x:v>
      </x:c>
      <x:c r="W109" s="11">
        <x:v>106.083653</x:v>
      </x:c>
      <x:c r="X109" s="65"/>
      <x:c r="Y109" s="29"/>
      <x:c r="Z109" s="51"/>
      <x:c r="AA109" s="53"/>
      <x:c r="AB109" s="56"/>
      <x:c r="AC109">
        <x:f t="shared" si="6"/>
        <x:v>0.95833333333333337</x:v>
      </x:c>
      <x:c r="AD109">
        <x:f t="shared" si="7"/>
        <x:v>1</x:v>
      </x:c>
    </x:row>
    <x:row r="110" ht="9.75" customHeight="1">
      <x:c r="A110" s="32">
        <x:v>105</x:v>
      </x:c>
      <x:c r="B110" s="11" t="s">
        <x:v>301</x:v>
      </x:c>
      <x:c r="C110" s="6" t="s">
        <x:v>34</x:v>
      </x:c>
      <x:c r="D110" s="11" t="s">
        <x:v>35</x:v>
      </x:c>
      <x:c r="E110" s="11" t="s">
        <x:v>302</x:v>
      </x:c>
      <x:c r="F110" s="6" t="s">
        <x:v>303</x:v>
      </x:c>
      <x:c r="G110" s="6" t="s">
        <x:v>304</x:v>
      </x:c>
      <x:c r="H110" s="17" t="s">
        <x:v>300</x:v>
      </x:c>
      <x:c r="I110" s="17" t="s">
        <x:v>112</x:v>
      </x:c>
      <x:c r="J110" s="6">
        <x:v>2019</x:v>
      </x:c>
      <x:c r="K110" s="17">
        <x:v>46</x:v>
      </x:c>
      <x:c r="L110" s="11">
        <x:v>40</x:v>
      </x:c>
      <x:c r="M110" s="17">
        <x:v>40</x:v>
      </x:c>
      <x:c r="N110" s="17" t="s">
        <x:v>41</x:v>
      </x:c>
      <x:c r="O110" s="6" t="s">
        <x:v>42</x:v>
      </x:c>
      <x:c r="P110" s="6"/>
      <x:c r="Q110" s="23" t="s">
        <x:v>43</x:v>
      </x:c>
      <x:c r="R110" s="23"/>
      <x:c r="S110" s="20"/>
      <x:c r="T110" s="11"/>
      <x:c r="U110" s="11"/>
      <x:c r="V110" s="11">
        <x:v>-2.1185415999999999</x:v>
      </x:c>
      <x:c r="W110" s="11">
        <x:v>106.0965628</x:v>
      </x:c>
      <x:c r="X110" s="65"/>
      <x:c r="Y110" s="29"/>
      <x:c r="Z110" s="51"/>
      <x:c r="AA110" s="53"/>
      <x:c r="AB110" s="56"/>
      <x:c r="AC110">
        <x:f t="shared" si="6"/>
        <x:v>0.86956521739130432</x:v>
      </x:c>
      <x:c r="AD110">
        <x:f t="shared" si="7"/>
        <x:v>1</x:v>
      </x:c>
    </x:row>
    <x:row r="111" ht="9.75" customHeight="1">
      <x:c r="A111" s="32">
        <x:v>106</x:v>
      </x:c>
      <x:c r="B111" s="11" t="s">
        <x:v>305</x:v>
      </x:c>
      <x:c r="C111" s="6" t="s">
        <x:v>34</x:v>
      </x:c>
      <x:c r="D111" s="11" t="s">
        <x:v>306</x:v>
      </x:c>
      <x:c r="E111" s="11" t="s">
        <x:v>307</x:v>
      </x:c>
      <x:c r="F111" s="6" t="s">
        <x:v>308</x:v>
      </x:c>
      <x:c r="G111" s="6" t="s">
        <x:v>42</x:v>
      </x:c>
      <x:c r="H111" s="17" t="s">
        <x:v>42</x:v>
      </x:c>
      <x:c r="I111" s="17" t="s">
        <x:v>42</x:v>
      </x:c>
      <x:c r="J111" s="6">
        <x:v>2019</x:v>
      </x:c>
      <x:c r="K111" s="17">
        <x:v>0</x:v>
      </x:c>
      <x:c r="L111" s="11">
        <x:v>0</x:v>
      </x:c>
      <x:c r="M111" s="17">
        <x:v>0</x:v>
      </x:c>
      <x:c r="N111" s="17" t="s">
        <x:v>41</x:v>
      </x:c>
      <x:c r="O111" s="6" t="s">
        <x:v>42</x:v>
      </x:c>
      <x:c r="P111" s="6"/>
      <x:c r="Q111" s="23" t="s">
        <x:v>43</x:v>
      </x:c>
      <x:c r="R111" s="23" t="s">
        <x:v>88</x:v>
      </x:c>
      <x:c r="S111" s="20"/>
      <x:c r="T111" s="11"/>
      <x:c r="U111" s="11"/>
      <x:c r="V111" s="11">
        <x:v>-2.151332</x:v>
      </x:c>
      <x:c r="W111" s="11">
        <x:v>106.10645599999999</x:v>
      </x:c>
      <x:c r="X111" s="65"/>
      <x:c r="Y111" s="29"/>
      <x:c r="Z111" s="51"/>
      <x:c r="AA111" s="53"/>
      <x:c r="AB111" s="56"/>
      <x:c r="AC111">
        <x:f t="shared" si="6"/>
        <x:v>0</x:v>
      </x:c>
      <x:c r="AD111">
        <x:f t="shared" si="7"/>
        <x:v>0</x:v>
      </x:c>
    </x:row>
    <x:row r="112" ht="9.75" customHeight="1">
      <x:c r="A112" s="32">
        <x:v>107</x:v>
      </x:c>
      <x:c r="B112" s="11" t="s">
        <x:v>309</x:v>
      </x:c>
      <x:c r="C112" s="6" t="s">
        <x:v>34</x:v>
      </x:c>
      <x:c r="D112" s="11" t="s">
        <x:v>60</x:v>
      </x:c>
      <x:c r="E112" s="11" t="s">
        <x:v>70</x:v>
      </x:c>
      <x:c r="F112" s="6" t="s">
        <x:v>310</x:v>
      </x:c>
      <x:c r="G112" s="6" t="s">
        <x:v>311</x:v>
      </x:c>
      <x:c r="H112" s="17" t="s">
        <x:v>312</x:v>
      </x:c>
      <x:c r="I112" s="17" t="s">
        <x:v>86</x:v>
      </x:c>
      <x:c r="J112" s="6">
        <x:v>2023</x:v>
      </x:c>
      <x:c r="K112" s="17">
        <x:v>59</x:v>
      </x:c>
      <x:c r="L112" s="11">
        <x:v>53</x:v>
      </x:c>
      <x:c r="M112" s="17">
        <x:v>53</x:v>
      </x:c>
      <x:c r="N112" s="17" t="s">
        <x:v>41</x:v>
      </x:c>
      <x:c r="O112" s="6" t="s">
        <x:v>42</x:v>
      </x:c>
      <x:c r="P112" s="6"/>
      <x:c r="Q112" s="23" t="s">
        <x:v>43</x:v>
      </x:c>
      <x:c r="R112" s="23"/>
      <x:c r="S112" s="20"/>
      <x:c r="T112" s="11"/>
      <x:c r="U112" s="11"/>
      <x:c r="V112" s="11">
        <x:v>-2.0939874000000001</x:v>
      </x:c>
      <x:c r="W112" s="11">
        <x:v>106.08669140000001</x:v>
      </x:c>
      <x:c r="X112" s="65"/>
      <x:c r="Y112" s="29"/>
      <x:c r="Z112" s="51"/>
      <x:c r="AA112" s="53"/>
      <x:c r="AB112" s="56"/>
      <x:c r="AC112">
        <x:f t="shared" si="6"/>
        <x:v>0.89830508474576276</x:v>
      </x:c>
      <x:c r="AD112">
        <x:f t="shared" si="7"/>
        <x:v>1</x:v>
      </x:c>
    </x:row>
    <x:row r="113" ht="9.75" customHeight="1">
      <x:c r="A113" s="32">
        <x:v>108</x:v>
      </x:c>
      <x:c r="B113" s="11" t="s">
        <x:v>313</x:v>
      </x:c>
      <x:c r="C113" s="6" t="s">
        <x:v>170</x:v>
      </x:c>
      <x:c r="D113" s="11" t="s">
        <x:v>99</x:v>
      </x:c>
      <x:c r="E113" s="11" t="s">
        <x:v>213</x:v>
      </x:c>
      <x:c r="F113" s="6" t="s">
        <x:v>314</x:v>
      </x:c>
      <x:c r="G113" s="6" t="s">
        <x:v>315</x:v>
      </x:c>
      <x:c r="H113" s="17" t="s">
        <x:v>316</x:v>
      </x:c>
      <x:c r="I113" s="17" t="s">
        <x:v>40</x:v>
      </x:c>
      <x:c r="J113" s="6">
        <x:v>2015</x:v>
      </x:c>
      <x:c r="K113" s="17">
        <x:v>45</x:v>
      </x:c>
      <x:c r="L113" s="11">
        <x:v>21</x:v>
      </x:c>
      <x:c r="M113" s="17">
        <x:v>21</x:v>
      </x:c>
      <x:c r="N113" s="17" t="s">
        <x:v>41</x:v>
      </x:c>
      <x:c r="O113" s="6" t="s">
        <x:v>42</x:v>
      </x:c>
      <x:c r="P113" s="6"/>
      <x:c r="Q113" s="23" t="s">
        <x:v>43</x:v>
      </x:c>
      <x:c r="R113" s="23" t="s">
        <x:v>88</x:v>
      </x:c>
      <x:c r="S113" s="20"/>
      <x:c r="T113" s="11"/>
      <x:c r="U113" s="11"/>
      <x:c r="V113" s="11">
        <x:v>-2.0956190000000001</x:v>
      </x:c>
      <x:c r="W113" s="11">
        <x:v>106.118709</x:v>
      </x:c>
      <x:c r="X113" s="65"/>
      <x:c r="Y113" s="29"/>
      <x:c r="Z113" s="51"/>
      <x:c r="AA113" s="53"/>
      <x:c r="AB113" s="56"/>
      <x:c r="AC113">
        <x:f t="shared" si="6"/>
        <x:v>0.46666666666666667</x:v>
      </x:c>
      <x:c r="AD113">
        <x:f t="shared" si="7"/>
        <x:v>1</x:v>
      </x:c>
    </x:row>
    <x:row r="114" ht="9.75" customHeight="1">
      <x:c r="A114" s="32">
        <x:v>109</x:v>
      </x:c>
      <x:c r="B114" s="11" t="s">
        <x:v>313</x:v>
      </x:c>
      <x:c r="C114" s="6" t="s">
        <x:v>34</x:v>
      </x:c>
      <x:c r="D114" s="11" t="s">
        <x:v>99</x:v>
      </x:c>
      <x:c r="E114" s="11" t="s">
        <x:v>213</x:v>
      </x:c>
      <x:c r="F114" s="6" t="s">
        <x:v>314</x:v>
      </x:c>
      <x:c r="G114" s="6" t="s">
        <x:v>315</x:v>
      </x:c>
      <x:c r="H114" s="17" t="s">
        <x:v>316</x:v>
      </x:c>
      <x:c r="I114" s="17" t="s">
        <x:v>40</x:v>
      </x:c>
      <x:c r="J114" s="6">
        <x:v>2021</x:v>
      </x:c>
      <x:c r="K114" s="17">
        <x:v>18</x:v>
      </x:c>
      <x:c r="L114" s="11">
        <x:v>2</x:v>
      </x:c>
      <x:c r="M114" s="17">
        <x:v>2</x:v>
      </x:c>
      <x:c r="N114" s="17" t="s">
        <x:v>41</x:v>
      </x:c>
      <x:c r="O114" s="6" t="s">
        <x:v>42</x:v>
      </x:c>
      <x:c r="P114" s="6"/>
      <x:c r="Q114" s="23" t="s">
        <x:v>43</x:v>
      </x:c>
      <x:c r="R114" s="23" t="s">
        <x:v>88</x:v>
      </x:c>
      <x:c r="S114" s="20"/>
      <x:c r="T114" s="11"/>
      <x:c r="U114" s="11"/>
      <x:c r="V114" s="11">
        <x:v>-2.0956190000000001</x:v>
      </x:c>
      <x:c r="W114" s="11">
        <x:v>106.118709</x:v>
      </x:c>
      <x:c r="X114" s="65"/>
      <x:c r="Y114" s="29"/>
      <x:c r="Z114" s="51"/>
      <x:c r="AA114" s="53"/>
      <x:c r="AB114" s="56"/>
      <x:c r="AC114">
        <x:f t="shared" si="6"/>
        <x:v>0.1111111111111111</x:v>
      </x:c>
      <x:c r="AD114">
        <x:f t="shared" si="7"/>
        <x:v>1</x:v>
      </x:c>
    </x:row>
    <x:row r="115" ht="9.75" customHeight="1">
      <x:c r="A115" s="32">
        <x:v>110</x:v>
      </x:c>
      <x:c r="B115" s="11" t="s">
        <x:v>317</x:v>
      </x:c>
      <x:c r="C115" s="6" t="s">
        <x:v>34</x:v>
      </x:c>
      <x:c r="D115" s="11" t="s">
        <x:v>35</x:v>
      </x:c>
      <x:c r="E115" s="11" t="s">
        <x:v>46</x:v>
      </x:c>
      <x:c r="F115" s="6" t="s">
        <x:v>318</x:v>
      </x:c>
      <x:c r="G115" s="6" t="s">
        <x:v>140</x:v>
      </x:c>
      <x:c r="H115" s="17" t="s">
        <x:v>141</x:v>
      </x:c>
      <x:c r="I115" s="17" t="s">
        <x:v>86</x:v>
      </x:c>
      <x:c r="J115" s="6">
        <x:v>2024</x:v>
      </x:c>
      <x:c r="K115" s="17">
        <x:v>62</x:v>
      </x:c>
      <x:c r="L115" s="11">
        <x:v>62</x:v>
      </x:c>
      <x:c r="M115" s="17">
        <x:v>62</x:v>
      </x:c>
      <x:c r="N115" s="17" t="s">
        <x:v>48</x:v>
      </x:c>
      <x:c r="O115" s="6">
        <x:v>2025</x:v>
      </x:c>
      <x:c r="P115" s="6"/>
      <x:c r="Q115" s="23" t="s">
        <x:v>43</x:v>
      </x:c>
      <x:c r="R115" s="23"/>
      <x:c r="S115" s="20"/>
      <x:c r="T115" s="11"/>
      <x:c r="U115" s="11"/>
      <x:c r="V115" s="11">
        <x:v>-2.1175193999999999</x:v>
      </x:c>
      <x:c r="W115" s="11">
        <x:v>106.0815047</x:v>
      </x:c>
      <x:c r="X115" s="65"/>
      <x:c r="Y115" s="29"/>
      <x:c r="Z115" s="51"/>
      <x:c r="AA115" s="53"/>
      <x:c r="AB115" s="56"/>
      <x:c r="AC115">
        <x:f t="shared" si="6"/>
        <x:v>1</x:v>
      </x:c>
      <x:c r="AD115">
        <x:f t="shared" si="7"/>
        <x:v>1</x:v>
      </x:c>
    </x:row>
    <x:row r="116" ht="9.75" customHeight="1">
      <x:c r="A116" s="32">
        <x:v>111</x:v>
      </x:c>
      <x:c r="B116" s="11" t="s">
        <x:v>319</x:v>
      </x:c>
      <x:c r="C116" s="6" t="s">
        <x:v>34</x:v>
      </x:c>
      <x:c r="D116" s="11" t="s">
        <x:v>35</x:v>
      </x:c>
      <x:c r="E116" s="11" t="s">
        <x:v>36</x:v>
      </x:c>
      <x:c r="F116" s="6" t="s">
        <x:v>320</x:v>
      </x:c>
      <x:c r="G116" s="6" t="s">
        <x:v>321</x:v>
      </x:c>
      <x:c r="H116" s="17" t="s">
        <x:v>42</x:v>
      </x:c>
      <x:c r="I116" s="17" t="s">
        <x:v>196</x:v>
      </x:c>
      <x:c r="J116" s="6">
        <x:v>2018</x:v>
      </x:c>
      <x:c r="K116" s="17">
        <x:v>40</x:v>
      </x:c>
      <x:c r="L116" s="11">
        <x:v>22</x:v>
      </x:c>
      <x:c r="M116" s="17">
        <x:v>22</x:v>
      </x:c>
      <x:c r="N116" s="17" t="s">
        <x:v>41</x:v>
      </x:c>
      <x:c r="O116" s="6" t="s">
        <x:v>42</x:v>
      </x:c>
      <x:c r="P116" s="6"/>
      <x:c r="Q116" s="23" t="s">
        <x:v>43</x:v>
      </x:c>
      <x:c r="R116" s="23"/>
      <x:c r="S116" s="20"/>
      <x:c r="T116" s="11"/>
      <x:c r="U116" s="11"/>
      <x:c r="V116" s="11">
        <x:v>-2.1119620000000001</x:v>
      </x:c>
      <x:c r="W116" s="11">
        <x:v>106.0839</x:v>
      </x:c>
      <x:c r="X116" s="65"/>
      <x:c r="Y116" s="29"/>
      <x:c r="Z116" s="51"/>
      <x:c r="AA116" s="53"/>
      <x:c r="AB116" s="56"/>
      <x:c r="AC116">
        <x:f t="shared" si="6"/>
        <x:v>0.55000000000000004</x:v>
      </x:c>
      <x:c r="AD116">
        <x:f t="shared" si="7"/>
        <x:v>1</x:v>
      </x:c>
    </x:row>
    <x:row r="117" ht="9.75" customHeight="1">
      <x:c r="A117" s="32">
        <x:v>112</x:v>
      </x:c>
      <x:c r="B117" s="11" t="s">
        <x:v>322</x:v>
      </x:c>
      <x:c r="C117" s="6" t="s">
        <x:v>34</x:v>
      </x:c>
      <x:c r="D117" s="11" t="s">
        <x:v>81</x:v>
      </x:c>
      <x:c r="E117" s="11" t="s">
        <x:v>202</x:v>
      </x:c>
      <x:c r="F117" s="6" t="s">
        <x:v>323</x:v>
      </x:c>
      <x:c r="G117" s="6" t="s">
        <x:v>324</x:v>
      </x:c>
      <x:c r="H117" s="17" t="s">
        <x:v>325</x:v>
      </x:c>
      <x:c r="I117" s="17" t="s">
        <x:v>112</x:v>
      </x:c>
      <x:c r="J117" s="6">
        <x:v>2020</x:v>
      </x:c>
      <x:c r="K117" s="17">
        <x:v>34</x:v>
      </x:c>
      <x:c r="L117" s="11">
        <x:v>29</x:v>
      </x:c>
      <x:c r="M117" s="17">
        <x:v>29</x:v>
      </x:c>
      <x:c r="N117" s="17" t="s">
        <x:v>41</x:v>
      </x:c>
      <x:c r="O117" s="6" t="s">
        <x:v>42</x:v>
      </x:c>
      <x:c r="P117" s="6"/>
      <x:c r="Q117" s="23" t="s">
        <x:v>43</x:v>
      </x:c>
      <x:c r="R117" s="23"/>
      <x:c r="S117" s="20"/>
      <x:c r="T117" s="11"/>
      <x:c r="U117" s="11"/>
      <x:c r="V117" s="11">
        <x:v>-2.1443800999999998</x:v>
      </x:c>
      <x:c r="W117" s="11">
        <x:v>106.1543704</x:v>
      </x:c>
      <x:c r="X117" s="65"/>
      <x:c r="Y117" s="29"/>
      <x:c r="Z117" s="51"/>
      <x:c r="AA117" s="53"/>
      <x:c r="AB117" s="56"/>
      <x:c r="AC117">
        <x:f t="shared" si="6"/>
        <x:v>0.8529411764705882</x:v>
      </x:c>
      <x:c r="AD117">
        <x:f t="shared" si="7"/>
        <x:v>1</x:v>
      </x:c>
    </x:row>
    <x:row r="118" ht="9.75" customHeight="1">
      <x:c r="A118" s="32">
        <x:v>113</x:v>
      </x:c>
      <x:c r="B118" s="11" t="s">
        <x:v>326</x:v>
      </x:c>
      <x:c r="C118" s="6" t="s">
        <x:v>34</x:v>
      </x:c>
      <x:c r="D118" s="11" t="s">
        <x:v>81</x:v>
      </x:c>
      <x:c r="E118" s="11" t="s">
        <x:v>202</x:v>
      </x:c>
      <x:c r="F118" s="6" t="s">
        <x:v>327</x:v>
      </x:c>
      <x:c r="G118" s="6" t="s">
        <x:v>324</x:v>
      </x:c>
      <x:c r="H118" s="17" t="s">
        <x:v>325</x:v>
      </x:c>
      <x:c r="I118" s="17" t="s">
        <x:v>112</x:v>
      </x:c>
      <x:c r="J118" s="6">
        <x:v>2021</x:v>
      </x:c>
      <x:c r="K118" s="17">
        <x:v>45</x:v>
      </x:c>
      <x:c r="L118" s="11">
        <x:v>45</x:v>
      </x:c>
      <x:c r="M118" s="17">
        <x:v>45</x:v>
      </x:c>
      <x:c r="N118" s="17" t="s">
        <x:v>41</x:v>
      </x:c>
      <x:c r="O118" s="6" t="s">
        <x:v>42</x:v>
      </x:c>
      <x:c r="P118" s="6"/>
      <x:c r="Q118" s="23" t="s">
        <x:v>43</x:v>
      </x:c>
      <x:c r="R118" s="23"/>
      <x:c r="S118" s="20"/>
      <x:c r="T118" s="11"/>
      <x:c r="U118" s="11"/>
      <x:c r="V118" s="11">
        <x:v>-2.1311974</x:v>
      </x:c>
      <x:c r="W118" s="11">
        <x:v>106.1576383</x:v>
      </x:c>
      <x:c r="X118" s="65"/>
      <x:c r="Y118" s="29"/>
      <x:c r="Z118" s="51"/>
      <x:c r="AA118" s="53"/>
      <x:c r="AB118" s="56"/>
      <x:c r="AC118">
        <x:f t="shared" si="6"/>
        <x:v>1</x:v>
      </x:c>
      <x:c r="AD118">
        <x:f t="shared" si="7"/>
        <x:v>1</x:v>
      </x:c>
    </x:row>
    <x:row r="119" ht="9.75" customHeight="1">
      <x:c r="A119" s="32">
        <x:v>114</x:v>
      </x:c>
      <x:c r="B119" s="11" t="s">
        <x:v>328</x:v>
      </x:c>
      <x:c r="C119" s="6" t="s">
        <x:v>34</x:v>
      </x:c>
      <x:c r="D119" s="11" t="s">
        <x:v>35</x:v>
      </x:c>
      <x:c r="E119" s="11" t="s">
        <x:v>36</x:v>
      </x:c>
      <x:c r="F119" s="6" t="s">
        <x:v>62</x:v>
      </x:c>
      <x:c r="G119" s="6" t="s">
        <x:v>329</x:v>
      </x:c>
      <x:c r="H119" s="17" t="s">
        <x:v>330</x:v>
      </x:c>
      <x:c r="I119" s="17" t="s">
        <x:v>112</x:v>
      </x:c>
      <x:c r="J119" s="6">
        <x:v>2018</x:v>
      </x:c>
      <x:c r="K119" s="17">
        <x:v>43</x:v>
      </x:c>
      <x:c r="L119" s="11">
        <x:v>43</x:v>
      </x:c>
      <x:c r="M119" s="17">
        <x:v>42</x:v>
      </x:c>
      <x:c r="N119" s="17" t="s">
        <x:v>41</x:v>
      </x:c>
      <x:c r="O119" s="6" t="s">
        <x:v>42</x:v>
      </x:c>
      <x:c r="P119" s="6"/>
      <x:c r="Q119" s="23" t="s">
        <x:v>43</x:v>
      </x:c>
      <x:c r="R119" s="23"/>
      <x:c r="S119" s="20"/>
      <x:c r="T119" s="11"/>
      <x:c r="U119" s="11"/>
      <x:c r="V119" s="11">
        <x:v>-2.1098919999999999</x:v>
      </x:c>
      <x:c r="W119" s="11">
        <x:v>106.085612</x:v>
      </x:c>
      <x:c r="X119" s="65"/>
      <x:c r="Y119" s="29"/>
      <x:c r="Z119" s="51"/>
      <x:c r="AA119" s="53"/>
      <x:c r="AB119" s="56"/>
      <x:c r="AC119">
        <x:f t="shared" si="6"/>
        <x:v>1</x:v>
      </x:c>
      <x:c r="AD119">
        <x:f t="shared" si="7"/>
        <x:v>0.97674418604651159</x:v>
      </x:c>
    </x:row>
    <x:row r="120" ht="9.75" customHeight="1">
      <x:c r="A120" s="32">
        <x:v>115</x:v>
      </x:c>
      <x:c r="B120" s="11" t="s">
        <x:v>331</x:v>
      </x:c>
      <x:c r="C120" s="6" t="s">
        <x:v>34</x:v>
      </x:c>
      <x:c r="D120" s="11" t="s">
        <x:v>35</x:v>
      </x:c>
      <x:c r="E120" s="11" t="s">
        <x:v>46</x:v>
      </x:c>
      <x:c r="F120" s="6" t="s">
        <x:v>332</x:v>
      </x:c>
      <x:c r="G120" s="6" t="s">
        <x:v>329</x:v>
      </x:c>
      <x:c r="H120" s="17" t="s">
        <x:v>330</x:v>
      </x:c>
      <x:c r="I120" s="17" t="s">
        <x:v>112</x:v>
      </x:c>
      <x:c r="J120" s="6">
        <x:v>2018</x:v>
      </x:c>
      <x:c r="K120" s="17">
        <x:v>68</x:v>
      </x:c>
      <x:c r="L120" s="11">
        <x:v>63</x:v>
      </x:c>
      <x:c r="M120" s="17">
        <x:v>63</x:v>
      </x:c>
      <x:c r="N120" s="17" t="s">
        <x:v>41</x:v>
      </x:c>
      <x:c r="O120" s="6" t="s">
        <x:v>42</x:v>
      </x:c>
      <x:c r="P120" s="6"/>
      <x:c r="Q120" s="23" t="s">
        <x:v>43</x:v>
      </x:c>
      <x:c r="R120" s="23"/>
      <x:c r="S120" s="20"/>
      <x:c r="T120" s="11"/>
      <x:c r="U120" s="11"/>
      <x:c r="V120" s="11">
        <x:v>-2.1166429999999998</x:v>
      </x:c>
      <x:c r="W120" s="11">
        <x:v>106.080567</x:v>
      </x:c>
      <x:c r="X120" s="65"/>
      <x:c r="Y120" s="29"/>
      <x:c r="Z120" s="51"/>
      <x:c r="AA120" s="53"/>
      <x:c r="AB120" s="56"/>
      <x:c r="AC120">
        <x:f t="shared" si="6"/>
        <x:v>0.92647058823529416</x:v>
      </x:c>
      <x:c r="AD120">
        <x:f t="shared" si="7"/>
        <x:v>1</x:v>
      </x:c>
    </x:row>
    <x:row r="121" ht="9.75" customHeight="1">
      <x:c r="A121" s="32">
        <x:v>116</x:v>
      </x:c>
      <x:c r="B121" s="11" t="s">
        <x:v>333</x:v>
      </x:c>
      <x:c r="C121" s="6" t="s">
        <x:v>34</x:v>
      </x:c>
      <x:c r="D121" s="11" t="s">
        <x:v>35</x:v>
      </x:c>
      <x:c r="E121" s="11" t="s">
        <x:v>184</x:v>
      </x:c>
      <x:c r="F121" s="6" t="s">
        <x:v>334</x:v>
      </x:c>
      <x:c r="G121" s="6" t="s">
        <x:v>329</x:v>
      </x:c>
      <x:c r="H121" s="17" t="s">
        <x:v>330</x:v>
      </x:c>
      <x:c r="I121" s="17" t="s">
        <x:v>112</x:v>
      </x:c>
      <x:c r="J121" s="6">
        <x:v>2017</x:v>
      </x:c>
      <x:c r="K121" s="17">
        <x:v>32</x:v>
      </x:c>
      <x:c r="L121" s="11">
        <x:v>15</x:v>
      </x:c>
      <x:c r="M121" s="17">
        <x:v>15</x:v>
      </x:c>
      <x:c r="N121" s="17" t="s">
        <x:v>41</x:v>
      </x:c>
      <x:c r="O121" s="6" t="s">
        <x:v>42</x:v>
      </x:c>
      <x:c r="P121" s="6"/>
      <x:c r="Q121" s="23" t="s">
        <x:v>43</x:v>
      </x:c>
      <x:c r="R121" s="23" t="s">
        <x:v>88</x:v>
      </x:c>
      <x:c r="S121" s="20"/>
      <x:c r="T121" s="11"/>
      <x:c r="U121" s="11"/>
      <x:c r="V121" s="11">
        <x:v>-2.1169730000000002</x:v>
      </x:c>
      <x:c r="W121" s="11">
        <x:v>106.090628</x:v>
      </x:c>
      <x:c r="X121" s="65"/>
      <x:c r="Y121" s="29"/>
      <x:c r="Z121" s="51"/>
      <x:c r="AA121" s="53"/>
      <x:c r="AB121" s="56"/>
      <x:c r="AC121">
        <x:f t="shared" si="6"/>
        <x:v>0.46875</x:v>
      </x:c>
      <x:c r="AD121">
        <x:f t="shared" si="7"/>
        <x:v>1</x:v>
      </x:c>
    </x:row>
    <x:row r="122" ht="9.75" customHeight="1">
      <x:c r="A122" s="32">
        <x:v>117</x:v>
      </x:c>
      <x:c r="B122" s="11" t="s">
        <x:v>335</x:v>
      </x:c>
      <x:c r="C122" s="6" t="s">
        <x:v>34</x:v>
      </x:c>
      <x:c r="D122" s="11" t="s">
        <x:v>35</x:v>
      </x:c>
      <x:c r="E122" s="11" t="s">
        <x:v>36</x:v>
      </x:c>
      <x:c r="F122" s="6" t="s">
        <x:v>336</x:v>
      </x:c>
      <x:c r="G122" s="6" t="s">
        <x:v>337</x:v>
      </x:c>
      <x:c r="H122" s="17" t="s">
        <x:v>338</x:v>
      </x:c>
      <x:c r="I122" s="17" t="s">
        <x:v>112</x:v>
      </x:c>
      <x:c r="J122" s="6">
        <x:v>2017</x:v>
      </x:c>
      <x:c r="K122" s="17">
        <x:v>35</x:v>
      </x:c>
      <x:c r="L122" s="11">
        <x:v>35</x:v>
      </x:c>
      <x:c r="M122" s="17">
        <x:v>35</x:v>
      </x:c>
      <x:c r="N122" s="17" t="s">
        <x:v>41</x:v>
      </x:c>
      <x:c r="O122" s="6" t="s">
        <x:v>42</x:v>
      </x:c>
      <x:c r="P122" s="6"/>
      <x:c r="Q122" s="23" t="s">
        <x:v>75</x:v>
      </x:c>
      <x:c r="R122" s="23"/>
      <x:c r="S122" s="20" t="s">
        <x:v>178</x:v>
      </x:c>
      <x:c r="T122" s="11"/>
      <x:c r="U122" s="11"/>
      <x:c r="V122" s="11">
        <x:v>-2.1247167</x:v>
      </x:c>
      <x:c r="W122" s="11">
        <x:v>106.07904379999999</x:v>
      </x:c>
      <x:c r="X122" s="65"/>
      <x:c r="Y122" s="29"/>
      <x:c r="Z122" s="51"/>
      <x:c r="AA122" s="53"/>
      <x:c r="AB122" s="56"/>
      <x:c r="AC122">
        <x:f t="shared" si="6"/>
        <x:v>1</x:v>
      </x:c>
      <x:c r="AD122">
        <x:f t="shared" si="7"/>
        <x:v>1</x:v>
      </x:c>
    </x:row>
    <x:row r="123" ht="9.75" customHeight="1">
      <x:c r="A123" s="32">
        <x:v>118</x:v>
      </x:c>
      <x:c r="B123" s="11" t="s">
        <x:v>339</x:v>
      </x:c>
      <x:c r="C123" s="6" t="s">
        <x:v>34</x:v>
      </x:c>
      <x:c r="D123" s="11" t="s">
        <x:v>35</x:v>
      </x:c>
      <x:c r="E123" s="11" t="s">
        <x:v>36</x:v>
      </x:c>
      <x:c r="F123" s="6" t="s">
        <x:v>340</x:v>
      </x:c>
      <x:c r="G123" s="6" t="s">
        <x:v>341</x:v>
      </x:c>
      <x:c r="H123" s="17" t="s">
        <x:v>338</x:v>
      </x:c>
      <x:c r="I123" s="17" t="s">
        <x:v>112</x:v>
      </x:c>
      <x:c r="J123" s="6">
        <x:v>2018</x:v>
      </x:c>
      <x:c r="K123" s="17">
        <x:v>51</x:v>
      </x:c>
      <x:c r="L123" s="11">
        <x:v>51</x:v>
      </x:c>
      <x:c r="M123" s="17">
        <x:v>51</x:v>
      </x:c>
      <x:c r="N123" s="17" t="s">
        <x:v>41</x:v>
      </x:c>
      <x:c r="O123" s="6" t="s">
        <x:v>42</x:v>
      </x:c>
      <x:c r="P123" s="6"/>
      <x:c r="Q123" s="23" t="s">
        <x:v>75</x:v>
      </x:c>
      <x:c r="R123" s="23"/>
      <x:c r="S123" s="20" t="s">
        <x:v>178</x:v>
      </x:c>
      <x:c r="T123" s="11"/>
      <x:c r="U123" s="11"/>
      <x:c r="V123" s="11">
        <x:v>-2.0988720000000001</x:v>
      </x:c>
      <x:c r="W123" s="11">
        <x:v>106.086156</x:v>
      </x:c>
      <x:c r="X123" s="65"/>
      <x:c r="Y123" s="29"/>
      <x:c r="Z123" s="51"/>
      <x:c r="AA123" s="53"/>
      <x:c r="AB123" s="56"/>
      <x:c r="AC123">
        <x:f t="shared" si="6"/>
        <x:v>1</x:v>
      </x:c>
      <x:c r="AD123">
        <x:f t="shared" si="7"/>
        <x:v>1</x:v>
      </x:c>
    </x:row>
    <x:row r="124" ht="9.75" customHeight="1">
      <x:c r="A124" s="32">
        <x:v>119</x:v>
      </x:c>
      <x:c r="B124" s="11" t="s">
        <x:v>342</x:v>
      </x:c>
      <x:c r="C124" s="6" t="s">
        <x:v>34</x:v>
      </x:c>
      <x:c r="D124" s="11" t="s">
        <x:v>35</x:v>
      </x:c>
      <x:c r="E124" s="11" t="s">
        <x:v>46</x:v>
      </x:c>
      <x:c r="F124" s="6" t="s">
        <x:v>343</x:v>
      </x:c>
      <x:c r="G124" s="6" t="s">
        <x:v>341</x:v>
      </x:c>
      <x:c r="H124" s="17" t="s">
        <x:v>338</x:v>
      </x:c>
      <x:c r="I124" s="17" t="s">
        <x:v>112</x:v>
      </x:c>
      <x:c r="J124" s="6">
        <x:v>2019</x:v>
      </x:c>
      <x:c r="K124" s="17">
        <x:v>29</x:v>
      </x:c>
      <x:c r="L124" s="11">
        <x:v>29</x:v>
      </x:c>
      <x:c r="M124" s="17">
        <x:v>29</x:v>
      </x:c>
      <x:c r="N124" s="17" t="s">
        <x:v>41</x:v>
      </x:c>
      <x:c r="O124" s="6" t="s">
        <x:v>42</x:v>
      </x:c>
      <x:c r="P124" s="6"/>
      <x:c r="Q124" s="23" t="s">
        <x:v>75</x:v>
      </x:c>
      <x:c r="R124" s="23"/>
      <x:c r="S124" s="20" t="s">
        <x:v>178</x:v>
      </x:c>
      <x:c r="T124" s="11"/>
      <x:c r="U124" s="11"/>
      <x:c r="V124" s="11">
        <x:v>-2.1160036999999998</x:v>
      </x:c>
      <x:c r="W124" s="11">
        <x:v>106.0764578</x:v>
      </x:c>
      <x:c r="X124" s="65"/>
      <x:c r="Y124" s="29"/>
      <x:c r="Z124" s="51"/>
      <x:c r="AA124" s="53"/>
      <x:c r="AB124" s="56"/>
      <x:c r="AC124">
        <x:f t="shared" si="6"/>
        <x:v>1</x:v>
      </x:c>
      <x:c r="AD124">
        <x:f t="shared" si="7"/>
        <x:v>1</x:v>
      </x:c>
    </x:row>
    <x:row r="125" ht="9.75" customHeight="1">
      <x:c r="A125" s="32">
        <x:v>120</x:v>
      </x:c>
      <x:c r="B125" s="11" t="s">
        <x:v>344</x:v>
      </x:c>
      <x:c r="C125" s="6" t="s">
        <x:v>34</x:v>
      </x:c>
      <x:c r="D125" s="11" t="s">
        <x:v>306</x:v>
      </x:c>
      <x:c r="E125" s="11" t="s">
        <x:v>345</x:v>
      </x:c>
      <x:c r="F125" s="6" t="s">
        <x:v>346</x:v>
      </x:c>
      <x:c r="G125" s="6" t="s">
        <x:v>347</x:v>
      </x:c>
      <x:c r="H125" s="17" t="s">
        <x:v>348</x:v>
      </x:c>
      <x:c r="I125" s="17" t="s">
        <x:v>42</x:v>
      </x:c>
      <x:c r="J125" s="6">
        <x:v>2018</x:v>
      </x:c>
      <x:c r="K125" s="17">
        <x:v>42</x:v>
      </x:c>
      <x:c r="L125" s="11">
        <x:v>10</x:v>
      </x:c>
      <x:c r="M125" s="17">
        <x:v>0</x:v>
      </x:c>
      <x:c r="N125" s="17" t="s">
        <x:v>41</x:v>
      </x:c>
      <x:c r="O125" s="6" t="s">
        <x:v>42</x:v>
      </x:c>
      <x:c r="P125" s="6"/>
      <x:c r="Q125" s="23" t="s">
        <x:v>43</x:v>
      </x:c>
      <x:c r="R125" s="23"/>
      <x:c r="S125" s="20"/>
      <x:c r="T125" s="11"/>
      <x:c r="U125" s="11"/>
      <x:c r="V125" s="11"/>
      <x:c r="W125" s="11"/>
      <x:c r="X125" s="65"/>
      <x:c r="Y125" s="29"/>
      <x:c r="Z125" s="51"/>
      <x:c r="AA125" s="53"/>
      <x:c r="AB125" s="56"/>
      <x:c r="AC125">
        <x:f t="shared" si="6"/>
        <x:v>0.23809523809523808</x:v>
      </x:c>
      <x:c r="AD125">
        <x:f t="shared" si="7"/>
        <x:v>0</x:v>
      </x:c>
    </x:row>
    <x:row r="126" ht="9.75" customHeight="1">
      <x:c r="A126" s="32">
        <x:v>121</x:v>
      </x:c>
      <x:c r="B126" s="11" t="s">
        <x:v>349</x:v>
      </x:c>
      <x:c r="C126" s="6" t="s">
        <x:v>34</x:v>
      </x:c>
      <x:c r="D126" s="11" t="s">
        <x:v>35</x:v>
      </x:c>
      <x:c r="E126" s="11" t="s">
        <x:v>36</x:v>
      </x:c>
      <x:c r="F126" s="6" t="s">
        <x:v>350</x:v>
      </x:c>
      <x:c r="G126" s="6" t="s">
        <x:v>351</x:v>
      </x:c>
      <x:c r="H126" s="17" t="s">
        <x:v>352</x:v>
      </x:c>
      <x:c r="I126" s="17" t="s">
        <x:v>42</x:v>
      </x:c>
      <x:c r="J126" s="6">
        <x:v>2023</x:v>
      </x:c>
      <x:c r="K126" s="17">
        <x:v>111</x:v>
      </x:c>
      <x:c r="L126" s="11">
        <x:v>51</x:v>
      </x:c>
      <x:c r="M126" s="17">
        <x:v>0</x:v>
      </x:c>
      <x:c r="N126" s="17" t="s">
        <x:v>41</x:v>
      </x:c>
      <x:c r="O126" s="6" t="s">
        <x:v>42</x:v>
      </x:c>
      <x:c r="P126" s="6"/>
      <x:c r="Q126" s="23" t="s">
        <x:v>43</x:v>
      </x:c>
      <x:c r="R126" s="23"/>
      <x:c r="S126" s="20"/>
      <x:c r="T126" s="11"/>
      <x:c r="U126" s="11"/>
      <x:c r="V126" s="11">
        <x:v>-2.1040464000000001</x:v>
      </x:c>
      <x:c r="W126" s="11">
        <x:v>106.0873765</x:v>
      </x:c>
      <x:c r="X126" s="65"/>
      <x:c r="Y126" s="29"/>
      <x:c r="Z126" s="51"/>
      <x:c r="AA126" s="53"/>
      <x:c r="AB126" s="56"/>
      <x:c r="AC126">
        <x:f t="shared" si="6"/>
        <x:v>0.45945945945945948</x:v>
      </x:c>
      <x:c r="AD126">
        <x:f t="shared" si="7"/>
        <x:v>0</x:v>
      </x:c>
    </x:row>
    <x:row r="127" ht="9.75" customHeight="1">
      <x:c r="A127" s="32">
        <x:v>122</x:v>
      </x:c>
      <x:c r="B127" s="11" t="s">
        <x:v>353</x:v>
      </x:c>
      <x:c r="C127" s="6" t="s">
        <x:v>34</x:v>
      </x:c>
      <x:c r="D127" s="11" t="s">
        <x:v>35</x:v>
      </x:c>
      <x:c r="E127" s="11" t="s">
        <x:v>46</x:v>
      </x:c>
      <x:c r="F127" s="6" t="s">
        <x:v>354</x:v>
      </x:c>
      <x:c r="G127" s="6" t="s">
        <x:v>155</x:v>
      </x:c>
      <x:c r="H127" s="17" t="s">
        <x:v>156</x:v>
      </x:c>
      <x:c r="I127" s="17" t="s">
        <x:v>65</x:v>
      </x:c>
      <x:c r="J127" s="6">
        <x:v>2015</x:v>
      </x:c>
      <x:c r="K127" s="17">
        <x:v>86</x:v>
      </x:c>
      <x:c r="L127" s="11">
        <x:v>86</x:v>
      </x:c>
      <x:c r="M127" s="17">
        <x:v>86</x:v>
      </x:c>
      <x:c r="N127" s="17" t="s">
        <x:v>41</x:v>
      </x:c>
      <x:c r="O127" s="6" t="s">
        <x:v>42</x:v>
      </x:c>
      <x:c r="P127" s="6"/>
      <x:c r="Q127" s="23" t="s">
        <x:v>43</x:v>
      </x:c>
      <x:c r="R127" s="23"/>
      <x:c r="S127" s="20"/>
      <x:c r="T127" s="11"/>
      <x:c r="U127" s="11"/>
      <x:c r="V127" s="11">
        <x:v>-2.1243243999999999</x:v>
      </x:c>
      <x:c r="W127" s="11">
        <x:v>106.07832500000001</x:v>
      </x:c>
      <x:c r="X127" s="65"/>
      <x:c r="Y127" s="29"/>
      <x:c r="Z127" s="51"/>
      <x:c r="AA127" s="53"/>
      <x:c r="AB127" s="56"/>
      <x:c r="AC127">
        <x:f t="shared" si="6"/>
        <x:v>1</x:v>
      </x:c>
      <x:c r="AD127">
        <x:f t="shared" si="7"/>
        <x:v>1</x:v>
      </x:c>
    </x:row>
    <x:row r="128" ht="9.75" customHeight="1">
      <x:c r="A128" s="32">
        <x:v>123</x:v>
      </x:c>
      <x:c r="B128" s="11" t="s">
        <x:v>355</x:v>
      </x:c>
      <x:c r="C128" s="6" t="s">
        <x:v>34</x:v>
      </x:c>
      <x:c r="D128" s="11" t="s">
        <x:v>35</x:v>
      </x:c>
      <x:c r="E128" s="11" t="s">
        <x:v>46</x:v>
      </x:c>
      <x:c r="F128" s="6" t="s">
        <x:v>171</x:v>
      </x:c>
      <x:c r="G128" s="6" t="s">
        <x:v>356</x:v>
      </x:c>
      <x:c r="H128" s="17" t="s">
        <x:v>357</x:v>
      </x:c>
      <x:c r="I128" s="17" t="s">
        <x:v>112</x:v>
      </x:c>
      <x:c r="J128" s="6">
        <x:v>2019</x:v>
      </x:c>
      <x:c r="K128" s="17">
        <x:v>52</x:v>
      </x:c>
      <x:c r="L128" s="11">
        <x:v>52</x:v>
      </x:c>
      <x:c r="M128" s="17">
        <x:v>52</x:v>
      </x:c>
      <x:c r="N128" s="17" t="s">
        <x:v>48</x:v>
      </x:c>
      <x:c r="O128" s="6">
        <x:v>2023</x:v>
      </x:c>
      <x:c r="P128" s="6"/>
      <x:c r="Q128" s="23" t="s">
        <x:v>43</x:v>
      </x:c>
      <x:c r="R128" s="23" t="s">
        <x:v>113</x:v>
      </x:c>
      <x:c r="S128" s="20"/>
      <x:c r="T128" s="11"/>
      <x:c r="U128" s="11"/>
      <x:c r="V128" s="11">
        <x:v>-2.1169406</x:v>
      </x:c>
      <x:c r="W128" s="11">
        <x:v>106.0747703</x:v>
      </x:c>
      <x:c r="X128" s="65"/>
      <x:c r="Y128" s="29"/>
      <x:c r="Z128" s="51"/>
      <x:c r="AA128" s="53"/>
      <x:c r="AB128" s="56"/>
      <x:c r="AC128">
        <x:f t="shared" si="6"/>
        <x:v>1</x:v>
      </x:c>
      <x:c r="AD128">
        <x:f t="shared" si="7"/>
        <x:v>1</x:v>
      </x:c>
    </x:row>
    <x:row r="129" ht="9.75" customHeight="1">
      <x:c r="A129" s="32">
        <x:v>124</x:v>
      </x:c>
      <x:c r="B129" s="11" t="s">
        <x:v>358</x:v>
      </x:c>
      <x:c r="C129" s="6" t="s">
        <x:v>34</x:v>
      </x:c>
      <x:c r="D129" s="11" t="s">
        <x:v>60</x:v>
      </x:c>
      <x:c r="E129" s="11" t="s">
        <x:v>70</x:v>
      </x:c>
      <x:c r="F129" s="6" t="s">
        <x:v>229</x:v>
      </x:c>
      <x:c r="G129" s="6" t="s">
        <x:v>38</x:v>
      </x:c>
      <x:c r="H129" s="17" t="s">
        <x:v>39</x:v>
      </x:c>
      <x:c r="I129" s="17" t="s">
        <x:v>40</x:v>
      </x:c>
      <x:c r="J129" s="6">
        <x:v>2025</x:v>
      </x:c>
      <x:c r="K129" s="17">
        <x:v>43</x:v>
      </x:c>
      <x:c r="L129" s="11">
        <x:v>0</x:v>
      </x:c>
      <x:c r="M129" s="17">
        <x:v>0</x:v>
      </x:c>
      <x:c r="N129" s="17" t="s">
        <x:v>41</x:v>
      </x:c>
      <x:c r="O129" s="6" t="s">
        <x:v>42</x:v>
      </x:c>
      <x:c r="P129" s="6"/>
      <x:c r="Q129" s="23" t="s">
        <x:v>43</x:v>
      </x:c>
      <x:c r="R129" s="23"/>
      <x:c r="S129" s="20"/>
      <x:c r="T129" s="11"/>
      <x:c r="U129" s="11"/>
      <x:c r="V129" s="11">
        <x:v>-2.0889850000000001</x:v>
      </x:c>
      <x:c r="W129" s="11">
        <x:v>106.096946</x:v>
      </x:c>
      <x:c r="X129" s="65"/>
      <x:c r="Y129" s="29"/>
      <x:c r="Z129" s="51"/>
      <x:c r="AA129" s="53"/>
      <x:c r="AB129" s="56"/>
      <x:c r="AC129">
        <x:f t="shared" si="6"/>
        <x:v>0</x:v>
      </x:c>
      <x:c r="AD129">
        <x:f t="shared" si="7"/>
        <x:v>0</x:v>
      </x:c>
    </x:row>
    <x:row r="130" ht="9.75" customHeight="1">
      <x:c r="A130" s="32">
        <x:v>125</x:v>
      </x:c>
      <x:c r="B130" s="11" t="s">
        <x:v>359</x:v>
      </x:c>
      <x:c r="C130" s="6" t="s">
        <x:v>34</x:v>
      </x:c>
      <x:c r="D130" s="11" t="s">
        <x:v>35</x:v>
      </x:c>
      <x:c r="E130" s="11" t="s">
        <x:v>46</x:v>
      </x:c>
      <x:c r="F130" s="6" t="s">
        <x:v>51</x:v>
      </x:c>
      <x:c r="G130" s="6" t="s">
        <x:v>360</x:v>
      </x:c>
      <x:c r="H130" s="17" t="s">
        <x:v>361</x:v>
      </x:c>
      <x:c r="I130" s="17" t="s">
        <x:v>112</x:v>
      </x:c>
      <x:c r="J130" s="6">
        <x:v>2017</x:v>
      </x:c>
      <x:c r="K130" s="17">
        <x:v>18</x:v>
      </x:c>
      <x:c r="L130" s="11">
        <x:v>18</x:v>
      </x:c>
      <x:c r="M130" s="17">
        <x:v>18</x:v>
      </x:c>
      <x:c r="N130" s="17" t="s">
        <x:v>41</x:v>
      </x:c>
      <x:c r="O130" s="6" t="s">
        <x:v>42</x:v>
      </x:c>
      <x:c r="P130" s="6"/>
      <x:c r="Q130" s="23" t="s">
        <x:v>43</x:v>
      </x:c>
      <x:c r="R130" s="23"/>
      <x:c r="S130" s="20"/>
      <x:c r="T130" s="11"/>
      <x:c r="U130" s="11"/>
      <x:c r="V130" s="11">
        <x:v>-2.1208572000000001</x:v>
      </x:c>
      <x:c r="W130" s="11">
        <x:v>106.0729011</x:v>
      </x:c>
      <x:c r="X130" s="65"/>
      <x:c r="Y130" s="29"/>
      <x:c r="Z130" s="51"/>
      <x:c r="AA130" s="53"/>
      <x:c r="AB130" s="56"/>
      <x:c r="AC130">
        <x:f t="shared" si="6"/>
        <x:v>1</x:v>
      </x:c>
      <x:c r="AD130">
        <x:f t="shared" si="7"/>
        <x:v>1</x:v>
      </x:c>
    </x:row>
    <x:row r="131" ht="9.75" customHeight="1">
      <x:c r="A131" s="32">
        <x:v>126</x:v>
      </x:c>
      <x:c r="B131" s="11" t="s">
        <x:v>362</x:v>
      </x:c>
      <x:c r="C131" s="6" t="s">
        <x:v>34</x:v>
      </x:c>
      <x:c r="D131" s="11" t="s">
        <x:v>35</x:v>
      </x:c>
      <x:c r="E131" s="11" t="s">
        <x:v>46</x:v>
      </x:c>
      <x:c r="F131" s="6" t="s">
        <x:v>51</x:v>
      </x:c>
      <x:c r="G131" s="6" t="s">
        <x:v>360</x:v>
      </x:c>
      <x:c r="H131" s="17" t="s">
        <x:v>361</x:v>
      </x:c>
      <x:c r="I131" s="17" t="s">
        <x:v>112</x:v>
      </x:c>
      <x:c r="J131" s="6">
        <x:v>2017</x:v>
      </x:c>
      <x:c r="K131" s="17">
        <x:v>137</x:v>
      </x:c>
      <x:c r="L131" s="11">
        <x:v>57</x:v>
      </x:c>
      <x:c r="M131" s="17">
        <x:v>30</x:v>
      </x:c>
      <x:c r="N131" s="17" t="s">
        <x:v>41</x:v>
      </x:c>
      <x:c r="O131" s="6" t="s">
        <x:v>42</x:v>
      </x:c>
      <x:c r="P131" s="6"/>
      <x:c r="Q131" s="23" t="s">
        <x:v>43</x:v>
      </x:c>
      <x:c r="R131" s="23"/>
      <x:c r="S131" s="20"/>
      <x:c r="T131" s="11"/>
      <x:c r="U131" s="11"/>
      <x:c r="V131" s="11">
        <x:v>-2.1191513</x:v>
      </x:c>
      <x:c r="W131" s="11">
        <x:v>106.0727887</x:v>
      </x:c>
      <x:c r="X131" s="65"/>
      <x:c r="Y131" s="29"/>
      <x:c r="Z131" s="51"/>
      <x:c r="AA131" s="53"/>
      <x:c r="AB131" s="56"/>
      <x:c r="AC131">
        <x:f t="shared" si="6"/>
        <x:v>0.41605839416058393</x:v>
      </x:c>
      <x:c r="AD131">
        <x:f t="shared" si="7"/>
        <x:v>0.52631578947368418</x:v>
      </x:c>
    </x:row>
    <x:row r="132" ht="9.75" customHeight="1">
      <x:c r="A132" s="32">
        <x:v>127</x:v>
      </x:c>
      <x:c r="B132" s="11" t="s">
        <x:v>363</x:v>
      </x:c>
      <x:c r="C132" s="6" t="s">
        <x:v>34</x:v>
      </x:c>
      <x:c r="D132" s="11" t="s">
        <x:v>35</x:v>
      </x:c>
      <x:c r="E132" s="11" t="s">
        <x:v>46</x:v>
      </x:c>
      <x:c r="F132" s="6" t="s">
        <x:v>364</x:v>
      </x:c>
      <x:c r="G132" s="6" t="s">
        <x:v>360</x:v>
      </x:c>
      <x:c r="H132" s="17" t="s">
        <x:v>361</x:v>
      </x:c>
      <x:c r="I132" s="17" t="s">
        <x:v>112</x:v>
      </x:c>
      <x:c r="J132" s="6">
        <x:v>2018</x:v>
      </x:c>
      <x:c r="K132" s="17">
        <x:v>35</x:v>
      </x:c>
      <x:c r="L132" s="11">
        <x:v>35</x:v>
      </x:c>
      <x:c r="M132" s="17">
        <x:v>35</x:v>
      </x:c>
      <x:c r="N132" s="17" t="s">
        <x:v>41</x:v>
      </x:c>
      <x:c r="O132" s="6" t="s">
        <x:v>42</x:v>
      </x:c>
      <x:c r="P132" s="6"/>
      <x:c r="Q132" s="23" t="s">
        <x:v>72</x:v>
      </x:c>
      <x:c r="R132" s="23" t="s">
        <x:v>88</x:v>
      </x:c>
      <x:c r="S132" s="20"/>
      <x:c r="T132" s="11"/>
      <x:c r="U132" s="11"/>
      <x:c r="V132" s="11"/>
      <x:c r="W132" s="11"/>
      <x:c r="X132" s="65"/>
      <x:c r="Y132" s="29"/>
      <x:c r="Z132" s="51"/>
      <x:c r="AA132" s="53"/>
      <x:c r="AB132" s="56"/>
      <x:c r="AC132">
        <x:f t="shared" si="6"/>
        <x:v>1</x:v>
      </x:c>
      <x:c r="AD132">
        <x:f t="shared" si="7"/>
        <x:v>1</x:v>
      </x:c>
    </x:row>
    <x:row r="133" ht="9.75" customHeight="1">
      <x:c r="A133" s="32">
        <x:v>128</x:v>
      </x:c>
      <x:c r="B133" s="11" t="s">
        <x:v>365</x:v>
      </x:c>
      <x:c r="C133" s="6" t="s">
        <x:v>34</x:v>
      </x:c>
      <x:c r="D133" s="11" t="s">
        <x:v>60</x:v>
      </x:c>
      <x:c r="E133" s="11" t="s">
        <x:v>67</x:v>
      </x:c>
      <x:c r="F133" s="6" t="s">
        <x:v>366</x:v>
      </x:c>
      <x:c r="G133" s="6" t="s">
        <x:v>367</x:v>
      </x:c>
      <x:c r="H133" s="17" t="s">
        <x:v>368</x:v>
      </x:c>
      <x:c r="I133" s="17" t="s">
        <x:v>65</x:v>
      </x:c>
      <x:c r="J133" s="6">
        <x:v>2017</x:v>
      </x:c>
      <x:c r="K133" s="17">
        <x:v>44</x:v>
      </x:c>
      <x:c r="L133" s="11">
        <x:v>34</x:v>
      </x:c>
      <x:c r="M133" s="17">
        <x:v>34</x:v>
      </x:c>
      <x:c r="N133" s="17" t="s">
        <x:v>41</x:v>
      </x:c>
      <x:c r="O133" s="6" t="s">
        <x:v>42</x:v>
      </x:c>
      <x:c r="P133" s="6"/>
      <x:c r="Q133" s="23" t="s">
        <x:v>43</x:v>
      </x:c>
      <x:c r="R133" s="23"/>
      <x:c r="S133" s="20"/>
      <x:c r="T133" s="11" t="s">
        <x:v>44</x:v>
      </x:c>
      <x:c r="U133" s="11"/>
      <x:c r="V133" s="11">
        <x:v>-2.098071</x:v>
      </x:c>
      <x:c r="W133" s="11">
        <x:v>106.116671</x:v>
      </x:c>
      <x:c r="X133" s="65"/>
      <x:c r="Y133" s="29"/>
      <x:c r="Z133" s="51"/>
      <x:c r="AA133" s="53"/>
      <x:c r="AB133" s="56"/>
      <x:c r="AC133">
        <x:f t="shared" si="6"/>
        <x:v>0.77272727272727271</x:v>
      </x:c>
      <x:c r="AD133">
        <x:f t="shared" si="7"/>
        <x:v>1</x:v>
      </x:c>
    </x:row>
    <x:row r="134" ht="9.75" customHeight="1">
      <x:c r="A134" s="32">
        <x:v>129</x:v>
      </x:c>
      <x:c r="B134" s="11" t="s">
        <x:v>369</x:v>
      </x:c>
      <x:c r="C134" s="6" t="s">
        <x:v>34</x:v>
      </x:c>
      <x:c r="D134" s="11" t="s">
        <x:v>60</x:v>
      </x:c>
      <x:c r="E134" s="11" t="s">
        <x:v>370</x:v>
      </x:c>
      <x:c r="F134" s="6" t="s">
        <x:v>371</x:v>
      </x:c>
      <x:c r="G134" s="6" t="s">
        <x:v>367</x:v>
      </x:c>
      <x:c r="H134" s="17" t="s">
        <x:v>368</x:v>
      </x:c>
      <x:c r="I134" s="17" t="s">
        <x:v>65</x:v>
      </x:c>
      <x:c r="J134" s="6">
        <x:v>2019</x:v>
      </x:c>
      <x:c r="K134" s="17">
        <x:v>103</x:v>
      </x:c>
      <x:c r="L134" s="11">
        <x:v>93</x:v>
      </x:c>
      <x:c r="M134" s="17">
        <x:v>93</x:v>
      </x:c>
      <x:c r="N134" s="17" t="s">
        <x:v>41</x:v>
      </x:c>
      <x:c r="O134" s="6" t="s">
        <x:v>42</x:v>
      </x:c>
      <x:c r="P134" s="6"/>
      <x:c r="Q134" s="23" t="s">
        <x:v>43</x:v>
      </x:c>
      <x:c r="R134" s="23"/>
      <x:c r="S134" s="20"/>
      <x:c r="T134" s="11" t="s">
        <x:v>44</x:v>
      </x:c>
      <x:c r="U134" s="11"/>
      <x:c r="V134" s="11">
        <x:v>-2.101518</x:v>
      </x:c>
      <x:c r="W134" s="11">
        <x:v>106.11780299999999</x:v>
      </x:c>
      <x:c r="X134" s="65"/>
      <x:c r="Y134" s="29"/>
      <x:c r="Z134" s="51"/>
      <x:c r="AA134" s="53"/>
      <x:c r="AB134" s="56"/>
      <x:c r="AC134" t="n">
        <x:f t="shared" ref="AC134:AC165" si="8">IF(A134="","",IFERROR(L134/K134,0))</x:f>
        <x:v>0.9029126213592233</x:v>
      </x:c>
      <x:c r="AD134" t="n">
        <x:f t="shared" ref="AD134:AD165" si="9">IF(A134="","",IFERROR(M134/L134,0))</x:f>
        <x:v>1</x:v>
      </x:c>
    </x:row>
    <x:row r="135" ht="9.75" customHeight="1">
      <x:c r="A135" s="32">
        <x:v>130</x:v>
      </x:c>
      <x:c r="B135" s="11" t="s">
        <x:v>372</x:v>
      </x:c>
      <x:c r="C135" s="6" t="s">
        <x:v>34</x:v>
      </x:c>
      <x:c r="D135" s="11" t="s">
        <x:v>35</x:v>
      </x:c>
      <x:c r="E135" s="11" t="s">
        <x:v>36</x:v>
      </x:c>
      <x:c r="F135" s="6" t="s">
        <x:v>373</x:v>
      </x:c>
      <x:c r="G135" s="6" t="s">
        <x:v>374</x:v>
      </x:c>
      <x:c r="H135" s="17" t="s">
        <x:v>375</x:v>
      </x:c>
      <x:c r="I135" s="17" t="s">
        <x:v>42</x:v>
      </x:c>
      <x:c r="J135" s="6">
        <x:v>2024</x:v>
      </x:c>
      <x:c r="K135" s="17">
        <x:v>79</x:v>
      </x:c>
      <x:c r="L135" s="11">
        <x:v>18</x:v>
      </x:c>
      <x:c r="M135" s="17">
        <x:v>7</x:v>
      </x:c>
      <x:c r="N135" s="17" t="s">
        <x:v>41</x:v>
      </x:c>
      <x:c r="O135" s="6" t="s">
        <x:v>42</x:v>
      </x:c>
      <x:c r="P135" s="6"/>
      <x:c r="Q135" s="23" t="s">
        <x:v>43</x:v>
      </x:c>
      <x:c r="R135" s="23" t="s">
        <x:v>88</x:v>
      </x:c>
      <x:c r="S135" s="20"/>
      <x:c r="T135" s="11" t="s">
        <x:v>44</x:v>
      </x:c>
      <x:c r="U135" s="11"/>
      <x:c r="V135" s="11">
        <x:v>-2.0988720000000001</x:v>
      </x:c>
      <x:c r="W135" s="11">
        <x:v>106.0761523</x:v>
      </x:c>
      <x:c r="X135" s="65"/>
      <x:c r="Y135" s="29"/>
      <x:c r="Z135" s="51"/>
      <x:c r="AA135" s="53"/>
      <x:c r="AB135" s="56"/>
      <x:c r="AC135">
        <x:f t="shared" si="8"/>
        <x:v>0.22784810126582278</x:v>
      </x:c>
      <x:c r="AD135">
        <x:f t="shared" si="9"/>
        <x:v>0.3888888888888889</x:v>
      </x:c>
    </x:row>
    <x:row r="136" ht="9.75" customHeight="1">
      <x:c r="A136" s="32">
        <x:v>131</x:v>
      </x:c>
      <x:c r="B136" s="11" t="s">
        <x:v>376</x:v>
      </x:c>
      <x:c r="C136" s="6" t="s">
        <x:v>34</x:v>
      </x:c>
      <x:c r="D136" s="11" t="s">
        <x:v>35</x:v>
      </x:c>
      <x:c r="E136" s="11" t="s">
        <x:v>36</x:v>
      </x:c>
      <x:c r="F136" s="6" t="s">
        <x:v>373</x:v>
      </x:c>
      <x:c r="G136" s="6" t="s">
        <x:v>374</x:v>
      </x:c>
      <x:c r="H136" s="17" t="s">
        <x:v>375</x:v>
      </x:c>
      <x:c r="I136" s="17" t="s">
        <x:v>42</x:v>
      </x:c>
      <x:c r="J136" s="6">
        <x:v>2024</x:v>
      </x:c>
      <x:c r="K136" s="17">
        <x:v>87</x:v>
      </x:c>
      <x:c r="L136" s="11">
        <x:v>15</x:v>
      </x:c>
      <x:c r="M136" s="17">
        <x:v>2</x:v>
      </x:c>
      <x:c r="N136" s="17" t="s">
        <x:v>41</x:v>
      </x:c>
      <x:c r="O136" s="6" t="s">
        <x:v>42</x:v>
      </x:c>
      <x:c r="P136" s="6"/>
      <x:c r="Q136" s="23" t="s">
        <x:v>43</x:v>
      </x:c>
      <x:c r="R136" s="23" t="s">
        <x:v>88</x:v>
      </x:c>
      <x:c r="S136" s="20"/>
      <x:c r="T136" s="11" t="s">
        <x:v>44</x:v>
      </x:c>
      <x:c r="U136" s="11"/>
      <x:c r="V136" s="11">
        <x:v>-2.0975619999999999</x:v>
      </x:c>
      <x:c r="W136" s="11">
        <x:v>106.07432350000001</x:v>
      </x:c>
      <x:c r="X136" s="65"/>
      <x:c r="Y136" s="29"/>
      <x:c r="Z136" s="51"/>
      <x:c r="AA136" s="53"/>
      <x:c r="AB136" s="56"/>
      <x:c r="AC136">
        <x:f t="shared" si="8"/>
        <x:v>0.17241379310344829</x:v>
      </x:c>
      <x:c r="AD136">
        <x:f t="shared" si="9"/>
        <x:v>0.13333333333333333</x:v>
      </x:c>
    </x:row>
    <x:row r="137" ht="9.75" customHeight="1">
      <x:c r="A137" s="32">
        <x:v>132</x:v>
      </x:c>
      <x:c r="B137" s="11" t="s">
        <x:v>377</x:v>
      </x:c>
      <x:c r="C137" s="6" t="s">
        <x:v>34</x:v>
      </x:c>
      <x:c r="D137" s="11" t="s">
        <x:v>35</x:v>
      </x:c>
      <x:c r="E137" s="11" t="s">
        <x:v>36</x:v>
      </x:c>
      <x:c r="F137" s="6" t="s">
        <x:v>62</x:v>
      </x:c>
      <x:c r="G137" s="6" t="s">
        <x:v>378</x:v>
      </x:c>
      <x:c r="H137" s="17" t="s">
        <x:v>42</x:v>
      </x:c>
      <x:c r="I137" s="17" t="s">
        <x:v>86</x:v>
      </x:c>
      <x:c r="J137" s="6">
        <x:v>2020</x:v>
      </x:c>
      <x:c r="K137" s="17">
        <x:v>348</x:v>
      </x:c>
      <x:c r="L137" s="11">
        <x:v>312</x:v>
      </x:c>
      <x:c r="M137" s="17">
        <x:v>312</x:v>
      </x:c>
      <x:c r="N137" s="17" t="s">
        <x:v>41</x:v>
      </x:c>
      <x:c r="O137" s="6" t="s">
        <x:v>42</x:v>
      </x:c>
      <x:c r="P137" s="6"/>
      <x:c r="Q137" s="23" t="s">
        <x:v>43</x:v>
      </x:c>
      <x:c r="R137" s="23"/>
      <x:c r="S137" s="20"/>
      <x:c r="T137" s="11" t="s">
        <x:v>44</x:v>
      </x:c>
      <x:c r="U137" s="11"/>
      <x:c r="V137" s="11">
        <x:v>-2.097502</x:v>
      </x:c>
      <x:c r="W137" s="11">
        <x:v>106.092822</x:v>
      </x:c>
      <x:c r="X137" s="65"/>
      <x:c r="Y137" s="29"/>
      <x:c r="Z137" s="51"/>
      <x:c r="AA137" s="53"/>
      <x:c r="AB137" s="56"/>
      <x:c r="AC137">
        <x:f t="shared" si="8"/>
        <x:v>0.89655172413793105</x:v>
      </x:c>
      <x:c r="AD137">
        <x:f t="shared" si="9"/>
        <x:v>1</x:v>
      </x:c>
    </x:row>
    <x:row r="138" ht="9.75" customHeight="1">
      <x:c r="A138" s="32">
        <x:v>133</x:v>
      </x:c>
      <x:c r="B138" s="11" t="s">
        <x:v>379</x:v>
      </x:c>
      <x:c r="C138" s="6" t="s">
        <x:v>170</x:v>
      </x:c>
      <x:c r="D138" s="11" t="s">
        <x:v>81</x:v>
      </x:c>
      <x:c r="E138" s="11" t="s">
        <x:v>122</x:v>
      </x:c>
      <x:c r="F138" s="6" t="s">
        <x:v>380</x:v>
      </x:c>
      <x:c r="G138" s="6" t="s">
        <x:v>381</x:v>
      </x:c>
      <x:c r="H138" s="17" t="s">
        <x:v>382</x:v>
      </x:c>
      <x:c r="I138" s="17" t="s">
        <x:v>42</x:v>
      </x:c>
      <x:c r="J138" s="6">
        <x:v>2022</x:v>
      </x:c>
      <x:c r="K138" s="17">
        <x:v>105</x:v>
      </x:c>
      <x:c r="L138" s="11">
        <x:v>62</x:v>
      </x:c>
      <x:c r="M138" s="17">
        <x:v>0</x:v>
      </x:c>
      <x:c r="N138" s="17" t="s">
        <x:v>41</x:v>
      </x:c>
      <x:c r="O138" s="6" t="s">
        <x:v>42</x:v>
      </x:c>
      <x:c r="P138" s="6"/>
      <x:c r="Q138" s="23" t="s">
        <x:v>43</x:v>
      </x:c>
      <x:c r="R138" s="23"/>
      <x:c r="S138" s="20"/>
      <x:c r="T138" s="11"/>
      <x:c r="U138" s="11"/>
      <x:c r="V138" s="11">
        <x:v>-2.1229969999999998</x:v>
      </x:c>
      <x:c r="W138" s="11">
        <x:v>106.159896</x:v>
      </x:c>
      <x:c r="X138" s="65"/>
      <x:c r="Y138" s="29"/>
      <x:c r="Z138" s="51"/>
      <x:c r="AA138" s="53"/>
      <x:c r="AB138" s="56"/>
      <x:c r="AC138">
        <x:f t="shared" si="8"/>
        <x:v>0.59047619047619049</x:v>
      </x:c>
      <x:c r="AD138">
        <x:f t="shared" si="9"/>
        <x:v>0</x:v>
      </x:c>
    </x:row>
    <x:row r="139" ht="9.75" customHeight="1">
      <x:c r="A139" s="32">
        <x:v>134</x:v>
      </x:c>
      <x:c r="B139" s="11" t="s">
        <x:v>383</x:v>
      </x:c>
      <x:c r="C139" s="6" t="s">
        <x:v>170</x:v>
      </x:c>
      <x:c r="D139" s="11" t="s">
        <x:v>81</x:v>
      </x:c>
      <x:c r="E139" s="11" t="s">
        <x:v>122</x:v>
      </x:c>
      <x:c r="F139" s="6" t="s">
        <x:v>380</x:v>
      </x:c>
      <x:c r="G139" s="6" t="s">
        <x:v>381</x:v>
      </x:c>
      <x:c r="H139" s="17" t="s">
        <x:v>382</x:v>
      </x:c>
      <x:c r="I139" s="17" t="s">
        <x:v>42</x:v>
      </x:c>
      <x:c r="J139" s="6">
        <x:v>2023</x:v>
      </x:c>
      <x:c r="K139" s="17">
        <x:v>212</x:v>
      </x:c>
      <x:c r="L139" s="11">
        <x:v>10</x:v>
      </x:c>
      <x:c r="M139" s="17">
        <x:v>0</x:v>
      </x:c>
      <x:c r="N139" s="17" t="s">
        <x:v>41</x:v>
      </x:c>
      <x:c r="O139" s="6" t="s">
        <x:v>42</x:v>
      </x:c>
      <x:c r="P139" s="6"/>
      <x:c r="Q139" s="23" t="s">
        <x:v>43</x:v>
      </x:c>
      <x:c r="R139" s="23"/>
      <x:c r="S139" s="20"/>
      <x:c r="T139" s="11"/>
      <x:c r="U139" s="11"/>
      <x:c r="V139" s="11">
        <x:v>-2.1229969999999998</x:v>
      </x:c>
      <x:c r="W139" s="11">
        <x:v>106.159896</x:v>
      </x:c>
      <x:c r="X139" s="65"/>
      <x:c r="Y139" s="29"/>
      <x:c r="Z139" s="51"/>
      <x:c r="AA139" s="53"/>
      <x:c r="AB139" s="56"/>
      <x:c r="AC139">
        <x:f t="shared" si="8"/>
        <x:v>4.716981132075472E-2</x:v>
      </x:c>
      <x:c r="AD139">
        <x:f t="shared" si="9"/>
        <x:v>0</x:v>
      </x:c>
    </x:row>
    <x:row r="140" ht="9.75" customHeight="1">
      <x:c r="A140" s="32">
        <x:v>135</x:v>
      </x:c>
      <x:c r="B140" s="11" t="s">
        <x:v>384</x:v>
      </x:c>
      <x:c r="C140" s="6" t="s">
        <x:v>34</x:v>
      </x:c>
      <x:c r="D140" s="11" t="s">
        <x:v>81</x:v>
      </x:c>
      <x:c r="E140" s="11" t="s">
        <x:v>202</x:v>
      </x:c>
      <x:c r="F140" s="6" t="s">
        <x:v>385</x:v>
      </x:c>
      <x:c r="G140" s="6" t="s">
        <x:v>386</x:v>
      </x:c>
      <x:c r="H140" s="17" t="s">
        <x:v>387</x:v>
      </x:c>
      <x:c r="I140" s="17" t="s">
        <x:v>42</x:v>
      </x:c>
      <x:c r="J140" s="6">
        <x:v>2017</x:v>
      </x:c>
      <x:c r="K140" s="17">
        <x:v>109</x:v>
      </x:c>
      <x:c r="L140" s="11">
        <x:v>15</x:v>
      </x:c>
      <x:c r="M140" s="17">
        <x:v>6</x:v>
      </x:c>
      <x:c r="N140" s="17" t="s">
        <x:v>41</x:v>
      </x:c>
      <x:c r="O140" s="6" t="s">
        <x:v>42</x:v>
      </x:c>
      <x:c r="P140" s="6"/>
      <x:c r="Q140" s="23" t="s">
        <x:v>43</x:v>
      </x:c>
      <x:c r="R140" s="23"/>
      <x:c r="S140" s="20"/>
      <x:c r="T140" s="11"/>
      <x:c r="U140" s="11"/>
      <x:c r="V140" s="11">
        <x:v>-2.1278800000000002</x:v>
      </x:c>
      <x:c r="W140" s="11">
        <x:v>106.15365199999999</x:v>
      </x:c>
      <x:c r="X140" s="65"/>
      <x:c r="Y140" s="29"/>
      <x:c r="Z140" s="51"/>
      <x:c r="AA140" s="53"/>
      <x:c r="AB140" s="56"/>
      <x:c r="AC140">
        <x:f t="shared" si="8"/>
        <x:v>0.13761467889908258</x:v>
      </x:c>
      <x:c r="AD140">
        <x:f t="shared" si="9"/>
        <x:v>0.4</x:v>
      </x:c>
    </x:row>
    <x:row r="141" ht="9.75" customHeight="1">
      <x:c r="A141" s="32">
        <x:v>136</x:v>
      </x:c>
      <x:c r="B141" s="11" t="s">
        <x:v>388</x:v>
      </x:c>
      <x:c r="C141" s="6" t="s">
        <x:v>34</x:v>
      </x:c>
      <x:c r="D141" s="11" t="s">
        <x:v>35</x:v>
      </x:c>
      <x:c r="E141" s="11" t="s">
        <x:v>36</x:v>
      </x:c>
      <x:c r="F141" s="6" t="s">
        <x:v>389</x:v>
      </x:c>
      <x:c r="G141" s="6" t="s">
        <x:v>390</x:v>
      </x:c>
      <x:c r="H141" s="17" t="s">
        <x:v>42</x:v>
      </x:c>
      <x:c r="I141" s="17" t="s">
        <x:v>42</x:v>
      </x:c>
      <x:c r="J141" s="6">
        <x:v>2015</x:v>
      </x:c>
      <x:c r="K141" s="17">
        <x:v>0</x:v>
      </x:c>
      <x:c r="L141" s="11">
        <x:v>47</x:v>
      </x:c>
      <x:c r="M141" s="17">
        <x:v>35</x:v>
      </x:c>
      <x:c r="N141" s="17" t="s">
        <x:v>41</x:v>
      </x:c>
      <x:c r="O141" s="6" t="s">
        <x:v>42</x:v>
      </x:c>
      <x:c r="P141" s="6"/>
      <x:c r="Q141" s="23" t="s">
        <x:v>43</x:v>
      </x:c>
      <x:c r="R141" s="23"/>
      <x:c r="S141" s="20"/>
      <x:c r="T141" s="11"/>
      <x:c r="U141" s="11"/>
      <x:c r="V141" s="11">
        <x:v>-2.1073993999999998</x:v>
      </x:c>
      <x:c r="W141" s="11">
        <x:v>106.0614738</x:v>
      </x:c>
      <x:c r="X141" s="65"/>
      <x:c r="Y141" s="29"/>
      <x:c r="Z141" s="51"/>
      <x:c r="AA141" s="53"/>
      <x:c r="AB141" s="56"/>
      <x:c r="AC141">
        <x:f t="shared" si="8"/>
        <x:v>0</x:v>
      </x:c>
      <x:c r="AD141">
        <x:f t="shared" si="9"/>
        <x:v>0.74468085106382975</x:v>
      </x:c>
    </x:row>
    <x:row r="142" ht="9.75" customHeight="1">
      <x:c r="A142" s="32">
        <x:v>137</x:v>
      </x:c>
      <x:c r="B142" s="11" t="s">
        <x:v>391</x:v>
      </x:c>
      <x:c r="C142" s="6" t="s">
        <x:v>170</x:v>
      </x:c>
      <x:c r="D142" s="11" t="s">
        <x:v>60</x:v>
      </x:c>
      <x:c r="E142" s="11" t="s">
        <x:v>91</x:v>
      </x:c>
      <x:c r="F142" s="6" t="s">
        <x:v>392</x:v>
      </x:c>
      <x:c r="G142" s="6" t="s">
        <x:v>393</x:v>
      </x:c>
      <x:c r="H142" s="17" t="s">
        <x:v>394</x:v>
      </x:c>
      <x:c r="I142" s="17" t="s">
        <x:v>86</x:v>
      </x:c>
      <x:c r="J142" s="6">
        <x:v>2017</x:v>
      </x:c>
      <x:c r="K142" s="17">
        <x:v>265</x:v>
      </x:c>
      <x:c r="L142" s="11">
        <x:v>0</x:v>
      </x:c>
      <x:c r="M142" s="17">
        <x:v>0</x:v>
      </x:c>
      <x:c r="N142" s="17" t="s">
        <x:v>41</x:v>
      </x:c>
      <x:c r="O142" s="6" t="s">
        <x:v>42</x:v>
      </x:c>
      <x:c r="P142" s="6"/>
      <x:c r="Q142" s="23" t="s">
        <x:v>72</x:v>
      </x:c>
      <x:c r="R142" s="23"/>
      <x:c r="S142" s="20"/>
      <x:c r="T142" s="11"/>
      <x:c r="U142" s="11"/>
      <x:c r="V142" s="11">
        <x:v>-2.0824609999999999</x:v>
      </x:c>
      <x:c r="W142" s="11">
        <x:v>106.11130199999999</x:v>
      </x:c>
      <x:c r="X142" s="65"/>
      <x:c r="Y142" s="29"/>
      <x:c r="Z142" s="51"/>
      <x:c r="AA142" s="53"/>
      <x:c r="AB142" s="56"/>
      <x:c r="AC142">
        <x:f t="shared" si="8"/>
        <x:v>0</x:v>
      </x:c>
      <x:c r="AD142">
        <x:f t="shared" si="9"/>
        <x:v>0</x:v>
      </x:c>
    </x:row>
    <x:row r="143" ht="9.75" customHeight="1">
      <x:c r="A143" s="32">
        <x:v>138</x:v>
      </x:c>
      <x:c r="B143" s="11" t="s">
        <x:v>395</x:v>
      </x:c>
      <x:c r="C143" s="6" t="s">
        <x:v>34</x:v>
      </x:c>
      <x:c r="D143" s="11" t="s">
        <x:v>35</x:v>
      </x:c>
      <x:c r="E143" s="11" t="s">
        <x:v>36</x:v>
      </x:c>
      <x:c r="F143" s="6" t="s">
        <x:v>396</x:v>
      </x:c>
      <x:c r="G143" s="6" t="s">
        <x:v>42</x:v>
      </x:c>
      <x:c r="H143" s="17" t="s">
        <x:v>42</x:v>
      </x:c>
      <x:c r="I143" s="17" t="s">
        <x:v>42</x:v>
      </x:c>
      <x:c r="J143" s="6">
        <x:v>2017</x:v>
      </x:c>
      <x:c r="K143" s="17">
        <x:v>119</x:v>
      </x:c>
      <x:c r="L143" s="11">
        <x:v>119</x:v>
      </x:c>
      <x:c r="M143" s="17">
        <x:v>0</x:v>
      </x:c>
      <x:c r="N143" s="17" t="s">
        <x:v>41</x:v>
      </x:c>
      <x:c r="O143" s="6" t="s">
        <x:v>42</x:v>
      </x:c>
      <x:c r="P143" s="6"/>
      <x:c r="Q143" s="23" t="s">
        <x:v>43</x:v>
      </x:c>
      <x:c r="R143" s="23" t="s">
        <x:v>88</x:v>
      </x:c>
      <x:c r="S143" s="20"/>
      <x:c r="T143" s="11"/>
      <x:c r="U143" s="11"/>
      <x:c r="V143" s="11"/>
      <x:c r="W143" s="11"/>
      <x:c r="X143" s="65"/>
      <x:c r="Y143" s="29"/>
      <x:c r="Z143" s="51"/>
      <x:c r="AA143" s="53"/>
      <x:c r="AB143" s="56"/>
      <x:c r="AC143">
        <x:f t="shared" si="8"/>
        <x:v>1</x:v>
      </x:c>
      <x:c r="AD143">
        <x:f t="shared" si="9"/>
        <x:v>0</x:v>
      </x:c>
    </x:row>
    <x:row r="144" ht="9.75" customHeight="1">
      <x:c r="A144" s="32">
        <x:v>139</x:v>
      </x:c>
      <x:c r="B144" s="11" t="s">
        <x:v>397</x:v>
      </x:c>
      <x:c r="C144" s="6" t="s">
        <x:v>34</x:v>
      </x:c>
      <x:c r="D144" s="11" t="s">
        <x:v>35</x:v>
      </x:c>
      <x:c r="E144" s="11" t="s">
        <x:v>36</x:v>
      </x:c>
      <x:c r="F144" s="6" t="s">
        <x:v>74</x:v>
      </x:c>
      <x:c r="G144" s="6" t="s">
        <x:v>42</x:v>
      </x:c>
      <x:c r="H144" s="17" t="s">
        <x:v>42</x:v>
      </x:c>
      <x:c r="I144" s="17" t="s">
        <x:v>42</x:v>
      </x:c>
      <x:c r="J144" s="6">
        <x:v>2017</x:v>
      </x:c>
      <x:c r="K144" s="17">
        <x:v>0</x:v>
      </x:c>
      <x:c r="L144" s="11">
        <x:v>0</x:v>
      </x:c>
      <x:c r="M144" s="17">
        <x:v>0</x:v>
      </x:c>
      <x:c r="N144" s="17" t="s">
        <x:v>41</x:v>
      </x:c>
      <x:c r="O144" s="6" t="s">
        <x:v>42</x:v>
      </x:c>
      <x:c r="P144" s="6"/>
      <x:c r="Q144" s="23" t="s">
        <x:v>43</x:v>
      </x:c>
      <x:c r="R144" s="23"/>
      <x:c r="S144" s="20"/>
      <x:c r="T144" s="11"/>
      <x:c r="U144" s="11"/>
      <x:c r="V144" s="11">
        <x:v>-2.0997479999999999</x:v>
      </x:c>
      <x:c r="W144" s="11">
        <x:v>106.078397</x:v>
      </x:c>
      <x:c r="X144" s="65"/>
      <x:c r="Y144" s="29"/>
      <x:c r="Z144" s="51"/>
      <x:c r="AA144" s="53"/>
      <x:c r="AB144" s="56"/>
      <x:c r="AC144">
        <x:f t="shared" si="8"/>
        <x:v>0</x:v>
      </x:c>
      <x:c r="AD144">
        <x:f t="shared" si="9"/>
        <x:v>0</x:v>
      </x:c>
    </x:row>
    <x:row r="145" ht="9.75" customHeight="1">
      <x:c r="A145" s="32">
        <x:v>140</x:v>
      </x:c>
      <x:c r="B145" s="11" t="s">
        <x:v>398</x:v>
      </x:c>
      <x:c r="C145" s="6" t="s">
        <x:v>170</x:v>
      </x:c>
      <x:c r="D145" s="11" t="s">
        <x:v>60</x:v>
      </x:c>
      <x:c r="E145" s="11" t="s">
        <x:v>91</x:v>
      </x:c>
      <x:c r="F145" s="6" t="s">
        <x:v>392</x:v>
      </x:c>
      <x:c r="G145" s="6" t="s">
        <x:v>393</x:v>
      </x:c>
      <x:c r="H145" s="17" t="s">
        <x:v>394</x:v>
      </x:c>
      <x:c r="I145" s="17" t="s">
        <x:v>86</x:v>
      </x:c>
      <x:c r="J145" s="6" t="s">
        <x:v>42</x:v>
      </x:c>
      <x:c r="K145" s="17">
        <x:v>500</x:v>
      </x:c>
      <x:c r="L145" s="11">
        <x:v>0</x:v>
      </x:c>
      <x:c r="M145" s="17">
        <x:v>0</x:v>
      </x:c>
      <x:c r="N145" s="17" t="s">
        <x:v>41</x:v>
      </x:c>
      <x:c r="O145" s="6" t="s">
        <x:v>42</x:v>
      </x:c>
      <x:c r="P145" s="6"/>
      <x:c r="Q145" s="23" t="s">
        <x:v>72</x:v>
      </x:c>
      <x:c r="R145" s="23"/>
      <x:c r="S145" s="20"/>
      <x:c r="T145" s="11"/>
      <x:c r="U145" s="11"/>
      <x:c r="V145" s="11">
        <x:v>-2.084654</x:v>
      </x:c>
      <x:c r="W145" s="11">
        <x:v>106.113918</x:v>
      </x:c>
      <x:c r="X145" s="65"/>
      <x:c r="Y145" s="29"/>
      <x:c r="Z145" s="51"/>
      <x:c r="AA145" s="53"/>
      <x:c r="AB145" s="56"/>
      <x:c r="AC145">
        <x:f t="shared" si="8"/>
        <x:v>0</x:v>
      </x:c>
      <x:c r="AD145">
        <x:f t="shared" si="9"/>
        <x:v>0</x:v>
      </x:c>
    </x:row>
    <x:row r="146" ht="9.75" customHeight="1">
      <x:c r="A146" s="32">
        <x:v>141</x:v>
      </x:c>
      <x:c r="B146" s="11" t="s">
        <x:v>399</x:v>
      </x:c>
      <x:c r="C146" s="6" t="s">
        <x:v>170</x:v>
      </x:c>
      <x:c r="D146" s="11" t="s">
        <x:v>81</x:v>
      </x:c>
      <x:c r="E146" s="11" t="s">
        <x:v>400</x:v>
      </x:c>
      <x:c r="F146" s="6" t="s">
        <x:v>401</x:v>
      </x:c>
      <x:c r="G146" s="6" t="s">
        <x:v>402</x:v>
      </x:c>
      <x:c r="H146" s="17" t="s">
        <x:v>403</x:v>
      </x:c>
      <x:c r="I146" s="17" t="s">
        <x:v>42</x:v>
      </x:c>
      <x:c r="J146" s="6">
        <x:v>2024</x:v>
      </x:c>
      <x:c r="K146" s="17">
        <x:v>237</x:v>
      </x:c>
      <x:c r="L146" s="11">
        <x:v>0</x:v>
      </x:c>
      <x:c r="M146" s="17">
        <x:v>0</x:v>
      </x:c>
      <x:c r="N146" s="17" t="s">
        <x:v>41</x:v>
      </x:c>
      <x:c r="O146" s="6" t="s">
        <x:v>42</x:v>
      </x:c>
      <x:c r="P146" s="6"/>
      <x:c r="Q146" s="23" t="s">
        <x:v>43</x:v>
      </x:c>
      <x:c r="R146" s="23"/>
      <x:c r="S146" s="20"/>
      <x:c r="T146" s="11"/>
      <x:c r="U146" s="11"/>
      <x:c r="V146" s="11">
        <x:v>-2.1326553000000001</x:v>
      </x:c>
      <x:c r="W146" s="11">
        <x:v>106.1247745</x:v>
      </x:c>
      <x:c r="X146" s="65"/>
      <x:c r="Y146" s="29"/>
      <x:c r="Z146" s="51"/>
      <x:c r="AA146" s="53"/>
      <x:c r="AB146" s="56"/>
      <x:c r="AC146">
        <x:f t="shared" si="8"/>
        <x:v>0</x:v>
      </x:c>
      <x:c r="AD146">
        <x:f t="shared" si="9"/>
        <x:v>0</x:v>
      </x:c>
    </x:row>
    <x:row r="147" ht="9.75" customHeight="1">
      <x:c r="A147" s="32">
        <x:v>142</x:v>
      </x:c>
      <x:c r="B147" s="11" t="s">
        <x:v>404</x:v>
      </x:c>
      <x:c r="C147" s="6" t="s">
        <x:v>34</x:v>
      </x:c>
      <x:c r="D147" s="11" t="s">
        <x:v>35</x:v>
      </x:c>
      <x:c r="E147" s="11" t="s">
        <x:v>46</x:v>
      </x:c>
      <x:c r="F147" s="6" t="s">
        <x:v>405</x:v>
      </x:c>
      <x:c r="G147" s="6" t="s">
        <x:v>406</x:v>
      </x:c>
      <x:c r="H147" s="17" t="s">
        <x:v>407</x:v>
      </x:c>
      <x:c r="I147" s="17" t="s">
        <x:v>196</x:v>
      </x:c>
      <x:c r="J147" s="6">
        <x:v>2025</x:v>
      </x:c>
      <x:c r="K147" s="17">
        <x:v>72</x:v>
      </x:c>
      <x:c r="L147" s="11">
        <x:v>0</x:v>
      </x:c>
      <x:c r="M147" s="17">
        <x:v>0</x:v>
      </x:c>
      <x:c r="N147" s="17" t="s">
        <x:v>41</x:v>
      </x:c>
      <x:c r="O147" s="6" t="s">
        <x:v>42</x:v>
      </x:c>
      <x:c r="P147" s="6"/>
      <x:c r="Q147" s="23" t="s">
        <x:v>43</x:v>
      </x:c>
      <x:c r="R147" s="23"/>
      <x:c r="S147" s="20"/>
      <x:c r="T147" s="11"/>
      <x:c r="U147" s="11"/>
      <x:c r="V147" s="11"/>
      <x:c r="W147" s="11"/>
      <x:c r="X147" s="65"/>
      <x:c r="Y147" s="29"/>
      <x:c r="Z147" s="51"/>
      <x:c r="AA147" s="53"/>
      <x:c r="AB147" s="56"/>
      <x:c r="AC147">
        <x:f t="shared" si="8"/>
        <x:v>0</x:v>
      </x:c>
      <x:c r="AD147">
        <x:f t="shared" si="9"/>
        <x:v>0</x:v>
      </x:c>
    </x:row>
    <x:row r="148" ht="9.75" customHeight="1">
      <x:c r="A148" s="32">
        <x:v>143</x:v>
      </x:c>
      <x:c r="B148" s="11" t="s">
        <x:v>408</x:v>
      </x:c>
      <x:c r="C148" s="6" t="s">
        <x:v>34</x:v>
      </x:c>
      <x:c r="D148" s="11" t="s">
        <x:v>35</x:v>
      </x:c>
      <x:c r="E148" s="11" t="s">
        <x:v>46</x:v>
      </x:c>
      <x:c r="F148" s="6" t="s">
        <x:v>409</x:v>
      </x:c>
      <x:c r="G148" s="6" t="s">
        <x:v>410</x:v>
      </x:c>
      <x:c r="H148" s="17" t="s">
        <x:v>411</x:v>
      </x:c>
      <x:c r="I148" s="17" t="s">
        <x:v>166</x:v>
      </x:c>
      <x:c r="J148" s="6">
        <x:v>2017</x:v>
      </x:c>
      <x:c r="K148" s="17">
        <x:v>0</x:v>
      </x:c>
      <x:c r="L148" s="11">
        <x:v>80</x:v>
      </x:c>
      <x:c r="M148" s="17">
        <x:v>80</x:v>
      </x:c>
      <x:c r="N148" s="17" t="s">
        <x:v>41</x:v>
      </x:c>
      <x:c r="O148" s="6" t="s">
        <x:v>42</x:v>
      </x:c>
      <x:c r="P148" s="6"/>
      <x:c r="Q148" s="23" t="s">
        <x:v>43</x:v>
      </x:c>
      <x:c r="R148" s="23"/>
      <x:c r="S148" s="20"/>
      <x:c r="T148" s="11"/>
      <x:c r="U148" s="11"/>
      <x:c r="V148" s="11">
        <x:v>-2.1151049999999998</x:v>
      </x:c>
      <x:c r="W148" s="11">
        <x:v>106.081965</x:v>
      </x:c>
      <x:c r="X148" s="65"/>
      <x:c r="Y148" s="29"/>
      <x:c r="Z148" s="51"/>
      <x:c r="AA148" s="53"/>
      <x:c r="AB148" s="56"/>
      <x:c r="AC148">
        <x:f t="shared" si="8"/>
        <x:v>0</x:v>
      </x:c>
      <x:c r="AD148">
        <x:f t="shared" si="9"/>
        <x:v>1</x:v>
      </x:c>
    </x:row>
    <x:row r="149" ht="9.75" customHeight="1">
      <x:c r="A149" s="32">
        <x:v>144</x:v>
      </x:c>
      <x:c r="B149" s="11" t="s">
        <x:v>412</x:v>
      </x:c>
      <x:c r="C149" s="6" t="s">
        <x:v>34</x:v>
      </x:c>
      <x:c r="D149" s="11" t="s">
        <x:v>35</x:v>
      </x:c>
      <x:c r="E149" s="11" t="s">
        <x:v>46</x:v>
      </x:c>
      <x:c r="F149" s="6" t="s">
        <x:v>104</x:v>
      </x:c>
      <x:c r="G149" s="6" t="s">
        <x:v>410</x:v>
      </x:c>
      <x:c r="H149" s="17" t="s">
        <x:v>411</x:v>
      </x:c>
      <x:c r="I149" s="17" t="s">
        <x:v>166</x:v>
      </x:c>
      <x:c r="J149" s="6">
        <x:v>2017</x:v>
      </x:c>
      <x:c r="K149" s="17">
        <x:v>0</x:v>
      </x:c>
      <x:c r="L149" s="11">
        <x:v>32</x:v>
      </x:c>
      <x:c r="M149" s="17">
        <x:v>32</x:v>
      </x:c>
      <x:c r="N149" s="17" t="s">
        <x:v>41</x:v>
      </x:c>
      <x:c r="O149" s="6" t="s">
        <x:v>42</x:v>
      </x:c>
      <x:c r="P149" s="6"/>
      <x:c r="Q149" s="23" t="s">
        <x:v>72</x:v>
      </x:c>
      <x:c r="R149" s="23" t="s">
        <x:v>88</x:v>
      </x:c>
      <x:c r="S149" s="20"/>
      <x:c r="T149" s="11"/>
      <x:c r="U149" s="11"/>
      <x:c r="V149" s="11">
        <x:v>-2.1158537000000002</x:v>
      </x:c>
      <x:c r="W149" s="11">
        <x:v>106.0816123</x:v>
      </x:c>
      <x:c r="X149" s="65"/>
      <x:c r="Y149" s="29"/>
      <x:c r="Z149" s="51"/>
      <x:c r="AA149" s="53"/>
      <x:c r="AB149" s="56"/>
      <x:c r="AC149">
        <x:f t="shared" si="8"/>
        <x:v>0</x:v>
      </x:c>
      <x:c r="AD149">
        <x:f t="shared" si="9"/>
        <x:v>1</x:v>
      </x:c>
    </x:row>
    <x:row r="150" ht="9.75" customHeight="1">
      <x:c r="A150" s="32">
        <x:v>145</x:v>
      </x:c>
      <x:c r="B150" s="11" t="s">
        <x:v>413</x:v>
      </x:c>
      <x:c r="C150" s="6" t="s">
        <x:v>34</x:v>
      </x:c>
      <x:c r="D150" s="11" t="s">
        <x:v>35</x:v>
      </x:c>
      <x:c r="E150" s="11" t="s">
        <x:v>46</x:v>
      </x:c>
      <x:c r="F150" s="6" t="s">
        <x:v>104</x:v>
      </x:c>
      <x:c r="G150" s="6" t="s">
        <x:v>410</x:v>
      </x:c>
      <x:c r="H150" s="17" t="s">
        <x:v>411</x:v>
      </x:c>
      <x:c r="I150" s="17" t="s">
        <x:v>166</x:v>
      </x:c>
      <x:c r="J150" s="6">
        <x:v>2018</x:v>
      </x:c>
      <x:c r="K150" s="17">
        <x:v>80</x:v>
      </x:c>
      <x:c r="L150" s="11">
        <x:v>58</x:v>
      </x:c>
      <x:c r="M150" s="17">
        <x:v>35</x:v>
      </x:c>
      <x:c r="N150" s="17" t="s">
        <x:v>41</x:v>
      </x:c>
      <x:c r="O150" s="6" t="s">
        <x:v>42</x:v>
      </x:c>
      <x:c r="P150" s="6"/>
      <x:c r="Q150" s="23" t="s">
        <x:v>43</x:v>
      </x:c>
      <x:c r="R150" s="23"/>
      <x:c r="S150" s="20"/>
      <x:c r="T150" s="11"/>
      <x:c r="U150" s="11"/>
      <x:c r="V150" s="11">
        <x:v>-2.1149426999999998</x:v>
      </x:c>
      <x:c r="W150" s="11">
        <x:v>106.08137979999999</x:v>
      </x:c>
      <x:c r="X150" s="65"/>
      <x:c r="Y150" s="29"/>
      <x:c r="Z150" s="51"/>
      <x:c r="AA150" s="53"/>
      <x:c r="AB150" s="56"/>
      <x:c r="AC150">
        <x:f t="shared" si="8"/>
        <x:v>0.72499999999999998</x:v>
      </x:c>
      <x:c r="AD150">
        <x:f t="shared" si="9"/>
        <x:v>0.60344827586206895</x:v>
      </x:c>
    </x:row>
    <x:row r="151" ht="9.75" customHeight="1">
      <x:c r="A151" s="32">
        <x:v>146</x:v>
      </x:c>
      <x:c r="B151" s="11" t="s">
        <x:v>414</x:v>
      </x:c>
      <x:c r="C151" s="6" t="s">
        <x:v>34</x:v>
      </x:c>
      <x:c r="D151" s="11" t="s">
        <x:v>81</x:v>
      </x:c>
      <x:c r="E151" s="11" t="s">
        <x:v>202</x:v>
      </x:c>
      <x:c r="F151" s="6" t="s">
        <x:v>415</x:v>
      </x:c>
      <x:c r="G151" s="6" t="s">
        <x:v>416</x:v>
      </x:c>
      <x:c r="H151" s="17" t="s">
        <x:v>417</x:v>
      </x:c>
      <x:c r="I151" s="17" t="s">
        <x:v>112</x:v>
      </x:c>
      <x:c r="J151" s="6">
        <x:v>2017</x:v>
      </x:c>
      <x:c r="K151" s="17">
        <x:v>47</x:v>
      </x:c>
      <x:c r="L151" s="11">
        <x:v>47</x:v>
      </x:c>
      <x:c r="M151" s="17">
        <x:v>47</x:v>
      </x:c>
      <x:c r="N151" s="17" t="s">
        <x:v>41</x:v>
      </x:c>
      <x:c r="O151" s="6" t="s">
        <x:v>42</x:v>
      </x:c>
      <x:c r="P151" s="6"/>
      <x:c r="Q151" s="23" t="s">
        <x:v>43</x:v>
      </x:c>
      <x:c r="R151" s="23"/>
      <x:c r="S151" s="20"/>
      <x:c r="T151" s="11"/>
      <x:c r="U151" s="11"/>
      <x:c r="V151" s="11">
        <x:v>-2.1373600000000001</x:v>
      </x:c>
      <x:c r="W151" s="11">
        <x:v>106.157115</x:v>
      </x:c>
      <x:c r="X151" s="65"/>
      <x:c r="Y151" s="29"/>
      <x:c r="Z151" s="51"/>
      <x:c r="AA151" s="53"/>
      <x:c r="AB151" s="56"/>
      <x:c r="AC151">
        <x:f t="shared" si="8"/>
        <x:v>1</x:v>
      </x:c>
      <x:c r="AD151">
        <x:f t="shared" si="9"/>
        <x:v>1</x:v>
      </x:c>
    </x:row>
    <x:row r="152" ht="9.75" customHeight="1">
      <x:c r="A152" s="32">
        <x:v>147</x:v>
      </x:c>
      <x:c r="B152" s="11" t="s">
        <x:v>418</x:v>
      </x:c>
      <x:c r="C152" s="6" t="s">
        <x:v>34</x:v>
      </x:c>
      <x:c r="D152" s="11" t="s">
        <x:v>81</x:v>
      </x:c>
      <x:c r="E152" s="11" t="s">
        <x:v>202</x:v>
      </x:c>
      <x:c r="F152" s="6" t="s">
        <x:v>129</x:v>
      </x:c>
      <x:c r="G152" s="6" t="s">
        <x:v>419</x:v>
      </x:c>
      <x:c r="H152" s="17" t="s">
        <x:v>417</x:v>
      </x:c>
      <x:c r="I152" s="17" t="s">
        <x:v>112</x:v>
      </x:c>
      <x:c r="J152" s="6">
        <x:v>2017</x:v>
      </x:c>
      <x:c r="K152" s="17">
        <x:v>62</x:v>
      </x:c>
      <x:c r="L152" s="11">
        <x:v>60</x:v>
      </x:c>
      <x:c r="M152" s="17">
        <x:v>55</x:v>
      </x:c>
      <x:c r="N152" s="17" t="s">
        <x:v>41</x:v>
      </x:c>
      <x:c r="O152" s="6" t="s">
        <x:v>42</x:v>
      </x:c>
      <x:c r="P152" s="6"/>
      <x:c r="Q152" s="23" t="s">
        <x:v>43</x:v>
      </x:c>
      <x:c r="R152" s="23"/>
      <x:c r="S152" s="20"/>
      <x:c r="T152" s="11"/>
      <x:c r="U152" s="11"/>
      <x:c r="V152" s="11">
        <x:v>-2.1294439999999999</x:v>
      </x:c>
      <x:c r="W152" s="11">
        <x:v>106.1604487</x:v>
      </x:c>
      <x:c r="X152" s="65"/>
      <x:c r="Y152" s="29"/>
      <x:c r="Z152" s="51"/>
      <x:c r="AA152" s="53"/>
      <x:c r="AB152" s="56"/>
      <x:c r="AC152">
        <x:f t="shared" si="8"/>
        <x:v>0.967741935483871</x:v>
      </x:c>
      <x:c r="AD152">
        <x:f t="shared" si="9"/>
        <x:v>0.91666666666666663</x:v>
      </x:c>
    </x:row>
    <x:row r="153" ht="9.75" customHeight="1">
      <x:c r="A153" s="32">
        <x:v>148</x:v>
      </x:c>
      <x:c r="B153" s="11" t="s">
        <x:v>420</x:v>
      </x:c>
      <x:c r="C153" s="6" t="s">
        <x:v>34</x:v>
      </x:c>
      <x:c r="D153" s="11" t="s">
        <x:v>81</x:v>
      </x:c>
      <x:c r="E153" s="11" t="s">
        <x:v>122</x:v>
      </x:c>
      <x:c r="F153" s="6" t="s">
        <x:v>421</x:v>
      </x:c>
      <x:c r="G153" s="6" t="s">
        <x:v>419</x:v>
      </x:c>
      <x:c r="H153" s="17" t="s">
        <x:v>417</x:v>
      </x:c>
      <x:c r="I153" s="17" t="s">
        <x:v>112</x:v>
      </x:c>
      <x:c r="J153" s="6">
        <x:v>2018</x:v>
      </x:c>
      <x:c r="K153" s="17">
        <x:v>62</x:v>
      </x:c>
      <x:c r="L153" s="11">
        <x:v>60</x:v>
      </x:c>
      <x:c r="M153" s="17">
        <x:v>0</x:v>
      </x:c>
      <x:c r="N153" s="17" t="s">
        <x:v>41</x:v>
      </x:c>
      <x:c r="O153" s="6" t="s">
        <x:v>42</x:v>
      </x:c>
      <x:c r="P153" s="6"/>
      <x:c r="Q153" s="23" t="s">
        <x:v>43</x:v>
      </x:c>
      <x:c r="R153" s="23"/>
      <x:c r="S153" s="20"/>
      <x:c r="T153" s="11"/>
      <x:c r="U153" s="11"/>
      <x:c r="V153" s="11">
        <x:v>-2.1298411000000002</x:v>
      </x:c>
      <x:c r="W153" s="11">
        <x:v>106.15998329999999</x:v>
      </x:c>
      <x:c r="X153" s="65"/>
      <x:c r="Y153" s="29"/>
      <x:c r="Z153" s="51"/>
      <x:c r="AA153" s="53"/>
      <x:c r="AB153" s="56"/>
      <x:c r="AC153">
        <x:f t="shared" si="8"/>
        <x:v>0.967741935483871</x:v>
      </x:c>
      <x:c r="AD153">
        <x:f t="shared" si="9"/>
        <x:v>0</x:v>
      </x:c>
    </x:row>
    <x:row r="154" ht="9.75" customHeight="1">
      <x:c r="A154" s="32">
        <x:v>149</x:v>
      </x:c>
      <x:c r="B154" s="11" t="s">
        <x:v>422</x:v>
      </x:c>
      <x:c r="C154" s="6" t="s">
        <x:v>34</x:v>
      </x:c>
      <x:c r="D154" s="11" t="s">
        <x:v>81</x:v>
      </x:c>
      <x:c r="E154" s="11" t="s">
        <x:v>122</x:v>
      </x:c>
      <x:c r="F154" s="6" t="s">
        <x:v>421</x:v>
      </x:c>
      <x:c r="G154" s="6" t="s">
        <x:v>419</x:v>
      </x:c>
      <x:c r="H154" s="17" t="s">
        <x:v>417</x:v>
      </x:c>
      <x:c r="I154" s="17" t="s">
        <x:v>112</x:v>
      </x:c>
      <x:c r="J154" s="6">
        <x:v>2019</x:v>
      </x:c>
      <x:c r="K154" s="17">
        <x:v>53</x:v>
      </x:c>
      <x:c r="L154" s="11">
        <x:v>45</x:v>
      </x:c>
      <x:c r="M154" s="17">
        <x:v>39</x:v>
      </x:c>
      <x:c r="N154" s="17" t="s">
        <x:v>41</x:v>
      </x:c>
      <x:c r="O154" s="6" t="s">
        <x:v>42</x:v>
      </x:c>
      <x:c r="P154" s="6"/>
      <x:c r="Q154" s="23" t="s">
        <x:v>43</x:v>
      </x:c>
      <x:c r="R154" s="23" t="s">
        <x:v>88</x:v>
      </x:c>
      <x:c r="S154" s="20"/>
      <x:c r="T154" s="11"/>
      <x:c r="U154" s="11"/>
      <x:c r="V154" s="11">
        <x:v>-2.130566</x:v>
      </x:c>
      <x:c r="W154" s="11">
        <x:v>106.16054800000001</x:v>
      </x:c>
      <x:c r="X154" s="65"/>
      <x:c r="Y154" s="29"/>
      <x:c r="Z154" s="51"/>
      <x:c r="AA154" s="53"/>
      <x:c r="AB154" s="56"/>
      <x:c r="AC154">
        <x:f t="shared" si="8"/>
        <x:v>0.84905660377358494</x:v>
      </x:c>
      <x:c r="AD154">
        <x:f t="shared" si="9"/>
        <x:v>0.8666666666666667</x:v>
      </x:c>
    </x:row>
    <x:row r="155" ht="9.75" customHeight="1">
      <x:c r="A155" s="32">
        <x:v>150</x:v>
      </x:c>
      <x:c r="B155" s="11" t="s">
        <x:v>423</x:v>
      </x:c>
      <x:c r="C155" s="6" t="s">
        <x:v>34</x:v>
      </x:c>
      <x:c r="D155" s="11" t="s">
        <x:v>35</x:v>
      </x:c>
      <x:c r="E155" s="11" t="s">
        <x:v>36</x:v>
      </x:c>
      <x:c r="F155" s="6" t="s">
        <x:v>389</x:v>
      </x:c>
      <x:c r="G155" s="6" t="s">
        <x:v>390</x:v>
      </x:c>
      <x:c r="H155" s="17" t="s">
        <x:v>424</x:v>
      </x:c>
      <x:c r="I155" s="17" t="s">
        <x:v>65</x:v>
      </x:c>
      <x:c r="J155" s="6">
        <x:v>2019</x:v>
      </x:c>
      <x:c r="K155" s="17">
        <x:v>130</x:v>
      </x:c>
      <x:c r="L155" s="11">
        <x:v>63</x:v>
      </x:c>
      <x:c r="M155" s="17">
        <x:v>63</x:v>
      </x:c>
      <x:c r="N155" s="17" t="s">
        <x:v>41</x:v>
      </x:c>
      <x:c r="O155" s="6" t="s">
        <x:v>42</x:v>
      </x:c>
      <x:c r="P155" s="6"/>
      <x:c r="Q155" s="23" t="s">
        <x:v>72</x:v>
      </x:c>
      <x:c r="R155" s="23" t="s">
        <x:v>88</x:v>
      </x:c>
      <x:c r="S155" s="20"/>
      <x:c r="T155" s="11"/>
      <x:c r="U155" s="11"/>
      <x:c r="V155" s="11">
        <x:v>-2.1078779999999999</x:v>
      </x:c>
      <x:c r="W155" s="11">
        <x:v>106.06042100000001</x:v>
      </x:c>
      <x:c r="X155" s="65"/>
      <x:c r="Y155" s="29"/>
      <x:c r="Z155" s="51"/>
      <x:c r="AA155" s="53"/>
      <x:c r="AB155" s="56"/>
      <x:c r="AC155">
        <x:f t="shared" si="8"/>
        <x:v>0.48461538461538461</x:v>
      </x:c>
      <x:c r="AD155">
        <x:f t="shared" si="9"/>
        <x:v>1</x:v>
      </x:c>
    </x:row>
    <x:row r="156" ht="9.75" customHeight="1">
      <x:c r="A156" s="32">
        <x:v>151</x:v>
      </x:c>
      <x:c r="B156" s="11" t="s">
        <x:v>425</x:v>
      </x:c>
      <x:c r="C156" s="6" t="s">
        <x:v>34</x:v>
      </x:c>
      <x:c r="D156" s="11" t="s">
        <x:v>35</x:v>
      </x:c>
      <x:c r="E156" s="11" t="s">
        <x:v>36</x:v>
      </x:c>
      <x:c r="F156" s="6" t="s">
        <x:v>42</x:v>
      </x:c>
      <x:c r="G156" s="6" t="s">
        <x:v>426</x:v>
      </x:c>
      <x:c r="H156" s="17" t="s">
        <x:v>427</x:v>
      </x:c>
      <x:c r="I156" s="17" t="s">
        <x:v>65</x:v>
      </x:c>
      <x:c r="J156" s="6">
        <x:v>2022</x:v>
      </x:c>
      <x:c r="K156" s="17">
        <x:v>99</x:v>
      </x:c>
      <x:c r="L156" s="11">
        <x:v>18</x:v>
      </x:c>
      <x:c r="M156" s="17">
        <x:v>18</x:v>
      </x:c>
      <x:c r="N156" s="17" t="s">
        <x:v>41</x:v>
      </x:c>
      <x:c r="O156" s="6" t="s">
        <x:v>42</x:v>
      </x:c>
      <x:c r="P156" s="6"/>
      <x:c r="Q156" s="23" t="s">
        <x:v>43</x:v>
      </x:c>
      <x:c r="R156" s="23" t="s">
        <x:v>88</x:v>
      </x:c>
      <x:c r="S156" s="20"/>
      <x:c r="T156" s="11"/>
      <x:c r="U156" s="11"/>
      <x:c r="V156" s="11">
        <x:v>-2.1125147000000002</x:v>
      </x:c>
      <x:c r="W156" s="11">
        <x:v>106.07043590000001</x:v>
      </x:c>
      <x:c r="X156" s="65"/>
      <x:c r="Y156" s="29"/>
      <x:c r="Z156" s="51"/>
      <x:c r="AA156" s="53"/>
      <x:c r="AB156" s="56"/>
      <x:c r="AC156">
        <x:f t="shared" si="8"/>
        <x:v>0.18181818181818182</x:v>
      </x:c>
      <x:c r="AD156">
        <x:f t="shared" si="9"/>
        <x:v>1</x:v>
      </x:c>
    </x:row>
    <x:row r="157" ht="9.75" customHeight="1">
      <x:c r="A157" s="32">
        <x:v>152</x:v>
      </x:c>
      <x:c r="B157" s="11" t="s">
        <x:v>428</x:v>
      </x:c>
      <x:c r="C157" s="6" t="s">
        <x:v>34</x:v>
      </x:c>
      <x:c r="D157" s="11" t="s">
        <x:v>35</x:v>
      </x:c>
      <x:c r="E157" s="11" t="s">
        <x:v>36</x:v>
      </x:c>
      <x:c r="F157" s="6" t="s">
        <x:v>389</x:v>
      </x:c>
      <x:c r="G157" s="6" t="s">
        <x:v>390</x:v>
      </x:c>
      <x:c r="H157" s="17" t="s">
        <x:v>424</x:v>
      </x:c>
      <x:c r="I157" s="17" t="s">
        <x:v>65</x:v>
      </x:c>
      <x:c r="J157" s="6">
        <x:v>2020</x:v>
      </x:c>
      <x:c r="K157" s="17">
        <x:v>92</x:v>
      </x:c>
      <x:c r="L157" s="11">
        <x:v>85</x:v>
      </x:c>
      <x:c r="M157" s="17">
        <x:v>85</x:v>
      </x:c>
      <x:c r="N157" s="17" t="s">
        <x:v>41</x:v>
      </x:c>
      <x:c r="O157" s="6" t="s">
        <x:v>42</x:v>
      </x:c>
      <x:c r="P157" s="6"/>
      <x:c r="Q157" s="23" t="s">
        <x:v>43</x:v>
      </x:c>
      <x:c r="R157" s="23" t="s">
        <x:v>88</x:v>
      </x:c>
      <x:c r="S157" s="20"/>
      <x:c r="T157" s="11"/>
      <x:c r="U157" s="11"/>
      <x:c r="V157" s="11">
        <x:v>-2.1084619999999998</x:v>
      </x:c>
      <x:c r="W157" s="11">
        <x:v>106.062211</x:v>
      </x:c>
      <x:c r="X157" s="65"/>
      <x:c r="Y157" s="29"/>
      <x:c r="Z157" s="51"/>
      <x:c r="AA157" s="53"/>
      <x:c r="AB157" s="56"/>
      <x:c r="AC157">
        <x:f t="shared" si="8"/>
        <x:v>0.92391304347826086</x:v>
      </x:c>
      <x:c r="AD157">
        <x:f t="shared" si="9"/>
        <x:v>1</x:v>
      </x:c>
    </x:row>
    <x:row r="158" ht="9.75" customHeight="1">
      <x:c r="A158" s="32">
        <x:v>153</x:v>
      </x:c>
      <x:c r="B158" s="11" t="s">
        <x:v>429</x:v>
      </x:c>
      <x:c r="C158" s="6" t="s">
        <x:v>34</x:v>
      </x:c>
      <x:c r="D158" s="11" t="s">
        <x:v>60</x:v>
      </x:c>
      <x:c r="E158" s="11" t="s">
        <x:v>267</x:v>
      </x:c>
      <x:c r="F158" s="6" t="s">
        <x:v>430</x:v>
      </x:c>
      <x:c r="G158" s="6" t="s">
        <x:v>431</x:v>
      </x:c>
      <x:c r="H158" s="17" t="s">
        <x:v>432</x:v>
      </x:c>
      <x:c r="I158" s="17" t="s">
        <x:v>112</x:v>
      </x:c>
      <x:c r="J158" s="6">
        <x:v>2018</x:v>
      </x:c>
      <x:c r="K158" s="17">
        <x:v>56</x:v>
      </x:c>
      <x:c r="L158" s="11">
        <x:v>32</x:v>
      </x:c>
      <x:c r="M158" s="17">
        <x:v>32</x:v>
      </x:c>
      <x:c r="N158" s="17" t="s">
        <x:v>41</x:v>
      </x:c>
      <x:c r="O158" s="6" t="s">
        <x:v>42</x:v>
      </x:c>
      <x:c r="P158" s="6"/>
      <x:c r="Q158" s="23" t="s">
        <x:v>43</x:v>
      </x:c>
      <x:c r="R158" s="23" t="s">
        <x:v>88</x:v>
      </x:c>
      <x:c r="S158" s="20"/>
      <x:c r="T158" s="11"/>
      <x:c r="U158" s="11"/>
      <x:c r="V158" s="11">
        <x:v>-2.0945735000000001</x:v>
      </x:c>
      <x:c r="W158" s="11">
        <x:v>106.113224</x:v>
      </x:c>
      <x:c r="X158" s="65"/>
      <x:c r="Y158" s="29"/>
      <x:c r="Z158" s="51"/>
      <x:c r="AA158" s="53"/>
      <x:c r="AB158" s="56"/>
      <x:c r="AC158">
        <x:f t="shared" si="8"/>
        <x:v>0.5714285714285714</x:v>
      </x:c>
      <x:c r="AD158">
        <x:f t="shared" si="9"/>
        <x:v>1</x:v>
      </x:c>
    </x:row>
    <x:row r="159" ht="9.75" customHeight="1">
      <x:c r="A159" s="32">
        <x:v>154</x:v>
      </x:c>
      <x:c r="B159" s="11" t="s">
        <x:v>433</x:v>
      </x:c>
      <x:c r="C159" s="6" t="s">
        <x:v>34</x:v>
      </x:c>
      <x:c r="D159" s="11" t="s">
        <x:v>35</x:v>
      </x:c>
      <x:c r="E159" s="11" t="s">
        <x:v>36</x:v>
      </x:c>
      <x:c r="F159" s="6" t="s">
        <x:v>310</x:v>
      </x:c>
      <x:c r="G159" s="6" t="s">
        <x:v>434</x:v>
      </x:c>
      <x:c r="H159" s="17" t="s">
        <x:v>435</x:v>
      </x:c>
      <x:c r="I159" s="17" t="s">
        <x:v>112</x:v>
      </x:c>
      <x:c r="J159" s="6">
        <x:v>2019</x:v>
      </x:c>
      <x:c r="K159" s="17">
        <x:v>36</x:v>
      </x:c>
      <x:c r="L159" s="11">
        <x:v>28</x:v>
      </x:c>
      <x:c r="M159" s="17">
        <x:v>28</x:v>
      </x:c>
      <x:c r="N159" s="17" t="s">
        <x:v>41</x:v>
      </x:c>
      <x:c r="O159" s="6" t="s">
        <x:v>42</x:v>
      </x:c>
      <x:c r="P159" s="6"/>
      <x:c r="Q159" s="23" t="s">
        <x:v>43</x:v>
      </x:c>
      <x:c r="R159" s="23" t="s">
        <x:v>88</x:v>
      </x:c>
      <x:c r="S159" s="20"/>
      <x:c r="T159" s="11"/>
      <x:c r="U159" s="11"/>
      <x:c r="V159" s="11">
        <x:v>-2.1185654</x:v>
      </x:c>
      <x:c r="W159" s="11">
        <x:v>106.0760401</x:v>
      </x:c>
      <x:c r="X159" s="65"/>
      <x:c r="Y159" s="29"/>
      <x:c r="Z159" s="51"/>
      <x:c r="AA159" s="53"/>
      <x:c r="AB159" s="56"/>
      <x:c r="AC159">
        <x:f t="shared" si="8"/>
        <x:v>0.77777777777777779</x:v>
      </x:c>
      <x:c r="AD159">
        <x:f t="shared" si="9"/>
        <x:v>1</x:v>
      </x:c>
    </x:row>
    <x:row r="160" ht="9.75" customHeight="1">
      <x:c r="A160" s="32">
        <x:v>155</x:v>
      </x:c>
      <x:c r="B160" s="11" t="s">
        <x:v>436</x:v>
      </x:c>
      <x:c r="C160" s="6" t="s">
        <x:v>170</x:v>
      </x:c>
      <x:c r="D160" s="11" t="s">
        <x:v>81</x:v>
      </x:c>
      <x:c r="E160" s="11" t="s">
        <x:v>82</x:v>
      </x:c>
      <x:c r="F160" s="6" t="s">
        <x:v>437</x:v>
      </x:c>
      <x:c r="G160" s="6" t="s">
        <x:v>42</x:v>
      </x:c>
      <x:c r="H160" s="17" t="s">
        <x:v>42</x:v>
      </x:c>
      <x:c r="I160" s="17" t="s">
        <x:v>42</x:v>
      </x:c>
      <x:c r="J160" s="6" t="s">
        <x:v>438</x:v>
      </x:c>
      <x:c r="K160" s="17">
        <x:v>70</x:v>
      </x:c>
      <x:c r="L160" s="11">
        <x:v>0</x:v>
      </x:c>
      <x:c r="M160" s="17">
        <x:v>0</x:v>
      </x:c>
      <x:c r="N160" s="17" t="s">
        <x:v>41</x:v>
      </x:c>
      <x:c r="O160" s="6" t="s">
        <x:v>42</x:v>
      </x:c>
      <x:c r="P160" s="6"/>
      <x:c r="Q160" s="23" t="s">
        <x:v>72</x:v>
      </x:c>
      <x:c r="R160" s="23"/>
      <x:c r="S160" s="20"/>
      <x:c r="T160" s="11"/>
      <x:c r="U160" s="11"/>
      <x:c r="V160" s="11"/>
      <x:c r="W160" s="11"/>
      <x:c r="X160" s="65"/>
      <x:c r="Y160" s="29"/>
      <x:c r="Z160" s="51"/>
      <x:c r="AA160" s="53"/>
      <x:c r="AB160" s="56"/>
      <x:c r="AC160">
        <x:f t="shared" si="8"/>
        <x:v>0</x:v>
      </x:c>
      <x:c r="AD160">
        <x:f t="shared" si="9"/>
        <x:v>0</x:v>
      </x:c>
    </x:row>
    <x:row r="161" ht="9.75" customHeight="1">
      <x:c r="A161" s="32">
        <x:v>156</x:v>
      </x:c>
      <x:c r="B161" s="11" t="s">
        <x:v>439</x:v>
      </x:c>
      <x:c r="C161" s="6" t="s">
        <x:v>34</x:v>
      </x:c>
      <x:c r="D161" s="11" t="s">
        <x:v>306</x:v>
      </x:c>
      <x:c r="E161" s="11" t="s">
        <x:v>307</x:v>
      </x:c>
      <x:c r="F161" s="6" t="s">
        <x:v>440</x:v>
      </x:c>
      <x:c r="G161" s="6" t="s">
        <x:v>441</x:v>
      </x:c>
      <x:c r="H161" s="17" t="s">
        <x:v>442</x:v>
      </x:c>
      <x:c r="I161" s="17" t="s">
        <x:v>42</x:v>
      </x:c>
      <x:c r="J161" s="6">
        <x:v>2017</x:v>
      </x:c>
      <x:c r="K161" s="17">
        <x:v>23</x:v>
      </x:c>
      <x:c r="L161" s="11">
        <x:v>23</x:v>
      </x:c>
      <x:c r="M161" s="17">
        <x:v>23</x:v>
      </x:c>
      <x:c r="N161" s="17" t="s">
        <x:v>41</x:v>
      </x:c>
      <x:c r="O161" s="6" t="s">
        <x:v>42</x:v>
      </x:c>
      <x:c r="P161" s="6"/>
      <x:c r="Q161" s="23" t="s">
        <x:v>43</x:v>
      </x:c>
      <x:c r="R161" s="23" t="s">
        <x:v>88</x:v>
      </x:c>
      <x:c r="S161" s="20"/>
      <x:c r="T161" s="11"/>
      <x:c r="U161" s="11"/>
      <x:c r="V161" s="11">
        <x:v>-2.1512880999999999</x:v>
      </x:c>
      <x:c r="W161" s="11">
        <x:v>106.1042964</x:v>
      </x:c>
      <x:c r="X161" s="65"/>
      <x:c r="Y161" s="29"/>
      <x:c r="Z161" s="51"/>
      <x:c r="AA161" s="53"/>
      <x:c r="AB161" s="56"/>
      <x:c r="AC161">
        <x:f t="shared" si="8"/>
        <x:v>1</x:v>
      </x:c>
      <x:c r="AD161">
        <x:f t="shared" si="9"/>
        <x:v>1</x:v>
      </x:c>
    </x:row>
    <x:row r="162" ht="9.75" customHeight="1">
      <x:c r="A162" s="32">
        <x:v>157</x:v>
      </x:c>
      <x:c r="B162" s="11" t="s">
        <x:v>443</x:v>
      </x:c>
      <x:c r="C162" s="6" t="s">
        <x:v>34</x:v>
      </x:c>
      <x:c r="D162" s="11" t="s">
        <x:v>81</x:v>
      </x:c>
      <x:c r="E162" s="11" t="s">
        <x:v>202</x:v>
      </x:c>
      <x:c r="F162" s="6" t="s">
        <x:v>421</x:v>
      </x:c>
      <x:c r="G162" s="6" t="s">
        <x:v>42</x:v>
      </x:c>
      <x:c r="H162" s="17" t="s">
        <x:v>42</x:v>
      </x:c>
      <x:c r="I162" s="17" t="s">
        <x:v>42</x:v>
      </x:c>
      <x:c r="J162" s="6">
        <x:v>2016</x:v>
      </x:c>
      <x:c r="K162" s="17">
        <x:v>25</x:v>
      </x:c>
      <x:c r="L162" s="11">
        <x:v>0</x:v>
      </x:c>
      <x:c r="M162" s="17">
        <x:v>0</x:v>
      </x:c>
      <x:c r="N162" s="17" t="s">
        <x:v>41</x:v>
      </x:c>
      <x:c r="O162" s="6" t="s">
        <x:v>42</x:v>
      </x:c>
      <x:c r="P162" s="6"/>
      <x:c r="Q162" s="23" t="s">
        <x:v>43</x:v>
      </x:c>
      <x:c r="R162" s="23"/>
      <x:c r="S162" s="20"/>
      <x:c r="T162" s="11"/>
      <x:c r="U162" s="11"/>
      <x:c r="V162" s="11">
        <x:v>-2.1308129999999998</x:v>
      </x:c>
      <x:c r="W162" s="11">
        <x:v>106.162803</x:v>
      </x:c>
      <x:c r="X162" s="65"/>
      <x:c r="Y162" s="29"/>
      <x:c r="Z162" s="51"/>
      <x:c r="AA162" s="53"/>
      <x:c r="AB162" s="56"/>
      <x:c r="AC162">
        <x:f t="shared" si="8"/>
        <x:v>0</x:v>
      </x:c>
      <x:c r="AD162">
        <x:f t="shared" si="9"/>
        <x:v>0</x:v>
      </x:c>
    </x:row>
    <x:row r="163" ht="9.75" customHeight="1">
      <x:c r="A163" s="32">
        <x:v>158</x:v>
      </x:c>
      <x:c r="B163" s="11" t="s">
        <x:v>444</x:v>
      </x:c>
      <x:c r="C163" s="6" t="s">
        <x:v>34</x:v>
      </x:c>
      <x:c r="D163" s="11" t="s">
        <x:v>60</x:v>
      </x:c>
      <x:c r="E163" s="11" t="s">
        <x:v>267</x:v>
      </x:c>
      <x:c r="F163" s="6" t="s">
        <x:v>430</x:v>
      </x:c>
      <x:c r="G163" s="6" t="s">
        <x:v>445</x:v>
      </x:c>
      <x:c r="H163" s="17" t="s">
        <x:v>446</x:v>
      </x:c>
      <x:c r="I163" s="17" t="s">
        <x:v>196</x:v>
      </x:c>
      <x:c r="J163" s="6">
        <x:v>2019</x:v>
      </x:c>
      <x:c r="K163" s="17">
        <x:v>56</x:v>
      </x:c>
      <x:c r="L163" s="11">
        <x:v>56</x:v>
      </x:c>
      <x:c r="M163" s="17">
        <x:v>53</x:v>
      </x:c>
      <x:c r="N163" s="17" t="s">
        <x:v>48</x:v>
      </x:c>
      <x:c r="O163" s="6">
        <x:v>2022</x:v>
      </x:c>
      <x:c r="P163" s="6"/>
      <x:c r="Q163" s="23" t="s">
        <x:v>43</x:v>
      </x:c>
      <x:c r="R163" s="23" t="s">
        <x:v>113</x:v>
      </x:c>
      <x:c r="S163" s="20"/>
      <x:c r="T163" s="11"/>
      <x:c r="U163" s="11"/>
      <x:c r="V163" s="11">
        <x:v>-2.0915680000000001</x:v>
      </x:c>
      <x:c r="W163" s="11">
        <x:v>106.118658</x:v>
      </x:c>
      <x:c r="X163" s="65"/>
      <x:c r="Y163" s="29"/>
      <x:c r="Z163" s="51"/>
      <x:c r="AA163" s="53"/>
      <x:c r="AB163" s="56"/>
      <x:c r="AC163">
        <x:f t="shared" si="8"/>
        <x:v>1</x:v>
      </x:c>
      <x:c r="AD163">
        <x:f t="shared" si="9"/>
        <x:v>0.9464285714285714</x:v>
      </x:c>
    </x:row>
    <x:row r="164" ht="9.75" customHeight="1">
      <x:c r="A164" s="32">
        <x:v>159</x:v>
      </x:c>
      <x:c r="B164" s="11" t="s">
        <x:v>447</x:v>
      </x:c>
      <x:c r="C164" s="6" t="s">
        <x:v>34</x:v>
      </x:c>
      <x:c r="D164" s="11" t="s">
        <x:v>35</x:v>
      </x:c>
      <x:c r="E164" s="11" t="s">
        <x:v>36</x:v>
      </x:c>
      <x:c r="F164" s="6" t="s">
        <x:v>54</x:v>
      </x:c>
      <x:c r="G164" s="6" t="s">
        <x:v>448</x:v>
      </x:c>
      <x:c r="H164" s="17" t="s">
        <x:v>446</x:v>
      </x:c>
      <x:c r="I164" s="17" t="s">
        <x:v>196</x:v>
      </x:c>
      <x:c r="J164" s="6">
        <x:v>2020</x:v>
      </x:c>
      <x:c r="K164" s="17">
        <x:v>54</x:v>
      </x:c>
      <x:c r="L164" s="11">
        <x:v>54</x:v>
      </x:c>
      <x:c r="M164" s="17">
        <x:v>54</x:v>
      </x:c>
      <x:c r="N164" s="17" t="s">
        <x:v>41</x:v>
      </x:c>
      <x:c r="O164" s="6" t="s">
        <x:v>42</x:v>
      </x:c>
      <x:c r="P164" s="6"/>
      <x:c r="Q164" s="23" t="s">
        <x:v>43</x:v>
      </x:c>
      <x:c r="R164" s="23"/>
      <x:c r="S164" s="20"/>
      <x:c r="T164" s="11" t="s">
        <x:v>44</x:v>
      </x:c>
      <x:c r="U164" s="11"/>
      <x:c r="V164" s="11">
        <x:v>-2.1000770000000002</x:v>
      </x:c>
      <x:c r="W164" s="11">
        <x:v>106.07646699999999</x:v>
      </x:c>
      <x:c r="X164" s="65"/>
      <x:c r="Y164" s="29"/>
      <x:c r="Z164" s="51"/>
      <x:c r="AA164" s="53"/>
      <x:c r="AB164" s="56"/>
      <x:c r="AC164">
        <x:f t="shared" si="8"/>
        <x:v>1</x:v>
      </x:c>
      <x:c r="AD164">
        <x:f t="shared" si="9"/>
        <x:v>1</x:v>
      </x:c>
    </x:row>
    <x:row r="165" ht="9.75" customHeight="1">
      <x:c r="A165" s="32">
        <x:v>160</x:v>
      </x:c>
      <x:c r="B165" s="11" t="s">
        <x:v>449</x:v>
      </x:c>
      <x:c r="C165" s="6" t="s">
        <x:v>34</x:v>
      </x:c>
      <x:c r="D165" s="11" t="s">
        <x:v>35</x:v>
      </x:c>
      <x:c r="E165" s="11" t="s">
        <x:v>36</x:v>
      </x:c>
      <x:c r="F165" s="6" t="s">
        <x:v>450</x:v>
      </x:c>
      <x:c r="G165" s="6" t="s">
        <x:v>448</x:v>
      </x:c>
      <x:c r="H165" s="17" t="s">
        <x:v>446</x:v>
      </x:c>
      <x:c r="I165" s="17" t="s">
        <x:v>196</x:v>
      </x:c>
      <x:c r="J165" s="6">
        <x:v>2022</x:v>
      </x:c>
      <x:c r="K165" s="17">
        <x:v>70</x:v>
      </x:c>
      <x:c r="L165" s="11">
        <x:v>51</x:v>
      </x:c>
      <x:c r="M165" s="17">
        <x:v>35</x:v>
      </x:c>
      <x:c r="N165" s="17" t="s">
        <x:v>41</x:v>
      </x:c>
      <x:c r="O165" s="6" t="s">
        <x:v>42</x:v>
      </x:c>
      <x:c r="P165" s="6"/>
      <x:c r="Q165" s="23" t="s">
        <x:v>43</x:v>
      </x:c>
      <x:c r="R165" s="23"/>
      <x:c r="S165" s="20"/>
      <x:c r="T165" s="11"/>
      <x:c r="U165" s="11"/>
      <x:c r="V165" s="11">
        <x:v>-2.0998857000000002</x:v>
      </x:c>
      <x:c r="W165" s="11">
        <x:v>106.07139979999999</x:v>
      </x:c>
      <x:c r="X165" s="65"/>
      <x:c r="Y165" s="29"/>
      <x:c r="Z165" s="51"/>
      <x:c r="AA165" s="53"/>
      <x:c r="AB165" s="56"/>
      <x:c r="AC165">
        <x:f t="shared" si="8"/>
        <x:v>0.72857142857142854</x:v>
      </x:c>
      <x:c r="AD165">
        <x:f t="shared" si="9"/>
        <x:v>0.68627450980392157</x:v>
      </x:c>
    </x:row>
    <x:row r="166" ht="9.75" customHeight="1">
      <x:c r="A166" s="32">
        <x:v>161</x:v>
      </x:c>
      <x:c r="B166" s="11" t="s">
        <x:v>451</x:v>
      </x:c>
      <x:c r="C166" s="6" t="s">
        <x:v>34</x:v>
      </x:c>
      <x:c r="D166" s="11" t="s">
        <x:v>60</x:v>
      </x:c>
      <x:c r="E166" s="11" t="s">
        <x:v>267</x:v>
      </x:c>
      <x:c r="F166" s="6" t="s">
        <x:v>430</x:v>
      </x:c>
      <x:c r="G166" s="6" t="s">
        <x:v>448</x:v>
      </x:c>
      <x:c r="H166" s="17" t="s">
        <x:v>446</x:v>
      </x:c>
      <x:c r="I166" s="17" t="s">
        <x:v>196</x:v>
      </x:c>
      <x:c r="J166" s="6">
        <x:v>2024</x:v>
      </x:c>
      <x:c r="K166" s="17">
        <x:v>64</x:v>
      </x:c>
      <x:c r="L166" s="11">
        <x:v>17</x:v>
      </x:c>
      <x:c r="M166" s="17">
        <x:v>0</x:v>
      </x:c>
      <x:c r="N166" s="17" t="s">
        <x:v>41</x:v>
      </x:c>
      <x:c r="O166" s="6" t="s">
        <x:v>42</x:v>
      </x:c>
      <x:c r="P166" s="6"/>
      <x:c r="Q166" s="23" t="s">
        <x:v>43</x:v>
      </x:c>
      <x:c r="R166" s="23" t="s">
        <x:v>88</x:v>
      </x:c>
      <x:c r="S166" s="20"/>
      <x:c r="T166" s="11"/>
      <x:c r="U166" s="11"/>
      <x:c r="V166" s="11">
        <x:v>-2.0903510000000001</x:v>
      </x:c>
      <x:c r="W166" s="11">
        <x:v>106.11813600000001</x:v>
      </x:c>
      <x:c r="X166" s="65"/>
      <x:c r="Y166" s="29"/>
      <x:c r="Z166" s="51"/>
      <x:c r="AA166" s="53"/>
      <x:c r="AB166" s="56"/>
      <x:c r="AC166" t="n">
        <x:f t="shared" ref="AC166:AC197" si="10">IF(A166="","",IFERROR(L166/K166,0))</x:f>
        <x:v>0.265625</x:v>
      </x:c>
      <x:c r="AD166" t="n">
        <x:f t="shared" ref="AD166:AD197" si="11">IF(A166="","",IFERROR(M166/L166,0))</x:f>
        <x:v>0</x:v>
      </x:c>
    </x:row>
    <x:row r="167" ht="9.75" customHeight="1">
      <x:c r="A167" s="32">
        <x:v>162</x:v>
      </x:c>
      <x:c r="B167" s="11" t="s">
        <x:v>452</x:v>
      </x:c>
      <x:c r="C167" s="6" t="s">
        <x:v>34</x:v>
      </x:c>
      <x:c r="D167" s="11" t="s">
        <x:v>35</x:v>
      </x:c>
      <x:c r="E167" s="11" t="s">
        <x:v>46</x:v>
      </x:c>
      <x:c r="F167" s="6" t="s">
        <x:v>243</x:v>
      </x:c>
      <x:c r="G167" s="6" t="s">
        <x:v>453</x:v>
      </x:c>
      <x:c r="H167" s="17" t="s">
        <x:v>411</x:v>
      </x:c>
      <x:c r="I167" s="17" t="s">
        <x:v>42</x:v>
      </x:c>
      <x:c r="J167" s="6">
        <x:v>2017</x:v>
      </x:c>
      <x:c r="K167" s="17">
        <x:v>25</x:v>
      </x:c>
      <x:c r="L167" s="11">
        <x:v>25</x:v>
      </x:c>
      <x:c r="M167" s="17">
        <x:v>0</x:v>
      </x:c>
      <x:c r="N167" s="17" t="s">
        <x:v>41</x:v>
      </x:c>
      <x:c r="O167" s="6" t="s">
        <x:v>42</x:v>
      </x:c>
      <x:c r="P167" s="6"/>
      <x:c r="Q167" s="23" t="s">
        <x:v>43</x:v>
      </x:c>
      <x:c r="R167" s="23"/>
      <x:c r="S167" s="20"/>
      <x:c r="T167" s="11"/>
      <x:c r="U167" s="11"/>
      <x:c r="V167" s="11">
        <x:v>-2.1180140000000001</x:v>
      </x:c>
      <x:c r="W167" s="11">
        <x:v>106.078672</x:v>
      </x:c>
      <x:c r="X167" s="65"/>
      <x:c r="Y167" s="29"/>
      <x:c r="Z167" s="51"/>
      <x:c r="AA167" s="53"/>
      <x:c r="AB167" s="56"/>
      <x:c r="AC167">
        <x:f t="shared" si="10"/>
        <x:v>1</x:v>
      </x:c>
      <x:c r="AD167">
        <x:f t="shared" si="11"/>
        <x:v>0</x:v>
      </x:c>
    </x:row>
    <x:row r="168" ht="9.75" customHeight="1">
      <x:c r="A168" s="32">
        <x:v>163</x:v>
      </x:c>
      <x:c r="B168" s="11" t="s">
        <x:v>454</x:v>
      </x:c>
      <x:c r="C168" s="6" t="s">
        <x:v>34</x:v>
      </x:c>
      <x:c r="D168" s="11" t="s">
        <x:v>81</x:v>
      </x:c>
      <x:c r="E168" s="11" t="s">
        <x:v>202</x:v>
      </x:c>
      <x:c r="F168" s="6" t="s">
        <x:v>455</x:v>
      </x:c>
      <x:c r="G168" s="6" t="s">
        <x:v>456</x:v>
      </x:c>
      <x:c r="H168" s="17" t="s">
        <x:v>338</x:v>
      </x:c>
      <x:c r="I168" s="17" t="s">
        <x:v>112</x:v>
      </x:c>
      <x:c r="J168" s="6">
        <x:v>2018</x:v>
      </x:c>
      <x:c r="K168" s="17">
        <x:v>45</x:v>
      </x:c>
      <x:c r="L168" s="11">
        <x:v>43</x:v>
      </x:c>
      <x:c r="M168" s="17">
        <x:v>0</x:v>
      </x:c>
      <x:c r="N168" s="17" t="s">
        <x:v>41</x:v>
      </x:c>
      <x:c r="O168" s="6" t="s">
        <x:v>42</x:v>
      </x:c>
      <x:c r="P168" s="6"/>
      <x:c r="Q168" s="23" t="s">
        <x:v>75</x:v>
      </x:c>
      <x:c r="R168" s="23"/>
      <x:c r="S168" s="20" t="s">
        <x:v>178</x:v>
      </x:c>
      <x:c r="T168" s="11"/>
      <x:c r="U168" s="11"/>
      <x:c r="V168" s="11">
        <x:v>-2.1573333319999999</x:v>
      </x:c>
      <x:c r="W168" s="11">
        <x:v>106.15588889999999</x:v>
      </x:c>
      <x:c r="X168" s="65"/>
      <x:c r="Y168" s="29"/>
      <x:c r="Z168" s="51"/>
      <x:c r="AA168" s="53"/>
      <x:c r="AB168" s="56"/>
      <x:c r="AC168">
        <x:f t="shared" si="10"/>
        <x:v>0.9555555555555556</x:v>
      </x:c>
      <x:c r="AD168">
        <x:f t="shared" si="11"/>
        <x:v>0</x:v>
      </x:c>
    </x:row>
    <x:row r="169" ht="9.75" customHeight="1">
      <x:c r="A169" s="32">
        <x:v>164</x:v>
      </x:c>
      <x:c r="B169" s="11" t="s">
        <x:v>457</x:v>
      </x:c>
      <x:c r="C169" s="6" t="s">
        <x:v>34</x:v>
      </x:c>
      <x:c r="D169" s="11" t="s">
        <x:v>60</x:v>
      </x:c>
      <x:c r="E169" s="11" t="s">
        <x:v>70</x:v>
      </x:c>
      <x:c r="F169" s="6" t="s">
        <x:v>79</x:v>
      </x:c>
      <x:c r="G169" s="6" t="s">
        <x:v>458</x:v>
      </x:c>
      <x:c r="H169" s="17" t="s">
        <x:v>459</x:v>
      </x:c>
      <x:c r="I169" s="17" t="s">
        <x:v>42</x:v>
      </x:c>
      <x:c r="J169" s="6">
        <x:v>2018</x:v>
      </x:c>
      <x:c r="K169" s="17">
        <x:v>75</x:v>
      </x:c>
      <x:c r="L169" s="11">
        <x:v>10</x:v>
      </x:c>
      <x:c r="M169" s="17">
        <x:v>5</x:v>
      </x:c>
      <x:c r="N169" s="17" t="s">
        <x:v>41</x:v>
      </x:c>
      <x:c r="O169" s="6" t="s">
        <x:v>42</x:v>
      </x:c>
      <x:c r="P169" s="6"/>
      <x:c r="Q169" s="23" t="s">
        <x:v>43</x:v>
      </x:c>
      <x:c r="R169" s="23" t="s">
        <x:v>88</x:v>
      </x:c>
      <x:c r="S169" s="20" t="s">
        <x:v>178</x:v>
      </x:c>
      <x:c r="T169" s="11" t="s">
        <x:v>44</x:v>
      </x:c>
      <x:c r="U169" s="11"/>
      <x:c r="V169" s="11">
        <x:v>-2.0841970000000001</x:v>
      </x:c>
      <x:c r="W169" s="11">
        <x:v>106.096322</x:v>
      </x:c>
      <x:c r="X169" s="65"/>
      <x:c r="Y169" s="29"/>
      <x:c r="Z169" s="51"/>
      <x:c r="AA169" s="53"/>
      <x:c r="AB169" s="56"/>
      <x:c r="AC169">
        <x:f t="shared" si="10"/>
        <x:v>0.13333333333333333</x:v>
      </x:c>
      <x:c r="AD169">
        <x:f t="shared" si="11"/>
        <x:v>0.5</x:v>
      </x:c>
    </x:row>
    <x:row r="170" ht="9.75" customHeight="1">
      <x:c r="A170" s="32">
        <x:v>165</x:v>
      </x:c>
      <x:c r="B170" s="11" t="s">
        <x:v>460</x:v>
      </x:c>
      <x:c r="C170" s="6" t="s">
        <x:v>34</x:v>
      </x:c>
      <x:c r="D170" s="11" t="s">
        <x:v>81</x:v>
      </x:c>
      <x:c r="E170" s="11" t="s">
        <x:v>202</x:v>
      </x:c>
      <x:c r="F170" s="6" t="s">
        <x:v>461</x:v>
      </x:c>
      <x:c r="G170" s="6" t="s">
        <x:v>462</x:v>
      </x:c>
      <x:c r="H170" s="17" t="s">
        <x:v>463</x:v>
      </x:c>
      <x:c r="I170" s="17" t="s">
        <x:v>166</x:v>
      </x:c>
      <x:c r="J170" s="6">
        <x:v>2020</x:v>
      </x:c>
      <x:c r="K170" s="17">
        <x:v>55</x:v>
      </x:c>
      <x:c r="L170" s="11">
        <x:v>26</x:v>
      </x:c>
      <x:c r="M170" s="17">
        <x:v>26</x:v>
      </x:c>
      <x:c r="N170" s="17" t="s">
        <x:v>41</x:v>
      </x:c>
      <x:c r="O170" s="6" t="s">
        <x:v>42</x:v>
      </x:c>
      <x:c r="P170" s="6"/>
      <x:c r="Q170" s="23" t="s">
        <x:v>43</x:v>
      </x:c>
      <x:c r="R170" s="23" t="s">
        <x:v>88</x:v>
      </x:c>
      <x:c r="S170" s="20"/>
      <x:c r="T170" s="11"/>
      <x:c r="U170" s="11"/>
      <x:c r="V170" s="11">
        <x:v>-2.1393496999999999</x:v>
      </x:c>
      <x:c r="W170" s="11">
        <x:v>106.1528338</x:v>
      </x:c>
      <x:c r="X170" s="65"/>
      <x:c r="Y170" s="29"/>
      <x:c r="Z170" s="51"/>
      <x:c r="AA170" s="53"/>
      <x:c r="AB170" s="56"/>
      <x:c r="AC170">
        <x:f t="shared" si="10"/>
        <x:v>0.47272727272727272</x:v>
      </x:c>
      <x:c r="AD170">
        <x:f t="shared" si="11"/>
        <x:v>1</x:v>
      </x:c>
    </x:row>
    <x:row r="171" ht="9.75" customHeight="1">
      <x:c r="A171" s="32">
        <x:v>166</x:v>
      </x:c>
      <x:c r="B171" s="11" t="s">
        <x:v>464</x:v>
      </x:c>
      <x:c r="C171" s="6" t="s">
        <x:v>34</x:v>
      </x:c>
      <x:c r="D171" s="11" t="s">
        <x:v>60</x:v>
      </x:c>
      <x:c r="E171" s="11" t="s">
        <x:v>91</x:v>
      </x:c>
      <x:c r="F171" s="6" t="s">
        <x:v>465</x:v>
      </x:c>
      <x:c r="G171" s="6" t="s">
        <x:v>466</x:v>
      </x:c>
      <x:c r="H171" s="17" t="s">
        <x:v>42</x:v>
      </x:c>
      <x:c r="I171" s="17" t="s">
        <x:v>42</x:v>
      </x:c>
      <x:c r="J171" s="6">
        <x:v>2018</x:v>
      </x:c>
      <x:c r="K171" s="17">
        <x:v>129</x:v>
      </x:c>
      <x:c r="L171" s="11">
        <x:v>129</x:v>
      </x:c>
      <x:c r="M171" s="17">
        <x:v>129</x:v>
      </x:c>
      <x:c r="N171" s="17" t="s">
        <x:v>41</x:v>
      </x:c>
      <x:c r="O171" s="6" t="s">
        <x:v>42</x:v>
      </x:c>
      <x:c r="P171" s="6"/>
      <x:c r="Q171" s="23" t="s">
        <x:v>43</x:v>
      </x:c>
      <x:c r="R171" s="23" t="s">
        <x:v>88</x:v>
      </x:c>
      <x:c r="S171" s="20"/>
      <x:c r="T171" s="11"/>
      <x:c r="U171" s="11"/>
      <x:c r="V171" s="11">
        <x:v>-2.0889690000000001</x:v>
      </x:c>
      <x:c r="W171" s="11">
        <x:v>106.116389</x:v>
      </x:c>
      <x:c r="X171" s="65"/>
      <x:c r="Y171" s="29"/>
      <x:c r="Z171" s="51"/>
      <x:c r="AA171" s="53"/>
      <x:c r="AB171" s="56"/>
      <x:c r="AC171">
        <x:f t="shared" si="10"/>
        <x:v>1</x:v>
      </x:c>
      <x:c r="AD171">
        <x:f t="shared" si="11"/>
        <x:v>1</x:v>
      </x:c>
    </x:row>
    <x:row r="172" ht="9.75" customHeight="1">
      <x:c r="A172" s="32">
        <x:v>167</x:v>
      </x:c>
      <x:c r="B172" s="11" t="s">
        <x:v>467</x:v>
      </x:c>
      <x:c r="C172" s="6" t="s">
        <x:v>34</x:v>
      </x:c>
      <x:c r="D172" s="11" t="s">
        <x:v>60</x:v>
      </x:c>
      <x:c r="E172" s="11" t="s">
        <x:v>91</x:v>
      </x:c>
      <x:c r="F172" s="6" t="s">
        <x:v>468</x:v>
      </x:c>
      <x:c r="G172" s="6" t="s">
        <x:v>341</x:v>
      </x:c>
      <x:c r="H172" s="17" t="s">
        <x:v>338</x:v>
      </x:c>
      <x:c r="I172" s="17" t="s">
        <x:v>42</x:v>
      </x:c>
      <x:c r="J172" s="6">
        <x:v>2017</x:v>
      </x:c>
      <x:c r="K172" s="17">
        <x:v>18</x:v>
      </x:c>
      <x:c r="L172" s="11">
        <x:v>18</x:v>
      </x:c>
      <x:c r="M172" s="17">
        <x:v>16</x:v>
      </x:c>
      <x:c r="N172" s="17" t="s">
        <x:v>41</x:v>
      </x:c>
      <x:c r="O172" s="6" t="s">
        <x:v>42</x:v>
      </x:c>
      <x:c r="P172" s="6"/>
      <x:c r="Q172" s="23" t="s">
        <x:v>75</x:v>
      </x:c>
      <x:c r="R172" s="23"/>
      <x:c r="S172" s="20" t="s">
        <x:v>178</x:v>
      </x:c>
      <x:c r="T172" s="11"/>
      <x:c r="U172" s="11"/>
      <x:c r="V172" s="11">
        <x:v>-2.0892409999999999</x:v>
      </x:c>
      <x:c r="W172" s="11">
        <x:v>106.096075</x:v>
      </x:c>
      <x:c r="X172" s="65"/>
      <x:c r="Y172" s="29"/>
      <x:c r="Z172" s="51"/>
      <x:c r="AA172" s="53"/>
      <x:c r="AB172" s="56"/>
      <x:c r="AC172">
        <x:f t="shared" si="10"/>
        <x:v>1</x:v>
      </x:c>
      <x:c r="AD172">
        <x:f t="shared" si="11"/>
        <x:v>0.88888888888888884</x:v>
      </x:c>
    </x:row>
    <x:row r="173" ht="9.75" customHeight="1">
      <x:c r="A173" s="32">
        <x:v>168</x:v>
      </x:c>
      <x:c r="B173" s="11" t="s">
        <x:v>469</x:v>
      </x:c>
      <x:c r="C173" s="6" t="s">
        <x:v>34</x:v>
      </x:c>
      <x:c r="D173" s="11" t="s">
        <x:v>60</x:v>
      </x:c>
      <x:c r="E173" s="11" t="s">
        <x:v>70</x:v>
      </x:c>
      <x:c r="F173" s="6" t="s">
        <x:v>71</x:v>
      </x:c>
      <x:c r="G173" s="6" t="s">
        <x:v>470</x:v>
      </x:c>
      <x:c r="H173" s="17" t="s">
        <x:v>338</x:v>
      </x:c>
      <x:c r="I173" s="17" t="s">
        <x:v>42</x:v>
      </x:c>
      <x:c r="J173" s="6">
        <x:v>2018</x:v>
      </x:c>
      <x:c r="K173" s="17">
        <x:v>35</x:v>
      </x:c>
      <x:c r="L173" s="11">
        <x:v>35</x:v>
      </x:c>
      <x:c r="M173" s="17">
        <x:v>35</x:v>
      </x:c>
      <x:c r="N173" s="17" t="s">
        <x:v>41</x:v>
      </x:c>
      <x:c r="O173" s="6" t="s">
        <x:v>42</x:v>
      </x:c>
      <x:c r="P173" s="6"/>
      <x:c r="Q173" s="23" t="s">
        <x:v>75</x:v>
      </x:c>
      <x:c r="R173" s="23"/>
      <x:c r="S173" s="20" t="s">
        <x:v>178</x:v>
      </x:c>
      <x:c r="T173" s="11"/>
      <x:c r="U173" s="11"/>
      <x:c r="V173" s="11">
        <x:v>-2.090052</x:v>
      </x:c>
      <x:c r="W173" s="11">
        <x:v>106.094559</x:v>
      </x:c>
      <x:c r="X173" s="65"/>
      <x:c r="Y173" s="29"/>
      <x:c r="Z173" s="51"/>
      <x:c r="AA173" s="53"/>
      <x:c r="AB173" s="56"/>
      <x:c r="AC173">
        <x:f t="shared" si="10"/>
        <x:v>1</x:v>
      </x:c>
      <x:c r="AD173">
        <x:f t="shared" si="11"/>
        <x:v>1</x:v>
      </x:c>
    </x:row>
    <x:row r="174" ht="9.75" customHeight="1">
      <x:c r="A174" s="32">
        <x:v>169</x:v>
      </x:c>
      <x:c r="B174" s="11" t="s">
        <x:v>471</x:v>
      </x:c>
      <x:c r="C174" s="6" t="s">
        <x:v>34</x:v>
      </x:c>
      <x:c r="D174" s="11" t="s">
        <x:v>60</x:v>
      </x:c>
      <x:c r="E174" s="11" t="s">
        <x:v>91</x:v>
      </x:c>
      <x:c r="F174" s="6" t="s">
        <x:v>472</x:v>
      </x:c>
      <x:c r="G174" s="6" t="s">
        <x:v>470</x:v>
      </x:c>
      <x:c r="H174" s="17" t="s">
        <x:v>338</x:v>
      </x:c>
      <x:c r="I174" s="17" t="s">
        <x:v>42</x:v>
      </x:c>
      <x:c r="J174" s="6">
        <x:v>2019</x:v>
      </x:c>
      <x:c r="K174" s="17">
        <x:v>29</x:v>
      </x:c>
      <x:c r="L174" s="11">
        <x:v>29</x:v>
      </x:c>
      <x:c r="M174" s="17">
        <x:v>29</x:v>
      </x:c>
      <x:c r="N174" s="17" t="s">
        <x:v>41</x:v>
      </x:c>
      <x:c r="O174" s="6" t="s">
        <x:v>42</x:v>
      </x:c>
      <x:c r="P174" s="6"/>
      <x:c r="Q174" s="23" t="s">
        <x:v>75</x:v>
      </x:c>
      <x:c r="R174" s="23"/>
      <x:c r="S174" s="20" t="s">
        <x:v>178</x:v>
      </x:c>
      <x:c r="T174" s="11"/>
      <x:c r="U174" s="11"/>
      <x:c r="V174" s="11">
        <x:v>-2.0964974999999999</x:v>
      </x:c>
      <x:c r="W174" s="11">
        <x:v>106.1040895</x:v>
      </x:c>
      <x:c r="X174" s="65"/>
      <x:c r="Y174" s="29"/>
      <x:c r="Z174" s="51"/>
      <x:c r="AA174" s="53"/>
      <x:c r="AB174" s="56"/>
      <x:c r="AC174">
        <x:f t="shared" si="10"/>
        <x:v>1</x:v>
      </x:c>
      <x:c r="AD174">
        <x:f t="shared" si="11"/>
        <x:v>1</x:v>
      </x:c>
    </x:row>
    <x:row r="175" ht="9.75" customHeight="1">
      <x:c r="A175" s="32">
        <x:v>170</x:v>
      </x:c>
      <x:c r="B175" s="11" t="s">
        <x:v>473</x:v>
      </x:c>
      <x:c r="C175" s="6" t="s">
        <x:v>34</x:v>
      </x:c>
      <x:c r="D175" s="11" t="s">
        <x:v>60</x:v>
      </x:c>
      <x:c r="E175" s="11" t="s">
        <x:v>91</x:v>
      </x:c>
      <x:c r="F175" s="6" t="s">
        <x:v>209</x:v>
      </x:c>
      <x:c r="G175" s="6" t="s">
        <x:v>466</x:v>
      </x:c>
      <x:c r="H175" s="17" t="s">
        <x:v>474</x:v>
      </x:c>
      <x:c r="I175" s="17" t="s">
        <x:v>40</x:v>
      </x:c>
      <x:c r="J175" s="6">
        <x:v>2014</x:v>
      </x:c>
      <x:c r="K175" s="17">
        <x:v>174</x:v>
      </x:c>
      <x:c r="L175" s="11">
        <x:v>141</x:v>
      </x:c>
      <x:c r="M175" s="17">
        <x:v>141</x:v>
      </x:c>
      <x:c r="N175" s="17" t="s">
        <x:v>41</x:v>
      </x:c>
      <x:c r="O175" s="6" t="s">
        <x:v>42</x:v>
      </x:c>
      <x:c r="P175" s="6"/>
      <x:c r="Q175" s="23" t="s">
        <x:v>75</x:v>
      </x:c>
      <x:c r="R175" s="23"/>
      <x:c r="S175" s="20"/>
      <x:c r="T175" s="11" t="s">
        <x:v>44</x:v>
      </x:c>
      <x:c r="U175" s="11"/>
      <x:c r="V175" s="11">
        <x:v>-2.0814569999999999</x:v>
      </x:c>
      <x:c r="W175" s="11">
        <x:v>106.12316300000001</x:v>
      </x:c>
      <x:c r="X175" s="65"/>
      <x:c r="Y175" s="29"/>
      <x:c r="Z175" s="51"/>
      <x:c r="AA175" s="53"/>
      <x:c r="AB175" s="56"/>
      <x:c r="AC175">
        <x:f t="shared" si="10"/>
        <x:v>0.81034482758620685</x:v>
      </x:c>
      <x:c r="AD175">
        <x:f t="shared" si="11"/>
        <x:v>1</x:v>
      </x:c>
    </x:row>
    <x:row r="176" ht="9.75" customHeight="1">
      <x:c r="A176" s="32">
        <x:v>171</x:v>
      </x:c>
      <x:c r="B176" s="11" t="s">
        <x:v>475</x:v>
      </x:c>
      <x:c r="C176" s="6" t="s">
        <x:v>34</x:v>
      </x:c>
      <x:c r="D176" s="11" t="s">
        <x:v>60</x:v>
      </x:c>
      <x:c r="E176" s="11" t="s">
        <x:v>267</x:v>
      </x:c>
      <x:c r="F176" s="6" t="s">
        <x:v>476</x:v>
      </x:c>
      <x:c r="G176" s="6" t="s">
        <x:v>42</x:v>
      </x:c>
      <x:c r="H176" s="17" t="s">
        <x:v>42</x:v>
      </x:c>
      <x:c r="I176" s="17" t="s">
        <x:v>42</x:v>
      </x:c>
      <x:c r="J176" s="6">
        <x:v>2017</x:v>
      </x:c>
      <x:c r="K176" s="17">
        <x:v>24</x:v>
      </x:c>
      <x:c r="L176" s="11">
        <x:v>24</x:v>
      </x:c>
      <x:c r="M176" s="17">
        <x:v>24</x:v>
      </x:c>
      <x:c r="N176" s="17" t="s">
        <x:v>41</x:v>
      </x:c>
      <x:c r="O176" s="6" t="s">
        <x:v>42</x:v>
      </x:c>
      <x:c r="P176" s="6"/>
      <x:c r="Q176" s="23" t="s">
        <x:v>43</x:v>
      </x:c>
      <x:c r="R176" s="23"/>
      <x:c r="S176" s="20"/>
      <x:c r="T176" s="11"/>
      <x:c r="U176" s="11"/>
      <x:c r="V176" s="11">
        <x:v>-2.0943870000000002</x:v>
      </x:c>
      <x:c r="W176" s="11">
        <x:v>106.117035</x:v>
      </x:c>
      <x:c r="X176" s="65"/>
      <x:c r="Y176" s="29"/>
      <x:c r="Z176" s="51"/>
      <x:c r="AA176" s="53"/>
      <x:c r="AB176" s="56"/>
      <x:c r="AC176">
        <x:f t="shared" si="10"/>
        <x:v>1</x:v>
      </x:c>
      <x:c r="AD176">
        <x:f t="shared" si="11"/>
        <x:v>1</x:v>
      </x:c>
    </x:row>
    <x:row r="177" ht="9.75" customHeight="1">
      <x:c r="A177" s="32">
        <x:v>172</x:v>
      </x:c>
      <x:c r="B177" s="11" t="s">
        <x:v>477</x:v>
      </x:c>
      <x:c r="C177" s="6" t="s">
        <x:v>34</x:v>
      </x:c>
      <x:c r="D177" s="11" t="s">
        <x:v>60</x:v>
      </x:c>
      <x:c r="E177" s="11" t="s">
        <x:v>70</x:v>
      </x:c>
      <x:c r="F177" s="6" t="s">
        <x:v>478</x:v>
      </x:c>
      <x:c r="G177" s="6" t="s">
        <x:v>479</x:v>
      </x:c>
      <x:c r="H177" s="17" t="s">
        <x:v>42</x:v>
      </x:c>
      <x:c r="I177" s="17" t="s">
        <x:v>42</x:v>
      </x:c>
      <x:c r="J177" s="6">
        <x:v>2024</x:v>
      </x:c>
      <x:c r="K177" s="17">
        <x:v>26</x:v>
      </x:c>
      <x:c r="L177" s="11">
        <x:v>17</x:v>
      </x:c>
      <x:c r="M177" s="17">
        <x:v>4</x:v>
      </x:c>
      <x:c r="N177" s="17" t="s">
        <x:v>41</x:v>
      </x:c>
      <x:c r="O177" s="6" t="s">
        <x:v>42</x:v>
      </x:c>
      <x:c r="P177" s="6"/>
      <x:c r="Q177" s="23" t="s">
        <x:v>43</x:v>
      </x:c>
      <x:c r="R177" s="23" t="s">
        <x:v>88</x:v>
      </x:c>
      <x:c r="S177" s="20"/>
      <x:c r="T177" s="11"/>
      <x:c r="U177" s="11"/>
      <x:c r="V177" s="11">
        <x:v>-2.0900346999999999</x:v>
      </x:c>
      <x:c r="W177" s="11">
        <x:v>106.0923793</x:v>
      </x:c>
      <x:c r="X177" s="65"/>
      <x:c r="Y177" s="29"/>
      <x:c r="Z177" s="51"/>
      <x:c r="AA177" s="53"/>
      <x:c r="AB177" s="56"/>
      <x:c r="AC177">
        <x:f t="shared" si="10"/>
        <x:v>0.65384615384615385</x:v>
      </x:c>
      <x:c r="AD177">
        <x:f t="shared" si="11"/>
        <x:v>0.23529411764705882</x:v>
      </x:c>
    </x:row>
    <x:row r="178" ht="9.75" customHeight="1">
      <x:c r="A178" s="32">
        <x:v>173</x:v>
      </x:c>
      <x:c r="B178" s="11" t="s">
        <x:v>480</x:v>
      </x:c>
      <x:c r="C178" s="6" t="s">
        <x:v>34</x:v>
      </x:c>
      <x:c r="D178" s="11" t="s">
        <x:v>81</x:v>
      </x:c>
      <x:c r="E178" s="11" t="s">
        <x:v>202</x:v>
      </x:c>
      <x:c r="F178" s="6" t="s">
        <x:v>253</x:v>
      </x:c>
      <x:c r="G178" s="6" t="s">
        <x:v>42</x:v>
      </x:c>
      <x:c r="H178" s="17" t="s">
        <x:v>42</x:v>
      </x:c>
      <x:c r="I178" s="17" t="s">
        <x:v>42</x:v>
      </x:c>
      <x:c r="J178" s="6">
        <x:v>2017</x:v>
      </x:c>
      <x:c r="K178" s="17">
        <x:v>56</x:v>
      </x:c>
      <x:c r="L178" s="11">
        <x:v>0</x:v>
      </x:c>
      <x:c r="M178" s="17">
        <x:v>0</x:v>
      </x:c>
      <x:c r="N178" s="17" t="s">
        <x:v>41</x:v>
      </x:c>
      <x:c r="O178" s="6" t="s">
        <x:v>42</x:v>
      </x:c>
      <x:c r="P178" s="6"/>
      <x:c r="Q178" s="23" t="s">
        <x:v>72</x:v>
      </x:c>
      <x:c r="R178" s="23"/>
      <x:c r="S178" s="20"/>
      <x:c r="T178" s="11"/>
      <x:c r="U178" s="11"/>
      <x:c r="V178" s="11">
        <x:v>-2.1382370000000002</x:v>
      </x:c>
      <x:c r="W178" s="11">
        <x:v>106.1508</x:v>
      </x:c>
      <x:c r="X178" s="65"/>
      <x:c r="Y178" s="29"/>
      <x:c r="Z178" s="51"/>
      <x:c r="AA178" s="53"/>
      <x:c r="AB178" s="56"/>
      <x:c r="AC178">
        <x:f t="shared" si="10"/>
        <x:v>0</x:v>
      </x:c>
      <x:c r="AD178">
        <x:f t="shared" si="11"/>
        <x:v>0</x:v>
      </x:c>
    </x:row>
    <x:row r="179" ht="9.75" customHeight="1">
      <x:c r="A179" s="32">
        <x:v>174</x:v>
      </x:c>
      <x:c r="B179" s="11" t="s">
        <x:v>481</x:v>
      </x:c>
      <x:c r="C179" s="6" t="s">
        <x:v>34</x:v>
      </x:c>
      <x:c r="D179" s="11" t="s">
        <x:v>60</x:v>
      </x:c>
      <x:c r="E179" s="11" t="s">
        <x:v>267</x:v>
      </x:c>
      <x:c r="F179" s="6" t="s">
        <x:v>482</x:v>
      </x:c>
      <x:c r="G179" s="6" t="s">
        <x:v>483</x:v>
      </x:c>
      <x:c r="H179" s="17" t="s">
        <x:v>483</x:v>
      </x:c>
      <x:c r="I179" s="17" t="s">
        <x:v>42</x:v>
      </x:c>
      <x:c r="J179" s="6">
        <x:v>2017</x:v>
      </x:c>
      <x:c r="K179" s="17">
        <x:v>18</x:v>
      </x:c>
      <x:c r="L179" s="11">
        <x:v>18</x:v>
      </x:c>
      <x:c r="M179" s="17">
        <x:v>18</x:v>
      </x:c>
      <x:c r="N179" s="17" t="s">
        <x:v>41</x:v>
      </x:c>
      <x:c r="O179" s="6" t="s">
        <x:v>42</x:v>
      </x:c>
      <x:c r="P179" s="6"/>
      <x:c r="Q179" s="23" t="s">
        <x:v>43</x:v>
      </x:c>
      <x:c r="R179" s="23"/>
      <x:c r="S179" s="20"/>
      <x:c r="T179" s="11"/>
      <x:c r="U179" s="11"/>
      <x:c r="V179" s="11">
        <x:v>-2.099604555</x:v>
      </x:c>
      <x:c r="W179" s="11">
        <x:v>106.1074424</x:v>
      </x:c>
      <x:c r="X179" s="65"/>
      <x:c r="Y179" s="29"/>
      <x:c r="Z179" s="51"/>
      <x:c r="AA179" s="53"/>
      <x:c r="AB179" s="56"/>
      <x:c r="AC179">
        <x:f t="shared" si="10"/>
        <x:v>1</x:v>
      </x:c>
      <x:c r="AD179">
        <x:f t="shared" si="11"/>
        <x:v>1</x:v>
      </x:c>
    </x:row>
    <x:row r="180" ht="9.75" customHeight="1">
      <x:c r="A180" s="32">
        <x:v>175</x:v>
      </x:c>
      <x:c r="B180" s="11" t="s">
        <x:v>484</x:v>
      </x:c>
      <x:c r="C180" s="6" t="s">
        <x:v>34</x:v>
      </x:c>
      <x:c r="D180" s="11" t="s">
        <x:v>60</x:v>
      </x:c>
      <x:c r="E180" s="11" t="s">
        <x:v>91</x:v>
      </x:c>
      <x:c r="F180" s="6" t="s">
        <x:v>79</x:v>
      </x:c>
      <x:c r="G180" s="6" t="s">
        <x:v>42</x:v>
      </x:c>
      <x:c r="H180" s="17" t="s">
        <x:v>42</x:v>
      </x:c>
      <x:c r="I180" s="17" t="s">
        <x:v>42</x:v>
      </x:c>
      <x:c r="J180" s="6">
        <x:v>2019</x:v>
      </x:c>
      <x:c r="K180" s="17">
        <x:v>26</x:v>
      </x:c>
      <x:c r="L180" s="11">
        <x:v>26</x:v>
      </x:c>
      <x:c r="M180" s="17">
        <x:v>26</x:v>
      </x:c>
      <x:c r="N180" s="17" t="s">
        <x:v>41</x:v>
      </x:c>
      <x:c r="O180" s="6" t="s">
        <x:v>42</x:v>
      </x:c>
      <x:c r="P180" s="6"/>
      <x:c r="Q180" s="23" t="s">
        <x:v>43</x:v>
      </x:c>
      <x:c r="R180" s="23" t="s">
        <x:v>88</x:v>
      </x:c>
      <x:c r="S180" s="20"/>
      <x:c r="T180" s="11"/>
      <x:c r="U180" s="11"/>
      <x:c r="V180" s="11">
        <x:v>-2.0878000000000001</x:v>
      </x:c>
      <x:c r="W180" s="11">
        <x:v>106.0942</x:v>
      </x:c>
      <x:c r="X180" s="65"/>
      <x:c r="Y180" s="29"/>
      <x:c r="Z180" s="51"/>
      <x:c r="AA180" s="53"/>
      <x:c r="AB180" s="56"/>
      <x:c r="AC180">
        <x:f t="shared" si="10"/>
        <x:v>1</x:v>
      </x:c>
      <x:c r="AD180">
        <x:f t="shared" si="11"/>
        <x:v>1</x:v>
      </x:c>
    </x:row>
    <x:row r="181" ht="9.75" customHeight="1">
      <x:c r="A181" s="32">
        <x:v>176</x:v>
      </x:c>
      <x:c r="B181" s="11" t="s">
        <x:v>485</x:v>
      </x:c>
      <x:c r="C181" s="6" t="s">
        <x:v>34</x:v>
      </x:c>
      <x:c r="D181" s="11" t="s">
        <x:v>35</x:v>
      </x:c>
      <x:c r="E181" s="11" t="s">
        <x:v>36</x:v>
      </x:c>
      <x:c r="F181" s="6" t="s">
        <x:v>486</x:v>
      </x:c>
      <x:c r="G181" s="6" t="s">
        <x:v>487</x:v>
      </x:c>
      <x:c r="H181" s="17" t="s">
        <x:v>488</x:v>
      </x:c>
      <x:c r="I181" s="17" t="s">
        <x:v>166</x:v>
      </x:c>
      <x:c r="J181" s="6">
        <x:v>2020</x:v>
      </x:c>
      <x:c r="K181" s="17">
        <x:v>41</x:v>
      </x:c>
      <x:c r="L181" s="11">
        <x:v>41</x:v>
      </x:c>
      <x:c r="M181" s="17">
        <x:v>41</x:v>
      </x:c>
      <x:c r="N181" s="17" t="s">
        <x:v>41</x:v>
      </x:c>
      <x:c r="O181" s="6" t="s">
        <x:v>42</x:v>
      </x:c>
      <x:c r="P181" s="6"/>
      <x:c r="Q181" s="23" t="s">
        <x:v>43</x:v>
      </x:c>
      <x:c r="R181" s="23" t="s">
        <x:v>88</x:v>
      </x:c>
      <x:c r="S181" s="20"/>
      <x:c r="T181" s="11"/>
      <x:c r="U181" s="11"/>
      <x:c r="V181" s="11">
        <x:v>-2.101111</x:v>
      </x:c>
      <x:c r="W181" s="11">
        <x:v>106.0888344</x:v>
      </x:c>
      <x:c r="X181" s="65"/>
      <x:c r="Y181" s="29"/>
      <x:c r="Z181" s="51"/>
      <x:c r="AA181" s="53"/>
      <x:c r="AB181" s="56"/>
      <x:c r="AC181">
        <x:f t="shared" si="10"/>
        <x:v>1</x:v>
      </x:c>
      <x:c r="AD181">
        <x:f t="shared" si="11"/>
        <x:v>1</x:v>
      </x:c>
    </x:row>
    <x:row r="182" ht="9.75" customHeight="1">
      <x:c r="A182" s="32">
        <x:v>177</x:v>
      </x:c>
      <x:c r="B182" s="11" t="s">
        <x:v>489</x:v>
      </x:c>
      <x:c r="C182" s="6" t="s">
        <x:v>34</x:v>
      </x:c>
      <x:c r="D182" s="11" t="s">
        <x:v>60</x:v>
      </x:c>
      <x:c r="E182" s="11" t="s">
        <x:v>91</x:v>
      </x:c>
      <x:c r="F182" s="6" t="s">
        <x:v>490</x:v>
      </x:c>
      <x:c r="G182" s="6" t="s">
        <x:v>491</x:v>
      </x:c>
      <x:c r="H182" s="17" t="s">
        <x:v>492</x:v>
      </x:c>
      <x:c r="I182" s="17" t="s">
        <x:v>86</x:v>
      </x:c>
      <x:c r="J182" s="6">
        <x:v>2019</x:v>
      </x:c>
      <x:c r="K182" s="17">
        <x:v>167</x:v>
      </x:c>
      <x:c r="L182" s="11">
        <x:v>167</x:v>
      </x:c>
      <x:c r="M182" s="17">
        <x:v>91</x:v>
      </x:c>
      <x:c r="N182" s="17" t="s">
        <x:v>41</x:v>
      </x:c>
      <x:c r="O182" s="6" t="s">
        <x:v>42</x:v>
      </x:c>
      <x:c r="P182" s="6"/>
      <x:c r="Q182" s="23" t="s">
        <x:v>43</x:v>
      </x:c>
      <x:c r="R182" s="23" t="s">
        <x:v>247</x:v>
      </x:c>
      <x:c r="S182" s="20"/>
      <x:c r="T182" s="11"/>
      <x:c r="U182" s="11"/>
      <x:c r="V182" s="11">
        <x:v>-2.0900110000000001</x:v>
      </x:c>
      <x:c r="W182" s="11">
        <x:v>106.10247200000001</x:v>
      </x:c>
      <x:c r="X182" s="65"/>
      <x:c r="Y182" s="29"/>
      <x:c r="Z182" s="51"/>
      <x:c r="AA182" s="53"/>
      <x:c r="AB182" s="56"/>
      <x:c r="AC182">
        <x:f t="shared" si="10"/>
        <x:v>1</x:v>
      </x:c>
      <x:c r="AD182">
        <x:f t="shared" si="11"/>
        <x:v>0.54491017964071853</x:v>
      </x:c>
    </x:row>
    <x:row r="183" ht="9.75" customHeight="1">
      <x:c r="A183" s="32">
        <x:v>178</x:v>
      </x:c>
      <x:c r="B183" s="11" t="s">
        <x:v>493</x:v>
      </x:c>
      <x:c r="C183" s="6" t="s">
        <x:v>34</x:v>
      </x:c>
      <x:c r="D183" s="11" t="s">
        <x:v>60</x:v>
      </x:c>
      <x:c r="E183" s="11" t="s">
        <x:v>91</x:v>
      </x:c>
      <x:c r="F183" s="6" t="s">
        <x:v>490</x:v>
      </x:c>
      <x:c r="G183" s="6" t="s">
        <x:v>491</x:v>
      </x:c>
      <x:c r="H183" s="17" t="s">
        <x:v>492</x:v>
      </x:c>
      <x:c r="I183" s="17" t="s">
        <x:v>86</x:v>
      </x:c>
      <x:c r="J183" s="6">
        <x:v>2022</x:v>
      </x:c>
      <x:c r="K183" s="17">
        <x:v>51</x:v>
      </x:c>
      <x:c r="L183" s="11">
        <x:v>0</x:v>
      </x:c>
      <x:c r="M183" s="17">
        <x:v>0</x:v>
      </x:c>
      <x:c r="N183" s="17" t="s">
        <x:v>41</x:v>
      </x:c>
      <x:c r="O183" s="6" t="s">
        <x:v>42</x:v>
      </x:c>
      <x:c r="P183" s="6"/>
      <x:c r="Q183" s="23" t="s">
        <x:v>43</x:v>
      </x:c>
      <x:c r="R183" s="23"/>
      <x:c r="S183" s="20"/>
      <x:c r="T183" s="11"/>
      <x:c r="U183" s="11"/>
      <x:c r="V183" s="11">
        <x:v>-2.0885655999999999</x:v>
      </x:c>
      <x:c r="W183" s="11">
        <x:v>106.09792659999999</x:v>
      </x:c>
      <x:c r="X183" s="65"/>
      <x:c r="Y183" s="29"/>
      <x:c r="Z183" s="51"/>
      <x:c r="AA183" s="53"/>
      <x:c r="AB183" s="56"/>
      <x:c r="AC183">
        <x:f t="shared" si="10"/>
        <x:v>0</x:v>
      </x:c>
      <x:c r="AD183">
        <x:f t="shared" si="11"/>
        <x:v>0</x:v>
      </x:c>
    </x:row>
    <x:row r="184" ht="9.75" customHeight="1">
      <x:c r="A184" s="32">
        <x:v>179</x:v>
      </x:c>
      <x:c r="B184" s="11" t="s">
        <x:v>494</x:v>
      </x:c>
      <x:c r="C184" s="6" t="s">
        <x:v>34</x:v>
      </x:c>
      <x:c r="D184" s="11" t="s">
        <x:v>81</x:v>
      </x:c>
      <x:c r="E184" s="11" t="s">
        <x:v>400</x:v>
      </x:c>
      <x:c r="F184" s="6" t="s">
        <x:v>495</x:v>
      </x:c>
      <x:c r="G184" s="6" t="s">
        <x:v>491</x:v>
      </x:c>
      <x:c r="H184" s="17" t="s">
        <x:v>492</x:v>
      </x:c>
      <x:c r="I184" s="17" t="s">
        <x:v>86</x:v>
      </x:c>
      <x:c r="J184" s="6">
        <x:v>2022</x:v>
      </x:c>
      <x:c r="K184" s="17">
        <x:v>117</x:v>
      </x:c>
      <x:c r="L184" s="11">
        <x:v>0</x:v>
      </x:c>
      <x:c r="M184" s="17">
        <x:v>0</x:v>
      </x:c>
      <x:c r="N184" s="17" t="s">
        <x:v>41</x:v>
      </x:c>
      <x:c r="O184" s="6" t="s">
        <x:v>42</x:v>
      </x:c>
      <x:c r="P184" s="6"/>
      <x:c r="Q184" s="23" t="s">
        <x:v>43</x:v>
      </x:c>
      <x:c r="R184" s="23"/>
      <x:c r="S184" s="20"/>
      <x:c r="T184" s="11"/>
      <x:c r="U184" s="11"/>
      <x:c r="V184" s="11">
        <x:v>-2.1283569999999998</x:v>
      </x:c>
      <x:c r="W184" s="11">
        <x:v>106.13170340000001</x:v>
      </x:c>
      <x:c r="X184" s="65"/>
      <x:c r="Y184" s="29"/>
      <x:c r="Z184" s="51"/>
      <x:c r="AA184" s="53"/>
      <x:c r="AB184" s="56"/>
      <x:c r="AC184">
        <x:f t="shared" si="10"/>
        <x:v>0</x:v>
      </x:c>
      <x:c r="AD184">
        <x:f t="shared" si="11"/>
        <x:v>0</x:v>
      </x:c>
    </x:row>
    <x:row r="185" ht="9.75" customHeight="1">
      <x:c r="A185" s="32">
        <x:v>180</x:v>
      </x:c>
      <x:c r="B185" s="11" t="s">
        <x:v>496</x:v>
      </x:c>
      <x:c r="C185" s="6" t="s">
        <x:v>170</x:v>
      </x:c>
      <x:c r="D185" s="11" t="s">
        <x:v>35</x:v>
      </x:c>
      <x:c r="E185" s="11" t="s">
        <x:v>36</x:v>
      </x:c>
      <x:c r="F185" s="6" t="s">
        <x:v>171</x:v>
      </x:c>
      <x:c r="G185" s="6" t="s">
        <x:v>491</x:v>
      </x:c>
      <x:c r="H185" s="17" t="s">
        <x:v>492</x:v>
      </x:c>
      <x:c r="I185" s="17" t="s">
        <x:v>86</x:v>
      </x:c>
      <x:c r="J185" s="6">
        <x:v>2022</x:v>
      </x:c>
      <x:c r="K185" s="17">
        <x:v>38</x:v>
      </x:c>
      <x:c r="L185" s="11">
        <x:v>26</x:v>
      </x:c>
      <x:c r="M185" s="17">
        <x:v>38</x:v>
      </x:c>
      <x:c r="N185" s="17" t="s">
        <x:v>48</x:v>
      </x:c>
      <x:c r="O185" s="6">
        <x:v>2025</x:v>
      </x:c>
      <x:c r="P185" s="6"/>
      <x:c r="Q185" s="23" t="s">
        <x:v>43</x:v>
      </x:c>
      <x:c r="R185" s="23"/>
      <x:c r="S185" s="20"/>
      <x:c r="T185" s="11"/>
      <x:c r="U185" s="11"/>
      <x:c r="V185" s="11">
        <x:v>-2.1216097</x:v>
      </x:c>
      <x:c r="W185" s="11">
        <x:v>106.0862723</x:v>
      </x:c>
      <x:c r="X185" s="65"/>
      <x:c r="Y185" s="29"/>
      <x:c r="Z185" s="51"/>
      <x:c r="AA185" s="53"/>
      <x:c r="AB185" s="56"/>
      <x:c r="AC185">
        <x:f t="shared" si="10"/>
        <x:v>0.68421052631578949</x:v>
      </x:c>
      <x:c r="AD185">
        <x:f t="shared" si="11"/>
        <x:v>1.4615384615384615</x:v>
      </x:c>
    </x:row>
    <x:row r="186" ht="9.75" customHeight="1">
      <x:c r="A186" s="32">
        <x:v>181</x:v>
      </x:c>
      <x:c r="B186" s="11" t="s">
        <x:v>497</x:v>
      </x:c>
      <x:c r="C186" s="6" t="s">
        <x:v>34</x:v>
      </x:c>
      <x:c r="D186" s="11" t="s">
        <x:v>60</x:v>
      </x:c>
      <x:c r="E186" s="11" t="s">
        <x:v>70</x:v>
      </x:c>
      <x:c r="F186" s="6" t="s">
        <x:v>498</x:v>
      </x:c>
      <x:c r="G186" s="6" t="s">
        <x:v>491</x:v>
      </x:c>
      <x:c r="H186" s="17" t="s">
        <x:v>492</x:v>
      </x:c>
      <x:c r="I186" s="17" t="s">
        <x:v>86</x:v>
      </x:c>
      <x:c r="J186" s="6">
        <x:v>2023</x:v>
      </x:c>
      <x:c r="K186" s="17">
        <x:v>148</x:v>
      </x:c>
      <x:c r="L186" s="11">
        <x:v>116</x:v>
      </x:c>
      <x:c r="M186" s="17">
        <x:v>80</x:v>
      </x:c>
      <x:c r="N186" s="17" t="s">
        <x:v>41</x:v>
      </x:c>
      <x:c r="O186" s="6" t="s">
        <x:v>42</x:v>
      </x:c>
      <x:c r="P186" s="6"/>
      <x:c r="Q186" s="23" t="s">
        <x:v>43</x:v>
      </x:c>
      <x:c r="R186" s="23" t="s">
        <x:v>88</x:v>
      </x:c>
      <x:c r="S186" s="20"/>
      <x:c r="T186" s="11"/>
      <x:c r="U186" s="11"/>
      <x:c r="V186" s="11">
        <x:v>-2.0946505000000002</x:v>
      </x:c>
      <x:c r="W186" s="11">
        <x:v>106.091736</x:v>
      </x:c>
      <x:c r="X186" s="65"/>
      <x:c r="Y186" s="29"/>
      <x:c r="Z186" s="51"/>
      <x:c r="AA186" s="53"/>
      <x:c r="AB186" s="56"/>
      <x:c r="AC186">
        <x:f t="shared" si="10"/>
        <x:v>0.78378378378378377</x:v>
      </x:c>
      <x:c r="AD186">
        <x:f t="shared" si="11"/>
        <x:v>0.68965517241379315</x:v>
      </x:c>
    </x:row>
    <x:row r="187" ht="9.75" customHeight="1">
      <x:c r="A187" s="32">
        <x:v>182</x:v>
      </x:c>
      <x:c r="B187" s="11" t="s">
        <x:v>499</x:v>
      </x:c>
      <x:c r="C187" s="6" t="s">
        <x:v>34</x:v>
      </x:c>
      <x:c r="D187" s="11" t="s">
        <x:v>60</x:v>
      </x:c>
      <x:c r="E187" s="11" t="s">
        <x:v>70</x:v>
      </x:c>
      <x:c r="F187" s="6" t="s">
        <x:v>500</x:v>
      </x:c>
      <x:c r="G187" s="6" t="s">
        <x:v>491</x:v>
      </x:c>
      <x:c r="H187" s="17" t="s">
        <x:v>492</x:v>
      </x:c>
      <x:c r="I187" s="17" t="s">
        <x:v>86</x:v>
      </x:c>
      <x:c r="J187" s="6">
        <x:v>2023</x:v>
      </x:c>
      <x:c r="K187" s="17">
        <x:v>24</x:v>
      </x:c>
      <x:c r="L187" s="11">
        <x:v>0</x:v>
      </x:c>
      <x:c r="M187" s="17">
        <x:v>0</x:v>
      </x:c>
      <x:c r="N187" s="17" t="s">
        <x:v>41</x:v>
      </x:c>
      <x:c r="O187" s="6" t="s">
        <x:v>42</x:v>
      </x:c>
      <x:c r="P187" s="6"/>
      <x:c r="Q187" s="23" t="s">
        <x:v>43</x:v>
      </x:c>
      <x:c r="R187" s="23"/>
      <x:c r="S187" s="20"/>
      <x:c r="T187" s="11"/>
      <x:c r="U187" s="11"/>
      <x:c r="V187" s="11">
        <x:v>-2.0952259999999998</x:v>
      </x:c>
      <x:c r="W187" s="11">
        <x:v>106.0856861</x:v>
      </x:c>
      <x:c r="X187" s="65"/>
      <x:c r="Y187" s="29"/>
      <x:c r="Z187" s="51"/>
      <x:c r="AA187" s="53"/>
      <x:c r="AB187" s="56"/>
      <x:c r="AC187">
        <x:f t="shared" si="10"/>
        <x:v>0</x:v>
      </x:c>
      <x:c r="AD187">
        <x:f t="shared" si="11"/>
        <x:v>0</x:v>
      </x:c>
    </x:row>
    <x:row r="188" ht="9.75" customHeight="1">
      <x:c r="A188" s="32">
        <x:v>183</x:v>
      </x:c>
      <x:c r="B188" s="11" t="s">
        <x:v>501</x:v>
      </x:c>
      <x:c r="C188" s="6" t="s">
        <x:v>34</x:v>
      </x:c>
      <x:c r="D188" s="11" t="s">
        <x:v>60</x:v>
      </x:c>
      <x:c r="E188" s="11" t="s">
        <x:v>70</x:v>
      </x:c>
      <x:c r="F188" s="6" t="s">
        <x:v>116</x:v>
      </x:c>
      <x:c r="G188" s="6" t="s">
        <x:v>491</x:v>
      </x:c>
      <x:c r="H188" s="17" t="s">
        <x:v>492</x:v>
      </x:c>
      <x:c r="I188" s="17" t="s">
        <x:v>86</x:v>
      </x:c>
      <x:c r="J188" s="6">
        <x:v>2024</x:v>
      </x:c>
      <x:c r="K188" s="17">
        <x:v>47</x:v>
      </x:c>
      <x:c r="L188" s="11">
        <x:v>0</x:v>
      </x:c>
      <x:c r="M188" s="17">
        <x:v>0</x:v>
      </x:c>
      <x:c r="N188" s="17" t="s">
        <x:v>41</x:v>
      </x:c>
      <x:c r="O188" s="6" t="s">
        <x:v>42</x:v>
      </x:c>
      <x:c r="P188" s="6"/>
      <x:c r="Q188" s="23" t="s">
        <x:v>43</x:v>
      </x:c>
      <x:c r="R188" s="23"/>
      <x:c r="S188" s="20"/>
      <x:c r="T188" s="11"/>
      <x:c r="U188" s="11"/>
      <x:c r="V188" s="11">
        <x:v>-2.0995051</x:v>
      </x:c>
      <x:c r="W188" s="11">
        <x:v>106.0848124</x:v>
      </x:c>
      <x:c r="X188" s="65"/>
      <x:c r="Y188" s="29"/>
      <x:c r="Z188" s="51"/>
      <x:c r="AA188" s="53"/>
      <x:c r="AB188" s="56"/>
      <x:c r="AC188">
        <x:f t="shared" si="10"/>
        <x:v>0</x:v>
      </x:c>
      <x:c r="AD188">
        <x:f t="shared" si="11"/>
        <x:v>0</x:v>
      </x:c>
    </x:row>
    <x:row r="189" ht="9.75" customHeight="1">
      <x:c r="A189" s="32">
        <x:v>184</x:v>
      </x:c>
      <x:c r="B189" s="11" t="s">
        <x:v>502</x:v>
      </x:c>
      <x:c r="C189" s="6" t="s">
        <x:v>34</x:v>
      </x:c>
      <x:c r="D189" s="11" t="s">
        <x:v>35</x:v>
      </x:c>
      <x:c r="E189" s="11" t="s">
        <x:v>136</x:v>
      </x:c>
      <x:c r="F189" s="6" t="s">
        <x:v>185</x:v>
      </x:c>
      <x:c r="G189" s="6" t="s">
        <x:v>491</x:v>
      </x:c>
      <x:c r="H189" s="17" t="s">
        <x:v>492</x:v>
      </x:c>
      <x:c r="I189" s="17" t="s">
        <x:v>86</x:v>
      </x:c>
      <x:c r="J189" s="6">
        <x:v>2025</x:v>
      </x:c>
      <x:c r="K189" s="17">
        <x:v>58</x:v>
      </x:c>
      <x:c r="L189" s="11">
        <x:v>0</x:v>
      </x:c>
      <x:c r="M189" s="17">
        <x:v>0</x:v>
      </x:c>
      <x:c r="N189" s="17" t="s">
        <x:v>41</x:v>
      </x:c>
      <x:c r="O189" s="6" t="s">
        <x:v>42</x:v>
      </x:c>
      <x:c r="P189" s="6"/>
      <x:c r="Q189" s="23" t="s">
        <x:v>43</x:v>
      </x:c>
      <x:c r="R189" s="23" t="s">
        <x:v>88</x:v>
      </x:c>
      <x:c r="S189" s="20"/>
      <x:c r="T189" s="11"/>
      <x:c r="U189" s="11"/>
      <x:c r="V189" s="11">
        <x:v>-2.106506</x:v>
      </x:c>
      <x:c r="W189" s="11">
        <x:v>106.090225</x:v>
      </x:c>
      <x:c r="X189" s="65"/>
      <x:c r="Y189" s="29"/>
      <x:c r="Z189" s="51"/>
      <x:c r="AA189" s="53"/>
      <x:c r="AB189" s="56"/>
      <x:c r="AC189">
        <x:f t="shared" si="10"/>
        <x:v>0</x:v>
      </x:c>
      <x:c r="AD189">
        <x:f t="shared" si="11"/>
        <x:v>0</x:v>
      </x:c>
    </x:row>
    <x:row r="190" ht="9.75" customHeight="1">
      <x:c r="A190" s="32">
        <x:v>185</x:v>
      </x:c>
      <x:c r="B190" s="11" t="s">
        <x:v>503</x:v>
      </x:c>
      <x:c r="C190" s="6" t="s">
        <x:v>34</x:v>
      </x:c>
      <x:c r="D190" s="11" t="s">
        <x:v>35</x:v>
      </x:c>
      <x:c r="E190" s="11" t="s">
        <x:v>46</x:v>
      </x:c>
      <x:c r="F190" s="6" t="s">
        <x:v>504</x:v>
      </x:c>
      <x:c r="G190" s="6" t="s">
        <x:v>215</x:v>
      </x:c>
      <x:c r="H190" s="17" t="s">
        <x:v>216</x:v>
      </x:c>
      <x:c r="I190" s="17" t="s">
        <x:v>112</x:v>
      </x:c>
      <x:c r="J190" s="6">
        <x:v>2020</x:v>
      </x:c>
      <x:c r="K190" s="17">
        <x:v>42</x:v>
      </x:c>
      <x:c r="L190" s="11">
        <x:v>42</x:v>
      </x:c>
      <x:c r="M190" s="17">
        <x:v>42</x:v>
      </x:c>
      <x:c r="N190" s="17" t="s">
        <x:v>41</x:v>
      </x:c>
      <x:c r="O190" s="6" t="s">
        <x:v>42</x:v>
      </x:c>
      <x:c r="P190" s="6"/>
      <x:c r="Q190" s="23" t="s">
        <x:v>43</x:v>
      </x:c>
      <x:c r="R190" s="23"/>
      <x:c r="S190" s="20"/>
      <x:c r="T190" s="11"/>
      <x:c r="U190" s="11"/>
      <x:c r="V190" s="11">
        <x:v>-2.1166117</x:v>
      </x:c>
      <x:c r="W190" s="11">
        <x:v>106.0875205</x:v>
      </x:c>
      <x:c r="X190" s="65"/>
      <x:c r="Y190" s="29"/>
      <x:c r="Z190" s="51"/>
      <x:c r="AA190" s="53"/>
      <x:c r="AB190" s="56"/>
      <x:c r="AC190">
        <x:f t="shared" si="10"/>
        <x:v>1</x:v>
      </x:c>
      <x:c r="AD190">
        <x:f t="shared" si="11"/>
        <x:v>1</x:v>
      </x:c>
    </x:row>
    <x:row r="191" ht="9.75" customHeight="1">
      <x:c r="A191" s="32">
        <x:v>186</x:v>
      </x:c>
      <x:c r="B191" s="11" t="s">
        <x:v>505</x:v>
      </x:c>
      <x:c r="C191" s="6" t="s">
        <x:v>34</x:v>
      </x:c>
      <x:c r="D191" s="11" t="s">
        <x:v>35</x:v>
      </x:c>
      <x:c r="E191" s="11" t="s">
        <x:v>36</x:v>
      </x:c>
      <x:c r="F191" s="6" t="s">
        <x:v>506</x:v>
      </x:c>
      <x:c r="G191" s="6" t="s">
        <x:v>42</x:v>
      </x:c>
      <x:c r="H191" s="17" t="s">
        <x:v>42</x:v>
      </x:c>
      <x:c r="I191" s="17" t="s">
        <x:v>42</x:v>
      </x:c>
      <x:c r="J191" s="6">
        <x:v>2016</x:v>
      </x:c>
      <x:c r="K191" s="17">
        <x:v>88</x:v>
      </x:c>
      <x:c r="L191" s="11">
        <x:v>88</x:v>
      </x:c>
      <x:c r="M191" s="17">
        <x:v>88</x:v>
      </x:c>
      <x:c r="N191" s="17" t="s">
        <x:v>41</x:v>
      </x:c>
      <x:c r="O191" s="6" t="s">
        <x:v>42</x:v>
      </x:c>
      <x:c r="P191" s="6"/>
      <x:c r="Q191" s="23" t="s">
        <x:v>43</x:v>
      </x:c>
      <x:c r="R191" s="23"/>
      <x:c r="S191" s="20"/>
      <x:c r="T191" s="11"/>
      <x:c r="U191" s="11"/>
      <x:c r="V191" s="11">
        <x:v>-2.101629</x:v>
      </x:c>
      <x:c r="W191" s="11">
        <x:v>106.0795565</x:v>
      </x:c>
      <x:c r="X191" s="65"/>
      <x:c r="Y191" s="29"/>
      <x:c r="Z191" s="51"/>
      <x:c r="AA191" s="53"/>
      <x:c r="AB191" s="56"/>
      <x:c r="AC191">
        <x:f t="shared" si="10"/>
        <x:v>1</x:v>
      </x:c>
      <x:c r="AD191">
        <x:f t="shared" si="11"/>
        <x:v>1</x:v>
      </x:c>
    </x:row>
    <x:row r="192" ht="9.75" customHeight="1">
      <x:c r="A192" s="32">
        <x:v>187</x:v>
      </x:c>
      <x:c r="B192" s="11" t="s">
        <x:v>507</x:v>
      </x:c>
      <x:c r="C192" s="6" t="s">
        <x:v>34</x:v>
      </x:c>
      <x:c r="D192" s="11" t="s">
        <x:v>60</x:v>
      </x:c>
      <x:c r="E192" s="11" t="s">
        <x:v>91</x:v>
      </x:c>
      <x:c r="F192" s="6" t="s">
        <x:v>229</x:v>
      </x:c>
      <x:c r="G192" s="6" t="s">
        <x:v>42</x:v>
      </x:c>
      <x:c r="H192" s="17" t="s">
        <x:v>42</x:v>
      </x:c>
      <x:c r="I192" s="17" t="s">
        <x:v>42</x:v>
      </x:c>
      <x:c r="J192" s="6">
        <x:v>2015</x:v>
      </x:c>
      <x:c r="K192" s="17">
        <x:v>249</x:v>
      </x:c>
      <x:c r="L192" s="11">
        <x:v>249</x:v>
      </x:c>
      <x:c r="M192" s="17">
        <x:v>249</x:v>
      </x:c>
      <x:c r="N192" s="17" t="s">
        <x:v>41</x:v>
      </x:c>
      <x:c r="O192" s="6" t="s">
        <x:v>42</x:v>
      </x:c>
      <x:c r="P192" s="6"/>
      <x:c r="Q192" s="23" t="s">
        <x:v>43</x:v>
      </x:c>
      <x:c r="R192" s="23"/>
      <x:c r="S192" s="20"/>
      <x:c r="T192" s="11"/>
      <x:c r="U192" s="11"/>
      <x:c r="V192" s="11">
        <x:v>-2.0903659999999999</x:v>
      </x:c>
      <x:c r="W192" s="11">
        <x:v>106.103634</x:v>
      </x:c>
      <x:c r="X192" s="65"/>
      <x:c r="Y192" s="29"/>
      <x:c r="Z192" s="51"/>
      <x:c r="AA192" s="53"/>
      <x:c r="AB192" s="56"/>
      <x:c r="AC192">
        <x:f t="shared" si="10"/>
        <x:v>1</x:v>
      </x:c>
      <x:c r="AD192">
        <x:f t="shared" si="11"/>
        <x:v>1</x:v>
      </x:c>
    </x:row>
    <x:row r="193" ht="9.75" customHeight="1">
      <x:c r="A193" s="32">
        <x:v>188</x:v>
      </x:c>
      <x:c r="B193" s="11" t="s">
        <x:v>508</x:v>
      </x:c>
      <x:c r="C193" s="6" t="s">
        <x:v>34</x:v>
      </x:c>
      <x:c r="D193" s="11" t="s">
        <x:v>60</x:v>
      </x:c>
      <x:c r="E193" s="11" t="s">
        <x:v>91</x:v>
      </x:c>
      <x:c r="F193" s="6" t="s">
        <x:v>509</x:v>
      </x:c>
      <x:c r="G193" s="6" t="s">
        <x:v>42</x:v>
      </x:c>
      <x:c r="H193" s="17" t="s">
        <x:v>42</x:v>
      </x:c>
      <x:c r="I193" s="17" t="s">
        <x:v>42</x:v>
      </x:c>
      <x:c r="J193" s="6">
        <x:v>2015</x:v>
      </x:c>
      <x:c r="K193" s="17">
        <x:v>151</x:v>
      </x:c>
      <x:c r="L193" s="11">
        <x:v>151</x:v>
      </x:c>
      <x:c r="M193" s="17">
        <x:v>151</x:v>
      </x:c>
      <x:c r="N193" s="17" t="s">
        <x:v>41</x:v>
      </x:c>
      <x:c r="O193" s="6" t="s">
        <x:v>42</x:v>
      </x:c>
      <x:c r="P193" s="6"/>
      <x:c r="Q193" s="23" t="s">
        <x:v>43</x:v>
      </x:c>
      <x:c r="R193" s="23"/>
      <x:c r="S193" s="20" t="s">
        <x:v>178</x:v>
      </x:c>
      <x:c r="T193" s="11"/>
      <x:c r="U193" s="11"/>
      <x:c r="V193" s="11">
        <x:v>-2.0896349999999999</x:v>
      </x:c>
      <x:c r="W193" s="11">
        <x:v>106.10897799999999</x:v>
      </x:c>
      <x:c r="X193" s="65"/>
      <x:c r="Y193" s="29"/>
      <x:c r="Z193" s="51"/>
      <x:c r="AA193" s="53"/>
      <x:c r="AB193" s="56"/>
      <x:c r="AC193">
        <x:f t="shared" si="10"/>
        <x:v>1</x:v>
      </x:c>
      <x:c r="AD193">
        <x:f t="shared" si="11"/>
        <x:v>1</x:v>
      </x:c>
    </x:row>
    <x:row r="194" ht="9.75" customHeight="1">
      <x:c r="A194" s="32">
        <x:v>189</x:v>
      </x:c>
      <x:c r="B194" s="11" t="s">
        <x:v>510</x:v>
      </x:c>
      <x:c r="C194" s="6" t="s">
        <x:v>34</x:v>
      </x:c>
      <x:c r="D194" s="11" t="s">
        <x:v>81</x:v>
      </x:c>
      <x:c r="E194" s="11" t="s">
        <x:v>202</x:v>
      </x:c>
      <x:c r="F194" s="6" t="s">
        <x:v>421</x:v>
      </x:c>
      <x:c r="G194" s="6" t="s">
        <x:v>511</x:v>
      </x:c>
      <x:c r="H194" s="17" t="s">
        <x:v>42</x:v>
      </x:c>
      <x:c r="I194" s="17" t="s">
        <x:v>40</x:v>
      </x:c>
      <x:c r="J194" s="6">
        <x:v>2017</x:v>
      </x:c>
      <x:c r="K194" s="17">
        <x:v>44</x:v>
      </x:c>
      <x:c r="L194" s="11">
        <x:v>44</x:v>
      </x:c>
      <x:c r="M194" s="17">
        <x:v>44</x:v>
      </x:c>
      <x:c r="N194" s="17" t="s">
        <x:v>48</x:v>
      </x:c>
      <x:c r="O194" s="6">
        <x:v>2022</x:v>
      </x:c>
      <x:c r="P194" s="6"/>
      <x:c r="Q194" s="23" t="s">
        <x:v>72</x:v>
      </x:c>
      <x:c r="R194" s="23" t="s">
        <x:v>113</x:v>
      </x:c>
      <x:c r="S194" s="20" t="s">
        <x:v>178</x:v>
      </x:c>
      <x:c r="T194" s="11"/>
      <x:c r="U194" s="11"/>
      <x:c r="V194" s="11">
        <x:v>-2.1338387000000001</x:v>
      </x:c>
      <x:c r="W194" s="11">
        <x:v>106.15800900000001</x:v>
      </x:c>
      <x:c r="X194" s="65"/>
      <x:c r="Y194" s="29"/>
      <x:c r="Z194" s="51"/>
      <x:c r="AA194" s="53"/>
      <x:c r="AB194" s="56"/>
      <x:c r="AC194">
        <x:f t="shared" si="10"/>
        <x:v>1</x:v>
      </x:c>
      <x:c r="AD194">
        <x:f t="shared" si="11"/>
        <x:v>1</x:v>
      </x:c>
    </x:row>
    <x:row r="195" ht="9.75" customHeight="1">
      <x:c r="A195" s="32">
        <x:v>190</x:v>
      </x:c>
      <x:c r="B195" s="11" t="s">
        <x:v>512</x:v>
      </x:c>
      <x:c r="C195" s="6" t="s">
        <x:v>34</x:v>
      </x:c>
      <x:c r="D195" s="11" t="s">
        <x:v>81</x:v>
      </x:c>
      <x:c r="E195" s="11" t="s">
        <x:v>202</x:v>
      </x:c>
      <x:c r="F195" s="6" t="s">
        <x:v>421</x:v>
      </x:c>
      <x:c r="G195" s="6" t="s">
        <x:v>511</x:v>
      </x:c>
      <x:c r="H195" s="17" t="s">
        <x:v>42</x:v>
      </x:c>
      <x:c r="I195" s="17" t="s">
        <x:v>40</x:v>
      </x:c>
      <x:c r="J195" s="6">
        <x:v>2018</x:v>
      </x:c>
      <x:c r="K195" s="17">
        <x:v>51</x:v>
      </x:c>
      <x:c r="L195" s="11">
        <x:v>51</x:v>
      </x:c>
      <x:c r="M195" s="17">
        <x:v>51</x:v>
      </x:c>
      <x:c r="N195" s="17" t="s">
        <x:v>48</x:v>
      </x:c>
      <x:c r="O195" s="6">
        <x:v>2022</x:v>
      </x:c>
      <x:c r="P195" s="6"/>
      <x:c r="Q195" s="23" t="s">
        <x:v>72</x:v>
      </x:c>
      <x:c r="R195" s="23" t="s">
        <x:v>113</x:v>
      </x:c>
      <x:c r="S195" s="20" t="s">
        <x:v>178</x:v>
      </x:c>
      <x:c r="T195" s="11"/>
      <x:c r="U195" s="11"/>
      <x:c r="V195" s="11"/>
      <x:c r="W195" s="11"/>
      <x:c r="X195" s="65"/>
      <x:c r="Y195" s="29"/>
      <x:c r="Z195" s="51"/>
      <x:c r="AA195" s="53"/>
      <x:c r="AB195" s="56"/>
      <x:c r="AC195">
        <x:f t="shared" si="10"/>
        <x:v>1</x:v>
      </x:c>
      <x:c r="AD195">
        <x:f t="shared" si="11"/>
        <x:v>1</x:v>
      </x:c>
    </x:row>
    <x:row r="196" ht="9.75" customHeight="1">
      <x:c r="A196" s="32">
        <x:v>191</x:v>
      </x:c>
      <x:c r="B196" s="11" t="s">
        <x:v>513</x:v>
      </x:c>
      <x:c r="C196" s="6" t="s">
        <x:v>34</x:v>
      </x:c>
      <x:c r="D196" s="11" t="s">
        <x:v>81</x:v>
      </x:c>
      <x:c r="E196" s="11" t="s">
        <x:v>202</x:v>
      </x:c>
      <x:c r="F196" s="6" t="s">
        <x:v>421</x:v>
      </x:c>
      <x:c r="G196" s="6" t="s">
        <x:v>511</x:v>
      </x:c>
      <x:c r="H196" s="17" t="s">
        <x:v>42</x:v>
      </x:c>
      <x:c r="I196" s="17" t="s">
        <x:v>40</x:v>
      </x:c>
      <x:c r="J196" s="6">
        <x:v>2018</x:v>
      </x:c>
      <x:c r="K196" s="17">
        <x:v>25</x:v>
      </x:c>
      <x:c r="L196" s="11">
        <x:v>25</x:v>
      </x:c>
      <x:c r="M196" s="17">
        <x:v>25</x:v>
      </x:c>
      <x:c r="N196" s="17" t="s">
        <x:v>48</x:v>
      </x:c>
      <x:c r="O196" s="6">
        <x:v>2022</x:v>
      </x:c>
      <x:c r="P196" s="6"/>
      <x:c r="Q196" s="23" t="s">
        <x:v>72</x:v>
      </x:c>
      <x:c r="R196" s="23" t="s">
        <x:v>113</x:v>
      </x:c>
      <x:c r="S196" s="20" t="s">
        <x:v>178</x:v>
      </x:c>
      <x:c r="T196" s="11"/>
      <x:c r="U196" s="11"/>
      <x:c r="V196" s="11"/>
      <x:c r="W196" s="11"/>
      <x:c r="X196" s="65"/>
      <x:c r="Y196" s="29"/>
      <x:c r="Z196" s="51"/>
      <x:c r="AA196" s="53"/>
      <x:c r="AB196" s="56"/>
      <x:c r="AC196">
        <x:f t="shared" si="10"/>
        <x:v>1</x:v>
      </x:c>
      <x:c r="AD196">
        <x:f t="shared" si="11"/>
        <x:v>1</x:v>
      </x:c>
    </x:row>
    <x:row r="197" ht="9.75" customHeight="1">
      <x:c r="A197" s="32">
        <x:v>192</x:v>
      </x:c>
      <x:c r="B197" s="11" t="s">
        <x:v>514</x:v>
      </x:c>
      <x:c r="C197" s="6" t="s">
        <x:v>34</x:v>
      </x:c>
      <x:c r="D197" s="11" t="s">
        <x:v>81</x:v>
      </x:c>
      <x:c r="E197" s="11" t="s">
        <x:v>202</x:v>
      </x:c>
      <x:c r="F197" s="6" t="s">
        <x:v>421</x:v>
      </x:c>
      <x:c r="G197" s="6" t="s">
        <x:v>511</x:v>
      </x:c>
      <x:c r="H197" s="17" t="s">
        <x:v>42</x:v>
      </x:c>
      <x:c r="I197" s="17" t="s">
        <x:v>40</x:v>
      </x:c>
      <x:c r="J197" s="6">
        <x:v>2019</x:v>
      </x:c>
      <x:c r="K197" s="17">
        <x:v>84</x:v>
      </x:c>
      <x:c r="L197" s="11">
        <x:v>84</x:v>
      </x:c>
      <x:c r="M197" s="17">
        <x:v>84</x:v>
      </x:c>
      <x:c r="N197" s="17" t="s">
        <x:v>48</x:v>
      </x:c>
      <x:c r="O197" s="6">
        <x:v>2022</x:v>
      </x:c>
      <x:c r="P197" s="6"/>
      <x:c r="Q197" s="23" t="s">
        <x:v>43</x:v>
      </x:c>
      <x:c r="R197" s="23" t="s">
        <x:v>113</x:v>
      </x:c>
      <x:c r="S197" s="20" t="s">
        <x:v>178</x:v>
      </x:c>
      <x:c r="T197" s="11"/>
      <x:c r="U197" s="11"/>
      <x:c r="V197" s="11">
        <x:v>-2.1338387000000001</x:v>
      </x:c>
      <x:c r="W197" s="11">
        <x:v>106.15800900000001</x:v>
      </x:c>
      <x:c r="X197" s="65"/>
      <x:c r="Y197" s="29"/>
      <x:c r="Z197" s="51"/>
      <x:c r="AA197" s="53"/>
      <x:c r="AB197" s="56"/>
      <x:c r="AC197">
        <x:f t="shared" si="10"/>
        <x:v>1</x:v>
      </x:c>
      <x:c r="AD197">
        <x:f t="shared" si="11"/>
        <x:v>1</x:v>
      </x:c>
    </x:row>
    <x:row r="198" ht="9.75" customHeight="1">
      <x:c r="A198" s="32">
        <x:v>193</x:v>
      </x:c>
      <x:c r="B198" s="11" t="s">
        <x:v>515</x:v>
      </x:c>
      <x:c r="C198" s="6" t="s">
        <x:v>34</x:v>
      </x:c>
      <x:c r="D198" s="11" t="s">
        <x:v>81</x:v>
      </x:c>
      <x:c r="E198" s="11" t="s">
        <x:v>202</x:v>
      </x:c>
      <x:c r="F198" s="6" t="s">
        <x:v>421</x:v>
      </x:c>
      <x:c r="G198" s="6" t="s">
        <x:v>511</x:v>
      </x:c>
      <x:c r="H198" s="17" t="s">
        <x:v>42</x:v>
      </x:c>
      <x:c r="I198" s="17" t="s">
        <x:v>40</x:v>
      </x:c>
      <x:c r="J198" s="6">
        <x:v>2019</x:v>
      </x:c>
      <x:c r="K198" s="17">
        <x:v>22</x:v>
      </x:c>
      <x:c r="L198" s="11">
        <x:v>22</x:v>
      </x:c>
      <x:c r="M198" s="17">
        <x:v>22</x:v>
      </x:c>
      <x:c r="N198" s="17" t="s">
        <x:v>48</x:v>
      </x:c>
      <x:c r="O198" s="6">
        <x:v>2022</x:v>
      </x:c>
      <x:c r="P198" s="6"/>
      <x:c r="Q198" s="23" t="s">
        <x:v>43</x:v>
      </x:c>
      <x:c r="R198" s="23" t="s">
        <x:v>113</x:v>
      </x:c>
      <x:c r="S198" s="20" t="s">
        <x:v>178</x:v>
      </x:c>
      <x:c r="T198" s="11"/>
      <x:c r="U198" s="11"/>
      <x:c r="V198" s="11">
        <x:v>-2.1337893999999999</x:v>
      </x:c>
      <x:c r="W198" s="11">
        <x:v>106.1568065</x:v>
      </x:c>
      <x:c r="X198" s="65"/>
      <x:c r="Y198" s="29"/>
      <x:c r="Z198" s="51"/>
      <x:c r="AA198" s="53"/>
      <x:c r="AB198" s="56"/>
      <x:c r="AC198" t="n">
        <x:f t="shared" ref="AC198:AC205" si="12">IF(A198="","",IFERROR(L198/K198,0))</x:f>
        <x:v>1</x:v>
      </x:c>
      <x:c r="AD198" t="n">
        <x:f t="shared" ref="AD198:AD205" si="13">IF(A198="","",IFERROR(M198/L198,0))</x:f>
        <x:v>1</x:v>
      </x:c>
    </x:row>
    <x:row r="199" ht="9.75" customHeight="1">
      <x:c r="A199" s="32">
        <x:v>194</x:v>
      </x:c>
      <x:c r="B199" s="11" t="s">
        <x:v>516</x:v>
      </x:c>
      <x:c r="C199" s="6" t="s">
        <x:v>34</x:v>
      </x:c>
      <x:c r="D199" s="11" t="s">
        <x:v>60</x:v>
      </x:c>
      <x:c r="E199" s="11" t="s">
        <x:v>61</x:v>
      </x:c>
      <x:c r="F199" s="6" t="s">
        <x:v>517</x:v>
      </x:c>
      <x:c r="G199" s="6" t="s">
        <x:v>518</x:v>
      </x:c>
      <x:c r="H199" s="17" t="s">
        <x:v>519</x:v>
      </x:c>
      <x:c r="I199" s="17" t="s">
        <x:v>42</x:v>
      </x:c>
      <x:c r="J199" s="6">
        <x:v>2024</x:v>
      </x:c>
      <x:c r="K199" s="17">
        <x:v>35</x:v>
      </x:c>
      <x:c r="L199" s="11">
        <x:v>33</x:v>
      </x:c>
      <x:c r="M199" s="17">
        <x:v>12</x:v>
      </x:c>
      <x:c r="N199" s="17" t="s">
        <x:v>41</x:v>
      </x:c>
      <x:c r="O199" s="6" t="s">
        <x:v>42</x:v>
      </x:c>
      <x:c r="P199" s="6"/>
      <x:c r="Q199" s="23" t="s">
        <x:v>43</x:v>
      </x:c>
      <x:c r="R199" s="23"/>
      <x:c r="S199" s="20"/>
      <x:c r="T199" s="11"/>
      <x:c r="U199" s="11"/>
      <x:c r="V199" s="11">
        <x:v>-2.1030367000000001</x:v>
      </x:c>
      <x:c r="W199" s="11">
        <x:v>106.09867819999999</x:v>
      </x:c>
      <x:c r="X199" s="65"/>
      <x:c r="Y199" s="29"/>
      <x:c r="Z199" s="51"/>
      <x:c r="AA199" s="53"/>
      <x:c r="AB199" s="56"/>
      <x:c r="AC199">
        <x:f t="shared" si="12"/>
        <x:v>0.94285714285714284</x:v>
      </x:c>
      <x:c r="AD199">
        <x:f t="shared" si="13"/>
        <x:v>0.36363636363636365</x:v>
      </x:c>
    </x:row>
    <x:row r="200" ht="9.75" customHeight="1">
      <x:c r="A200" s="32">
        <x:v>195</x:v>
      </x:c>
      <x:c r="B200" s="11" t="s">
        <x:v>520</x:v>
      </x:c>
      <x:c r="C200" s="6" t="s">
        <x:v>34</x:v>
      </x:c>
      <x:c r="D200" s="11" t="s">
        <x:v>60</x:v>
      </x:c>
      <x:c r="E200" s="11" t="s">
        <x:v>91</x:v>
      </x:c>
      <x:c r="F200" s="6" t="s">
        <x:v>209</x:v>
      </x:c>
      <x:c r="G200" s="6" t="s">
        <x:v>42</x:v>
      </x:c>
      <x:c r="H200" s="17" t="s">
        <x:v>42</x:v>
      </x:c>
      <x:c r="I200" s="17" t="s">
        <x:v>42</x:v>
      </x:c>
      <x:c r="J200" s="6">
        <x:v>2015</x:v>
      </x:c>
      <x:c r="K200" s="17">
        <x:v>61</x:v>
      </x:c>
      <x:c r="L200" s="11">
        <x:v>61</x:v>
      </x:c>
      <x:c r="M200" s="17">
        <x:v>61</x:v>
      </x:c>
      <x:c r="N200" s="17" t="s">
        <x:v>41</x:v>
      </x:c>
      <x:c r="O200" s="6" t="s">
        <x:v>42</x:v>
      </x:c>
      <x:c r="P200" s="6"/>
      <x:c r="Q200" s="23" t="s">
        <x:v>43</x:v>
      </x:c>
      <x:c r="R200" s="23" t="s">
        <x:v>88</x:v>
      </x:c>
      <x:c r="S200" s="20"/>
      <x:c r="T200" s="11"/>
      <x:c r="U200" s="11"/>
      <x:c r="V200" s="11">
        <x:v>-2.0791229000000002</x:v>
      </x:c>
      <x:c r="W200" s="11">
        <x:v>106.12775739999999</x:v>
      </x:c>
      <x:c r="X200" s="65"/>
      <x:c r="Y200" s="29"/>
      <x:c r="Z200" s="51"/>
      <x:c r="AA200" s="53"/>
      <x:c r="AB200" s="56"/>
      <x:c r="AC200">
        <x:f t="shared" si="12"/>
        <x:v>1</x:v>
      </x:c>
      <x:c r="AD200">
        <x:f t="shared" si="13"/>
        <x:v>1</x:v>
      </x:c>
    </x:row>
    <x:row r="201" ht="9.75" customHeight="1">
      <x:c r="A201" s="32">
        <x:v>196</x:v>
      </x:c>
      <x:c r="B201" s="11" t="s">
        <x:v>521</x:v>
      </x:c>
      <x:c r="C201" s="6" t="s">
        <x:v>170</x:v>
      </x:c>
      <x:c r="D201" s="11" t="s">
        <x:v>35</x:v>
      </x:c>
      <x:c r="E201" s="11" t="s">
        <x:v>184</x:v>
      </x:c>
      <x:c r="F201" s="6" t="s">
        <x:v>522</x:v>
      </x:c>
      <x:c r="G201" s="6" t="s">
        <x:v>42</x:v>
      </x:c>
      <x:c r="H201" s="17" t="s">
        <x:v>42</x:v>
      </x:c>
      <x:c r="I201" s="17" t="s">
        <x:v>42</x:v>
      </x:c>
      <x:c r="J201" s="6">
        <x:v>2018</x:v>
      </x:c>
      <x:c r="K201" s="17">
        <x:v>10</x:v>
      </x:c>
      <x:c r="L201" s="11">
        <x:v>10</x:v>
      </x:c>
      <x:c r="M201" s="17">
        <x:v>10</x:v>
      </x:c>
      <x:c r="N201" s="17" t="s">
        <x:v>41</x:v>
      </x:c>
      <x:c r="O201" s="6" t="s">
        <x:v>42</x:v>
      </x:c>
      <x:c r="P201" s="6"/>
      <x:c r="Q201" s="23" t="s">
        <x:v>43</x:v>
      </x:c>
      <x:c r="R201" s="23"/>
      <x:c r="S201" s="20"/>
      <x:c r="T201" s="11"/>
      <x:c r="U201" s="11"/>
      <x:c r="V201" s="11">
        <x:v>-2.1178539000000001</x:v>
      </x:c>
      <x:c r="W201" s="11">
        <x:v>106.0945468</x:v>
      </x:c>
      <x:c r="X201" s="65"/>
      <x:c r="Y201" s="29"/>
      <x:c r="Z201" s="51"/>
      <x:c r="AA201" s="53"/>
      <x:c r="AB201" s="56"/>
      <x:c r="AC201">
        <x:f t="shared" si="12"/>
        <x:v>1</x:v>
      </x:c>
      <x:c r="AD201">
        <x:f t="shared" si="13"/>
        <x:v>1</x:v>
      </x:c>
    </x:row>
    <x:row r="202" ht="9.75" customHeight="1">
      <x:c r="A202" s="32">
        <x:v>197</x:v>
      </x:c>
      <x:c r="B202" s="11" t="s">
        <x:v>523</x:v>
      </x:c>
      <x:c r="C202" s="6" t="s">
        <x:v>34</x:v>
      </x:c>
      <x:c r="D202" s="11" t="s">
        <x:v>81</x:v>
      </x:c>
      <x:c r="E202" s="11" t="s">
        <x:v>202</x:v>
      </x:c>
      <x:c r="F202" s="6" t="s">
        <x:v>163</x:v>
      </x:c>
      <x:c r="G202" s="6" t="s">
        <x:v>524</x:v>
      </x:c>
      <x:c r="H202" s="17" t="s">
        <x:v>42</x:v>
      </x:c>
      <x:c r="I202" s="17" t="s">
        <x:v>42</x:v>
      </x:c>
      <x:c r="J202" s="6" t="s">
        <x:v>42</x:v>
      </x:c>
      <x:c r="K202" s="17">
        <x:v>0</x:v>
      </x:c>
      <x:c r="L202" s="11">
        <x:v>0</x:v>
      </x:c>
      <x:c r="M202" s="17">
        <x:v>0</x:v>
      </x:c>
      <x:c r="N202" s="17" t="s">
        <x:v>41</x:v>
      </x:c>
      <x:c r="O202" s="6" t="s">
        <x:v>42</x:v>
      </x:c>
      <x:c r="P202" s="6"/>
      <x:c r="Q202" s="23" t="s">
        <x:v>43</x:v>
      </x:c>
      <x:c r="R202" s="23"/>
      <x:c r="S202" s="20"/>
      <x:c r="T202" s="11"/>
      <x:c r="U202" s="11"/>
      <x:c r="V202" s="11">
        <x:v>-2.1417353000000001</x:v>
      </x:c>
      <x:c r="W202" s="11">
        <x:v>106.16425479999999</x:v>
      </x:c>
      <x:c r="X202" s="65"/>
      <x:c r="Y202" s="29"/>
      <x:c r="Z202" s="51"/>
      <x:c r="AA202" s="53"/>
      <x:c r="AB202" s="56"/>
      <x:c r="AC202">
        <x:f t="shared" si="12"/>
        <x:v>0</x:v>
      </x:c>
      <x:c r="AD202">
        <x:f t="shared" si="13"/>
        <x:v>0</x:v>
      </x:c>
    </x:row>
    <x:row r="203" ht="9.75" customHeight="1">
      <x:c r="A203" s="32">
        <x:v>198</x:v>
      </x:c>
      <x:c r="B203" s="11" t="s">
        <x:v>525</x:v>
      </x:c>
      <x:c r="C203" s="6" t="s">
        <x:v>34</x:v>
      </x:c>
      <x:c r="D203" s="11" t="s">
        <x:v>35</x:v>
      </x:c>
      <x:c r="E203" s="11" t="s">
        <x:v>46</x:v>
      </x:c>
      <x:c r="F203" s="6" t="s">
        <x:v>526</x:v>
      </x:c>
      <x:c r="G203" s="6" t="s">
        <x:v>38</x:v>
      </x:c>
      <x:c r="H203" s="17" t="s">
        <x:v>39</x:v>
      </x:c>
      <x:c r="I203" s="17" t="s">
        <x:v>40</x:v>
      </x:c>
      <x:c r="J203" s="6">
        <x:v>2017</x:v>
      </x:c>
      <x:c r="K203" s="17">
        <x:v>48</x:v>
      </x:c>
      <x:c r="L203" s="11">
        <x:v>46</x:v>
      </x:c>
      <x:c r="M203" s="17">
        <x:v>46</x:v>
      </x:c>
      <x:c r="N203" s="17" t="s">
        <x:v>41</x:v>
      </x:c>
      <x:c r="O203" s="6" t="s">
        <x:v>42</x:v>
      </x:c>
      <x:c r="P203" s="6"/>
      <x:c r="Q203" s="23" t="s">
        <x:v>43</x:v>
      </x:c>
      <x:c r="R203" s="23"/>
      <x:c r="S203" s="20"/>
      <x:c r="T203" s="11"/>
      <x:c r="U203" s="11"/>
      <x:c r="V203" s="11">
        <x:v>-2.1175589000000001</x:v>
      </x:c>
      <x:c r="W203" s="11">
        <x:v>106.0662955</x:v>
      </x:c>
      <x:c r="X203" s="65"/>
      <x:c r="Y203" s="29"/>
      <x:c r="Z203" s="51"/>
      <x:c r="AA203" s="53"/>
      <x:c r="AB203" s="56"/>
      <x:c r="AC203">
        <x:f t="shared" si="12"/>
        <x:v>0.95833333333333337</x:v>
      </x:c>
      <x:c r="AD203">
        <x:f t="shared" si="13"/>
        <x:v>1</x:v>
      </x:c>
    </x:row>
    <x:row r="204" ht="9.75" customHeight="1">
      <x:c r="A204" s="32">
        <x:v>199</x:v>
      </x:c>
      <x:c r="B204" s="11" t="s">
        <x:v>527</x:v>
      </x:c>
      <x:c r="C204" s="6" t="s">
        <x:v>34</x:v>
      </x:c>
      <x:c r="D204" s="11" t="s">
        <x:v>60</x:v>
      </x:c>
      <x:c r="E204" s="11" t="s">
        <x:v>70</x:v>
      </x:c>
      <x:c r="F204" s="6" t="s">
        <x:v>528</x:v>
      </x:c>
      <x:c r="G204" s="6" t="s">
        <x:v>529</x:v>
      </x:c>
      <x:c r="H204" s="17" t="s">
        <x:v>530</x:v>
      </x:c>
      <x:c r="I204" s="17" t="s">
        <x:v>112</x:v>
      </x:c>
      <x:c r="J204" s="6">
        <x:v>2018</x:v>
      </x:c>
      <x:c r="K204" s="17">
        <x:v>102</x:v>
      </x:c>
      <x:c r="L204" s="11">
        <x:v>102</x:v>
      </x:c>
      <x:c r="M204" s="17">
        <x:v>102</x:v>
      </x:c>
      <x:c r="N204" s="17" t="s">
        <x:v>41</x:v>
      </x:c>
      <x:c r="O204" s="6" t="s">
        <x:v>42</x:v>
      </x:c>
      <x:c r="P204" s="6"/>
      <x:c r="Q204" s="23" t="s">
        <x:v>43</x:v>
      </x:c>
      <x:c r="R204" s="23"/>
      <x:c r="S204" s="20" t="s">
        <x:v>178</x:v>
      </x:c>
      <x:c r="T204" s="11"/>
      <x:c r="U204" s="11"/>
      <x:c r="V204" s="11">
        <x:v>-2.1016789999999999</x:v>
      </x:c>
      <x:c r="W204" s="11">
        <x:v>106.092687</x:v>
      </x:c>
      <x:c r="X204" s="65"/>
      <x:c r="Y204" s="29"/>
      <x:c r="Z204" s="51"/>
      <x:c r="AA204" s="53"/>
      <x:c r="AB204" s="56"/>
      <x:c r="AC204">
        <x:f t="shared" si="12"/>
        <x:v>1</x:v>
      </x:c>
      <x:c r="AD204">
        <x:f t="shared" si="13"/>
        <x:v>1</x:v>
      </x:c>
    </x:row>
    <x:row r="205" ht="9.75" customHeight="1">
      <x:c r="A205" s="33">
        <x:v>200</x:v>
      </x:c>
      <x:c r="B205" s="12" t="s">
        <x:v>531</x:v>
      </x:c>
      <x:c r="C205" s="8" t="s">
        <x:v>34</x:v>
      </x:c>
      <x:c r="D205" s="12" t="s">
        <x:v>60</x:v>
      </x:c>
      <x:c r="E205" s="12" t="s">
        <x:v>70</x:v>
      </x:c>
      <x:c r="F205" s="8" t="s">
        <x:v>528</x:v>
      </x:c>
      <x:c r="G205" s="8" t="s">
        <x:v>529</x:v>
      </x:c>
      <x:c r="H205" s="18" t="s">
        <x:v>530</x:v>
      </x:c>
      <x:c r="I205" s="18" t="s">
        <x:v>112</x:v>
      </x:c>
      <x:c r="J205" s="8">
        <x:v>2018</x:v>
      </x:c>
      <x:c r="K205" s="18">
        <x:v>25</x:v>
      </x:c>
      <x:c r="L205" s="12">
        <x:v>25</x:v>
      </x:c>
      <x:c r="M205" s="18">
        <x:v>25</x:v>
      </x:c>
      <x:c r="N205" s="18" t="s">
        <x:v>41</x:v>
      </x:c>
      <x:c r="O205" s="8" t="s">
        <x:v>42</x:v>
      </x:c>
      <x:c r="P205" s="8"/>
      <x:c r="Q205" s="23" t="s">
        <x:v>43</x:v>
      </x:c>
      <x:c r="R205" s="24"/>
      <x:c r="S205" s="21" t="s">
        <x:v>178</x:v>
      </x:c>
      <x:c r="T205" s="12"/>
      <x:c r="U205" s="12"/>
      <x:c r="V205" s="12">
        <x:v>-2.1004930000000002</x:v>
      </x:c>
      <x:c r="W205" s="12">
        <x:v>106.09254</x:v>
      </x:c>
      <x:c r="X205" s="66"/>
      <x:c r="Y205" s="30"/>
      <x:c r="Z205" s="51"/>
      <x:c r="AA205" s="53"/>
      <x:c r="AB205" s="57"/>
      <x:c r="AC205">
        <x:f t="shared" si="12"/>
        <x:v>1</x:v>
      </x:c>
      <x:c r="AD205">
        <x:f t="shared" si="13"/>
        <x:v>1</x:v>
      </x:c>
    </x:row>
    <x:row r="206" s="59" customFormat="1" ht="12.5">
      <x:c r="A206" s="62">
        <x:v>201</x:v>
      </x:c>
      <x:c r="B206" s="58" t="s">
        <x:v>532</x:v>
      </x:c>
      <x:c r="C206" s="59" t="s">
        <x:v>34</x:v>
      </x:c>
      <x:c r="D206" s="58" t="s">
        <x:v>35</x:v>
      </x:c>
      <x:c r="E206" s="58" t="s">
        <x:v>36</x:v>
      </x:c>
      <x:c r="F206" s="59" t="s">
        <x:v>533</x:v>
      </x:c>
      <x:c r="G206" s="59" t="s">
        <x:v>282</x:v>
      </x:c>
      <x:c r="H206" s="59" t="s">
        <x:v>283</x:v>
      </x:c>
      <x:c r="I206" s="59" t="s">
        <x:v>42</x:v>
      </x:c>
      <x:c r="J206" s="59">
        <x:v>2022</x:v>
      </x:c>
      <x:c r="K206" s="59">
        <x:v>67</x:v>
      </x:c>
      <x:c r="L206" s="58">
        <x:v>67</x:v>
      </x:c>
      <x:c r="M206" s="59">
        <x:v>67</x:v>
      </x:c>
      <x:c r="N206" s="59" t="s">
        <x:v>41</x:v>
      </x:c>
      <x:c r="O206" s="59" t="s">
        <x:v>42</x:v>
      </x:c>
      <x:c r="Q206" s="23" t="s">
        <x:v>43</x:v>
      </x:c>
      <x:c r="S206" s="58"/>
      <x:c r="T206" s="11" t="s">
        <x:v>44</x:v>
      </x:c>
      <x:c r="U206" s="58"/>
      <x:c r="V206" s="58">
        <x:v>-2.0975090000000001</x:v>
      </x:c>
      <x:c r="W206" s="58">
        <x:v>106.089961</x:v>
      </x:c>
      <x:c r="X206" s="60"/>
      <x:c r="Y206" s="60"/>
      <x:c r="Z206" s="58"/>
      <x:c r="AA206" s="60"/>
      <x:c r="AB206" s="60"/>
      <x:c r="AC206" s="61" t="n">
        <x:f t="shared" ref="AC206:AC212" si="14">IF(A206="","",IFERROR(L206/K206,0))</x:f>
        <x:v>1</x:v>
      </x:c>
      <x:c r="AD206" s="61" t="n">
        <x:f t="shared" ref="AD206:AD212" si="15">IF(A206="","",IFERROR(M206/L206,0))</x:f>
        <x:v>1</x:v>
      </x:c>
    </x:row>
    <x:row r="207" s="59" customFormat="1" ht="12.5">
      <x:c r="A207" s="63">
        <x:v>202</x:v>
      </x:c>
      <x:c r="B207" s="58" t="s">
        <x:v>534</x:v>
      </x:c>
      <x:c r="C207" s="59" t="s">
        <x:v>34</x:v>
      </x:c>
      <x:c r="D207" s="58" t="s">
        <x:v>60</x:v>
      </x:c>
      <x:c r="E207" s="58" t="s">
        <x:v>70</x:v>
      </x:c>
      <x:c r="F207" s="59" t="s">
        <x:v>62</x:v>
      </x:c>
      <x:c r="G207" s="59" t="s">
        <x:v>535</x:v>
      </x:c>
      <x:c r="H207" s="59" t="s">
        <x:v>536</x:v>
      </x:c>
      <x:c r="I207" s="59" t="s">
        <x:v>166</x:v>
      </x:c>
      <x:c r="J207" s="59">
        <x:v>2018</x:v>
      </x:c>
      <x:c r="K207" s="59">
        <x:v>42</x:v>
      </x:c>
      <x:c r="L207" s="58">
        <x:v>33</x:v>
      </x:c>
      <x:c r="M207" s="59">
        <x:v>33</x:v>
      </x:c>
      <x:c r="N207" s="59" t="s">
        <x:v>41</x:v>
      </x:c>
      <x:c r="O207" s="59" t="s">
        <x:v>42</x:v>
      </x:c>
      <x:c r="Q207" s="23" t="s">
        <x:v>43</x:v>
      </x:c>
      <x:c r="S207" s="58"/>
      <x:c r="T207" s="58"/>
      <x:c r="U207" s="58"/>
      <x:c r="V207" s="58">
        <x:v>-2.1016526</x:v>
      </x:c>
      <x:c r="W207" s="58">
        <x:v>106.08860610000001</x:v>
      </x:c>
      <x:c r="X207" s="60"/>
      <x:c r="Y207" s="60"/>
      <x:c r="Z207" s="58"/>
      <x:c r="AA207" s="60"/>
      <x:c r="AB207" s="60"/>
      <x:c r="AC207" s="61">
        <x:f t="shared" si="14"/>
        <x:v>0.7857142857142857</x:v>
      </x:c>
      <x:c r="AD207" s="61">
        <x:f t="shared" si="15"/>
        <x:v>1</x:v>
      </x:c>
    </x:row>
    <x:row r="208" s="59" customFormat="1" ht="12.5">
      <x:c r="A208" s="63">
        <x:v>203</x:v>
      </x:c>
      <x:c r="B208" s="58" t="s">
        <x:v>537</x:v>
      </x:c>
      <x:c r="C208" s="59" t="s">
        <x:v>34</x:v>
      </x:c>
      <x:c r="D208" s="58" t="s">
        <x:v>81</x:v>
      </x:c>
      <x:c r="E208" s="58" t="s">
        <x:v>82</x:v>
      </x:c>
      <x:c r="F208" s="59" t="s">
        <x:v>538</x:v>
      </x:c>
      <x:c r="G208" s="59" t="s">
        <x:v>539</x:v>
      </x:c>
      <x:c r="H208" s="59" t="s">
        <x:v>540</x:v>
      </x:c>
      <x:c r="I208" s="59" t="s">
        <x:v>42</x:v>
      </x:c>
      <x:c r="J208" s="59">
        <x:v>2023</x:v>
      </x:c>
      <x:c r="K208" s="59">
        <x:v>43</x:v>
      </x:c>
      <x:c r="L208" s="58">
        <x:v>0</x:v>
      </x:c>
      <x:c r="M208" s="59">
        <x:v>0</x:v>
      </x:c>
      <x:c r="N208" s="59" t="s">
        <x:v>41</x:v>
      </x:c>
      <x:c r="O208" s="59" t="s">
        <x:v>42</x:v>
      </x:c>
      <x:c r="Q208" s="23" t="s">
        <x:v>43</x:v>
      </x:c>
      <x:c r="S208" s="58"/>
      <x:c r="T208" s="58"/>
      <x:c r="U208" s="58"/>
      <x:c r="V208" s="58">
        <x:v>-2.1427999999999998</x:v>
      </x:c>
      <x:c r="W208" s="58">
        <x:v>106.137094</x:v>
      </x:c>
      <x:c r="X208" s="60"/>
      <x:c r="Y208" s="60"/>
      <x:c r="Z208" s="58"/>
      <x:c r="AA208" s="60"/>
      <x:c r="AB208" s="60"/>
      <x:c r="AC208" s="61">
        <x:f t="shared" si="14"/>
        <x:v>0</x:v>
      </x:c>
      <x:c r="AD208" s="61">
        <x:f t="shared" si="15"/>
        <x:v>0</x:v>
      </x:c>
    </x:row>
    <x:row r="209" s="59" customFormat="1" ht="12.5">
      <x:c r="A209" s="63">
        <x:v>204</x:v>
      </x:c>
      <x:c r="B209" s="58" t="s">
        <x:v>541</x:v>
      </x:c>
      <x:c r="C209" s="59" t="s">
        <x:v>34</x:v>
      </x:c>
      <x:c r="D209" s="58" t="s">
        <x:v>35</x:v>
      </x:c>
      <x:c r="E209" s="58" t="s">
        <x:v>46</x:v>
      </x:c>
      <x:c r="F209" s="59" t="s">
        <x:v>51</x:v>
      </x:c>
      <x:c r="G209" s="59" t="s">
        <x:v>542</x:v>
      </x:c>
      <x:c r="H209" s="59" t="s">
        <x:v>543</x:v>
      </x:c>
      <x:c r="I209" s="59" t="s">
        <x:v>112</x:v>
      </x:c>
      <x:c r="J209" s="59">
        <x:v>2017</x:v>
      </x:c>
      <x:c r="K209" s="59">
        <x:v>97</x:v>
      </x:c>
      <x:c r="L209" s="58">
        <x:v>97</x:v>
      </x:c>
      <x:c r="M209" s="59">
        <x:v>95</x:v>
      </x:c>
      <x:c r="N209" s="59" t="s">
        <x:v>48</x:v>
      </x:c>
      <x:c r="O209" s="59">
        <x:v>2021</x:v>
      </x:c>
      <x:c r="Q209" s="59" t="s">
        <x:v>72</x:v>
      </x:c>
      <x:c r="R209" s="59" t="s">
        <x:v>113</x:v>
      </x:c>
      <x:c r="S209" s="58"/>
      <x:c r="T209" s="58"/>
      <x:c r="U209" s="58"/>
      <x:c r="V209" s="58">
        <x:v>-2.1243370000000001</x:v>
      </x:c>
      <x:c r="W209" s="58">
        <x:v>106.07397899999999</x:v>
      </x:c>
      <x:c r="X209" s="60"/>
      <x:c r="Y209" s="60"/>
      <x:c r="Z209" s="58"/>
      <x:c r="AA209" s="60"/>
      <x:c r="AB209" s="60"/>
      <x:c r="AC209" s="61">
        <x:f t="shared" si="14"/>
        <x:v>1</x:v>
      </x:c>
      <x:c r="AD209" s="61">
        <x:f t="shared" si="15"/>
        <x:v>0.97938144329896903</x:v>
      </x:c>
    </x:row>
    <x:row r="210" s="59" customFormat="1" ht="12.5">
      <x:c r="A210" s="63">
        <x:v>205</x:v>
      </x:c>
      <x:c r="B210" s="58" t="s">
        <x:v>544</x:v>
      </x:c>
      <x:c r="C210" s="59" t="s">
        <x:v>34</x:v>
      </x:c>
      <x:c r="D210" s="58" t="s">
        <x:v>35</x:v>
      </x:c>
      <x:c r="E210" s="58" t="s">
        <x:v>36</x:v>
      </x:c>
      <x:c r="F210" s="59" t="s">
        <x:v>104</x:v>
      </x:c>
      <x:c r="G210" s="59" t="s">
        <x:v>545</x:v>
      </x:c>
      <x:c r="H210" s="59" t="s">
        <x:v>543</x:v>
      </x:c>
      <x:c r="I210" s="59" t="s">
        <x:v>112</x:v>
      </x:c>
      <x:c r="J210" s="59">
        <x:v>2020</x:v>
      </x:c>
      <x:c r="K210" s="59">
        <x:v>81</x:v>
      </x:c>
      <x:c r="L210" s="58">
        <x:v>52</x:v>
      </x:c>
      <x:c r="M210" s="59">
        <x:v>52</x:v>
      </x:c>
      <x:c r="N210" s="59" t="s">
        <x:v>41</x:v>
      </x:c>
      <x:c r="O210" s="59" t="s">
        <x:v>42</x:v>
      </x:c>
      <x:c r="Q210" s="23" t="s">
        <x:v>43</x:v>
      </x:c>
      <x:c r="R210" s="23" t="s">
        <x:v>88</x:v>
      </x:c>
      <x:c r="S210" s="58"/>
      <x:c r="T210" s="58"/>
      <x:c r="U210" s="58"/>
      <x:c r="V210" s="58">
        <x:v>-2.103507</x:v>
      </x:c>
      <x:c r="W210" s="58">
        <x:v>106.05775800000001</x:v>
      </x:c>
      <x:c r="X210" s="60"/>
      <x:c r="Y210" s="60"/>
      <x:c r="Z210" s="58"/>
      <x:c r="AA210" s="60"/>
      <x:c r="AB210" s="60"/>
      <x:c r="AC210" s="61">
        <x:f t="shared" si="14"/>
        <x:v>0.64197530864197527</x:v>
      </x:c>
      <x:c r="AD210" s="61">
        <x:f t="shared" si="15"/>
        <x:v>1</x:v>
      </x:c>
    </x:row>
    <x:row r="211" s="59" customFormat="1" ht="12.5">
      <x:c r="A211" s="63">
        <x:v>206</x:v>
      </x:c>
      <x:c r="B211" s="58" t="s">
        <x:v>546</x:v>
      </x:c>
      <x:c r="C211" s="59" t="s">
        <x:v>34</x:v>
      </x:c>
      <x:c r="D211" s="58" t="s">
        <x:v>60</x:v>
      </x:c>
      <x:c r="E211" s="58" t="s">
        <x:v>91</x:v>
      </x:c>
      <x:c r="F211" s="59" t="s">
        <x:v>154</x:v>
      </x:c>
      <x:c r="G211" s="59" t="s">
        <x:v>155</x:v>
      </x:c>
      <x:c r="H211" s="59" t="s">
        <x:v>156</x:v>
      </x:c>
      <x:c r="I211" s="59" t="s">
        <x:v>65</x:v>
      </x:c>
      <x:c r="J211" s="59">
        <x:v>2017</x:v>
      </x:c>
      <x:c r="K211" s="59">
        <x:v>111</x:v>
      </x:c>
      <x:c r="L211" s="58">
        <x:v>111</x:v>
      </x:c>
      <x:c r="M211" s="59">
        <x:v>111</x:v>
      </x:c>
      <x:c r="N211" s="59" t="s">
        <x:v>41</x:v>
      </x:c>
      <x:c r="O211" s="59" t="s">
        <x:v>42</x:v>
      </x:c>
      <x:c r="Q211" s="23" t="s">
        <x:v>43</x:v>
      </x:c>
      <x:c r="S211" s="58"/>
      <x:c r="T211" s="58"/>
      <x:c r="U211" s="58"/>
      <x:c r="V211" s="58">
        <x:v>-2.0895030000000001</x:v>
      </x:c>
      <x:c r="W211" s="58">
        <x:v>106.106718</x:v>
      </x:c>
      <x:c r="X211" s="60"/>
      <x:c r="Y211" s="60"/>
      <x:c r="Z211" s="58"/>
      <x:c r="AA211" s="60"/>
      <x:c r="AB211" s="60"/>
      <x:c r="AC211" s="61">
        <x:f t="shared" si="14"/>
        <x:v>1</x:v>
      </x:c>
      <x:c r="AD211" s="61">
        <x:f t="shared" si="15"/>
        <x:v>1</x:v>
      </x:c>
    </x:row>
    <x:row r="212" s="59" customFormat="1" ht="12.5">
      <x:c r="A212" s="63">
        <x:v>207</x:v>
      </x:c>
      <x:c r="B212" s="58" t="s">
        <x:v>547</x:v>
      </x:c>
      <x:c r="C212" s="59" t="s">
        <x:v>34</x:v>
      </x:c>
      <x:c r="D212" s="58" t="s">
        <x:v>35</x:v>
      </x:c>
      <x:c r="E212" s="58" t="s">
        <x:v>36</x:v>
      </x:c>
      <x:c r="F212" s="59" t="s">
        <x:v>234</x:v>
      </x:c>
      <x:c r="G212" s="59" t="s">
        <x:v>548</x:v>
      </x:c>
      <x:c r="H212" s="59" t="s">
        <x:v>543</x:v>
      </x:c>
      <x:c r="I212" s="59" t="s">
        <x:v>42</x:v>
      </x:c>
      <x:c r="J212" s="59">
        <x:v>2018</x:v>
      </x:c>
      <x:c r="K212" s="59">
        <x:v>25</x:v>
      </x:c>
      <x:c r="L212" s="58">
        <x:v>25</x:v>
      </x:c>
      <x:c r="M212" s="59">
        <x:v>25</x:v>
      </x:c>
      <x:c r="N212" s="59" t="s">
        <x:v>41</x:v>
      </x:c>
      <x:c r="O212" s="59" t="s">
        <x:v>42</x:v>
      </x:c>
      <x:c r="Q212" s="23" t="s">
        <x:v>43</x:v>
      </x:c>
      <x:c r="S212" s="58"/>
      <x:c r="T212" s="58"/>
      <x:c r="U212" s="58"/>
      <x:c r="V212" s="58">
        <x:v>-2.1027453999999999</x:v>
      </x:c>
      <x:c r="W212" s="58">
        <x:v>106.08195600000001</x:v>
      </x:c>
      <x:c r="X212" s="60"/>
      <x:c r="Y212" s="60"/>
      <x:c r="Z212" s="58"/>
      <x:c r="AA212" s="60"/>
      <x:c r="AB212" s="60"/>
      <x:c r="AC212" s="61">
        <x:f t="shared" si="14"/>
        <x:v>1</x:v>
      </x:c>
      <x:c r="AD212" s="61">
        <x:f t="shared" si="15"/>
        <x:v>1</x:v>
      </x:c>
    </x:row>
    <x:row r="213" s="59" customFormat="1" ht="12.5">
      <x:c r="A213" s="63">
        <x:v>208</x:v>
      </x:c>
      <x:c r="B213" s="58" t="s">
        <x:v>549</x:v>
      </x:c>
      <x:c r="C213" s="59" t="s">
        <x:v>34</x:v>
      </x:c>
      <x:c r="D213" s="58" t="s">
        <x:v>35</x:v>
      </x:c>
      <x:c r="E213" s="58" t="s">
        <x:v>550</x:v>
      </x:c>
      <x:c r="F213" s="59" t="s">
        <x:v>42</x:v>
      </x:c>
      <x:c r="G213" s="59" t="s">
        <x:v>329</x:v>
      </x:c>
      <x:c r="H213" s="59" t="s">
        <x:v>330</x:v>
      </x:c>
      <x:c r="I213" s="59" t="s">
        <x:v>42</x:v>
      </x:c>
      <x:c r="J213" s="59">
        <x:v>2017</x:v>
      </x:c>
      <x:c r="K213" s="59">
        <x:v>15</x:v>
      </x:c>
      <x:c r="L213" s="58">
        <x:v>0</x:v>
      </x:c>
      <x:c r="M213" s="59">
        <x:v>0</x:v>
      </x:c>
      <x:c r="N213" s="59" t="s">
        <x:v>41</x:v>
      </x:c>
      <x:c r="O213" s="59" t="s">
        <x:v>42</x:v>
      </x:c>
      <x:c r="Q213" s="23" t="s">
        <x:v>43</x:v>
      </x:c>
      <x:c r="S213" s="58"/>
      <x:c r="T213" s="58"/>
      <x:c r="U213" s="58"/>
      <x:c r="V213" s="58">
        <x:v>-2.1195455999999999</x:v>
      </x:c>
      <x:c r="W213" s="58">
        <x:v>106.0841642</x:v>
      </x:c>
      <x:c r="X213" s="60"/>
      <x:c r="Y213" s="60"/>
      <x:c r="Z213" s="58"/>
      <x:c r="AA213" s="60"/>
      <x:c r="AB213" s="60"/>
      <x:c r="AC213" s="61" t="n">
        <x:f t="shared" ref="AC213:AC276" si="16">IF(A213="","",IFERROR(L213/K213,0))</x:f>
        <x:v>0</x:v>
      </x:c>
      <x:c r="AD213" s="61" t="n">
        <x:f t="shared" ref="AD213:AD276" si="17">IF(A213="","",IFERROR(M213/L213,0))</x:f>
        <x:v>0</x:v>
      </x:c>
    </x:row>
    <x:row r="214" s="59" customFormat="1" ht="12.5">
      <x:c r="A214" s="63">
        <x:v>209</x:v>
      </x:c>
      <x:c r="B214" s="58" t="s">
        <x:v>549</x:v>
      </x:c>
      <x:c r="C214" s="59" t="s">
        <x:v>34</x:v>
      </x:c>
      <x:c r="D214" s="58" t="s">
        <x:v>60</x:v>
      </x:c>
      <x:c r="E214" s="58" t="s">
        <x:v>70</x:v>
      </x:c>
      <x:c r="F214" s="59" t="s">
        <x:v>500</x:v>
      </x:c>
      <x:c r="G214" s="59" t="s">
        <x:v>551</x:v>
      </x:c>
      <x:c r="H214" s="59" t="s">
        <x:v>552</x:v>
      </x:c>
      <x:c r="I214" s="59" t="s">
        <x:v>112</x:v>
      </x:c>
      <x:c r="J214" s="59">
        <x:v>2021</x:v>
      </x:c>
      <x:c r="K214" s="59">
        <x:v>43</x:v>
      </x:c>
      <x:c r="L214" s="58">
        <x:v>42</x:v>
      </x:c>
      <x:c r="M214" s="59">
        <x:v>42</x:v>
      </x:c>
      <x:c r="N214" s="59" t="s">
        <x:v>41</x:v>
      </x:c>
      <x:c r="O214" s="59" t="s">
        <x:v>42</x:v>
      </x:c>
      <x:c r="Q214" s="23" t="s">
        <x:v>43</x:v>
      </x:c>
      <x:c r="S214" s="58"/>
      <x:c r="T214" s="11" t="s">
        <x:v>44</x:v>
      </x:c>
      <x:c r="U214" s="58"/>
      <x:c r="V214" s="58">
        <x:v>-2.0967829999999998</x:v>
      </x:c>
      <x:c r="W214" s="58">
        <x:v>106.090541</x:v>
      </x:c>
      <x:c r="X214" s="60"/>
      <x:c r="Y214" s="60"/>
      <x:c r="Z214" s="58"/>
      <x:c r="AA214" s="60"/>
      <x:c r="AB214" s="60"/>
      <x:c r="AC214" s="61">
        <x:f t="shared" si="16"/>
        <x:v>0.97674418604651159</x:v>
      </x:c>
      <x:c r="AD214" s="61">
        <x:f t="shared" si="17"/>
        <x:v>1</x:v>
      </x:c>
    </x:row>
    <x:row r="215" s="59" customFormat="1" ht="12.5">
      <x:c r="A215" s="63">
        <x:v>210</x:v>
      </x:c>
      <x:c r="B215" s="58" t="s">
        <x:v>553</x:v>
      </x:c>
      <x:c r="C215" s="59" t="s">
        <x:v>170</x:v>
      </x:c>
      <x:c r="D215" s="58" t="s">
        <x:v>60</x:v>
      </x:c>
      <x:c r="E215" s="58" t="s">
        <x:v>91</x:v>
      </x:c>
      <x:c r="F215" s="59" t="s">
        <x:v>154</x:v>
      </x:c>
      <x:c r="G215" s="59" t="s">
        <x:v>42</x:v>
      </x:c>
      <x:c r="H215" s="59" t="s">
        <x:v>42</x:v>
      </x:c>
      <x:c r="I215" s="59" t="s">
        <x:v>42</x:v>
      </x:c>
      <x:c r="J215" s="59">
        <x:v>2015</x:v>
      </x:c>
      <x:c r="K215" s="59">
        <x:v>10</x:v>
      </x:c>
      <x:c r="L215" s="58">
        <x:v>0</x:v>
      </x:c>
      <x:c r="M215" s="59">
        <x:v>0</x:v>
      </x:c>
      <x:c r="N215" s="59" t="s">
        <x:v>41</x:v>
      </x:c>
      <x:c r="O215" s="59" t="s">
        <x:v>42</x:v>
      </x:c>
      <x:c r="Q215" s="23" t="s">
        <x:v>43</x:v>
      </x:c>
      <x:c r="S215" s="58"/>
      <x:c r="T215" s="58"/>
      <x:c r="U215" s="58"/>
      <x:c r="V215" s="58">
        <x:v>-2.0873235600000002</x:v>
      </x:c>
      <x:c r="W215" s="58">
        <x:v>106.1073224</x:v>
      </x:c>
      <x:c r="X215" s="60"/>
      <x:c r="Y215" s="60"/>
      <x:c r="Z215" s="58"/>
      <x:c r="AA215" s="60"/>
      <x:c r="AB215" s="60"/>
      <x:c r="AC215" s="61">
        <x:f t="shared" si="16"/>
        <x:v>0</x:v>
      </x:c>
      <x:c r="AD215" s="61">
        <x:f t="shared" si="17"/>
        <x:v>0</x:v>
      </x:c>
    </x:row>
    <x:row r="216" s="59" customFormat="1" ht="12.5">
      <x:c r="A216" s="63">
        <x:v>211</x:v>
      </x:c>
      <x:c r="B216" s="58" t="s">
        <x:v>554</x:v>
      </x:c>
      <x:c r="C216" s="59" t="s">
        <x:v>34</x:v>
      </x:c>
      <x:c r="D216" s="58" t="s">
        <x:v>60</x:v>
      </x:c>
      <x:c r="E216" s="58" t="s">
        <x:v>91</x:v>
      </x:c>
      <x:c r="F216" s="59" t="s">
        <x:v>555</x:v>
      </x:c>
      <x:c r="G216" s="59" t="s">
        <x:v>556</x:v>
      </x:c>
      <x:c r="H216" s="59" t="s">
        <x:v>474</x:v>
      </x:c>
      <x:c r="I216" s="59" t="s">
        <x:v>40</x:v>
      </x:c>
      <x:c r="J216" s="59">
        <x:v>2018</x:v>
      </x:c>
      <x:c r="K216" s="59">
        <x:v>103</x:v>
      </x:c>
      <x:c r="L216" s="58">
        <x:v>46</x:v>
      </x:c>
      <x:c r="M216" s="59">
        <x:v>46</x:v>
      </x:c>
      <x:c r="N216" s="59" t="s">
        <x:v>41</x:v>
      </x:c>
      <x:c r="O216" s="59" t="s">
        <x:v>42</x:v>
      </x:c>
      <x:c r="Q216" s="23" t="s">
        <x:v>43</x:v>
      </x:c>
      <x:c r="R216" s="23" t="s">
        <x:v>88</x:v>
      </x:c>
      <x:c r="S216" s="58"/>
      <x:c r="T216" s="58"/>
      <x:c r="U216" s="58"/>
      <x:c r="V216" s="58">
        <x:v>-2.080676</x:v>
      </x:c>
      <x:c r="W216" s="58">
        <x:v>106.124278</x:v>
      </x:c>
      <x:c r="X216" s="60"/>
      <x:c r="Y216" s="60"/>
      <x:c r="Z216" s="58"/>
      <x:c r="AA216" s="60"/>
      <x:c r="AB216" s="60"/>
      <x:c r="AC216" s="61">
        <x:f t="shared" si="16"/>
        <x:v>0.44660194174757284</x:v>
      </x:c>
      <x:c r="AD216" s="61">
        <x:f t="shared" si="17"/>
        <x:v>1</x:v>
      </x:c>
    </x:row>
    <x:row r="217" s="59" customFormat="1" ht="12.5">
      <x:c r="A217" s="63">
        <x:v>212</x:v>
      </x:c>
      <x:c r="B217" s="58" t="s">
        <x:v>557</x:v>
      </x:c>
      <x:c r="C217" s="59" t="s">
        <x:v>170</x:v>
      </x:c>
      <x:c r="D217" s="58" t="s">
        <x:v>35</x:v>
      </x:c>
      <x:c r="E217" s="58" t="s">
        <x:v>46</x:v>
      </x:c>
      <x:c r="F217" s="59" t="s">
        <x:v>51</x:v>
      </x:c>
      <x:c r="G217" s="59" t="s">
        <x:v>360</x:v>
      </x:c>
      <x:c r="H217" s="59" t="s">
        <x:v>361</x:v>
      </x:c>
      <x:c r="I217" s="59" t="s">
        <x:v>42</x:v>
      </x:c>
      <x:c r="J217" s="59">
        <x:v>2020</x:v>
      </x:c>
      <x:c r="K217" s="59">
        <x:v>32</x:v>
      </x:c>
      <x:c r="L217" s="58">
        <x:v>32</x:v>
      </x:c>
      <x:c r="M217" s="59">
        <x:v>32</x:v>
      </x:c>
      <x:c r="N217" s="59" t="s">
        <x:v>41</x:v>
      </x:c>
      <x:c r="O217" s="59" t="s">
        <x:v>42</x:v>
      </x:c>
      <x:c r="Q217" s="23" t="s">
        <x:v>43</x:v>
      </x:c>
      <x:c r="R217" s="23" t="s">
        <x:v>88</x:v>
      </x:c>
      <x:c r="S217" s="58"/>
      <x:c r="T217" s="58"/>
      <x:c r="U217" s="58"/>
      <x:c r="V217" s="58">
        <x:v>-2.1250148000000002</x:v>
      </x:c>
      <x:c r="W217" s="58">
        <x:v>106.07380209999999</x:v>
      </x:c>
      <x:c r="X217" s="60"/>
      <x:c r="Y217" s="60"/>
      <x:c r="Z217" s="58"/>
      <x:c r="AA217" s="60"/>
      <x:c r="AB217" s="60"/>
      <x:c r="AC217" s="61">
        <x:f t="shared" si="16"/>
        <x:v>1</x:v>
      </x:c>
      <x:c r="AD217" s="61">
        <x:f t="shared" si="17"/>
        <x:v>1</x:v>
      </x:c>
    </x:row>
    <x:row r="218" s="59" customFormat="1" ht="12.5">
      <x:c r="A218" s="63">
        <x:v>213</x:v>
      </x:c>
      <x:c r="B218" s="58" t="s">
        <x:v>558</x:v>
      </x:c>
      <x:c r="C218" s="59" t="s">
        <x:v>34</x:v>
      </x:c>
      <x:c r="D218" s="58" t="s">
        <x:v>60</x:v>
      </x:c>
      <x:c r="E218" s="58" t="s">
        <x:v>267</x:v>
      </x:c>
      <x:c r="F218" s="59" t="s">
        <x:v>559</x:v>
      </x:c>
      <x:c r="G218" s="59" t="s">
        <x:v>560</x:v>
      </x:c>
      <x:c r="H218" s="59" t="s">
        <x:v>561</x:v>
      </x:c>
      <x:c r="I218" s="59" t="s">
        <x:v>42</x:v>
      </x:c>
      <x:c r="J218" s="59">
        <x:v>2018</x:v>
      </x:c>
      <x:c r="K218" s="59">
        <x:v>40</x:v>
      </x:c>
      <x:c r="L218" s="58">
        <x:v>40</x:v>
      </x:c>
      <x:c r="M218" s="59">
        <x:v>40</x:v>
      </x:c>
      <x:c r="N218" s="59" t="s">
        <x:v>41</x:v>
      </x:c>
      <x:c r="O218" s="59" t="s">
        <x:v>42</x:v>
      </x:c>
      <x:c r="Q218" s="59" t="s">
        <x:v>72</x:v>
      </x:c>
      <x:c r="S218" s="58"/>
      <x:c r="T218" s="58"/>
      <x:c r="U218" s="58"/>
      <x:c r="V218" s="58">
        <x:v>-2.0951469999999999</x:v>
      </x:c>
      <x:c r="W218" s="58">
        <x:v>106.108746</x:v>
      </x:c>
      <x:c r="X218" s="60"/>
      <x:c r="Y218" s="60"/>
      <x:c r="Z218" s="58"/>
      <x:c r="AA218" s="60"/>
      <x:c r="AB218" s="60"/>
      <x:c r="AC218" s="61">
        <x:f t="shared" si="16"/>
        <x:v>1</x:v>
      </x:c>
      <x:c r="AD218" s="61">
        <x:f t="shared" si="17"/>
        <x:v>1</x:v>
      </x:c>
    </x:row>
    <x:row r="219" s="59" customFormat="1" ht="12.5">
      <x:c r="A219" s="63">
        <x:v>214</x:v>
      </x:c>
      <x:c r="B219" s="58" t="s">
        <x:v>562</x:v>
      </x:c>
      <x:c r="C219" s="59" t="s">
        <x:v>34</x:v>
      </x:c>
      <x:c r="D219" s="58" t="s">
        <x:v>60</x:v>
      </x:c>
      <x:c r="E219" s="58" t="s">
        <x:v>267</x:v>
      </x:c>
      <x:c r="F219" s="59" t="s">
        <x:v>559</x:v>
      </x:c>
      <x:c r="G219" s="59" t="s">
        <x:v>560</x:v>
      </x:c>
      <x:c r="H219" s="59" t="s">
        <x:v>561</x:v>
      </x:c>
      <x:c r="I219" s="59" t="s">
        <x:v>42</x:v>
      </x:c>
      <x:c r="J219" s="59">
        <x:v>2019</x:v>
      </x:c>
      <x:c r="K219" s="59">
        <x:v>8</x:v>
      </x:c>
      <x:c r="L219" s="58">
        <x:v>8</x:v>
      </x:c>
      <x:c r="M219" s="59">
        <x:v>8</x:v>
      </x:c>
      <x:c r="N219" s="59" t="s">
        <x:v>41</x:v>
      </x:c>
      <x:c r="O219" s="59" t="s">
        <x:v>42</x:v>
      </x:c>
      <x:c r="Q219" s="23" t="s">
        <x:v>43</x:v>
      </x:c>
      <x:c r="S219" s="58"/>
      <x:c r="T219" s="58"/>
      <x:c r="U219" s="58"/>
      <x:c r="V219" s="58">
        <x:v>-2.0951469999999999</x:v>
      </x:c>
      <x:c r="W219" s="58">
        <x:v>106.108746</x:v>
      </x:c>
      <x:c r="X219" s="60"/>
      <x:c r="Y219" s="60"/>
      <x:c r="Z219" s="58"/>
      <x:c r="AA219" s="60"/>
      <x:c r="AB219" s="60"/>
      <x:c r="AC219" s="61">
        <x:f t="shared" si="16"/>
        <x:v>1</x:v>
      </x:c>
      <x:c r="AD219" s="61">
        <x:f t="shared" si="17"/>
        <x:v>1</x:v>
      </x:c>
    </x:row>
    <x:row r="220" s="59" customFormat="1" ht="12.5">
      <x:c r="A220" s="63">
        <x:v>215</x:v>
      </x:c>
      <x:c r="B220" s="58" t="s">
        <x:v>563</x:v>
      </x:c>
      <x:c r="C220" s="59" t="s">
        <x:v>90</x:v>
      </x:c>
      <x:c r="D220" s="58" t="s">
        <x:v>81</x:v>
      </x:c>
      <x:c r="E220" s="58" t="s">
        <x:v>82</x:v>
      </x:c>
      <x:c r="F220" s="59" t="s">
        <x:v>564</x:v>
      </x:c>
      <x:c r="G220" s="59" t="s">
        <x:v>565</x:v>
      </x:c>
      <x:c r="H220" s="59" t="s">
        <x:v>566</x:v>
      </x:c>
      <x:c r="I220" s="59" t="s">
        <x:v>86</x:v>
      </x:c>
      <x:c r="J220" s="59">
        <x:v>2018</x:v>
      </x:c>
      <x:c r="K220" s="59">
        <x:v>101</x:v>
      </x:c>
      <x:c r="L220" s="58">
        <x:v>98</x:v>
      </x:c>
      <x:c r="M220" s="59">
        <x:v>98</x:v>
      </x:c>
      <x:c r="N220" s="59" t="s">
        <x:v>41</x:v>
      </x:c>
      <x:c r="O220" s="59" t="s">
        <x:v>42</x:v>
      </x:c>
      <x:c r="Q220" s="23" t="s">
        <x:v>43</x:v>
      </x:c>
      <x:c r="S220" s="58"/>
      <x:c r="T220" s="58"/>
      <x:c r="U220" s="58"/>
      <x:c r="V220" s="58">
        <x:v>-2.1433472</x:v>
      </x:c>
      <x:c r="W220" s="58">
        <x:v>106.1389238</x:v>
      </x:c>
      <x:c r="X220" s="60"/>
      <x:c r="Y220" s="60"/>
      <x:c r="Z220" s="58"/>
      <x:c r="AA220" s="60"/>
      <x:c r="AB220" s="60"/>
      <x:c r="AC220" s="61">
        <x:f t="shared" si="16"/>
        <x:v>0.97029702970297027</x:v>
      </x:c>
      <x:c r="AD220" s="61">
        <x:f t="shared" si="17"/>
        <x:v>1</x:v>
      </x:c>
    </x:row>
    <x:row r="221" s="59" customFormat="1" ht="12.5">
      <x:c r="A221" s="63">
        <x:v>216</x:v>
      </x:c>
      <x:c r="B221" s="58" t="s">
        <x:v>567</x:v>
      </x:c>
      <x:c r="C221" s="59" t="s">
        <x:v>34</x:v>
      </x:c>
      <x:c r="D221" s="58" t="s">
        <x:v>81</x:v>
      </x:c>
      <x:c r="E221" s="58" t="s">
        <x:v>202</x:v>
      </x:c>
      <x:c r="F221" s="59" t="s">
        <x:v>258</x:v>
      </x:c>
      <x:c r="G221" s="59" t="s">
        <x:v>568</x:v>
      </x:c>
      <x:c r="H221" s="59" t="s">
        <x:v>566</x:v>
      </x:c>
      <x:c r="I221" s="59" t="s">
        <x:v>86</x:v>
      </x:c>
      <x:c r="J221" s="59">
        <x:v>2024</x:v>
      </x:c>
      <x:c r="K221" s="59">
        <x:v>160</x:v>
      </x:c>
      <x:c r="L221" s="58">
        <x:v>37</x:v>
      </x:c>
      <x:c r="M221" s="59">
        <x:v>0</x:v>
      </x:c>
      <x:c r="N221" s="59" t="s">
        <x:v>41</x:v>
      </x:c>
      <x:c r="O221" s="59" t="s">
        <x:v>42</x:v>
      </x:c>
      <x:c r="Q221" s="23" t="s">
        <x:v>43</x:v>
      </x:c>
      <x:c r="R221" s="23" t="s">
        <x:v>88</x:v>
      </x:c>
      <x:c r="S221" s="58"/>
      <x:c r="T221" s="58"/>
      <x:c r="U221" s="58"/>
      <x:c r="V221" s="58">
        <x:v>-2.1330502</x:v>
      </x:c>
      <x:c r="W221" s="58">
        <x:v>106.14794019999999</x:v>
      </x:c>
      <x:c r="X221" s="60"/>
      <x:c r="Y221" s="60"/>
      <x:c r="Z221" s="58"/>
      <x:c r="AA221" s="60"/>
      <x:c r="AB221" s="60"/>
      <x:c r="AC221" s="61">
        <x:f t="shared" si="16"/>
        <x:v>0.23125000000000001</x:v>
      </x:c>
      <x:c r="AD221" s="61">
        <x:f t="shared" si="17"/>
        <x:v>0</x:v>
      </x:c>
    </x:row>
    <x:row r="222" s="59" customFormat="1" ht="12.5">
      <x:c r="A222" s="63">
        <x:v>217</x:v>
      </x:c>
      <x:c r="B222" s="58" t="s">
        <x:v>569</x:v>
      </x:c>
      <x:c r="C222" s="59" t="s">
        <x:v>34</x:v>
      </x:c>
      <x:c r="D222" s="58" t="s">
        <x:v>81</x:v>
      </x:c>
      <x:c r="E222" s="58" t="s">
        <x:v>82</x:v>
      </x:c>
      <x:c r="F222" s="59" t="s">
        <x:v>258</x:v>
      </x:c>
      <x:c r="G222" s="59" t="s">
        <x:v>568</x:v>
      </x:c>
      <x:c r="H222" s="59" t="s">
        <x:v>566</x:v>
      </x:c>
      <x:c r="I222" s="59" t="s">
        <x:v>86</x:v>
      </x:c>
      <x:c r="J222" s="59">
        <x:v>2024</x:v>
      </x:c>
      <x:c r="K222" s="59">
        <x:v>139</x:v>
      </x:c>
      <x:c r="L222" s="58">
        <x:v>0</x:v>
      </x:c>
      <x:c r="M222" s="59">
        <x:v>0</x:v>
      </x:c>
      <x:c r="N222" s="59" t="s">
        <x:v>41</x:v>
      </x:c>
      <x:c r="O222" s="59" t="s">
        <x:v>42</x:v>
      </x:c>
      <x:c r="Q222" s="23" t="s">
        <x:v>43</x:v>
      </x:c>
      <x:c r="S222" s="58"/>
      <x:c r="T222" s="58"/>
      <x:c r="U222" s="58"/>
      <x:c r="V222" s="58">
        <x:v>-2.1330502</x:v>
      </x:c>
      <x:c r="W222" s="58">
        <x:v>106.14794019999999</x:v>
      </x:c>
      <x:c r="X222" s="60"/>
      <x:c r="Y222" s="60"/>
      <x:c r="Z222" s="58"/>
      <x:c r="AA222" s="60"/>
      <x:c r="AB222" s="60"/>
      <x:c r="AC222" s="61">
        <x:f t="shared" si="16"/>
        <x:v>0</x:v>
      </x:c>
      <x:c r="AD222" s="61">
        <x:f t="shared" si="17"/>
        <x:v>0</x:v>
      </x:c>
    </x:row>
    <x:row r="223" s="59" customFormat="1" ht="12.5">
      <x:c r="A223" s="63">
        <x:v>218</x:v>
      </x:c>
      <x:c r="B223" s="58" t="s">
        <x:v>570</x:v>
      </x:c>
      <x:c r="C223" s="59" t="s">
        <x:v>34</x:v>
      </x:c>
      <x:c r="D223" s="58" t="s">
        <x:v>81</x:v>
      </x:c>
      <x:c r="E223" s="58" t="s">
        <x:v>82</x:v>
      </x:c>
      <x:c r="F223" s="59" t="s">
        <x:v>258</x:v>
      </x:c>
      <x:c r="G223" s="59" t="s">
        <x:v>568</x:v>
      </x:c>
      <x:c r="H223" s="59" t="s">
        <x:v>566</x:v>
      </x:c>
      <x:c r="I223" s="59" t="s">
        <x:v>86</x:v>
      </x:c>
      <x:c r="J223" s="59">
        <x:v>2024</x:v>
      </x:c>
      <x:c r="K223" s="59">
        <x:v>155</x:v>
      </x:c>
      <x:c r="L223" s="58">
        <x:v>0</x:v>
      </x:c>
      <x:c r="M223" s="59">
        <x:v>0</x:v>
      </x:c>
      <x:c r="N223" s="59" t="s">
        <x:v>41</x:v>
      </x:c>
      <x:c r="O223" s="59" t="s">
        <x:v>42</x:v>
      </x:c>
      <x:c r="Q223" s="23" t="s">
        <x:v>43</x:v>
      </x:c>
      <x:c r="S223" s="58"/>
      <x:c r="T223" s="58"/>
      <x:c r="U223" s="58"/>
      <x:c r="V223" s="58">
        <x:v>-2.1330502</x:v>
      </x:c>
      <x:c r="W223" s="58">
        <x:v>106.14794019999999</x:v>
      </x:c>
      <x:c r="X223" s="60"/>
      <x:c r="Y223" s="60"/>
      <x:c r="Z223" s="58"/>
      <x:c r="AA223" s="60"/>
      <x:c r="AB223" s="60"/>
      <x:c r="AC223" s="61">
        <x:f t="shared" si="16"/>
        <x:v>0</x:v>
      </x:c>
      <x:c r="AD223" s="61">
        <x:f t="shared" si="17"/>
        <x:v>0</x:v>
      </x:c>
    </x:row>
    <x:row r="224" s="59" customFormat="1" ht="12.5">
      <x:c r="A224" s="63">
        <x:v>219</x:v>
      </x:c>
      <x:c r="B224" s="58" t="s">
        <x:v>571</x:v>
      </x:c>
      <x:c r="C224" s="59" t="s">
        <x:v>34</x:v>
      </x:c>
      <x:c r="D224" s="58" t="s">
        <x:v>81</x:v>
      </x:c>
      <x:c r="E224" s="58" t="s">
        <x:v>82</x:v>
      </x:c>
      <x:c r="F224" s="59" t="s">
        <x:v>258</x:v>
      </x:c>
      <x:c r="G224" s="59" t="s">
        <x:v>568</x:v>
      </x:c>
      <x:c r="H224" s="59" t="s">
        <x:v>566</x:v>
      </x:c>
      <x:c r="I224" s="59" t="s">
        <x:v>86</x:v>
      </x:c>
      <x:c r="J224" s="59">
        <x:v>2024</x:v>
      </x:c>
      <x:c r="K224" s="59">
        <x:v>154</x:v>
      </x:c>
      <x:c r="L224" s="58">
        <x:v>0</x:v>
      </x:c>
      <x:c r="M224" s="59">
        <x:v>0</x:v>
      </x:c>
      <x:c r="N224" s="59" t="s">
        <x:v>41</x:v>
      </x:c>
      <x:c r="O224" s="59" t="s">
        <x:v>42</x:v>
      </x:c>
      <x:c r="Q224" s="23" t="s">
        <x:v>43</x:v>
      </x:c>
      <x:c r="S224" s="58"/>
      <x:c r="T224" s="58"/>
      <x:c r="U224" s="58"/>
      <x:c r="V224" s="58">
        <x:v>-2.1330502</x:v>
      </x:c>
      <x:c r="W224" s="58">
        <x:v>106.14794019999999</x:v>
      </x:c>
      <x:c r="X224" s="60"/>
      <x:c r="Y224" s="60"/>
      <x:c r="Z224" s="58"/>
      <x:c r="AA224" s="60"/>
      <x:c r="AB224" s="60"/>
      <x:c r="AC224" s="61">
        <x:f t="shared" si="16"/>
        <x:v>0</x:v>
      </x:c>
      <x:c r="AD224" s="61">
        <x:f t="shared" si="17"/>
        <x:v>0</x:v>
      </x:c>
    </x:row>
    <x:row r="225" s="59" customFormat="1" ht="12.5">
      <x:c r="A225" s="63">
        <x:v>220</x:v>
      </x:c>
      <x:c r="B225" s="58" t="s">
        <x:v>572</x:v>
      </x:c>
      <x:c r="C225" s="59" t="s">
        <x:v>34</x:v>
      </x:c>
      <x:c r="D225" s="58" t="s">
        <x:v>60</x:v>
      </x:c>
      <x:c r="E225" s="58" t="s">
        <x:v>91</x:v>
      </x:c>
      <x:c r="F225" s="59" t="s">
        <x:v>490</x:v>
      </x:c>
      <x:c r="G225" s="59" t="s">
        <x:v>573</x:v>
      </x:c>
      <x:c r="H225" s="59" t="s">
        <x:v>574</x:v>
      </x:c>
      <x:c r="I225" s="59" t="s">
        <x:v>42</x:v>
      </x:c>
      <x:c r="J225" s="59">
        <x:v>2019</x:v>
      </x:c>
      <x:c r="K225" s="59">
        <x:v>44</x:v>
      </x:c>
      <x:c r="L225" s="58">
        <x:v>0</x:v>
      </x:c>
      <x:c r="M225" s="59">
        <x:v>0</x:v>
      </x:c>
      <x:c r="N225" s="59" t="s">
        <x:v>41</x:v>
      </x:c>
      <x:c r="O225" s="59" t="s">
        <x:v>42</x:v>
      </x:c>
      <x:c r="Q225" s="23" t="s">
        <x:v>43</x:v>
      </x:c>
      <x:c r="S225" s="58"/>
      <x:c r="T225" s="58"/>
      <x:c r="U225" s="58"/>
      <x:c r="V225" s="58"/>
      <x:c r="W225" s="58"/>
      <x:c r="X225" s="60"/>
      <x:c r="Y225" s="60"/>
      <x:c r="Z225" s="58"/>
      <x:c r="AA225" s="60"/>
      <x:c r="AB225" s="60"/>
      <x:c r="AC225" s="61">
        <x:f t="shared" si="16"/>
        <x:v>0</x:v>
      </x:c>
      <x:c r="AD225" s="61">
        <x:f t="shared" si="17"/>
        <x:v>0</x:v>
      </x:c>
    </x:row>
    <x:row r="226" s="59" customFormat="1" ht="12.5">
      <x:c r="A226" s="63">
        <x:v>221</x:v>
      </x:c>
      <x:c r="B226" s="58" t="s">
        <x:v>575</x:v>
      </x:c>
      <x:c r="C226" s="59" t="s">
        <x:v>34</x:v>
      </x:c>
      <x:c r="D226" s="58" t="s">
        <x:v>81</x:v>
      </x:c>
      <x:c r="E226" s="58" t="s">
        <x:v>202</x:v>
      </x:c>
      <x:c r="F226" s="59" t="s">
        <x:v>421</x:v>
      </x:c>
      <x:c r="G226" s="59" t="s">
        <x:v>42</x:v>
      </x:c>
      <x:c r="H226" s="59" t="s">
        <x:v>42</x:v>
      </x:c>
      <x:c r="I226" s="59" t="s">
        <x:v>42</x:v>
      </x:c>
      <x:c r="J226" s="59">
        <x:v>2016</x:v>
      </x:c>
      <x:c r="K226" s="59">
        <x:v>20</x:v>
      </x:c>
      <x:c r="L226" s="58">
        <x:v>20</x:v>
      </x:c>
      <x:c r="M226" s="59">
        <x:v>20</x:v>
      </x:c>
      <x:c r="N226" s="59" t="s">
        <x:v>41</x:v>
      </x:c>
      <x:c r="O226" s="59" t="s">
        <x:v>42</x:v>
      </x:c>
      <x:c r="Q226" s="23" t="s">
        <x:v>43</x:v>
      </x:c>
      <x:c r="R226" s="23" t="s">
        <x:v>88</x:v>
      </x:c>
      <x:c r="S226" s="58"/>
      <x:c r="T226" s="58"/>
      <x:c r="U226" s="58"/>
      <x:c r="V226" s="58"/>
      <x:c r="W226" s="58"/>
      <x:c r="X226" s="60"/>
      <x:c r="Y226" s="60"/>
      <x:c r="Z226" s="58"/>
      <x:c r="AA226" s="60"/>
      <x:c r="AB226" s="60"/>
      <x:c r="AC226" s="61">
        <x:f t="shared" si="16"/>
        <x:v>1</x:v>
      </x:c>
      <x:c r="AD226" s="61">
        <x:f t="shared" si="17"/>
        <x:v>1</x:v>
      </x:c>
    </x:row>
    <x:row r="227" s="59" customFormat="1" ht="12.5">
      <x:c r="A227" s="63">
        <x:v>222</x:v>
      </x:c>
      <x:c r="B227" s="58" t="s">
        <x:v>576</x:v>
      </x:c>
      <x:c r="C227" s="59" t="s">
        <x:v>34</x:v>
      </x:c>
      <x:c r="D227" s="58" t="s">
        <x:v>81</x:v>
      </x:c>
      <x:c r="E227" s="58" t="s">
        <x:v>122</x:v>
      </x:c>
      <x:c r="F227" s="59" t="s">
        <x:v>415</x:v>
      </x:c>
      <x:c r="G227" s="59" t="s">
        <x:v>577</x:v>
      </x:c>
      <x:c r="H227" s="59" t="s">
        <x:v>578</x:v>
      </x:c>
      <x:c r="I227" s="59" t="s">
        <x:v>112</x:v>
      </x:c>
      <x:c r="J227" s="59">
        <x:v>2019</x:v>
      </x:c>
      <x:c r="K227" s="59">
        <x:v>57</x:v>
      </x:c>
      <x:c r="L227" s="58">
        <x:v>55</x:v>
      </x:c>
      <x:c r="M227" s="59">
        <x:v>55</x:v>
      </x:c>
      <x:c r="N227" s="59" t="s">
        <x:v>41</x:v>
      </x:c>
      <x:c r="O227" s="59" t="s">
        <x:v>42</x:v>
      </x:c>
      <x:c r="Q227" s="23" t="s">
        <x:v>43</x:v>
      </x:c>
      <x:c r="S227" s="58"/>
      <x:c r="T227" s="58"/>
      <x:c r="U227" s="58"/>
      <x:c r="V227" s="58">
        <x:v>-2.1381644999999998</x:v>
      </x:c>
      <x:c r="W227" s="58">
        <x:v>106.15515670000001</x:v>
      </x:c>
      <x:c r="X227" s="60"/>
      <x:c r="Y227" s="60"/>
      <x:c r="Z227" s="58"/>
      <x:c r="AA227" s="60"/>
      <x:c r="AB227" s="60"/>
      <x:c r="AC227" s="61">
        <x:f t="shared" si="16"/>
        <x:v>0.96491228070175439</x:v>
      </x:c>
      <x:c r="AD227" s="61">
        <x:f t="shared" si="17"/>
        <x:v>1</x:v>
      </x:c>
    </x:row>
    <x:row r="228" s="59" customFormat="1" ht="12.5">
      <x:c r="A228" s="63">
        <x:v>223</x:v>
      </x:c>
      <x:c r="B228" s="58" t="s">
        <x:v>579</x:v>
      </x:c>
      <x:c r="C228" s="59" t="s">
        <x:v>170</x:v>
      </x:c>
      <x:c r="D228" s="58" t="s">
        <x:v>81</x:v>
      </x:c>
      <x:c r="E228" s="58" t="s">
        <x:v>202</x:v>
      </x:c>
      <x:c r="F228" s="59" t="s">
        <x:v>580</x:v>
      </x:c>
      <x:c r="G228" s="59" t="s">
        <x:v>581</x:v>
      </x:c>
      <x:c r="H228" s="59" t="s">
        <x:v>42</x:v>
      </x:c>
      <x:c r="I228" s="59" t="s">
        <x:v>42</x:v>
      </x:c>
      <x:c r="J228" s="59">
        <x:v>2015</x:v>
      </x:c>
      <x:c r="K228" s="59">
        <x:v>88</x:v>
      </x:c>
      <x:c r="L228" s="58">
        <x:v>22</x:v>
      </x:c>
      <x:c r="M228" s="59">
        <x:v>22</x:v>
      </x:c>
      <x:c r="N228" s="59" t="s">
        <x:v>41</x:v>
      </x:c>
      <x:c r="O228" s="59" t="s">
        <x:v>42</x:v>
      </x:c>
      <x:c r="Q228" s="59" t="s">
        <x:v>72</x:v>
      </x:c>
      <x:c r="S228" s="58"/>
      <x:c r="T228" s="58"/>
      <x:c r="U228" s="58"/>
      <x:c r="V228" s="58">
        <x:v>-2.1346430999999999</x:v>
      </x:c>
      <x:c r="W228" s="58">
        <x:v>106.1342334</x:v>
      </x:c>
      <x:c r="X228" s="60"/>
      <x:c r="Y228" s="60"/>
      <x:c r="Z228" s="58"/>
      <x:c r="AA228" s="60"/>
      <x:c r="AB228" s="60"/>
      <x:c r="AC228" s="61">
        <x:f t="shared" si="16"/>
        <x:v>0.25</x:v>
      </x:c>
      <x:c r="AD228" s="61">
        <x:f t="shared" si="17"/>
        <x:v>1</x:v>
      </x:c>
    </x:row>
    <x:row r="229" s="59" customFormat="1" ht="12.5">
      <x:c r="A229" s="63">
        <x:v>224</x:v>
      </x:c>
      <x:c r="B229" s="58" t="s">
        <x:v>582</x:v>
      </x:c>
      <x:c r="C229" s="59" t="s">
        <x:v>170</x:v>
      </x:c>
      <x:c r="D229" s="58" t="s">
        <x:v>81</x:v>
      </x:c>
      <x:c r="E229" s="58" t="s">
        <x:v>400</x:v>
      </x:c>
      <x:c r="F229" s="59" t="s">
        <x:v>583</x:v>
      </x:c>
      <x:c r="G229" s="59" t="s">
        <x:v>581</x:v>
      </x:c>
      <x:c r="H229" s="59" t="s">
        <x:v>42</x:v>
      </x:c>
      <x:c r="I229" s="59" t="s">
        <x:v>42</x:v>
      </x:c>
      <x:c r="J229" s="59">
        <x:v>2016</x:v>
      </x:c>
      <x:c r="K229" s="59">
        <x:v>92</x:v>
      </x:c>
      <x:c r="L229" s="58">
        <x:v>9</x:v>
      </x:c>
      <x:c r="M229" s="59">
        <x:v>9</x:v>
      </x:c>
      <x:c r="N229" s="59" t="s">
        <x:v>41</x:v>
      </x:c>
      <x:c r="O229" s="59" t="s">
        <x:v>42</x:v>
      </x:c>
      <x:c r="Q229" s="59" t="s">
        <x:v>72</x:v>
      </x:c>
      <x:c r="S229" s="58"/>
      <x:c r="T229" s="58"/>
      <x:c r="U229" s="58"/>
      <x:c r="V229" s="58">
        <x:v>-2.1351254000000002</x:v>
      </x:c>
      <x:c r="W229" s="58">
        <x:v>106.1331278</x:v>
      </x:c>
      <x:c r="X229" s="60"/>
      <x:c r="Y229" s="60"/>
      <x:c r="Z229" s="58"/>
      <x:c r="AA229" s="60"/>
      <x:c r="AB229" s="60"/>
      <x:c r="AC229" s="61">
        <x:f t="shared" si="16"/>
        <x:v>9.7826086956521743E-2</x:v>
      </x:c>
      <x:c r="AD229" s="61">
        <x:f t="shared" si="17"/>
        <x:v>1</x:v>
      </x:c>
    </x:row>
    <x:row r="230" s="59" customFormat="1" ht="12.5">
      <x:c r="A230" s="63">
        <x:v>225</x:v>
      </x:c>
      <x:c r="B230" s="58" t="s">
        <x:v>584</x:v>
      </x:c>
      <x:c r="C230" s="59" t="s">
        <x:v>34</x:v>
      </x:c>
      <x:c r="D230" s="58" t="s">
        <x:v>35</x:v>
      </x:c>
      <x:c r="E230" s="58" t="s">
        <x:v>46</x:v>
      </x:c>
      <x:c r="F230" s="59" t="s">
        <x:v>585</x:v>
      </x:c>
      <x:c r="G230" s="59" t="s">
        <x:v>586</x:v>
      </x:c>
      <x:c r="H230" s="59" t="s">
        <x:v>587</x:v>
      </x:c>
      <x:c r="I230" s="59" t="s">
        <x:v>112</x:v>
      </x:c>
      <x:c r="J230" s="59">
        <x:v>2017</x:v>
      </x:c>
      <x:c r="K230" s="59">
        <x:v>43</x:v>
      </x:c>
      <x:c r="L230" s="58">
        <x:v>43</x:v>
      </x:c>
      <x:c r="M230" s="59">
        <x:v>43</x:v>
      </x:c>
      <x:c r="N230" s="59" t="s">
        <x:v>48</x:v>
      </x:c>
      <x:c r="O230" s="59">
        <x:v>2021</x:v>
      </x:c>
      <x:c r="Q230" s="23" t="s">
        <x:v>43</x:v>
      </x:c>
      <x:c r="R230" s="59" t="s">
        <x:v>113</x:v>
      </x:c>
      <x:c r="S230" s="58"/>
      <x:c r="T230" s="58"/>
      <x:c r="U230" s="58"/>
      <x:c r="V230" s="58">
        <x:v>-2.1201880000000002</x:v>
      </x:c>
      <x:c r="W230" s="58">
        <x:v>106.07431099999999</x:v>
      </x:c>
      <x:c r="X230" s="60"/>
      <x:c r="Y230" s="60"/>
      <x:c r="Z230" s="58"/>
      <x:c r="AA230" s="60"/>
      <x:c r="AB230" s="60"/>
      <x:c r="AC230" s="61">
        <x:f t="shared" si="16"/>
        <x:v>1</x:v>
      </x:c>
      <x:c r="AD230" s="61">
        <x:f t="shared" si="17"/>
        <x:v>1</x:v>
      </x:c>
    </x:row>
    <x:row r="231" s="59" customFormat="1" ht="12.5">
      <x:c r="A231" s="63">
        <x:v>226</x:v>
      </x:c>
      <x:c r="B231" s="58" t="s">
        <x:v>588</x:v>
      </x:c>
      <x:c r="C231" s="59" t="s">
        <x:v>34</x:v>
      </x:c>
      <x:c r="D231" s="58" t="s">
        <x:v>35</x:v>
      </x:c>
      <x:c r="E231" s="58" t="s">
        <x:v>36</x:v>
      </x:c>
      <x:c r="F231" s="59" t="s">
        <x:v>47</x:v>
      </x:c>
      <x:c r="G231" s="59" t="s">
        <x:v>586</x:v>
      </x:c>
      <x:c r="H231" s="59" t="s">
        <x:v>587</x:v>
      </x:c>
      <x:c r="I231" s="59" t="s">
        <x:v>112</x:v>
      </x:c>
      <x:c r="J231" s="59">
        <x:v>2017</x:v>
      </x:c>
      <x:c r="K231" s="59">
        <x:v>30</x:v>
      </x:c>
      <x:c r="L231" s="58">
        <x:v>30</x:v>
      </x:c>
      <x:c r="M231" s="59">
        <x:v>29</x:v>
      </x:c>
      <x:c r="N231" s="59" t="s">
        <x:v>48</x:v>
      </x:c>
      <x:c r="O231" s="59">
        <x:v>2021</x:v>
      </x:c>
      <x:c r="Q231" s="23" t="s">
        <x:v>43</x:v>
      </x:c>
      <x:c r="R231" s="59" t="s">
        <x:v>113</x:v>
      </x:c>
      <x:c r="S231" s="58"/>
      <x:c r="T231" s="58"/>
      <x:c r="U231" s="58"/>
      <x:c r="V231" s="58">
        <x:v>-2.1146593</x:v>
      </x:c>
      <x:c r="W231" s="58">
        <x:v>106.0722858</x:v>
      </x:c>
      <x:c r="X231" s="60"/>
      <x:c r="Y231" s="60"/>
      <x:c r="Z231" s="58"/>
      <x:c r="AA231" s="60"/>
      <x:c r="AB231" s="60"/>
      <x:c r="AC231" s="61">
        <x:f t="shared" si="16"/>
        <x:v>1</x:v>
      </x:c>
      <x:c r="AD231" s="61">
        <x:f t="shared" si="17"/>
        <x:v>0.96666666666666667</x:v>
      </x:c>
    </x:row>
    <x:row r="232" s="59" customFormat="1" ht="12.5">
      <x:c r="A232" s="63">
        <x:v>227</x:v>
      </x:c>
      <x:c r="B232" s="58" t="s">
        <x:v>589</x:v>
      </x:c>
      <x:c r="C232" s="59" t="s">
        <x:v>34</x:v>
      </x:c>
      <x:c r="D232" s="58" t="s">
        <x:v>35</x:v>
      </x:c>
      <x:c r="E232" s="58" t="s">
        <x:v>36</x:v>
      </x:c>
      <x:c r="F232" s="59" t="s">
        <x:v>590</x:v>
      </x:c>
      <x:c r="G232" s="59" t="s">
        <x:v>591</x:v>
      </x:c>
      <x:c r="H232" s="59" t="s">
        <x:v>587</x:v>
      </x:c>
      <x:c r="I232" s="59" t="s">
        <x:v>112</x:v>
      </x:c>
      <x:c r="J232" s="59">
        <x:v>2017</x:v>
      </x:c>
      <x:c r="K232" s="59">
        <x:v>123</x:v>
      </x:c>
      <x:c r="L232" s="58">
        <x:v>123</x:v>
      </x:c>
      <x:c r="M232" s="59">
        <x:v>123</x:v>
      </x:c>
      <x:c r="N232" s="59" t="s">
        <x:v>48</x:v>
      </x:c>
      <x:c r="O232" s="59">
        <x:v>2021</x:v>
      </x:c>
      <x:c r="Q232" s="23" t="s">
        <x:v>43</x:v>
      </x:c>
      <x:c r="S232" s="58"/>
      <x:c r="T232" s="58"/>
      <x:c r="U232" s="58"/>
      <x:c r="V232" s="58">
        <x:v>-2.1018940000000002</x:v>
      </x:c>
      <x:c r="W232" s="58">
        <x:v>106.081547</x:v>
      </x:c>
      <x:c r="X232" s="60"/>
      <x:c r="Y232" s="60"/>
      <x:c r="Z232" s="58"/>
      <x:c r="AA232" s="60"/>
      <x:c r="AB232" s="60"/>
      <x:c r="AC232" s="61">
        <x:f t="shared" si="16"/>
        <x:v>1</x:v>
      </x:c>
      <x:c r="AD232" s="61">
        <x:f t="shared" si="17"/>
        <x:v>1</x:v>
      </x:c>
    </x:row>
    <x:row r="233" s="59" customFormat="1" ht="12.5">
      <x:c r="A233" s="63">
        <x:v>228</x:v>
      </x:c>
      <x:c r="B233" s="58" t="s">
        <x:v>592</x:v>
      </x:c>
      <x:c r="C233" s="59" t="s">
        <x:v>34</x:v>
      </x:c>
      <x:c r="D233" s="58" t="s">
        <x:v>60</x:v>
      </x:c>
      <x:c r="E233" s="58" t="s">
        <x:v>70</x:v>
      </x:c>
      <x:c r="F233" s="59" t="s">
        <x:v>310</x:v>
      </x:c>
      <x:c r="G233" s="59" t="s">
        <x:v>591</x:v>
      </x:c>
      <x:c r="H233" s="59" t="s">
        <x:v>587</x:v>
      </x:c>
      <x:c r="I233" s="59" t="s">
        <x:v>112</x:v>
      </x:c>
      <x:c r="J233" s="59">
        <x:v>2018</x:v>
      </x:c>
      <x:c r="K233" s="59">
        <x:v>110</x:v>
      </x:c>
      <x:c r="L233" s="58">
        <x:v>110</x:v>
      </x:c>
      <x:c r="M233" s="59">
        <x:v>103</x:v>
      </x:c>
      <x:c r="N233" s="59" t="s">
        <x:v>48</x:v>
      </x:c>
      <x:c r="O233" s="59">
        <x:v>2021</x:v>
      </x:c>
      <x:c r="Q233" s="23" t="s">
        <x:v>43</x:v>
      </x:c>
      <x:c r="R233" s="59" t="s">
        <x:v>55</x:v>
      </x:c>
      <x:c r="S233" s="58"/>
      <x:c r="T233" s="58"/>
      <x:c r="U233" s="58"/>
      <x:c r="V233" s="58">
        <x:v>-2.0981193999999999</x:v>
      </x:c>
      <x:c r="W233" s="58">
        <x:v>106.0837946</x:v>
      </x:c>
      <x:c r="X233" s="60"/>
      <x:c r="Y233" s="60"/>
      <x:c r="Z233" s="58"/>
      <x:c r="AA233" s="60"/>
      <x:c r="AB233" s="60"/>
      <x:c r="AC233" s="61">
        <x:f t="shared" si="16"/>
        <x:v>1</x:v>
      </x:c>
      <x:c r="AD233" s="61">
        <x:f t="shared" si="17"/>
        <x:v>0.9363636363636364</x:v>
      </x:c>
    </x:row>
    <x:row r="234" s="59" customFormat="1" ht="12.5">
      <x:c r="A234" s="63">
        <x:v>229</x:v>
      </x:c>
      <x:c r="B234" s="58" t="s">
        <x:v>593</x:v>
      </x:c>
      <x:c r="C234" s="59" t="s">
        <x:v>34</x:v>
      </x:c>
      <x:c r="D234" s="58" t="s">
        <x:v>60</x:v>
      </x:c>
      <x:c r="E234" s="58" t="s">
        <x:v>70</x:v>
      </x:c>
      <x:c r="F234" s="59" t="s">
        <x:v>594</x:v>
      </x:c>
      <x:c r="G234" s="59" t="s">
        <x:v>591</x:v>
      </x:c>
      <x:c r="H234" s="59" t="s">
        <x:v>587</x:v>
      </x:c>
      <x:c r="I234" s="59" t="s">
        <x:v>112</x:v>
      </x:c>
      <x:c r="J234" s="59">
        <x:v>2018</x:v>
      </x:c>
      <x:c r="K234" s="59">
        <x:v>44</x:v>
      </x:c>
      <x:c r="L234" s="58">
        <x:v>44</x:v>
      </x:c>
      <x:c r="M234" s="59">
        <x:v>44</x:v>
      </x:c>
      <x:c r="N234" s="59" t="s">
        <x:v>48</x:v>
      </x:c>
      <x:c r="O234" s="59">
        <x:v>2021</x:v>
      </x:c>
      <x:c r="Q234" s="59" t="s">
        <x:v>72</x:v>
      </x:c>
      <x:c r="S234" s="58"/>
      <x:c r="T234" s="58"/>
      <x:c r="U234" s="58"/>
      <x:c r="V234" s="58">
        <x:v>-2.0944850000000002</x:v>
      </x:c>
      <x:c r="W234" s="58">
        <x:v>106.09107</x:v>
      </x:c>
      <x:c r="X234" s="60"/>
      <x:c r="Y234" s="60"/>
      <x:c r="Z234" s="58"/>
      <x:c r="AA234" s="60"/>
      <x:c r="AB234" s="60"/>
      <x:c r="AC234" s="61">
        <x:f t="shared" si="16"/>
        <x:v>1</x:v>
      </x:c>
      <x:c r="AD234" s="61">
        <x:f t="shared" si="17"/>
        <x:v>1</x:v>
      </x:c>
    </x:row>
    <x:row r="235" s="59" customFormat="1" ht="12.5">
      <x:c r="A235" s="63">
        <x:v>230</x:v>
      </x:c>
      <x:c r="B235" s="58" t="s">
        <x:v>595</x:v>
      </x:c>
      <x:c r="C235" s="59" t="s">
        <x:v>34</x:v>
      </x:c>
      <x:c r="D235" s="58" t="s">
        <x:v>35</x:v>
      </x:c>
      <x:c r="E235" s="58" t="s">
        <x:v>36</x:v>
      </x:c>
      <x:c r="F235" s="59" t="s">
        <x:v>54</x:v>
      </x:c>
      <x:c r="G235" s="59" t="s">
        <x:v>596</x:v>
      </x:c>
      <x:c r="H235" s="59" t="s">
        <x:v>587</x:v>
      </x:c>
      <x:c r="I235" s="59" t="s">
        <x:v>112</x:v>
      </x:c>
      <x:c r="J235" s="59">
        <x:v>2018</x:v>
      </x:c>
      <x:c r="K235" s="59">
        <x:v>70</x:v>
      </x:c>
      <x:c r="L235" s="58">
        <x:v>70</x:v>
      </x:c>
      <x:c r="M235" s="59">
        <x:v>70</x:v>
      </x:c>
      <x:c r="N235" s="59" t="s">
        <x:v>48</x:v>
      </x:c>
      <x:c r="O235" s="59">
        <x:v>2022</x:v>
      </x:c>
      <x:c r="Q235" s="23" t="s">
        <x:v>43</x:v>
      </x:c>
      <x:c r="R235" s="59" t="s">
        <x:v>113</x:v>
      </x:c>
      <x:c r="S235" s="58"/>
      <x:c r="T235" s="58"/>
      <x:c r="U235" s="58"/>
      <x:c r="V235" s="58">
        <x:v>-2.0975541999999998</x:v>
      </x:c>
      <x:c r="W235" s="58">
        <x:v>106.0794709</x:v>
      </x:c>
      <x:c r="X235" s="60"/>
      <x:c r="Y235" s="60"/>
      <x:c r="Z235" s="58"/>
      <x:c r="AA235" s="60"/>
      <x:c r="AB235" s="60"/>
      <x:c r="AC235" s="61">
        <x:f t="shared" si="16"/>
        <x:v>1</x:v>
      </x:c>
      <x:c r="AD235" s="61">
        <x:f t="shared" si="17"/>
        <x:v>1</x:v>
      </x:c>
    </x:row>
    <x:row r="236" s="59" customFormat="1" ht="12.5">
      <x:c r="A236" s="63">
        <x:v>231</x:v>
      </x:c>
      <x:c r="B236" s="58" t="s">
        <x:v>597</x:v>
      </x:c>
      <x:c r="C236" s="59" t="s">
        <x:v>34</x:v>
      </x:c>
      <x:c r="D236" s="58" t="s">
        <x:v>35</x:v>
      </x:c>
      <x:c r="E236" s="58" t="s">
        <x:v>36</x:v>
      </x:c>
      <x:c r="F236" s="59" t="s">
        <x:v>62</x:v>
      </x:c>
      <x:c r="G236" s="59" t="s">
        <x:v>596</x:v>
      </x:c>
      <x:c r="H236" s="59" t="s">
        <x:v>587</x:v>
      </x:c>
      <x:c r="I236" s="59" t="s">
        <x:v>112</x:v>
      </x:c>
      <x:c r="J236" s="59">
        <x:v>2020</x:v>
      </x:c>
      <x:c r="K236" s="59">
        <x:v>40</x:v>
      </x:c>
      <x:c r="L236" s="58">
        <x:v>40</x:v>
      </x:c>
      <x:c r="M236" s="59">
        <x:v>40</x:v>
      </x:c>
      <x:c r="N236" s="59" t="s">
        <x:v>48</x:v>
      </x:c>
      <x:c r="O236" s="59">
        <x:v>2022</x:v>
      </x:c>
      <x:c r="Q236" s="23" t="s">
        <x:v>43</x:v>
      </x:c>
      <x:c r="R236" s="59" t="s">
        <x:v>113</x:v>
      </x:c>
      <x:c r="S236" s="58"/>
      <x:c r="T236" s="58"/>
      <x:c r="U236" s="58"/>
      <x:c r="V236" s="58">
        <x:v>-2.0942904000000002</x:v>
      </x:c>
      <x:c r="W236" s="58">
        <x:v>106.0779465</x:v>
      </x:c>
      <x:c r="X236" s="60"/>
      <x:c r="Y236" s="60"/>
      <x:c r="Z236" s="58"/>
      <x:c r="AA236" s="60"/>
      <x:c r="AB236" s="60"/>
      <x:c r="AC236" s="61">
        <x:f t="shared" si="16"/>
        <x:v>1</x:v>
      </x:c>
      <x:c r="AD236" s="61">
        <x:f t="shared" si="17"/>
        <x:v>1</x:v>
      </x:c>
    </x:row>
    <x:row r="237" s="59" customFormat="1" ht="12.5">
      <x:c r="A237" s="63">
        <x:v>232</x:v>
      </x:c>
      <x:c r="B237" s="58" t="s">
        <x:v>598</x:v>
      </x:c>
      <x:c r="C237" s="59" t="s">
        <x:v>34</x:v>
      </x:c>
      <x:c r="D237" s="58" t="s">
        <x:v>60</x:v>
      </x:c>
      <x:c r="E237" s="58" t="s">
        <x:v>70</x:v>
      </x:c>
      <x:c r="F237" s="59" t="s">
        <x:v>310</x:v>
      </x:c>
      <x:c r="G237" s="59" t="s">
        <x:v>591</x:v>
      </x:c>
      <x:c r="H237" s="59" t="s">
        <x:v>587</x:v>
      </x:c>
      <x:c r="I237" s="59" t="s">
        <x:v>112</x:v>
      </x:c>
      <x:c r="J237" s="59">
        <x:v>2021</x:v>
      </x:c>
      <x:c r="K237" s="59">
        <x:v>58</x:v>
      </x:c>
      <x:c r="L237" s="58">
        <x:v>58</x:v>
      </x:c>
      <x:c r="M237" s="59">
        <x:v>58</x:v>
      </x:c>
      <x:c r="N237" s="59" t="s">
        <x:v>41</x:v>
      </x:c>
      <x:c r="O237" s="59" t="s">
        <x:v>42</x:v>
      </x:c>
      <x:c r="Q237" s="23" t="s">
        <x:v>43</x:v>
      </x:c>
      <x:c r="S237" s="58"/>
      <x:c r="T237" s="58"/>
      <x:c r="U237" s="58"/>
      <x:c r="V237" s="58">
        <x:v>-2.095885</x:v>
      </x:c>
      <x:c r="W237" s="58">
        <x:v>106.084112</x:v>
      </x:c>
      <x:c r="X237" s="60"/>
      <x:c r="Y237" s="60"/>
      <x:c r="Z237" s="58"/>
      <x:c r="AA237" s="60"/>
      <x:c r="AB237" s="60"/>
      <x:c r="AC237" s="61">
        <x:f t="shared" si="16"/>
        <x:v>1</x:v>
      </x:c>
      <x:c r="AD237" s="61">
        <x:f t="shared" si="17"/>
        <x:v>1</x:v>
      </x:c>
    </x:row>
    <x:row r="238" s="59" customFormat="1" ht="12.5">
      <x:c r="A238" s="63">
        <x:v>233</x:v>
      </x:c>
      <x:c r="B238" s="58" t="s">
        <x:v>599</x:v>
      </x:c>
      <x:c r="C238" s="59" t="s">
        <x:v>34</x:v>
      </x:c>
      <x:c r="D238" s="58" t="s">
        <x:v>35</x:v>
      </x:c>
      <x:c r="E238" s="58" t="s">
        <x:v>46</x:v>
      </x:c>
      <x:c r="F238" s="59" t="s">
        <x:v>600</x:v>
      </x:c>
      <x:c r="G238" s="59" t="s">
        <x:v>596</x:v>
      </x:c>
      <x:c r="H238" s="59" t="s">
        <x:v>601</x:v>
      </x:c>
      <x:c r="I238" s="59" t="s">
        <x:v>112</x:v>
      </x:c>
      <x:c r="J238" s="59">
        <x:v>2024</x:v>
      </x:c>
      <x:c r="K238" s="59">
        <x:v>42</x:v>
      </x:c>
      <x:c r="L238" s="58">
        <x:v>1</x:v>
      </x:c>
      <x:c r="M238" s="59">
        <x:v>0</x:v>
      </x:c>
      <x:c r="N238" s="59" t="s">
        <x:v>41</x:v>
      </x:c>
      <x:c r="O238" s="59" t="s">
        <x:v>42</x:v>
      </x:c>
      <x:c r="Q238" s="23" t="s">
        <x:v>43</x:v>
      </x:c>
      <x:c r="R238" s="23" t="s">
        <x:v>88</x:v>
      </x:c>
      <x:c r="S238" s="58"/>
      <x:c r="T238" s="58"/>
      <x:c r="U238" s="58"/>
      <x:c r="V238" s="58">
        <x:v>-2.1235791000000002</x:v>
      </x:c>
      <x:c r="W238" s="58">
        <x:v>106.0763937</x:v>
      </x:c>
      <x:c r="X238" s="60"/>
      <x:c r="Y238" s="60"/>
      <x:c r="Z238" s="58"/>
      <x:c r="AA238" s="60"/>
      <x:c r="AB238" s="60"/>
      <x:c r="AC238" s="61">
        <x:f t="shared" si="16"/>
        <x:v>2.3809523809523808E-2</x:v>
      </x:c>
      <x:c r="AD238" s="61">
        <x:f t="shared" si="17"/>
        <x:v>0</x:v>
      </x:c>
    </x:row>
    <x:row r="239" s="59" customFormat="1" ht="12.5">
      <x:c r="A239" s="63">
        <x:v>234</x:v>
      </x:c>
      <x:c r="B239" s="58" t="s">
        <x:v>602</x:v>
      </x:c>
      <x:c r="C239" s="59" t="s">
        <x:v>34</x:v>
      </x:c>
      <x:c r="D239" s="58" t="s">
        <x:v>60</x:v>
      </x:c>
      <x:c r="E239" s="58" t="s">
        <x:v>91</x:v>
      </x:c>
      <x:c r="F239" s="59" t="s">
        <x:v>209</x:v>
      </x:c>
      <x:c r="G239" s="59" t="s">
        <x:v>466</x:v>
      </x:c>
      <x:c r="H239" s="59" t="s">
        <x:v>474</x:v>
      </x:c>
      <x:c r="I239" s="59" t="s">
        <x:v>40</x:v>
      </x:c>
      <x:c r="J239" s="59">
        <x:v>2015</x:v>
      </x:c>
      <x:c r="K239" s="59">
        <x:v>103</x:v>
      </x:c>
      <x:c r="L239" s="58">
        <x:v>74</x:v>
      </x:c>
      <x:c r="M239" s="59">
        <x:v>74</x:v>
      </x:c>
      <x:c r="N239" s="59" t="s">
        <x:v>41</x:v>
      </x:c>
      <x:c r="O239" s="59" t="s">
        <x:v>42</x:v>
      </x:c>
      <x:c r="Q239" s="23" t="s">
        <x:v>43</x:v>
      </x:c>
      <x:c r="R239" s="23" t="s">
        <x:v>88</x:v>
      </x:c>
      <x:c r="S239" s="58"/>
      <x:c r="T239" s="58"/>
      <x:c r="U239" s="58"/>
      <x:c r="V239" s="58">
        <x:v>-2.078166</x:v>
      </x:c>
      <x:c r="W239" s="58">
        <x:v>106.12220499999999</x:v>
      </x:c>
      <x:c r="X239" s="60"/>
      <x:c r="Y239" s="60"/>
      <x:c r="Z239" s="58"/>
      <x:c r="AA239" s="60"/>
      <x:c r="AB239" s="60"/>
      <x:c r="AC239" s="61">
        <x:f t="shared" si="16"/>
        <x:v>0.71844660194174759</x:v>
      </x:c>
      <x:c r="AD239" s="61">
        <x:f t="shared" si="17"/>
        <x:v>1</x:v>
      </x:c>
    </x:row>
    <x:row r="240" s="59" customFormat="1" ht="12.5">
      <x:c r="A240" s="63">
        <x:v>235</x:v>
      </x:c>
      <x:c r="B240" s="58" t="s">
        <x:v>603</x:v>
      </x:c>
      <x:c r="C240" s="59" t="s">
        <x:v>34</x:v>
      </x:c>
      <x:c r="D240" s="58" t="s">
        <x:v>81</x:v>
      </x:c>
      <x:c r="E240" s="58" t="s">
        <x:v>82</x:v>
      </x:c>
      <x:c r="F240" s="59" t="s">
        <x:v>604</x:v>
      </x:c>
      <x:c r="G240" s="59" t="s">
        <x:v>605</x:v>
      </x:c>
      <x:c r="H240" s="59" t="s">
        <x:v>606</x:v>
      </x:c>
      <x:c r="I240" s="59" t="s">
        <x:v>42</x:v>
      </x:c>
      <x:c r="J240" s="59">
        <x:v>2021</x:v>
      </x:c>
      <x:c r="K240" s="59">
        <x:v>115</x:v>
      </x:c>
      <x:c r="L240" s="58">
        <x:v>10</x:v>
      </x:c>
      <x:c r="M240" s="59">
        <x:v>0</x:v>
      </x:c>
      <x:c r="N240" s="59" t="s">
        <x:v>41</x:v>
      </x:c>
      <x:c r="O240" s="59" t="s">
        <x:v>42</x:v>
      </x:c>
      <x:c r="Q240" s="23" t="s">
        <x:v>43</x:v>
      </x:c>
      <x:c r="R240" s="23" t="s">
        <x:v>88</x:v>
      </x:c>
      <x:c r="S240" s="58"/>
      <x:c r="T240" s="58"/>
      <x:c r="U240" s="58"/>
      <x:c r="V240" s="58">
        <x:v>-2.1486339999999999</x:v>
      </x:c>
      <x:c r="W240" s="58">
        <x:v>106.145662</x:v>
      </x:c>
      <x:c r="X240" s="60"/>
      <x:c r="Y240" s="60"/>
      <x:c r="Z240" s="58"/>
      <x:c r="AA240" s="60"/>
      <x:c r="AB240" s="60"/>
      <x:c r="AC240" s="61">
        <x:f t="shared" si="16"/>
        <x:v>8.6956521739130432E-2</x:v>
      </x:c>
      <x:c r="AD240" s="61">
        <x:f t="shared" si="17"/>
        <x:v>0</x:v>
      </x:c>
    </x:row>
    <x:row r="241" s="59" customFormat="1" ht="12.5">
      <x:c r="A241" s="63">
        <x:v>236</x:v>
      </x:c>
      <x:c r="B241" s="58" t="s">
        <x:v>607</x:v>
      </x:c>
      <x:c r="C241" s="59" t="s">
        <x:v>34</x:v>
      </x:c>
      <x:c r="D241" s="58" t="s">
        <x:v>81</x:v>
      </x:c>
      <x:c r="E241" s="58" t="s">
        <x:v>122</x:v>
      </x:c>
      <x:c r="F241" s="59" t="s">
        <x:v>421</x:v>
      </x:c>
      <x:c r="G241" s="59" t="s">
        <x:v>608</x:v>
      </x:c>
      <x:c r="H241" s="59" t="s">
        <x:v>609</x:v>
      </x:c>
      <x:c r="I241" s="59" t="s">
        <x:v>86</x:v>
      </x:c>
      <x:c r="J241" s="59">
        <x:v>2019</x:v>
      </x:c>
      <x:c r="K241" s="59">
        <x:v>161</x:v>
      </x:c>
      <x:c r="L241" s="58">
        <x:v>103</x:v>
      </x:c>
      <x:c r="M241" s="59">
        <x:v>103</x:v>
      </x:c>
      <x:c r="N241" s="59" t="s">
        <x:v>41</x:v>
      </x:c>
      <x:c r="O241" s="59" t="s">
        <x:v>42</x:v>
      </x:c>
      <x:c r="Q241" s="23" t="s">
        <x:v>43</x:v>
      </x:c>
      <x:c r="S241" s="58"/>
      <x:c r="T241" s="58"/>
      <x:c r="U241" s="58"/>
      <x:c r="V241" s="58">
        <x:v>-2.1294618000000001</x:v>
      </x:c>
      <x:c r="W241" s="58">
        <x:v>106.16116599999999</x:v>
      </x:c>
      <x:c r="X241" s="60"/>
      <x:c r="Y241" s="60"/>
      <x:c r="Z241" s="58"/>
      <x:c r="AA241" s="60"/>
      <x:c r="AB241" s="60"/>
      <x:c r="AC241" s="61">
        <x:f t="shared" si="16"/>
        <x:v>0.63975155279503104</x:v>
      </x:c>
      <x:c r="AD241" s="61">
        <x:f t="shared" si="17"/>
        <x:v>1</x:v>
      </x:c>
    </x:row>
    <x:row r="242" s="59" customFormat="1" ht="12.5">
      <x:c r="A242" s="63">
        <x:v>237</x:v>
      </x:c>
      <x:c r="B242" s="58" t="s">
        <x:v>610</x:v>
      </x:c>
      <x:c r="C242" s="59" t="s">
        <x:v>34</x:v>
      </x:c>
      <x:c r="D242" s="58" t="s">
        <x:v>306</x:v>
      </x:c>
      <x:c r="E242" s="58" t="s">
        <x:v>307</x:v>
      </x:c>
      <x:c r="F242" s="59" t="s">
        <x:v>611</x:v>
      </x:c>
      <x:c r="G242" s="59" t="s">
        <x:v>612</x:v>
      </x:c>
      <x:c r="H242" s="59" t="s">
        <x:v>613</x:v>
      </x:c>
      <x:c r="I242" s="59" t="s">
        <x:v>40</x:v>
      </x:c>
      <x:c r="J242" s="59">
        <x:v>2017</x:v>
      </x:c>
      <x:c r="K242" s="59">
        <x:v>140</x:v>
      </x:c>
      <x:c r="L242" s="58">
        <x:v>140</x:v>
      </x:c>
      <x:c r="M242" s="59">
        <x:v>140</x:v>
      </x:c>
      <x:c r="N242" s="59" t="s">
        <x:v>41</x:v>
      </x:c>
      <x:c r="O242" s="59" t="s">
        <x:v>42</x:v>
      </x:c>
      <x:c r="Q242" s="23" t="s">
        <x:v>43</x:v>
      </x:c>
      <x:c r="S242" s="58"/>
      <x:c r="T242" s="58"/>
      <x:c r="U242" s="58"/>
      <x:c r="V242" s="58">
        <x:v>-2.150156</x:v>
      </x:c>
      <x:c r="W242" s="58">
        <x:v>106.10794970000001</x:v>
      </x:c>
      <x:c r="X242" s="60"/>
      <x:c r="Y242" s="60"/>
      <x:c r="Z242" s="58"/>
      <x:c r="AA242" s="60"/>
      <x:c r="AB242" s="60"/>
      <x:c r="AC242" s="61">
        <x:f t="shared" si="16"/>
        <x:v>1</x:v>
      </x:c>
      <x:c r="AD242" s="61">
        <x:f t="shared" si="17"/>
        <x:v>1</x:v>
      </x:c>
    </x:row>
    <x:row r="243" s="59" customFormat="1" ht="12.5">
      <x:c r="A243" s="63">
        <x:v>238</x:v>
      </x:c>
      <x:c r="B243" s="58" t="s">
        <x:v>614</x:v>
      </x:c>
      <x:c r="C243" s="59" t="s">
        <x:v>34</x:v>
      </x:c>
      <x:c r="D243" s="58" t="s">
        <x:v>306</x:v>
      </x:c>
      <x:c r="E243" s="58" t="s">
        <x:v>307</x:v>
      </x:c>
      <x:c r="F243" s="59" t="s">
        <x:v>615</x:v>
      </x:c>
      <x:c r="G243" s="59" t="s">
        <x:v>612</x:v>
      </x:c>
      <x:c r="H243" s="59" t="s">
        <x:v>613</x:v>
      </x:c>
      <x:c r="I243" s="59" t="s">
        <x:v>40</x:v>
      </x:c>
      <x:c r="J243" s="59">
        <x:v>2017</x:v>
      </x:c>
      <x:c r="K243" s="59">
        <x:v>15</x:v>
      </x:c>
      <x:c r="L243" s="58">
        <x:v>15</x:v>
      </x:c>
      <x:c r="M243" s="59">
        <x:v>6</x:v>
      </x:c>
      <x:c r="N243" s="59" t="s">
        <x:v>41</x:v>
      </x:c>
      <x:c r="O243" s="59" t="s">
        <x:v>42</x:v>
      </x:c>
      <x:c r="Q243" s="23" t="s">
        <x:v>43</x:v>
      </x:c>
      <x:c r="R243" s="23" t="s">
        <x:v>88</x:v>
      </x:c>
      <x:c r="S243" s="58"/>
      <x:c r="T243" s="58"/>
      <x:c r="U243" s="58"/>
      <x:c r="V243" s="58">
        <x:v>-2.1502162</x:v>
      </x:c>
      <x:c r="W243" s="58">
        <x:v>106.1080668</x:v>
      </x:c>
      <x:c r="X243" s="60"/>
      <x:c r="Y243" s="60"/>
      <x:c r="Z243" s="58"/>
      <x:c r="AA243" s="60"/>
      <x:c r="AB243" s="60"/>
      <x:c r="AC243" s="61">
        <x:f t="shared" si="16"/>
        <x:v>1</x:v>
      </x:c>
      <x:c r="AD243" s="61">
        <x:f t="shared" si="17"/>
        <x:v>0.4</x:v>
      </x:c>
    </x:row>
    <x:row r="244" s="59" customFormat="1" ht="12.5">
      <x:c r="A244" s="63">
        <x:v>239</x:v>
      </x:c>
      <x:c r="B244" s="58" t="s">
        <x:v>616</x:v>
      </x:c>
      <x:c r="C244" s="59" t="s">
        <x:v>34</x:v>
      </x:c>
      <x:c r="D244" s="58" t="s">
        <x:v>306</x:v>
      </x:c>
      <x:c r="E244" s="58" t="s">
        <x:v>345</x:v>
      </x:c>
      <x:c r="F244" s="59" t="s">
        <x:v>617</x:v>
      </x:c>
      <x:c r="G244" s="59" t="s">
        <x:v>612</x:v>
      </x:c>
      <x:c r="H244" s="59" t="s">
        <x:v>613</x:v>
      </x:c>
      <x:c r="I244" s="59" t="s">
        <x:v>40</x:v>
      </x:c>
      <x:c r="J244" s="59">
        <x:v>2018</x:v>
      </x:c>
      <x:c r="K244" s="59">
        <x:v>20</x:v>
      </x:c>
      <x:c r="L244" s="58">
        <x:v>20</x:v>
      </x:c>
      <x:c r="M244" s="59">
        <x:v>4</x:v>
      </x:c>
      <x:c r="N244" s="59" t="s">
        <x:v>41</x:v>
      </x:c>
      <x:c r="O244" s="59" t="s">
        <x:v>42</x:v>
      </x:c>
      <x:c r="Q244" s="23" t="s">
        <x:v>43</x:v>
      </x:c>
      <x:c r="R244" s="23" t="s">
        <x:v>88</x:v>
      </x:c>
      <x:c r="S244" s="58"/>
      <x:c r="T244" s="58"/>
      <x:c r="U244" s="58"/>
      <x:c r="V244" s="58">
        <x:v>-2.1475719999999998</x:v>
      </x:c>
      <x:c r="W244" s="58">
        <x:v>106.12103399999999</x:v>
      </x:c>
      <x:c r="X244" s="60"/>
      <x:c r="Y244" s="60"/>
      <x:c r="Z244" s="58"/>
      <x:c r="AA244" s="60"/>
      <x:c r="AB244" s="60"/>
      <x:c r="AC244" s="61">
        <x:f t="shared" si="16"/>
        <x:v>1</x:v>
      </x:c>
      <x:c r="AD244" s="61">
        <x:f t="shared" si="17"/>
        <x:v>0.2</x:v>
      </x:c>
    </x:row>
    <x:row r="245" s="59" customFormat="1" ht="12.5">
      <x:c r="A245" s="63">
        <x:v>240</x:v>
      </x:c>
      <x:c r="B245" s="58" t="s">
        <x:v>618</x:v>
      </x:c>
      <x:c r="C245" s="59" t="s">
        <x:v>34</x:v>
      </x:c>
      <x:c r="D245" s="58" t="s">
        <x:v>306</x:v>
      </x:c>
      <x:c r="E245" s="58" t="s">
        <x:v>307</x:v>
      </x:c>
      <x:c r="F245" s="59" t="s">
        <x:v>619</x:v>
      </x:c>
      <x:c r="G245" s="59" t="s">
        <x:v>612</x:v>
      </x:c>
      <x:c r="H245" s="59" t="s">
        <x:v>613</x:v>
      </x:c>
      <x:c r="I245" s="59" t="s">
        <x:v>40</x:v>
      </x:c>
      <x:c r="J245" s="59">
        <x:v>2018</x:v>
      </x:c>
      <x:c r="K245" s="59">
        <x:v>54</x:v>
      </x:c>
      <x:c r="L245" s="58">
        <x:v>31</x:v>
      </x:c>
      <x:c r="M245" s="59">
        <x:v>15</x:v>
      </x:c>
      <x:c r="N245" s="59" t="s">
        <x:v>41</x:v>
      </x:c>
      <x:c r="O245" s="59" t="s">
        <x:v>42</x:v>
      </x:c>
      <x:c r="Q245" s="23" t="s">
        <x:v>43</x:v>
      </x:c>
      <x:c r="R245" s="23" t="s">
        <x:v>88</x:v>
      </x:c>
      <x:c r="S245" s="58"/>
      <x:c r="T245" s="58"/>
      <x:c r="U245" s="58"/>
      <x:c r="V245" s="58">
        <x:v>-2.1529470000000002</x:v>
      </x:c>
      <x:c r="W245" s="58">
        <x:v>106.109098</x:v>
      </x:c>
      <x:c r="X245" s="60"/>
      <x:c r="Y245" s="60"/>
      <x:c r="Z245" s="58"/>
      <x:c r="AA245" s="60"/>
      <x:c r="AB245" s="60"/>
      <x:c r="AC245" s="61">
        <x:f t="shared" si="16"/>
        <x:v>0.57407407407407407</x:v>
      </x:c>
      <x:c r="AD245" s="61">
        <x:f t="shared" si="17"/>
        <x:v>0.4838709677419355</x:v>
      </x:c>
    </x:row>
    <x:row r="246" s="59" customFormat="1" ht="12.5">
      <x:c r="A246" s="63">
        <x:v>241</x:v>
      </x:c>
      <x:c r="B246" s="58" t="s">
        <x:v>620</x:v>
      </x:c>
      <x:c r="C246" s="59" t="s">
        <x:v>34</x:v>
      </x:c>
      <x:c r="D246" s="58" t="s">
        <x:v>60</x:v>
      </x:c>
      <x:c r="E246" s="58" t="s">
        <x:v>91</x:v>
      </x:c>
      <x:c r="F246" s="59" t="s">
        <x:v>621</x:v>
      </x:c>
      <x:c r="G246" s="59" t="s">
        <x:v>42</x:v>
      </x:c>
      <x:c r="H246" s="59" t="s">
        <x:v>177</x:v>
      </x:c>
      <x:c r="I246" s="59" t="s">
        <x:v>65</x:v>
      </x:c>
      <x:c r="J246" s="59">
        <x:v>2015</x:v>
      </x:c>
      <x:c r="K246" s="59">
        <x:v>124</x:v>
      </x:c>
      <x:c r="L246" s="58">
        <x:v>124</x:v>
      </x:c>
      <x:c r="M246" s="59">
        <x:v>124</x:v>
      </x:c>
      <x:c r="N246" s="59" t="s">
        <x:v>41</x:v>
      </x:c>
      <x:c r="O246" s="59" t="s">
        <x:v>42</x:v>
      </x:c>
      <x:c r="Q246" s="23" t="s">
        <x:v>43</x:v>
      </x:c>
      <x:c r="S246" s="58"/>
      <x:c r="T246" s="58"/>
      <x:c r="U246" s="58"/>
      <x:c r="V246" s="58">
        <x:v>-2.0908703499999999</x:v>
      </x:c>
      <x:c r="W246" s="58">
        <x:v>106.10865029999999</x:v>
      </x:c>
      <x:c r="X246" s="60"/>
      <x:c r="Y246" s="60"/>
      <x:c r="Z246" s="58"/>
      <x:c r="AA246" s="60"/>
      <x:c r="AB246" s="60"/>
      <x:c r="AC246" s="61">
        <x:f t="shared" si="16"/>
        <x:v>1</x:v>
      </x:c>
      <x:c r="AD246" s="61">
        <x:f t="shared" si="17"/>
        <x:v>1</x:v>
      </x:c>
    </x:row>
    <x:row r="247" s="59" customFormat="1" ht="12.5">
      <x:c r="A247" s="63">
        <x:v>242</x:v>
      </x:c>
      <x:c r="B247" s="58" t="s">
        <x:v>622</x:v>
      </x:c>
      <x:c r="C247" s="59" t="s">
        <x:v>34</x:v>
      </x:c>
      <x:c r="D247" s="58" t="s">
        <x:v>35</x:v>
      </x:c>
      <x:c r="E247" s="58" t="s">
        <x:v>46</x:v>
      </x:c>
      <x:c r="F247" s="59" t="s">
        <x:v>623</x:v>
      </x:c>
      <x:c r="G247" s="59" t="s">
        <x:v>624</x:v>
      </x:c>
      <x:c r="H247" s="59" t="s">
        <x:v>625</x:v>
      </x:c>
      <x:c r="I247" s="59" t="s">
        <x:v>42</x:v>
      </x:c>
      <x:c r="J247" s="59">
        <x:v>2017</x:v>
      </x:c>
      <x:c r="K247" s="59">
        <x:v>42</x:v>
      </x:c>
      <x:c r="L247" s="58">
        <x:v>37</x:v>
      </x:c>
      <x:c r="M247" s="59">
        <x:v>37</x:v>
      </x:c>
      <x:c r="N247" s="59" t="s">
        <x:v>41</x:v>
      </x:c>
      <x:c r="O247" s="59" t="s">
        <x:v>42</x:v>
      </x:c>
      <x:c r="Q247" s="23" t="s">
        <x:v>43</x:v>
      </x:c>
      <x:c r="R247" s="23" t="s">
        <x:v>88</x:v>
      </x:c>
      <x:c r="S247" s="58"/>
      <x:c r="T247" s="58"/>
      <x:c r="U247" s="58"/>
      <x:c r="V247" s="58">
        <x:v>-2.1266164000000001</x:v>
      </x:c>
      <x:c r="W247" s="58">
        <x:v>106.08298000000001</x:v>
      </x:c>
      <x:c r="X247" s="60"/>
      <x:c r="Y247" s="60"/>
      <x:c r="Z247" s="58"/>
      <x:c r="AA247" s="60"/>
      <x:c r="AB247" s="60"/>
      <x:c r="AC247" s="61">
        <x:f t="shared" si="16"/>
        <x:v>0.88095238095238093</x:v>
      </x:c>
      <x:c r="AD247" s="61">
        <x:f t="shared" si="17"/>
        <x:v>1</x:v>
      </x:c>
    </x:row>
    <x:row r="248" s="59" customFormat="1" ht="12.5">
      <x:c r="A248" s="63">
        <x:v>243</x:v>
      </x:c>
      <x:c r="B248" s="58" t="s">
        <x:v>626</x:v>
      </x:c>
      <x:c r="C248" s="59" t="s">
        <x:v>34</x:v>
      </x:c>
      <x:c r="D248" s="58" t="s">
        <x:v>35</x:v>
      </x:c>
      <x:c r="E248" s="58" t="s">
        <x:v>36</x:v>
      </x:c>
      <x:c r="F248" s="59" t="s">
        <x:v>54</x:v>
      </x:c>
      <x:c r="G248" s="59" t="s">
        <x:v>42</x:v>
      </x:c>
      <x:c r="H248" s="59" t="s">
        <x:v>42</x:v>
      </x:c>
      <x:c r="I248" s="59" t="s">
        <x:v>42</x:v>
      </x:c>
      <x:c r="J248" s="59">
        <x:v>2017</x:v>
      </x:c>
      <x:c r="K248" s="59">
        <x:v>14</x:v>
      </x:c>
      <x:c r="L248" s="58">
        <x:v>14</x:v>
      </x:c>
      <x:c r="M248" s="59">
        <x:v>14</x:v>
      </x:c>
      <x:c r="N248" s="59" t="s">
        <x:v>41</x:v>
      </x:c>
      <x:c r="O248" s="59" t="s">
        <x:v>42</x:v>
      </x:c>
      <x:c r="Q248" s="23" t="s">
        <x:v>43</x:v>
      </x:c>
      <x:c r="R248" s="23" t="s">
        <x:v>88</x:v>
      </x:c>
      <x:c r="S248" s="58"/>
      <x:c r="T248" s="58"/>
      <x:c r="U248" s="58"/>
      <x:c r="V248" s="58">
        <x:v>-2.0969370000000001</x:v>
      </x:c>
      <x:c r="W248" s="58">
        <x:v>106.07986</x:v>
      </x:c>
      <x:c r="X248" s="60"/>
      <x:c r="Y248" s="60"/>
      <x:c r="Z248" s="58"/>
      <x:c r="AA248" s="60"/>
      <x:c r="AB248" s="60"/>
      <x:c r="AC248" s="61">
        <x:f t="shared" si="16"/>
        <x:v>1</x:v>
      </x:c>
      <x:c r="AD248" s="61">
        <x:f t="shared" si="17"/>
        <x:v>1</x:v>
      </x:c>
    </x:row>
    <x:row r="249" s="59" customFormat="1" ht="12.5">
      <x:c r="A249" s="63">
        <x:v>244</x:v>
      </x:c>
      <x:c r="B249" s="58" t="s">
        <x:v>627</x:v>
      </x:c>
      <x:c r="C249" s="59" t="s">
        <x:v>34</x:v>
      </x:c>
      <x:c r="D249" s="58" t="s">
        <x:v>35</x:v>
      </x:c>
      <x:c r="E249" s="58" t="s">
        <x:v>36</x:v>
      </x:c>
      <x:c r="F249" s="59" t="s">
        <x:v>628</x:v>
      </x:c>
      <x:c r="G249" s="59" t="s">
        <x:v>629</x:v>
      </x:c>
      <x:c r="H249" s="59" t="s">
        <x:v>630</x:v>
      </x:c>
      <x:c r="I249" s="59" t="s">
        <x:v>40</x:v>
      </x:c>
      <x:c r="J249" s="59">
        <x:v>2021</x:v>
      </x:c>
      <x:c r="K249" s="59">
        <x:v>40</x:v>
      </x:c>
      <x:c r="L249" s="58">
        <x:v>26</x:v>
      </x:c>
      <x:c r="M249" s="59">
        <x:v>26</x:v>
      </x:c>
      <x:c r="N249" s="59" t="s">
        <x:v>41</x:v>
      </x:c>
      <x:c r="O249" s="59" t="s">
        <x:v>42</x:v>
      </x:c>
      <x:c r="Q249" s="23" t="s">
        <x:v>43</x:v>
      </x:c>
      <x:c r="S249" s="58"/>
      <x:c r="T249" s="11" t="s">
        <x:v>44</x:v>
      </x:c>
      <x:c r="U249" s="58"/>
      <x:c r="V249" s="58">
        <x:v>-2.09375</x:v>
      </x:c>
      <x:c r="W249" s="58">
        <x:v>106.07987799999999</x:v>
      </x:c>
      <x:c r="X249" s="60"/>
      <x:c r="Y249" s="60"/>
      <x:c r="Z249" s="58"/>
      <x:c r="AA249" s="60"/>
      <x:c r="AB249" s="60"/>
      <x:c r="AC249" s="61">
        <x:f t="shared" si="16"/>
        <x:v>0.65</x:v>
      </x:c>
      <x:c r="AD249" s="61">
        <x:f t="shared" si="17"/>
        <x:v>1</x:v>
      </x:c>
    </x:row>
    <x:row r="250" s="59" customFormat="1" ht="12.5">
      <x:c r="A250" s="63">
        <x:v>245</x:v>
      </x:c>
      <x:c r="B250" s="58" t="s">
        <x:v>631</x:v>
      </x:c>
      <x:c r="C250" s="59" t="s">
        <x:v>34</x:v>
      </x:c>
      <x:c r="D250" s="58" t="s">
        <x:v>35</x:v>
      </x:c>
      <x:c r="E250" s="58" t="s">
        <x:v>46</x:v>
      </x:c>
      <x:c r="F250" s="59" t="s">
        <x:v>51</x:v>
      </x:c>
      <x:c r="G250" s="59" t="s">
        <x:v>406</x:v>
      </x:c>
      <x:c r="H250" s="59" t="s">
        <x:v>407</x:v>
      </x:c>
      <x:c r="I250" s="59" t="s">
        <x:v>196</x:v>
      </x:c>
      <x:c r="J250" s="59">
        <x:v>2019</x:v>
      </x:c>
      <x:c r="K250" s="59">
        <x:v>93</x:v>
      </x:c>
      <x:c r="L250" s="58">
        <x:v>61</x:v>
      </x:c>
      <x:c r="M250" s="59">
        <x:v>59</x:v>
      </x:c>
      <x:c r="N250" s="59" t="s">
        <x:v>48</x:v>
      </x:c>
      <x:c r="O250" s="59">
        <x:v>2025</x:v>
      </x:c>
      <x:c r="Q250" s="23" t="s">
        <x:v>43</x:v>
      </x:c>
      <x:c r="S250" s="58"/>
      <x:c r="T250" s="58"/>
      <x:c r="U250" s="58"/>
      <x:c r="V250" s="58">
        <x:v>-2.1240772300000001</x:v>
      </x:c>
      <x:c r="W250" s="58">
        <x:v>106.0698871</x:v>
      </x:c>
      <x:c r="X250" s="60"/>
      <x:c r="Y250" s="60"/>
      <x:c r="Z250" s="58"/>
      <x:c r="AA250" s="60"/>
      <x:c r="AB250" s="60"/>
      <x:c r="AC250" s="61">
        <x:f t="shared" si="16"/>
        <x:v>0.65591397849462363</x:v>
      </x:c>
      <x:c r="AD250" s="61">
        <x:f t="shared" si="17"/>
        <x:v>0.96721311475409832</x:v>
      </x:c>
    </x:row>
    <x:row r="251" s="59" customFormat="1" ht="12.5">
      <x:c r="A251" s="63">
        <x:v>246</x:v>
      </x:c>
      <x:c r="B251" s="58" t="s">
        <x:v>632</x:v>
      </x:c>
      <x:c r="C251" s="59" t="s">
        <x:v>34</x:v>
      </x:c>
      <x:c r="D251" s="58" t="s">
        <x:v>60</x:v>
      </x:c>
      <x:c r="E251" s="58" t="s">
        <x:v>91</x:v>
      </x:c>
      <x:c r="F251" s="59" t="s">
        <x:v>633</x:v>
      </x:c>
      <x:c r="G251" s="59" t="s">
        <x:v>63</x:v>
      </x:c>
      <x:c r="H251" s="59" t="s">
        <x:v>64</x:v>
      </x:c>
      <x:c r="I251" s="59" t="s">
        <x:v>42</x:v>
      </x:c>
      <x:c r="J251" s="59">
        <x:v>2018</x:v>
      </x:c>
      <x:c r="K251" s="59">
        <x:v>74</x:v>
      </x:c>
      <x:c r="L251" s="58">
        <x:v>74</x:v>
      </x:c>
      <x:c r="M251" s="59">
        <x:v>74</x:v>
      </x:c>
      <x:c r="N251" s="59" t="s">
        <x:v>41</x:v>
      </x:c>
      <x:c r="O251" s="59" t="s">
        <x:v>42</x:v>
      </x:c>
      <x:c r="Q251" s="23" t="s">
        <x:v>43</x:v>
      </x:c>
      <x:c r="R251" s="23" t="s">
        <x:v>88</x:v>
      </x:c>
      <x:c r="S251" s="58"/>
      <x:c r="T251" s="11" t="s">
        <x:v>44</x:v>
      </x:c>
      <x:c r="U251" s="58"/>
      <x:c r="V251" s="58">
        <x:v>-2.0777771</x:v>
      </x:c>
      <x:c r="W251" s="58">
        <x:v>106.1188729</x:v>
      </x:c>
      <x:c r="X251" s="60"/>
      <x:c r="Y251" s="60"/>
      <x:c r="Z251" s="58"/>
      <x:c r="AA251" s="60"/>
      <x:c r="AB251" s="60"/>
      <x:c r="AC251" s="61">
        <x:f t="shared" si="16"/>
        <x:v>1</x:v>
      </x:c>
      <x:c r="AD251" s="61">
        <x:f t="shared" si="17"/>
        <x:v>1</x:v>
      </x:c>
    </x:row>
    <x:row r="252" s="59" customFormat="1" ht="12.5">
      <x:c r="A252" s="63">
        <x:v>247</x:v>
      </x:c>
      <x:c r="B252" s="58" t="s">
        <x:v>634</x:v>
      </x:c>
      <x:c r="C252" s="59" t="s">
        <x:v>170</x:v>
      </x:c>
      <x:c r="D252" s="58" t="s">
        <x:v>306</x:v>
      </x:c>
      <x:c r="E252" s="58" t="s">
        <x:v>307</x:v>
      </x:c>
      <x:c r="F252" s="59" t="s">
        <x:v>635</x:v>
      </x:c>
      <x:c r="G252" s="59" t="s">
        <x:v>42</x:v>
      </x:c>
      <x:c r="H252" s="59" t="s">
        <x:v>636</x:v>
      </x:c>
      <x:c r="I252" s="59" t="s">
        <x:v>42</x:v>
      </x:c>
      <x:c r="J252" s="59" t="s">
        <x:v>42</x:v>
      </x:c>
      <x:c r="K252" s="59">
        <x:v>0</x:v>
      </x:c>
      <x:c r="L252" s="58">
        <x:v>0</x:v>
      </x:c>
      <x:c r="M252" s="59">
        <x:v>0</x:v>
      </x:c>
      <x:c r="N252" s="59" t="s">
        <x:v>41</x:v>
      </x:c>
      <x:c r="O252" s="59" t="s">
        <x:v>42</x:v>
      </x:c>
      <x:c r="Q252" s="59" t="s">
        <x:v>72</x:v>
      </x:c>
      <x:c r="S252" s="58"/>
      <x:c r="T252" s="58"/>
      <x:c r="U252" s="58"/>
      <x:c r="V252" s="58">
        <x:v>-2.1464112000000002</x:v>
      </x:c>
      <x:c r="W252" s="58">
        <x:v>106.11293240000001</x:v>
      </x:c>
      <x:c r="X252" s="60"/>
      <x:c r="Y252" s="60"/>
      <x:c r="Z252" s="58"/>
      <x:c r="AA252" s="60"/>
      <x:c r="AB252" s="60"/>
      <x:c r="AC252" s="61">
        <x:f t="shared" si="16"/>
        <x:v>0</x:v>
      </x:c>
      <x:c r="AD252" s="61">
        <x:f t="shared" si="17"/>
        <x:v>0</x:v>
      </x:c>
    </x:row>
    <x:row r="253" s="59" customFormat="1" ht="12.5">
      <x:c r="A253" s="63">
        <x:v>248</x:v>
      </x:c>
      <x:c r="B253" s="58" t="s">
        <x:v>637</x:v>
      </x:c>
      <x:c r="C253" s="59" t="s">
        <x:v>34</x:v>
      </x:c>
      <x:c r="D253" s="58" t="s">
        <x:v>35</x:v>
      </x:c>
      <x:c r="E253" s="58" t="s">
        <x:v>36</x:v>
      </x:c>
      <x:c r="F253" s="59" t="s">
        <x:v>104</x:v>
      </x:c>
      <x:c r="G253" s="59" t="s">
        <x:v>638</x:v>
      </x:c>
      <x:c r="H253" s="59" t="s">
        <x:v>561</x:v>
      </x:c>
      <x:c r="I253" s="59" t="s">
        <x:v>166</x:v>
      </x:c>
      <x:c r="J253" s="59">
        <x:v>2017</x:v>
      </x:c>
      <x:c r="K253" s="59">
        <x:v>43</x:v>
      </x:c>
      <x:c r="L253" s="58">
        <x:v>22</x:v>
      </x:c>
      <x:c r="M253" s="59">
        <x:v>22</x:v>
      </x:c>
      <x:c r="N253" s="59" t="s">
        <x:v>41</x:v>
      </x:c>
      <x:c r="O253" s="59" t="s">
        <x:v>42</x:v>
      </x:c>
      <x:c r="Q253" s="23" t="s">
        <x:v>43</x:v>
      </x:c>
      <x:c r="R253" s="23" t="s">
        <x:v>88</x:v>
      </x:c>
      <x:c r="S253" s="58"/>
      <x:c r="T253" s="58"/>
      <x:c r="U253" s="58"/>
      <x:c r="V253" s="58">
        <x:v>-2.1051739999999999</x:v>
      </x:c>
      <x:c r="W253" s="58">
        <x:v>106.06204700000001</x:v>
      </x:c>
      <x:c r="X253" s="60"/>
      <x:c r="Y253" s="60"/>
      <x:c r="Z253" s="58"/>
      <x:c r="AA253" s="60"/>
      <x:c r="AB253" s="60"/>
      <x:c r="AC253" s="61">
        <x:f t="shared" si="16"/>
        <x:v>0.51162790697674421</x:v>
      </x:c>
      <x:c r="AD253" s="61">
        <x:f t="shared" si="17"/>
        <x:v>1</x:v>
      </x:c>
    </x:row>
    <x:row r="254" s="59" customFormat="1" ht="12.5">
      <x:c r="A254" s="63">
        <x:v>249</x:v>
      </x:c>
      <x:c r="B254" s="58" t="s">
        <x:v>639</x:v>
      </x:c>
      <x:c r="C254" s="59" t="s">
        <x:v>34</x:v>
      </x:c>
      <x:c r="D254" s="58" t="s">
        <x:v>35</x:v>
      </x:c>
      <x:c r="E254" s="58" t="s">
        <x:v>36</x:v>
      </x:c>
      <x:c r="F254" s="59" t="s">
        <x:v>54</x:v>
      </x:c>
      <x:c r="G254" s="59" t="s">
        <x:v>638</x:v>
      </x:c>
      <x:c r="H254" s="59" t="s">
        <x:v>561</x:v>
      </x:c>
      <x:c r="I254" s="59" t="s">
        <x:v>166</x:v>
      </x:c>
      <x:c r="J254" s="59">
        <x:v>2017</x:v>
      </x:c>
      <x:c r="K254" s="59">
        <x:v>37</x:v>
      </x:c>
      <x:c r="L254" s="58">
        <x:v>37</x:v>
      </x:c>
      <x:c r="M254" s="59">
        <x:v>37</x:v>
      </x:c>
      <x:c r="N254" s="59" t="s">
        <x:v>41</x:v>
      </x:c>
      <x:c r="O254" s="59" t="s">
        <x:v>42</x:v>
      </x:c>
      <x:c r="Q254" s="23" t="s">
        <x:v>43</x:v>
      </x:c>
      <x:c r="S254" s="58"/>
      <x:c r="T254" s="58"/>
      <x:c r="U254" s="58"/>
      <x:c r="V254" s="58">
        <x:v>-2.098738</x:v>
      </x:c>
      <x:c r="W254" s="58">
        <x:v>106.080535</x:v>
      </x:c>
      <x:c r="X254" s="60"/>
      <x:c r="Y254" s="60"/>
      <x:c r="Z254" s="58"/>
      <x:c r="AA254" s="60"/>
      <x:c r="AB254" s="60"/>
      <x:c r="AC254" s="61">
        <x:f t="shared" si="16"/>
        <x:v>1</x:v>
      </x:c>
      <x:c r="AD254" s="61">
        <x:f t="shared" si="17"/>
        <x:v>1</x:v>
      </x:c>
    </x:row>
    <x:row r="255" s="59" customFormat="1" ht="12.5">
      <x:c r="A255" s="63">
        <x:v>250</x:v>
      </x:c>
      <x:c r="B255" s="58" t="s">
        <x:v>640</x:v>
      </x:c>
      <x:c r="C255" s="59" t="s">
        <x:v>34</x:v>
      </x:c>
      <x:c r="D255" s="58" t="s">
        <x:v>60</x:v>
      </x:c>
      <x:c r="E255" s="58" t="s">
        <x:v>267</x:v>
      </x:c>
      <x:c r="F255" s="59" t="s">
        <x:v>641</x:v>
      </x:c>
      <x:c r="G255" s="59" t="s">
        <x:v>638</x:v>
      </x:c>
      <x:c r="H255" s="59" t="s">
        <x:v>561</x:v>
      </x:c>
      <x:c r="I255" s="59" t="s">
        <x:v>166</x:v>
      </x:c>
      <x:c r="J255" s="59">
        <x:v>2017</x:v>
      </x:c>
      <x:c r="K255" s="59">
        <x:v>20</x:v>
      </x:c>
      <x:c r="L255" s="58">
        <x:v>12</x:v>
      </x:c>
      <x:c r="M255" s="59">
        <x:v>12</x:v>
      </x:c>
      <x:c r="N255" s="59" t="s">
        <x:v>41</x:v>
      </x:c>
      <x:c r="O255" s="59" t="s">
        <x:v>42</x:v>
      </x:c>
      <x:c r="Q255" s="23" t="s">
        <x:v>43</x:v>
      </x:c>
      <x:c r="S255" s="58"/>
      <x:c r="T255" s="58"/>
      <x:c r="U255" s="58"/>
      <x:c r="V255" s="58">
        <x:v>-2.0909575</x:v>
      </x:c>
      <x:c r="W255" s="58">
        <x:v>106.120243</x:v>
      </x:c>
      <x:c r="X255" s="60"/>
      <x:c r="Y255" s="60"/>
      <x:c r="Z255" s="58"/>
      <x:c r="AA255" s="60"/>
      <x:c r="AB255" s="60"/>
      <x:c r="AC255" s="61">
        <x:f t="shared" si="16"/>
        <x:v>0.6</x:v>
      </x:c>
      <x:c r="AD255" s="61">
        <x:f t="shared" si="17"/>
        <x:v>1</x:v>
      </x:c>
    </x:row>
    <x:row r="256" s="59" customFormat="1" ht="12.5">
      <x:c r="A256" s="63">
        <x:v>251</x:v>
      </x:c>
      <x:c r="B256" s="58" t="s">
        <x:v>642</x:v>
      </x:c>
      <x:c r="C256" s="59" t="s">
        <x:v>34</x:v>
      </x:c>
      <x:c r="D256" s="58" t="s">
        <x:v>60</x:v>
      </x:c>
      <x:c r="E256" s="58" t="s">
        <x:v>91</x:v>
      </x:c>
      <x:c r="F256" s="59" t="s">
        <x:v>209</x:v>
      </x:c>
      <x:c r="G256" s="59" t="s">
        <x:v>42</x:v>
      </x:c>
      <x:c r="H256" s="59" t="s">
        <x:v>42</x:v>
      </x:c>
      <x:c r="I256" s="59" t="s">
        <x:v>42</x:v>
      </x:c>
      <x:c r="J256" s="59">
        <x:v>2008</x:v>
      </x:c>
      <x:c r="K256" s="59">
        <x:v>102</x:v>
      </x:c>
      <x:c r="L256" s="58">
        <x:v>102</x:v>
      </x:c>
      <x:c r="M256" s="59">
        <x:v>102</x:v>
      </x:c>
      <x:c r="N256" s="59" t="s">
        <x:v>41</x:v>
      </x:c>
      <x:c r="O256" s="59" t="s">
        <x:v>42</x:v>
      </x:c>
      <x:c r="Q256" s="23" t="s">
        <x:v>43</x:v>
      </x:c>
      <x:c r="S256" s="58" t="s">
        <x:v>178</x:v>
      </x:c>
      <x:c r="T256" s="58"/>
      <x:c r="U256" s="58"/>
      <x:c r="V256" s="58">
        <x:v>-2.076136</x:v>
      </x:c>
      <x:c r="W256" s="58">
        <x:v>106.1255896</x:v>
      </x:c>
      <x:c r="X256" s="60"/>
      <x:c r="Y256" s="60"/>
      <x:c r="Z256" s="58"/>
      <x:c r="AA256" s="60"/>
      <x:c r="AB256" s="60"/>
      <x:c r="AC256" s="61">
        <x:f t="shared" si="16"/>
        <x:v>1</x:v>
      </x:c>
      <x:c r="AD256" s="61">
        <x:f t="shared" si="17"/>
        <x:v>1</x:v>
      </x:c>
    </x:row>
    <x:row r="257" s="59" customFormat="1" ht="12.5">
      <x:c r="A257" s="63">
        <x:v>252</x:v>
      </x:c>
      <x:c r="B257" s="58" t="s">
        <x:v>643</x:v>
      </x:c>
      <x:c r="C257" s="59" t="s">
        <x:v>34</x:v>
      </x:c>
      <x:c r="D257" s="58" t="s">
        <x:v>81</x:v>
      </x:c>
      <x:c r="E257" s="58" t="s">
        <x:v>202</x:v>
      </x:c>
      <x:c r="F257" s="59" t="s">
        <x:v>644</x:v>
      </x:c>
      <x:c r="G257" s="59" t="s">
        <x:v>645</x:v>
      </x:c>
      <x:c r="H257" s="59" t="s">
        <x:v>646</x:v>
      </x:c>
      <x:c r="I257" s="59" t="s">
        <x:v>42</x:v>
      </x:c>
      <x:c r="J257" s="59">
        <x:v>2025</x:v>
      </x:c>
      <x:c r="K257" s="59">
        <x:v>47</x:v>
      </x:c>
      <x:c r="L257" s="58">
        <x:v>0</x:v>
      </x:c>
      <x:c r="M257" s="59">
        <x:v>0</x:v>
      </x:c>
      <x:c r="N257" s="59" t="s">
        <x:v>41</x:v>
      </x:c>
      <x:c r="O257" s="59" t="s">
        <x:v>42</x:v>
      </x:c>
      <x:c r="Q257" s="23" t="s">
        <x:v>43</x:v>
      </x:c>
      <x:c r="S257" s="58"/>
      <x:c r="T257" s="58"/>
      <x:c r="U257" s="58"/>
      <x:c r="V257" s="58"/>
      <x:c r="W257" s="58"/>
      <x:c r="X257" s="60"/>
      <x:c r="Y257" s="60"/>
      <x:c r="Z257" s="58"/>
      <x:c r="AA257" s="60"/>
      <x:c r="AB257" s="60"/>
      <x:c r="AC257" s="61">
        <x:f t="shared" si="16"/>
        <x:v>0</x:v>
      </x:c>
      <x:c r="AD257" s="61">
        <x:f t="shared" si="17"/>
        <x:v>0</x:v>
      </x:c>
    </x:row>
    <x:row r="258" s="59" customFormat="1" ht="12.5">
      <x:c r="A258" s="63">
        <x:v>253</x:v>
      </x:c>
      <x:c r="B258" s="58" t="s">
        <x:v>647</x:v>
      </x:c>
      <x:c r="C258" s="59" t="s">
        <x:v>34</x:v>
      </x:c>
      <x:c r="D258" s="58" t="s">
        <x:v>99</x:v>
      </x:c>
      <x:c r="E258" s="58" t="s">
        <x:v>213</x:v>
      </x:c>
      <x:c r="F258" s="59" t="s">
        <x:v>648</x:v>
      </x:c>
      <x:c r="G258" s="59" t="s">
        <x:v>42</x:v>
      </x:c>
      <x:c r="H258" s="59" t="s">
        <x:v>42</x:v>
      </x:c>
      <x:c r="I258" s="59" t="s">
        <x:v>112</x:v>
      </x:c>
      <x:c r="J258" s="59">
        <x:v>2016</x:v>
      </x:c>
      <x:c r="K258" s="59">
        <x:v>0</x:v>
      </x:c>
      <x:c r="L258" s="58">
        <x:v>23</x:v>
      </x:c>
      <x:c r="M258" s="59">
        <x:v>23</x:v>
      </x:c>
      <x:c r="N258" s="59" t="s">
        <x:v>41</x:v>
      </x:c>
      <x:c r="O258" s="59" t="s">
        <x:v>42</x:v>
      </x:c>
      <x:c r="Q258" s="23" t="s">
        <x:v>43</x:v>
      </x:c>
      <x:c r="S258" s="58"/>
      <x:c r="T258" s="58"/>
      <x:c r="U258" s="58"/>
      <x:c r="V258" s="58">
        <x:v>-2.0918006</x:v>
      </x:c>
      <x:c r="W258" s="58">
        <x:v>106.12090499999999</x:v>
      </x:c>
      <x:c r="X258" s="60"/>
      <x:c r="Y258" s="60"/>
      <x:c r="Z258" s="58"/>
      <x:c r="AA258" s="60"/>
      <x:c r="AB258" s="60"/>
      <x:c r="AC258" s="61">
        <x:f t="shared" si="16"/>
        <x:v>0</x:v>
      </x:c>
      <x:c r="AD258" s="61">
        <x:f t="shared" si="17"/>
        <x:v>1</x:v>
      </x:c>
    </x:row>
    <x:row r="259" s="59" customFormat="1" ht="12.5">
      <x:c r="A259" s="63">
        <x:v>254</x:v>
      </x:c>
      <x:c r="B259" s="58" t="s">
        <x:v>649</x:v>
      </x:c>
      <x:c r="C259" s="59" t="s">
        <x:v>34</x:v>
      </x:c>
      <x:c r="D259" s="58" t="s">
        <x:v>99</x:v>
      </x:c>
      <x:c r="E259" s="58" t="s">
        <x:v>213</x:v>
      </x:c>
      <x:c r="F259" s="59" t="s">
        <x:v>648</x:v>
      </x:c>
      <x:c r="G259" s="59" t="s">
        <x:v>650</x:v>
      </x:c>
      <x:c r="H259" s="59" t="s">
        <x:v>651</x:v>
      </x:c>
      <x:c r="I259" s="59" t="s">
        <x:v>112</x:v>
      </x:c>
      <x:c r="J259" s="59">
        <x:v>2017</x:v>
      </x:c>
      <x:c r="K259" s="59">
        <x:v>135</x:v>
      </x:c>
      <x:c r="L259" s="58">
        <x:v>135</x:v>
      </x:c>
      <x:c r="M259" s="59">
        <x:v>135</x:v>
      </x:c>
      <x:c r="N259" s="59" t="s">
        <x:v>41</x:v>
      </x:c>
      <x:c r="O259" s="59" t="s">
        <x:v>42</x:v>
      </x:c>
      <x:c r="Q259" s="23" t="s">
        <x:v>43</x:v>
      </x:c>
      <x:c r="S259" s="58"/>
      <x:c r="T259" s="58"/>
      <x:c r="U259" s="58"/>
      <x:c r="V259" s="58">
        <x:v>-2.0912660000000001</x:v>
      </x:c>
      <x:c r="W259" s="58">
        <x:v>106.120482</x:v>
      </x:c>
      <x:c r="X259" s="60"/>
      <x:c r="Y259" s="60"/>
      <x:c r="Z259" s="58"/>
      <x:c r="AA259" s="60"/>
      <x:c r="AB259" s="60"/>
      <x:c r="AC259" s="61">
        <x:f t="shared" si="16"/>
        <x:v>1</x:v>
      </x:c>
      <x:c r="AD259" s="61">
        <x:f t="shared" si="17"/>
        <x:v>1</x:v>
      </x:c>
    </x:row>
    <x:row r="260" s="59" customFormat="1" ht="12.5">
      <x:c r="A260" s="63">
        <x:v>255</x:v>
      </x:c>
      <x:c r="B260" s="58" t="s">
        <x:v>652</x:v>
      </x:c>
      <x:c r="C260" s="59" t="s">
        <x:v>34</x:v>
      </x:c>
      <x:c r="D260" s="58" t="s">
        <x:v>81</x:v>
      </x:c>
      <x:c r="E260" s="58" t="s">
        <x:v>122</x:v>
      </x:c>
      <x:c r="F260" s="59" t="s">
        <x:v>163</x:v>
      </x:c>
      <x:c r="G260" s="59" t="s">
        <x:v>653</x:v>
      </x:c>
      <x:c r="H260" s="59" t="s">
        <x:v>654</x:v>
      </x:c>
      <x:c r="I260" s="59" t="s">
        <x:v>112</x:v>
      </x:c>
      <x:c r="J260" s="59">
        <x:v>2018</x:v>
      </x:c>
      <x:c r="K260" s="59">
        <x:v>87</x:v>
      </x:c>
      <x:c r="L260" s="58">
        <x:v>87</x:v>
      </x:c>
      <x:c r="M260" s="59">
        <x:v>87</x:v>
      </x:c>
      <x:c r="N260" s="59" t="s">
        <x:v>41</x:v>
      </x:c>
      <x:c r="O260" s="59" t="s">
        <x:v>42</x:v>
      </x:c>
      <x:c r="Q260" s="23" t="s">
        <x:v>43</x:v>
      </x:c>
      <x:c r="S260" s="58"/>
      <x:c r="T260" s="58"/>
      <x:c r="U260" s="58"/>
      <x:c r="V260" s="58">
        <x:v>-2.1379876000000002</x:v>
      </x:c>
      <x:c r="W260" s="58">
        <x:v>106.168387</x:v>
      </x:c>
      <x:c r="X260" s="60"/>
      <x:c r="Y260" s="60"/>
      <x:c r="Z260" s="58"/>
      <x:c r="AA260" s="60"/>
      <x:c r="AB260" s="60"/>
      <x:c r="AC260" s="61">
        <x:f t="shared" si="16"/>
        <x:v>1</x:v>
      </x:c>
      <x:c r="AD260" s="61">
        <x:f t="shared" si="17"/>
        <x:v>1</x:v>
      </x:c>
    </x:row>
    <x:row r="261" s="59" customFormat="1" ht="12.5">
      <x:c r="A261" s="63">
        <x:v>256</x:v>
      </x:c>
      <x:c r="B261" s="58" t="s">
        <x:v>655</x:v>
      </x:c>
      <x:c r="C261" s="59" t="s">
        <x:v>34</x:v>
      </x:c>
      <x:c r="D261" s="58" t="s">
        <x:v>81</x:v>
      </x:c>
      <x:c r="E261" s="58" t="s">
        <x:v>122</x:v>
      </x:c>
      <x:c r="F261" s="59" t="s">
        <x:v>380</x:v>
      </x:c>
      <x:c r="G261" s="59" t="s">
        <x:v>656</x:v>
      </x:c>
      <x:c r="H261" s="59" t="s">
        <x:v>654</x:v>
      </x:c>
      <x:c r="I261" s="59" t="s">
        <x:v>112</x:v>
      </x:c>
      <x:c r="J261" s="59">
        <x:v>2020</x:v>
      </x:c>
      <x:c r="K261" s="59">
        <x:v>90</x:v>
      </x:c>
      <x:c r="L261" s="58">
        <x:v>78</x:v>
      </x:c>
      <x:c r="M261" s="59">
        <x:v>67</x:v>
      </x:c>
      <x:c r="N261" s="59" t="s">
        <x:v>41</x:v>
      </x:c>
      <x:c r="O261" s="59" t="s">
        <x:v>42</x:v>
      </x:c>
      <x:c r="Q261" s="23" t="s">
        <x:v>43</x:v>
      </x:c>
      <x:c r="S261" s="58"/>
      <x:c r="T261" s="58"/>
      <x:c r="U261" s="58"/>
      <x:c r="V261" s="58">
        <x:v>-2.1226579000000001</x:v>
      </x:c>
      <x:c r="W261" s="58">
        <x:v>106.1613675</x:v>
      </x:c>
      <x:c r="X261" s="60"/>
      <x:c r="Y261" s="60"/>
      <x:c r="Z261" s="58"/>
      <x:c r="AA261" s="60"/>
      <x:c r="AB261" s="60"/>
      <x:c r="AC261" s="61">
        <x:f t="shared" si="16"/>
        <x:v>0.8666666666666667</x:v>
      </x:c>
      <x:c r="AD261" s="61">
        <x:f t="shared" si="17"/>
        <x:v>0.85897435897435892</x:v>
      </x:c>
    </x:row>
    <x:row r="262" s="59" customFormat="1" ht="12.5">
      <x:c r="A262" s="63">
        <x:v>257</x:v>
      </x:c>
      <x:c r="B262" s="58" t="s">
        <x:v>657</x:v>
      </x:c>
      <x:c r="C262" s="59" t="s">
        <x:v>34</x:v>
      </x:c>
      <x:c r="D262" s="58" t="s">
        <x:v>81</x:v>
      </x:c>
      <x:c r="E262" s="58" t="s">
        <x:v>122</x:v>
      </x:c>
      <x:c r="F262" s="59" t="s">
        <x:v>163</x:v>
      </x:c>
      <x:c r="G262" s="59" t="s">
        <x:v>656</x:v>
      </x:c>
      <x:c r="H262" s="59" t="s">
        <x:v>654</x:v>
      </x:c>
      <x:c r="I262" s="59" t="s">
        <x:v>112</x:v>
      </x:c>
      <x:c r="J262" s="59">
        <x:v>2020</x:v>
      </x:c>
      <x:c r="K262" s="59">
        <x:v>103</x:v>
      </x:c>
      <x:c r="L262" s="58">
        <x:v>98</x:v>
      </x:c>
      <x:c r="M262" s="59">
        <x:v>75</x:v>
      </x:c>
      <x:c r="N262" s="59" t="s">
        <x:v>41</x:v>
      </x:c>
      <x:c r="O262" s="59" t="s">
        <x:v>42</x:v>
      </x:c>
      <x:c r="Q262" s="23" t="s">
        <x:v>43</x:v>
      </x:c>
      <x:c r="S262" s="58"/>
      <x:c r="T262" s="58"/>
      <x:c r="U262" s="58"/>
      <x:c r="V262" s="58">
        <x:v>-2.1379977000000001</x:v>
      </x:c>
      <x:c r="W262" s="58">
        <x:v>106.17180449999999</x:v>
      </x:c>
      <x:c r="X262" s="60"/>
      <x:c r="Y262" s="60"/>
      <x:c r="Z262" s="58"/>
      <x:c r="AA262" s="60"/>
      <x:c r="AB262" s="60"/>
      <x:c r="AC262" s="61">
        <x:f t="shared" si="16"/>
        <x:v>0.95145631067961167</x:v>
      </x:c>
      <x:c r="AD262" s="61">
        <x:f t="shared" si="17"/>
        <x:v>0.76530612244897955</x:v>
      </x:c>
    </x:row>
    <x:row r="263" s="59" customFormat="1" ht="12.5">
      <x:c r="A263" s="63">
        <x:v>258</x:v>
      </x:c>
      <x:c r="B263" s="58" t="s">
        <x:v>658</x:v>
      </x:c>
      <x:c r="C263" s="59" t="s">
        <x:v>34</x:v>
      </x:c>
      <x:c r="D263" s="58" t="s">
        <x:v>35</x:v>
      </x:c>
      <x:c r="E263" s="58" t="s">
        <x:v>36</x:v>
      </x:c>
      <x:c r="F263" s="59" t="s">
        <x:v>104</x:v>
      </x:c>
      <x:c r="G263" s="59" t="s">
        <x:v>656</x:v>
      </x:c>
      <x:c r="H263" s="59" t="s">
        <x:v>659</x:v>
      </x:c>
      <x:c r="I263" s="59" t="s">
        <x:v>112</x:v>
      </x:c>
      <x:c r="J263" s="59">
        <x:v>2023</x:v>
      </x:c>
      <x:c r="K263" s="59">
        <x:v>49</x:v>
      </x:c>
      <x:c r="L263" s="58">
        <x:v>49</x:v>
      </x:c>
      <x:c r="M263" s="59">
        <x:v>49</x:v>
      </x:c>
      <x:c r="N263" s="59" t="s">
        <x:v>41</x:v>
      </x:c>
      <x:c r="O263" s="59" t="s">
        <x:v>42</x:v>
      </x:c>
      <x:c r="Q263" s="23" t="s">
        <x:v>43</x:v>
      </x:c>
      <x:c r="S263" s="58"/>
      <x:c r="T263" s="58"/>
      <x:c r="U263" s="58"/>
      <x:c r="V263" s="58">
        <x:v>-2.1036215</x:v>
      </x:c>
      <x:c r="W263" s="58">
        <x:v>106.0576501</x:v>
      </x:c>
      <x:c r="X263" s="60"/>
      <x:c r="Y263" s="60"/>
      <x:c r="Z263" s="58"/>
      <x:c r="AA263" s="60"/>
      <x:c r="AB263" s="60"/>
      <x:c r="AC263" s="61">
        <x:f t="shared" si="16"/>
        <x:v>1</x:v>
      </x:c>
      <x:c r="AD263" s="61">
        <x:f t="shared" si="17"/>
        <x:v>1</x:v>
      </x:c>
    </x:row>
    <x:row r="264" s="59" customFormat="1" ht="12.5">
      <x:c r="A264" s="63">
        <x:v>259</x:v>
      </x:c>
      <x:c r="B264" s="58" t="s">
        <x:v>660</x:v>
      </x:c>
      <x:c r="C264" s="59" t="s">
        <x:v>34</x:v>
      </x:c>
      <x:c r="D264" s="58" t="s">
        <x:v>99</x:v>
      </x:c>
      <x:c r="E264" s="58" t="s">
        <x:v>213</x:v>
      </x:c>
      <x:c r="F264" s="59" t="s">
        <x:v>648</x:v>
      </x:c>
      <x:c r="G264" s="59" t="s">
        <x:v>656</x:v>
      </x:c>
      <x:c r="H264" s="59" t="s">
        <x:v>661</x:v>
      </x:c>
      <x:c r="I264" s="59" t="s">
        <x:v>112</x:v>
      </x:c>
      <x:c r="J264" s="59">
        <x:v>2023</x:v>
      </x:c>
      <x:c r="K264" s="59">
        <x:v>72</x:v>
      </x:c>
      <x:c r="L264" s="58">
        <x:v>72</x:v>
      </x:c>
      <x:c r="M264" s="59">
        <x:v>72</x:v>
      </x:c>
      <x:c r="N264" s="59" t="s">
        <x:v>41</x:v>
      </x:c>
      <x:c r="O264" s="59" t="s">
        <x:v>42</x:v>
      </x:c>
      <x:c r="Q264" s="23" t="s">
        <x:v>43</x:v>
      </x:c>
      <x:c r="S264" s="58"/>
      <x:c r="T264" s="58"/>
      <x:c r="U264" s="58"/>
      <x:c r="V264" s="58">
        <x:v>-2.092371</x:v>
      </x:c>
      <x:c r="W264" s="58">
        <x:v>106.12151299999999</x:v>
      </x:c>
      <x:c r="X264" s="60"/>
      <x:c r="Y264" s="60"/>
      <x:c r="Z264" s="58"/>
      <x:c r="AA264" s="60"/>
      <x:c r="AB264" s="60"/>
      <x:c r="AC264" s="61">
        <x:f t="shared" si="16"/>
        <x:v>1</x:v>
      </x:c>
      <x:c r="AD264" s="61">
        <x:f t="shared" si="17"/>
        <x:v>1</x:v>
      </x:c>
    </x:row>
    <x:row r="265" s="59" customFormat="1" ht="12.5">
      <x:c r="A265" s="63">
        <x:v>260</x:v>
      </x:c>
      <x:c r="B265" s="58" t="s">
        <x:v>662</x:v>
      </x:c>
      <x:c r="C265" s="59" t="s">
        <x:v>34</x:v>
      </x:c>
      <x:c r="D265" s="58" t="s">
        <x:v>99</x:v>
      </x:c>
      <x:c r="E265" s="58" t="s">
        <x:v>213</x:v>
      </x:c>
      <x:c r="F265" s="59" t="s">
        <x:v>648</x:v>
      </x:c>
      <x:c r="G265" s="59" t="s">
        <x:v>656</x:v>
      </x:c>
      <x:c r="H265" s="59" t="s">
        <x:v>661</x:v>
      </x:c>
      <x:c r="I265" s="59" t="s">
        <x:v>112</x:v>
      </x:c>
      <x:c r="J265" s="59">
        <x:v>2023</x:v>
      </x:c>
      <x:c r="K265" s="59">
        <x:v>124</x:v>
      </x:c>
      <x:c r="L265" s="58">
        <x:v>81</x:v>
      </x:c>
      <x:c r="M265" s="59">
        <x:v>0</x:v>
      </x:c>
      <x:c r="N265" s="59" t="s">
        <x:v>41</x:v>
      </x:c>
      <x:c r="O265" s="59" t="s">
        <x:v>42</x:v>
      </x:c>
      <x:c r="Q265" s="23" t="s">
        <x:v>43</x:v>
      </x:c>
      <x:c r="S265" s="58"/>
      <x:c r="T265" s="58"/>
      <x:c r="U265" s="58"/>
      <x:c r="V265" s="58">
        <x:v>-2.0902560000000001</x:v>
      </x:c>
      <x:c r="W265" s="58">
        <x:v>106.12343199999999</x:v>
      </x:c>
      <x:c r="X265" s="60"/>
      <x:c r="Y265" s="60"/>
      <x:c r="Z265" s="58"/>
      <x:c r="AA265" s="60"/>
      <x:c r="AB265" s="60"/>
      <x:c r="AC265" s="61">
        <x:f t="shared" si="16"/>
        <x:v>0.65322580645161288</x:v>
      </x:c>
      <x:c r="AD265" s="61">
        <x:f t="shared" si="17"/>
        <x:v>0</x:v>
      </x:c>
    </x:row>
    <x:row r="266" s="59" customFormat="1" ht="12.5">
      <x:c r="A266" s="63">
        <x:v>261</x:v>
      </x:c>
      <x:c r="B266" s="58" t="s">
        <x:v>663</x:v>
      </x:c>
      <x:c r="C266" s="59" t="s">
        <x:v>34</x:v>
      </x:c>
      <x:c r="D266" s="58" t="s">
        <x:v>81</x:v>
      </x:c>
      <x:c r="E266" s="58" t="s">
        <x:v>95</x:v>
      </x:c>
      <x:c r="F266" s="59" t="s">
        <x:v>583</x:v>
      </x:c>
      <x:c r="G266" s="59" t="s">
        <x:v>656</x:v>
      </x:c>
      <x:c r="H266" s="59" t="s">
        <x:v>661</x:v>
      </x:c>
      <x:c r="I266" s="59" t="s">
        <x:v>112</x:v>
      </x:c>
      <x:c r="J266" s="59">
        <x:v>2023</x:v>
      </x:c>
      <x:c r="K266" s="59">
        <x:v>114</x:v>
      </x:c>
      <x:c r="L266" s="58">
        <x:v>79</x:v>
      </x:c>
      <x:c r="M266" s="59">
        <x:v>45</x:v>
      </x:c>
      <x:c r="N266" s="59" t="s">
        <x:v>41</x:v>
      </x:c>
      <x:c r="O266" s="59" t="s">
        <x:v>42</x:v>
      </x:c>
      <x:c r="Q266" s="23" t="s">
        <x:v>43</x:v>
      </x:c>
      <x:c r="S266" s="58"/>
      <x:c r="T266" s="58"/>
      <x:c r="U266" s="58"/>
      <x:c r="V266" s="58">
        <x:v>-2.1461264999999998</x:v>
      </x:c>
      <x:c r="W266" s="58">
        <x:v>106.16679739999999</x:v>
      </x:c>
      <x:c r="X266" s="60"/>
      <x:c r="Y266" s="60"/>
      <x:c r="Z266" s="58"/>
      <x:c r="AA266" s="60"/>
      <x:c r="AB266" s="60"/>
      <x:c r="AC266" s="61">
        <x:f t="shared" si="16"/>
        <x:v>0.69298245614035092</x:v>
      </x:c>
      <x:c r="AD266" s="61">
        <x:f t="shared" si="17"/>
        <x:v>0.569620253164557</x:v>
      </x:c>
    </x:row>
    <x:row r="267" s="59" customFormat="1" ht="12.5">
      <x:c r="A267" s="63">
        <x:v>262</x:v>
      </x:c>
      <x:c r="B267" s="58" t="s">
        <x:v>664</x:v>
      </x:c>
      <x:c r="C267" s="59" t="s">
        <x:v>34</x:v>
      </x:c>
      <x:c r="D267" s="58" t="s">
        <x:v>35</x:v>
      </x:c>
      <x:c r="E267" s="58" t="s">
        <x:v>36</x:v>
      </x:c>
      <x:c r="F267" s="59" t="s">
        <x:v>104</x:v>
      </x:c>
      <x:c r="G267" s="59" t="s">
        <x:v>656</x:v>
      </x:c>
      <x:c r="H267" s="59" t="s">
        <x:v>42</x:v>
      </x:c>
      <x:c r="I267" s="59" t="s">
        <x:v>42</x:v>
      </x:c>
      <x:c r="J267" s="59">
        <x:v>2024</x:v>
      </x:c>
      <x:c r="K267" s="59">
        <x:v>128</x:v>
      </x:c>
      <x:c r="L267" s="58">
        <x:v>0</x:v>
      </x:c>
      <x:c r="M267" s="59">
        <x:v>0</x:v>
      </x:c>
      <x:c r="N267" s="59" t="s">
        <x:v>41</x:v>
      </x:c>
      <x:c r="O267" s="59" t="s">
        <x:v>42</x:v>
      </x:c>
      <x:c r="Q267" s="23" t="s">
        <x:v>43</x:v>
      </x:c>
      <x:c r="S267" s="58"/>
      <x:c r="T267" s="58"/>
      <x:c r="U267" s="58"/>
      <x:c r="V267" s="58">
        <x:v>-2.1040605000000001</x:v>
      </x:c>
      <x:c r="W267" s="58">
        <x:v>106.05412440000001</x:v>
      </x:c>
      <x:c r="X267" s="60"/>
      <x:c r="Y267" s="60"/>
      <x:c r="Z267" s="58"/>
      <x:c r="AA267" s="60"/>
      <x:c r="AB267" s="60"/>
      <x:c r="AC267" s="61">
        <x:f t="shared" si="16"/>
        <x:v>0</x:v>
      </x:c>
      <x:c r="AD267" s="61">
        <x:f t="shared" si="17"/>
        <x:v>0</x:v>
      </x:c>
    </x:row>
    <x:row r="268" s="59" customFormat="1" ht="12.5">
      <x:c r="A268" s="63">
        <x:v>263</x:v>
      </x:c>
      <x:c r="B268" s="58" t="s">
        <x:v>665</x:v>
      </x:c>
      <x:c r="C268" s="59" t="s">
        <x:v>34</x:v>
      </x:c>
      <x:c r="D268" s="58" t="s">
        <x:v>35</x:v>
      </x:c>
      <x:c r="E268" s="58" t="s">
        <x:v>36</x:v>
      </x:c>
      <x:c r="F268" s="59" t="s">
        <x:v>666</x:v>
      </x:c>
      <x:c r="G268" s="59" t="s">
        <x:v>667</x:v>
      </x:c>
      <x:c r="H268" s="59" t="s">
        <x:v>668</x:v>
      </x:c>
      <x:c r="I268" s="59" t="s">
        <x:v>42</x:v>
      </x:c>
      <x:c r="J268" s="59">
        <x:v>2017</x:v>
      </x:c>
      <x:c r="K268" s="59">
        <x:v>75</x:v>
      </x:c>
      <x:c r="L268" s="58">
        <x:v>75</x:v>
      </x:c>
      <x:c r="M268" s="59">
        <x:v>75</x:v>
      </x:c>
      <x:c r="N268" s="59" t="s">
        <x:v>41</x:v>
      </x:c>
      <x:c r="O268" s="59" t="s">
        <x:v>42</x:v>
      </x:c>
      <x:c r="Q268" s="23" t="s">
        <x:v>43</x:v>
      </x:c>
      <x:c r="S268" s="58"/>
      <x:c r="T268" s="58"/>
      <x:c r="U268" s="58"/>
      <x:c r="V268" s="58">
        <x:v>-2.0974035999999998</x:v>
      </x:c>
      <x:c r="W268" s="58">
        <x:v>106.08062150000001</x:v>
      </x:c>
      <x:c r="X268" s="60"/>
      <x:c r="Y268" s="60"/>
      <x:c r="Z268" s="58"/>
      <x:c r="AA268" s="60"/>
      <x:c r="AB268" s="60"/>
      <x:c r="AC268" s="61">
        <x:f t="shared" si="16"/>
        <x:v>1</x:v>
      </x:c>
      <x:c r="AD268" s="61">
        <x:f t="shared" si="17"/>
        <x:v>1</x:v>
      </x:c>
    </x:row>
    <x:row r="269" s="59" customFormat="1" ht="12.5">
      <x:c r="A269" s="63">
        <x:v>264</x:v>
      </x:c>
      <x:c r="B269" s="58" t="s">
        <x:v>669</x:v>
      </x:c>
      <x:c r="C269" s="59" t="s">
        <x:v>34</x:v>
      </x:c>
      <x:c r="D269" s="58" t="s">
        <x:v>35</x:v>
      </x:c>
      <x:c r="E269" s="58" t="s">
        <x:v>36</x:v>
      </x:c>
      <x:c r="F269" s="59" t="s">
        <x:v>666</x:v>
      </x:c>
      <x:c r="G269" s="59" t="s">
        <x:v>667</x:v>
      </x:c>
      <x:c r="H269" s="59" t="s">
        <x:v>668</x:v>
      </x:c>
      <x:c r="I269" s="59" t="s">
        <x:v>42</x:v>
      </x:c>
      <x:c r="J269" s="59">
        <x:v>2018</x:v>
      </x:c>
      <x:c r="K269" s="59">
        <x:v>17</x:v>
      </x:c>
      <x:c r="L269" s="58">
        <x:v>17</x:v>
      </x:c>
      <x:c r="M269" s="59">
        <x:v>17</x:v>
      </x:c>
      <x:c r="N269" s="59" t="s">
        <x:v>41</x:v>
      </x:c>
      <x:c r="O269" s="59" t="s">
        <x:v>42</x:v>
      </x:c>
      <x:c r="Q269" s="23" t="s">
        <x:v>43</x:v>
      </x:c>
      <x:c r="S269" s="58"/>
      <x:c r="T269" s="58"/>
      <x:c r="U269" s="58"/>
      <x:c r="V269" s="58">
        <x:v>-2.0972580000000001</x:v>
      </x:c>
      <x:c r="W269" s="58">
        <x:v>106.08021100000001</x:v>
      </x:c>
      <x:c r="X269" s="60"/>
      <x:c r="Y269" s="60"/>
      <x:c r="Z269" s="58"/>
      <x:c r="AA269" s="60"/>
      <x:c r="AB269" s="60"/>
      <x:c r="AC269" s="61">
        <x:f t="shared" si="16"/>
        <x:v>1</x:v>
      </x:c>
      <x:c r="AD269" s="61">
        <x:f t="shared" si="17"/>
        <x:v>1</x:v>
      </x:c>
    </x:row>
    <x:row r="270" s="59" customFormat="1" ht="12.5">
      <x:c r="A270" s="63">
        <x:v>265</x:v>
      </x:c>
      <x:c r="B270" s="58" t="s">
        <x:v>670</x:v>
      </x:c>
      <x:c r="C270" s="59" t="s">
        <x:v>34</x:v>
      </x:c>
      <x:c r="D270" s="58" t="s">
        <x:v>81</x:v>
      </x:c>
      <x:c r="E270" s="58" t="s">
        <x:v>202</x:v>
      </x:c>
      <x:c r="F270" s="59" t="s">
        <x:v>421</x:v>
      </x:c>
      <x:c r="G270" s="59" t="s">
        <x:v>671</x:v>
      </x:c>
      <x:c r="H270" s="59" t="s">
        <x:v>672</x:v>
      </x:c>
      <x:c r="I270" s="59" t="s">
        <x:v>86</x:v>
      </x:c>
      <x:c r="J270" s="59">
        <x:v>2021</x:v>
      </x:c>
      <x:c r="K270" s="59">
        <x:v>176</x:v>
      </x:c>
      <x:c r="L270" s="58">
        <x:v>149</x:v>
      </x:c>
      <x:c r="M270" s="59">
        <x:v>32</x:v>
      </x:c>
      <x:c r="N270" s="59" t="s">
        <x:v>41</x:v>
      </x:c>
      <x:c r="O270" s="59" t="s">
        <x:v>42</x:v>
      </x:c>
      <x:c r="Q270" s="23" t="s">
        <x:v>43</x:v>
      </x:c>
      <x:c r="S270" s="58"/>
      <x:c r="T270" s="58"/>
      <x:c r="U270" s="58"/>
      <x:c r="V270" s="58">
        <x:v>-2.135602</x:v>
      </x:c>
      <x:c r="W270" s="58">
        <x:v>106.15954600000001</x:v>
      </x:c>
      <x:c r="X270" s="60"/>
      <x:c r="Y270" s="60"/>
      <x:c r="Z270" s="58"/>
      <x:c r="AA270" s="60"/>
      <x:c r="AB270" s="60"/>
      <x:c r="AC270" s="61">
        <x:f t="shared" si="16"/>
        <x:v>0.84659090909090906</x:v>
      </x:c>
      <x:c r="AD270" s="61">
        <x:f t="shared" si="17"/>
        <x:v>0.21476510067114093</x:v>
      </x:c>
    </x:row>
    <x:row r="271" s="59" customFormat="1" ht="12.5">
      <x:c r="A271" s="63">
        <x:v>266</x:v>
      </x:c>
      <x:c r="B271" s="58" t="s">
        <x:v>673</x:v>
      </x:c>
      <x:c r="C271" s="59" t="s">
        <x:v>170</x:v>
      </x:c>
      <x:c r="D271" s="58" t="s">
        <x:v>99</x:v>
      </x:c>
      <x:c r="E271" s="58" t="s">
        <x:v>213</x:v>
      </x:c>
      <x:c r="F271" s="59" t="s">
        <x:v>641</x:v>
      </x:c>
      <x:c r="G271" s="59" t="s">
        <x:v>42</x:v>
      </x:c>
      <x:c r="H271" s="59" t="s">
        <x:v>674</x:v>
      </x:c>
      <x:c r="I271" s="59" t="s">
        <x:v>42</x:v>
      </x:c>
      <x:c r="J271" s="59">
        <x:v>2009</x:v>
      </x:c>
      <x:c r="K271" s="59">
        <x:v>0</x:v>
      </x:c>
      <x:c r="L271" s="58">
        <x:v>0</x:v>
      </x:c>
      <x:c r="M271" s="59">
        <x:v>0</x:v>
      </x:c>
      <x:c r="N271" s="59" t="s">
        <x:v>41</x:v>
      </x:c>
      <x:c r="O271" s="59" t="s">
        <x:v>42</x:v>
      </x:c>
      <x:c r="Q271" s="23" t="s">
        <x:v>43</x:v>
      </x:c>
      <x:c r="S271" s="58"/>
      <x:c r="T271" s="58"/>
      <x:c r="U271" s="58"/>
      <x:c r="V271" s="58">
        <x:v>-2.0898496</x:v>
      </x:c>
      <x:c r="W271" s="58">
        <x:v>106.119711</x:v>
      </x:c>
      <x:c r="X271" s="60"/>
      <x:c r="Y271" s="60"/>
      <x:c r="Z271" s="58"/>
      <x:c r="AA271" s="60"/>
      <x:c r="AB271" s="60"/>
      <x:c r="AC271" s="61">
        <x:f t="shared" si="16"/>
        <x:v>0</x:v>
      </x:c>
      <x:c r="AD271" s="61">
        <x:f t="shared" si="17"/>
        <x:v>0</x:v>
      </x:c>
    </x:row>
    <x:row r="272" s="59" customFormat="1" ht="12.5">
      <x:c r="A272" s="63">
        <x:v>267</x:v>
      </x:c>
      <x:c r="B272" s="58" t="s">
        <x:v>675</x:v>
      </x:c>
      <x:c r="C272" s="59" t="s">
        <x:v>34</x:v>
      </x:c>
      <x:c r="D272" s="58" t="s">
        <x:v>35</x:v>
      </x:c>
      <x:c r="E272" s="58" t="s">
        <x:v>46</x:v>
      </x:c>
      <x:c r="F272" s="59" t="s">
        <x:v>526</x:v>
      </x:c>
      <x:c r="G272" s="59" t="s">
        <x:v>676</x:v>
      </x:c>
      <x:c r="H272" s="59" t="s">
        <x:v>677</x:v>
      </x:c>
      <x:c r="I272" s="59" t="s">
        <x:v>42</x:v>
      </x:c>
      <x:c r="J272" s="59">
        <x:v>2017</x:v>
      </x:c>
      <x:c r="K272" s="59">
        <x:v>52</x:v>
      </x:c>
      <x:c r="L272" s="58">
        <x:v>12</x:v>
      </x:c>
      <x:c r="M272" s="59">
        <x:v>12</x:v>
      </x:c>
      <x:c r="N272" s="59" t="s">
        <x:v>41</x:v>
      </x:c>
      <x:c r="O272" s="59" t="s">
        <x:v>42</x:v>
      </x:c>
      <x:c r="Q272" s="23" t="s">
        <x:v>43</x:v>
      </x:c>
      <x:c r="R272" s="59" t="s">
        <x:v>88</x:v>
      </x:c>
      <x:c r="S272" s="58"/>
      <x:c r="T272" s="58"/>
      <x:c r="U272" s="58"/>
      <x:c r="V272" s="58">
        <x:v>-2.1179367</x:v>
      </x:c>
      <x:c r="W272" s="58">
        <x:v>106.0683732</x:v>
      </x:c>
      <x:c r="X272" s="60"/>
      <x:c r="Y272" s="60"/>
      <x:c r="Z272" s="58"/>
      <x:c r="AA272" s="60"/>
      <x:c r="AB272" s="60"/>
      <x:c r="AC272" s="61">
        <x:f t="shared" si="16"/>
        <x:v>0.23076923076923078</x:v>
      </x:c>
      <x:c r="AD272" s="61">
        <x:f t="shared" si="17"/>
        <x:v>1</x:v>
      </x:c>
    </x:row>
    <x:row r="273" s="59" customFormat="1" ht="12.5">
      <x:c r="A273" s="63">
        <x:v>268</x:v>
      </x:c>
      <x:c r="B273" s="58" t="s">
        <x:v>678</x:v>
      </x:c>
      <x:c r="C273" s="59" t="s">
        <x:v>170</x:v>
      </x:c>
      <x:c r="D273" s="58" t="s">
        <x:v>60</x:v>
      </x:c>
      <x:c r="E273" s="58" t="s">
        <x:v>91</x:v>
      </x:c>
      <x:c r="F273" s="59" t="s">
        <x:v>465</x:v>
      </x:c>
      <x:c r="G273" s="59" t="s">
        <x:v>466</x:v>
      </x:c>
      <x:c r="H273" s="59" t="s">
        <x:v>474</x:v>
      </x:c>
      <x:c r="I273" s="59" t="s">
        <x:v>40</x:v>
      </x:c>
      <x:c r="J273" s="59" t="s">
        <x:v>438</x:v>
      </x:c>
      <x:c r="K273" s="59">
        <x:v>46</x:v>
      </x:c>
      <x:c r="L273" s="58">
        <x:v>46</x:v>
      </x:c>
      <x:c r="M273" s="59">
        <x:v>35</x:v>
      </x:c>
      <x:c r="N273" s="59" t="s">
        <x:v>41</x:v>
      </x:c>
      <x:c r="O273" s="59" t="s">
        <x:v>42</x:v>
      </x:c>
      <x:c r="Q273" s="23" t="s">
        <x:v>43</x:v>
      </x:c>
      <x:c r="S273" s="58"/>
      <x:c r="T273" s="58"/>
      <x:c r="U273" s="58"/>
      <x:c r="V273" s="58">
        <x:v>-2.0884529999999999</x:v>
      </x:c>
      <x:c r="W273" s="58">
        <x:v>106.114867</x:v>
      </x:c>
      <x:c r="X273" s="60"/>
      <x:c r="Y273" s="60"/>
      <x:c r="Z273" s="58"/>
      <x:c r="AA273" s="60"/>
      <x:c r="AB273" s="60"/>
      <x:c r="AC273" s="61">
        <x:f t="shared" si="16"/>
        <x:v>1</x:v>
      </x:c>
      <x:c r="AD273" s="61">
        <x:f t="shared" si="17"/>
        <x:v>0.76086956521739135</x:v>
      </x:c>
    </x:row>
    <x:row r="274" s="59" customFormat="1" ht="12.5">
      <x:c r="A274" s="63">
        <x:v>269</x:v>
      </x:c>
      <x:c r="B274" s="58" t="s">
        <x:v>679</x:v>
      </x:c>
      <x:c r="C274" s="59" t="s">
        <x:v>170</x:v>
      </x:c>
      <x:c r="D274" s="58" t="s">
        <x:v>81</x:v>
      </x:c>
      <x:c r="E274" s="58" t="s">
        <x:v>400</x:v>
      </x:c>
      <x:c r="F274" s="59" t="s">
        <x:v>680</x:v>
      </x:c>
      <x:c r="G274" s="59" t="s">
        <x:v>42</x:v>
      </x:c>
      <x:c r="H274" s="59" t="s">
        <x:v>681</x:v>
      </x:c>
      <x:c r="I274" s="59" t="s">
        <x:v>42</x:v>
      </x:c>
      <x:c r="J274" s="59">
        <x:v>2013</x:v>
      </x:c>
      <x:c r="K274" s="59">
        <x:v>12</x:v>
      </x:c>
      <x:c r="L274" s="58">
        <x:v>12</x:v>
      </x:c>
      <x:c r="M274" s="59">
        <x:v>12</x:v>
      </x:c>
      <x:c r="N274" s="59" t="s">
        <x:v>41</x:v>
      </x:c>
      <x:c r="O274" s="59" t="s">
        <x:v>42</x:v>
      </x:c>
      <x:c r="Q274" s="23" t="s">
        <x:v>43</x:v>
      </x:c>
      <x:c r="S274" s="58"/>
      <x:c r="T274" s="58"/>
      <x:c r="U274" s="58"/>
      <x:c r="V274" s="58">
        <x:v>-2.1372475999999998</x:v>
      </x:c>
      <x:c r="W274" s="58">
        <x:v>106.128725</x:v>
      </x:c>
      <x:c r="X274" s="60"/>
      <x:c r="Y274" s="60"/>
      <x:c r="Z274" s="58"/>
      <x:c r="AA274" s="60"/>
      <x:c r="AB274" s="60"/>
      <x:c r="AC274" s="61">
        <x:f t="shared" si="16"/>
        <x:v>1</x:v>
      </x:c>
      <x:c r="AD274" s="61">
        <x:f t="shared" si="17"/>
        <x:v>1</x:v>
      </x:c>
    </x:row>
    <x:row r="275" s="59" customFormat="1" ht="12.5">
      <x:c r="A275" s="63">
        <x:v>270</x:v>
      </x:c>
      <x:c r="B275" s="58" t="s">
        <x:v>682</x:v>
      </x:c>
      <x:c r="C275" s="59" t="s">
        <x:v>170</x:v>
      </x:c>
      <x:c r="D275" s="58" t="s">
        <x:v>81</x:v>
      </x:c>
      <x:c r="E275" s="58" t="s">
        <x:v>400</x:v>
      </x:c>
      <x:c r="F275" s="59" t="s">
        <x:v>683</x:v>
      </x:c>
      <x:c r="G275" s="59" t="s">
        <x:v>42</x:v>
      </x:c>
      <x:c r="H275" s="59" t="s">
        <x:v>681</x:v>
      </x:c>
      <x:c r="I275" s="59" t="s">
        <x:v>42</x:v>
      </x:c>
      <x:c r="J275" s="59">
        <x:v>2015</x:v>
      </x:c>
      <x:c r="K275" s="59">
        <x:v>0</x:v>
      </x:c>
      <x:c r="L275" s="58">
        <x:v>0</x:v>
      </x:c>
      <x:c r="M275" s="59">
        <x:v>0</x:v>
      </x:c>
      <x:c r="N275" s="59" t="s">
        <x:v>41</x:v>
      </x:c>
      <x:c r="O275" s="59" t="s">
        <x:v>42</x:v>
      </x:c>
      <x:c r="Q275" s="23" t="s">
        <x:v>43</x:v>
      </x:c>
      <x:c r="S275" s="58"/>
      <x:c r="T275" s="58"/>
      <x:c r="U275" s="58"/>
      <x:c r="V275" s="58">
        <x:v>-2.1329259999999999</x:v>
      </x:c>
      <x:c r="W275" s="58">
        <x:v>106.13212729999999</x:v>
      </x:c>
      <x:c r="X275" s="60"/>
      <x:c r="Y275" s="60"/>
      <x:c r="Z275" s="58"/>
      <x:c r="AA275" s="60"/>
      <x:c r="AB275" s="60"/>
      <x:c r="AC275" s="61">
        <x:f t="shared" si="16"/>
        <x:v>0</x:v>
      </x:c>
      <x:c r="AD275" s="61">
        <x:f t="shared" si="17"/>
        <x:v>0</x:v>
      </x:c>
    </x:row>
    <x:row r="276" s="59" customFormat="1" ht="12.5">
      <x:c r="A276" s="63">
        <x:v>271</x:v>
      </x:c>
      <x:c r="B276" s="58" t="s">
        <x:v>684</x:v>
      </x:c>
      <x:c r="C276" s="59" t="s">
        <x:v>170</x:v>
      </x:c>
      <x:c r="D276" s="58" t="s">
        <x:v>306</x:v>
      </x:c>
      <x:c r="E276" s="58" t="s">
        <x:v>307</x:v>
      </x:c>
      <x:c r="F276" s="59" t="s">
        <x:v>685</x:v>
      </x:c>
      <x:c r="G276" s="59" t="s">
        <x:v>42</x:v>
      </x:c>
      <x:c r="H276" s="59" t="s">
        <x:v>42</x:v>
      </x:c>
      <x:c r="I276" s="59" t="s">
        <x:v>42</x:v>
      </x:c>
      <x:c r="J276" s="59">
        <x:v>2014</x:v>
      </x:c>
      <x:c r="K276" s="59">
        <x:v>0</x:v>
      </x:c>
      <x:c r="L276" s="58">
        <x:v>8</x:v>
      </x:c>
      <x:c r="M276" s="59">
        <x:v>3</x:v>
      </x:c>
      <x:c r="N276" s="59" t="s">
        <x:v>41</x:v>
      </x:c>
      <x:c r="O276" s="59" t="s">
        <x:v>42</x:v>
      </x:c>
      <x:c r="Q276" s="59" t="s">
        <x:v>72</x:v>
      </x:c>
      <x:c r="S276" s="58"/>
      <x:c r="T276" s="58"/>
      <x:c r="U276" s="58"/>
      <x:c r="V276" s="58">
        <x:v>-2.1501418000000001</x:v>
      </x:c>
      <x:c r="W276" s="58">
        <x:v>106.1112349</x:v>
      </x:c>
      <x:c r="X276" s="60"/>
      <x:c r="Y276" s="60"/>
      <x:c r="Z276" s="58"/>
      <x:c r="AA276" s="60"/>
      <x:c r="AB276" s="60"/>
      <x:c r="AC276" s="61">
        <x:f t="shared" si="16"/>
        <x:v>0</x:v>
      </x:c>
      <x:c r="AD276" s="61">
        <x:f t="shared" si="17"/>
        <x:v>0.375</x:v>
      </x:c>
    </x:row>
    <x:row r="277" s="59" customFormat="1" ht="12.5">
      <x:c r="A277" s="63">
        <x:v>272</x:v>
      </x:c>
      <x:c r="B277" s="58" t="s">
        <x:v>686</x:v>
      </x:c>
      <x:c r="C277" s="59" t="s">
        <x:v>34</x:v>
      </x:c>
      <x:c r="D277" s="58" t="s">
        <x:v>81</x:v>
      </x:c>
      <x:c r="E277" s="58" t="s">
        <x:v>122</x:v>
      </x:c>
      <x:c r="F277" s="59" t="s">
        <x:v>687</x:v>
      </x:c>
      <x:c r="G277" s="59" t="s">
        <x:v>110</x:v>
      </x:c>
      <x:c r="H277" s="59" t="s">
        <x:v>688</x:v>
      </x:c>
      <x:c r="I277" s="59" t="s">
        <x:v>112</x:v>
      </x:c>
      <x:c r="J277" s="59">
        <x:v>2018</x:v>
      </x:c>
      <x:c r="K277" s="59">
        <x:v>75</x:v>
      </x:c>
      <x:c r="L277" s="58">
        <x:v>72</x:v>
      </x:c>
      <x:c r="M277" s="59">
        <x:v>72</x:v>
      </x:c>
      <x:c r="N277" s="59" t="s">
        <x:v>48</x:v>
      </x:c>
      <x:c r="O277" s="59">
        <x:v>2022</x:v>
      </x:c>
      <x:c r="Q277" s="23" t="s">
        <x:v>43</x:v>
      </x:c>
      <x:c r="R277" s="59" t="s">
        <x:v>113</x:v>
      </x:c>
      <x:c r="S277" s="58"/>
      <x:c r="T277" s="11" t="s">
        <x:v>44</x:v>
      </x:c>
      <x:c r="U277" s="58"/>
      <x:c r="V277" s="58"/>
      <x:c r="W277" s="58"/>
      <x:c r="X277" s="60"/>
      <x:c r="Y277" s="60"/>
      <x:c r="Z277" s="58"/>
      <x:c r="AA277" s="60"/>
      <x:c r="AB277" s="60"/>
      <x:c r="AC277" s="61" t="n">
        <x:f t="shared" ref="AC277:AC340" si="18">IF(A277="","",IFERROR(L277/K277,0))</x:f>
        <x:v>0.96</x:v>
      </x:c>
      <x:c r="AD277" s="61" t="n">
        <x:f t="shared" ref="AD277:AD340" si="19">IF(A277="","",IFERROR(M277/L277,0))</x:f>
        <x:v>1</x:v>
      </x:c>
    </x:row>
    <x:row r="278" s="59" customFormat="1" ht="12.5">
      <x:c r="A278" s="63">
        <x:v>273</x:v>
      </x:c>
      <x:c r="B278" s="58" t="s">
        <x:v>689</x:v>
      </x:c>
      <x:c r="C278" s="59" t="s">
        <x:v>34</x:v>
      </x:c>
      <x:c r="D278" s="58" t="s">
        <x:v>81</x:v>
      </x:c>
      <x:c r="E278" s="58" t="s">
        <x:v>122</x:v>
      </x:c>
      <x:c r="F278" s="59" t="s">
        <x:v>327</x:v>
      </x:c>
      <x:c r="G278" s="59" t="s">
        <x:v>690</x:v>
      </x:c>
      <x:c r="H278" s="59" t="s">
        <x:v>691</x:v>
      </x:c>
      <x:c r="I278" s="59" t="s">
        <x:v>166</x:v>
      </x:c>
      <x:c r="J278" s="59">
        <x:v>2019</x:v>
      </x:c>
      <x:c r="K278" s="59">
        <x:v>38</x:v>
      </x:c>
      <x:c r="L278" s="58">
        <x:v>38</x:v>
      </x:c>
      <x:c r="M278" s="59">
        <x:v>38</x:v>
      </x:c>
      <x:c r="N278" s="59" t="s">
        <x:v>41</x:v>
      </x:c>
      <x:c r="O278" s="59" t="s">
        <x:v>42</x:v>
      </x:c>
      <x:c r="Q278" s="23" t="s">
        <x:v>43</x:v>
      </x:c>
      <x:c r="S278" s="58"/>
      <x:c r="T278" s="58"/>
      <x:c r="U278" s="58"/>
      <x:c r="V278" s="58"/>
      <x:c r="W278" s="58"/>
      <x:c r="X278" s="60"/>
      <x:c r="Y278" s="60"/>
      <x:c r="Z278" s="58"/>
      <x:c r="AA278" s="60"/>
      <x:c r="AB278" s="60"/>
      <x:c r="AC278" s="61">
        <x:f t="shared" si="18"/>
        <x:v>1</x:v>
      </x:c>
      <x:c r="AD278" s="61">
        <x:f t="shared" si="19"/>
        <x:v>1</x:v>
      </x:c>
    </x:row>
    <x:row r="279" s="59" customFormat="1" ht="12.5">
      <x:c r="A279" s="63">
        <x:v>274</x:v>
      </x:c>
      <x:c r="B279" s="58" t="s">
        <x:v>692</x:v>
      </x:c>
      <x:c r="C279" s="59" t="s">
        <x:v>34</x:v>
      </x:c>
      <x:c r="D279" s="58" t="s">
        <x:v>81</x:v>
      </x:c>
      <x:c r="E279" s="58" t="s">
        <x:v>122</x:v>
      </x:c>
      <x:c r="F279" s="59" t="s">
        <x:v>327</x:v>
      </x:c>
      <x:c r="G279" s="59" t="s">
        <x:v>693</x:v>
      </x:c>
      <x:c r="H279" s="59" t="s">
        <x:v>694</x:v>
      </x:c>
      <x:c r="I279" s="59" t="s">
        <x:v>166</x:v>
      </x:c>
      <x:c r="J279" s="59">
        <x:v>2020</x:v>
      </x:c>
      <x:c r="K279" s="59">
        <x:v>62</x:v>
      </x:c>
      <x:c r="L279" s="58">
        <x:v>57</x:v>
      </x:c>
      <x:c r="M279" s="59">
        <x:v>57</x:v>
      </x:c>
      <x:c r="N279" s="59" t="s">
        <x:v>41</x:v>
      </x:c>
      <x:c r="O279" s="59" t="s">
        <x:v>42</x:v>
      </x:c>
      <x:c r="Q279" s="23" t="s">
        <x:v>43</x:v>
      </x:c>
      <x:c r="S279" s="58"/>
      <x:c r="T279" s="58"/>
      <x:c r="U279" s="58"/>
      <x:c r="V279" s="58">
        <x:v>-2.1318961000000001</x:v>
      </x:c>
      <x:c r="W279" s="58">
        <x:v>106.15831729999999</x:v>
      </x:c>
      <x:c r="X279" s="60"/>
      <x:c r="Y279" s="60"/>
      <x:c r="Z279" s="58"/>
      <x:c r="AA279" s="60"/>
      <x:c r="AB279" s="60"/>
      <x:c r="AC279" s="61">
        <x:f t="shared" si="18"/>
        <x:v>0.91935483870967738</x:v>
      </x:c>
      <x:c r="AD279" s="61">
        <x:f t="shared" si="19"/>
        <x:v>1</x:v>
      </x:c>
    </x:row>
    <x:row r="280" s="59" customFormat="1" ht="12.5">
      <x:c r="A280" s="63">
        <x:v>275</x:v>
      </x:c>
      <x:c r="B280" s="58" t="s">
        <x:v>695</x:v>
      </x:c>
      <x:c r="C280" s="59" t="s">
        <x:v>34</x:v>
      </x:c>
      <x:c r="D280" s="58" t="s">
        <x:v>81</x:v>
      </x:c>
      <x:c r="E280" s="58" t="s">
        <x:v>82</x:v>
      </x:c>
      <x:c r="F280" s="59" t="s">
        <x:v>42</x:v>
      </x:c>
      <x:c r="G280" s="59" t="s">
        <x:v>42</x:v>
      </x:c>
      <x:c r="H280" s="59" t="s">
        <x:v>42</x:v>
      </x:c>
      <x:c r="I280" s="59" t="s">
        <x:v>42</x:v>
      </x:c>
      <x:c r="J280" s="59">
        <x:v>2017</x:v>
      </x:c>
      <x:c r="K280" s="59">
        <x:v>0</x:v>
      </x:c>
      <x:c r="L280" s="58">
        <x:v>0</x:v>
      </x:c>
      <x:c r="M280" s="59">
        <x:v>0</x:v>
      </x:c>
      <x:c r="N280" s="59" t="s">
        <x:v>41</x:v>
      </x:c>
      <x:c r="O280" s="59" t="s">
        <x:v>42</x:v>
      </x:c>
      <x:c r="Q280" s="23" t="s">
        <x:v>43</x:v>
      </x:c>
      <x:c r="S280" s="58"/>
      <x:c r="T280" s="58"/>
      <x:c r="U280" s="58"/>
      <x:c r="V280" s="58"/>
      <x:c r="W280" s="58"/>
      <x:c r="X280" s="60"/>
      <x:c r="Y280" s="60"/>
      <x:c r="Z280" s="58"/>
      <x:c r="AA280" s="60"/>
      <x:c r="AB280" s="60"/>
      <x:c r="AC280" s="61">
        <x:f t="shared" si="18"/>
        <x:v>0</x:v>
      </x:c>
      <x:c r="AD280" s="61">
        <x:f t="shared" si="19"/>
        <x:v>0</x:v>
      </x:c>
    </x:row>
    <x:row r="281" s="59" customFormat="1" ht="12.5">
      <x:c r="A281" s="63">
        <x:v>276</x:v>
      </x:c>
      <x:c r="B281" s="58" t="s">
        <x:v>696</x:v>
      </x:c>
      <x:c r="C281" s="59" t="s">
        <x:v>34</x:v>
      </x:c>
      <x:c r="D281" s="58" t="s">
        <x:v>35</x:v>
      </x:c>
      <x:c r="E281" s="58" t="s">
        <x:v>36</x:v>
      </x:c>
      <x:c r="F281" s="59" t="s">
        <x:v>396</x:v>
      </x:c>
      <x:c r="G281" s="59" t="s">
        <x:v>697</x:v>
      </x:c>
      <x:c r="H281" s="59" t="s">
        <x:v>698</x:v>
      </x:c>
      <x:c r="I281" s="59" t="s">
        <x:v>112</x:v>
      </x:c>
      <x:c r="J281" s="59">
        <x:v>2024</x:v>
      </x:c>
      <x:c r="K281" s="59">
        <x:v>36</x:v>
      </x:c>
      <x:c r="L281" s="58">
        <x:v>8</x:v>
      </x:c>
      <x:c r="M281" s="59">
        <x:v>0</x:v>
      </x:c>
      <x:c r="N281" s="59" t="s">
        <x:v>41</x:v>
      </x:c>
      <x:c r="O281" s="59" t="s">
        <x:v>42</x:v>
      </x:c>
      <x:c r="Q281" s="23" t="s">
        <x:v>43</x:v>
      </x:c>
      <x:c r="R281" s="23" t="s">
        <x:v>88</x:v>
      </x:c>
      <x:c r="S281" s="58"/>
      <x:c r="T281" s="58"/>
      <x:c r="U281" s="58"/>
      <x:c r="V281" s="58">
        <x:v>-2.1021866</x:v>
      </x:c>
      <x:c r="W281" s="58">
        <x:v>106.05145090000001</x:v>
      </x:c>
      <x:c r="X281" s="60"/>
      <x:c r="Y281" s="60"/>
      <x:c r="Z281" s="58"/>
      <x:c r="AA281" s="60"/>
      <x:c r="AB281" s="60"/>
      <x:c r="AC281" s="61">
        <x:f t="shared" si="18"/>
        <x:v>0.22222222222222221</x:v>
      </x:c>
      <x:c r="AD281" s="61">
        <x:f t="shared" si="19"/>
        <x:v>0</x:v>
      </x:c>
    </x:row>
    <x:row r="282" s="59" customFormat="1" ht="12.5">
      <x:c r="A282" s="63">
        <x:v>277</x:v>
      </x:c>
      <x:c r="B282" s="58" t="s">
        <x:v>699</x:v>
      </x:c>
      <x:c r="C282" s="59" t="s">
        <x:v>34</x:v>
      </x:c>
      <x:c r="D282" s="58" t="s">
        <x:v>60</x:v>
      </x:c>
      <x:c r="E282" s="58" t="s">
        <x:v>70</x:v>
      </x:c>
      <x:c r="F282" s="59" t="s">
        <x:v>79</x:v>
      </x:c>
      <x:c r="G282" s="59" t="s">
        <x:v>700</x:v>
      </x:c>
      <x:c r="H282" s="59" t="s">
        <x:v>701</x:v>
      </x:c>
      <x:c r="I282" s="59" t="s">
        <x:v>42</x:v>
      </x:c>
      <x:c r="J282" s="59">
        <x:v>2015</x:v>
      </x:c>
      <x:c r="K282" s="59">
        <x:v>51</x:v>
      </x:c>
      <x:c r="L282" s="58">
        <x:v>23</x:v>
      </x:c>
      <x:c r="M282" s="59">
        <x:v>15</x:v>
      </x:c>
      <x:c r="N282" s="59" t="s">
        <x:v>41</x:v>
      </x:c>
      <x:c r="O282" s="59" t="s">
        <x:v>42</x:v>
      </x:c>
      <x:c r="Q282" s="23" t="s">
        <x:v>43</x:v>
      </x:c>
      <x:c r="R282" s="23" t="s">
        <x:v>88</x:v>
      </x:c>
      <x:c r="S282" s="58"/>
      <x:c r="T282" s="58"/>
      <x:c r="U282" s="58"/>
      <x:c r="V282" s="58">
        <x:v>-2.0845900999999998</x:v>
      </x:c>
      <x:c r="W282" s="58">
        <x:v>106.0979296</x:v>
      </x:c>
      <x:c r="X282" s="60"/>
      <x:c r="Y282" s="60"/>
      <x:c r="Z282" s="58"/>
      <x:c r="AA282" s="60"/>
      <x:c r="AB282" s="60"/>
      <x:c r="AC282" s="61">
        <x:f t="shared" si="18"/>
        <x:v>0.45098039215686275</x:v>
      </x:c>
      <x:c r="AD282" s="61">
        <x:f t="shared" si="19"/>
        <x:v>0.65217391304347827</x:v>
      </x:c>
    </x:row>
    <x:row r="283" s="59" customFormat="1" ht="12.5">
      <x:c r="A283" s="63">
        <x:v>278</x:v>
      </x:c>
      <x:c r="B283" s="58" t="s">
        <x:v>702</x:v>
      </x:c>
      <x:c r="C283" s="59" t="s">
        <x:v>34</x:v>
      </x:c>
      <x:c r="D283" s="58" t="s">
        <x:v>81</x:v>
      </x:c>
      <x:c r="E283" s="58" t="s">
        <x:v>202</x:v>
      </x:c>
      <x:c r="F283" s="59" t="s">
        <x:v>703</x:v>
      </x:c>
      <x:c r="G283" s="59" t="s">
        <x:v>704</x:v>
      </x:c>
      <x:c r="H283" s="59" t="s">
        <x:v>42</x:v>
      </x:c>
      <x:c r="I283" s="59" t="s">
        <x:v>42</x:v>
      </x:c>
      <x:c r="J283" s="59">
        <x:v>2023</x:v>
      </x:c>
      <x:c r="K283" s="59">
        <x:v>42</x:v>
      </x:c>
      <x:c r="L283" s="58">
        <x:v>1</x:v>
      </x:c>
      <x:c r="M283" s="59">
        <x:v>0</x:v>
      </x:c>
      <x:c r="N283" s="59" t="s">
        <x:v>41</x:v>
      </x:c>
      <x:c r="O283" s="59" t="s">
        <x:v>42</x:v>
      </x:c>
      <x:c r="Q283" s="23" t="s">
        <x:v>43</x:v>
      </x:c>
      <x:c r="S283" s="58"/>
      <x:c r="T283" s="58"/>
      <x:c r="U283" s="58"/>
      <x:c r="V283" s="58">
        <x:v>-2.1377009999999999</x:v>
      </x:c>
      <x:c r="W283" s="58">
        <x:v>106.1489993</x:v>
      </x:c>
      <x:c r="X283" s="60"/>
      <x:c r="Y283" s="60"/>
      <x:c r="Z283" s="58"/>
      <x:c r="AA283" s="60"/>
      <x:c r="AB283" s="60"/>
      <x:c r="AC283" s="61">
        <x:f t="shared" si="18"/>
        <x:v>2.3809523809523808E-2</x:v>
      </x:c>
      <x:c r="AD283" s="61">
        <x:f t="shared" si="19"/>
        <x:v>0</x:v>
      </x:c>
    </x:row>
    <x:row r="284" s="59" customFormat="1" ht="12.5">
      <x:c r="A284" s="63">
        <x:v>279</x:v>
      </x:c>
      <x:c r="B284" s="58" t="s">
        <x:v>705</x:v>
      </x:c>
      <x:c r="C284" s="59" t="s">
        <x:v>34</x:v>
      </x:c>
      <x:c r="D284" s="58" t="s">
        <x:v>306</x:v>
      </x:c>
      <x:c r="E284" s="58" t="s">
        <x:v>307</x:v>
      </x:c>
      <x:c r="F284" s="59" t="s">
        <x:v>440</x:v>
      </x:c>
      <x:c r="G284" s="59" t="s">
        <x:v>42</x:v>
      </x:c>
      <x:c r="H284" s="59" t="s">
        <x:v>42</x:v>
      </x:c>
      <x:c r="I284" s="59" t="s">
        <x:v>42</x:v>
      </x:c>
      <x:c r="J284" s="59">
        <x:v>2015</x:v>
      </x:c>
      <x:c r="K284" s="59">
        <x:v>22</x:v>
      </x:c>
      <x:c r="L284" s="58">
        <x:v>22</x:v>
      </x:c>
      <x:c r="M284" s="59">
        <x:v>22</x:v>
      </x:c>
      <x:c r="N284" s="59" t="s">
        <x:v>41</x:v>
      </x:c>
      <x:c r="O284" s="59" t="s">
        <x:v>42</x:v>
      </x:c>
      <x:c r="Q284" s="23" t="s">
        <x:v>43</x:v>
      </x:c>
      <x:c r="S284" s="58"/>
      <x:c r="T284" s="58"/>
      <x:c r="U284" s="58"/>
      <x:c r="V284" s="58">
        <x:v>-2.1519857</x:v>
      </x:c>
      <x:c r="W284" s="58">
        <x:v>106.1057045</x:v>
      </x:c>
      <x:c r="X284" s="60"/>
      <x:c r="Y284" s="60"/>
      <x:c r="Z284" s="58"/>
      <x:c r="AA284" s="60"/>
      <x:c r="AB284" s="60"/>
      <x:c r="AC284" s="61">
        <x:f t="shared" si="18"/>
        <x:v>1</x:v>
      </x:c>
      <x:c r="AD284" s="61">
        <x:f t="shared" si="19"/>
        <x:v>1</x:v>
      </x:c>
    </x:row>
    <x:row r="285" s="59" customFormat="1" ht="12.5">
      <x:c r="A285" s="63">
        <x:v>280</x:v>
      </x:c>
      <x:c r="B285" s="58" t="s">
        <x:v>706</x:v>
      </x:c>
      <x:c r="C285" s="59" t="s">
        <x:v>34</x:v>
      </x:c>
      <x:c r="D285" s="58" t="s">
        <x:v>306</x:v>
      </x:c>
      <x:c r="E285" s="58" t="s">
        <x:v>307</x:v>
      </x:c>
      <x:c r="F285" s="59" t="s">
        <x:v>707</x:v>
      </x:c>
      <x:c r="G285" s="59" t="s">
        <x:v>42</x:v>
      </x:c>
      <x:c r="H285" s="59" t="s">
        <x:v>42</x:v>
      </x:c>
      <x:c r="I285" s="59" t="s">
        <x:v>42</x:v>
      </x:c>
      <x:c r="J285" s="59">
        <x:v>2016</x:v>
      </x:c>
      <x:c r="K285" s="59">
        <x:v>11</x:v>
      </x:c>
      <x:c r="L285" s="58">
        <x:v>11</x:v>
      </x:c>
      <x:c r="M285" s="59">
        <x:v>11</x:v>
      </x:c>
      <x:c r="N285" s="59" t="s">
        <x:v>41</x:v>
      </x:c>
      <x:c r="O285" s="59" t="s">
        <x:v>42</x:v>
      </x:c>
      <x:c r="Q285" s="23" t="s">
        <x:v>43</x:v>
      </x:c>
      <x:c r="R285" s="23" t="s">
        <x:v>88</x:v>
      </x:c>
      <x:c r="S285" s="58"/>
      <x:c r="T285" s="58"/>
      <x:c r="U285" s="58"/>
      <x:c r="V285" s="58">
        <x:v>-2.1526169999999998</x:v>
      </x:c>
      <x:c r="W285" s="58">
        <x:v>106.104927</x:v>
      </x:c>
      <x:c r="X285" s="60"/>
      <x:c r="Y285" s="60"/>
      <x:c r="Z285" s="58"/>
      <x:c r="AA285" s="60"/>
      <x:c r="AB285" s="60"/>
      <x:c r="AC285" s="61">
        <x:f t="shared" si="18"/>
        <x:v>1</x:v>
      </x:c>
      <x:c r="AD285" s="61">
        <x:f t="shared" si="19"/>
        <x:v>1</x:v>
      </x:c>
    </x:row>
    <x:row r="286" s="59" customFormat="1" ht="12.5">
      <x:c r="A286" s="63">
        <x:v>281</x:v>
      </x:c>
      <x:c r="B286" s="58" t="s">
        <x:v>708</x:v>
      </x:c>
      <x:c r="C286" s="59" t="s">
        <x:v>34</x:v>
      </x:c>
      <x:c r="D286" s="58" t="s">
        <x:v>35</x:v>
      </x:c>
      <x:c r="E286" s="58" t="s">
        <x:v>46</x:v>
      </x:c>
      <x:c r="F286" s="59" t="s">
        <x:v>243</x:v>
      </x:c>
      <x:c r="G286" s="59" t="s">
        <x:v>356</x:v>
      </x:c>
      <x:c r="H286" s="59" t="s">
        <x:v>357</x:v>
      </x:c>
      <x:c r="I286" s="59" t="s">
        <x:v>112</x:v>
      </x:c>
      <x:c r="J286" s="59">
        <x:v>2017</x:v>
      </x:c>
      <x:c r="K286" s="59">
        <x:v>21</x:v>
      </x:c>
      <x:c r="L286" s="58">
        <x:v>21</x:v>
      </x:c>
      <x:c r="M286" s="59">
        <x:v>21</x:v>
      </x:c>
      <x:c r="N286" s="59" t="s">
        <x:v>48</x:v>
      </x:c>
      <x:c r="O286" s="59">
        <x:v>2023</x:v>
      </x:c>
      <x:c r="Q286" s="23" t="s">
        <x:v>43</x:v>
      </x:c>
      <x:c r="S286" s="58"/>
      <x:c r="T286" s="58"/>
      <x:c r="U286" s="58"/>
      <x:c r="V286" s="58">
        <x:v>-2.117489</x:v>
      </x:c>
      <x:c r="W286" s="58">
        <x:v>106.077459</x:v>
      </x:c>
      <x:c r="X286" s="60"/>
      <x:c r="Y286" s="60"/>
      <x:c r="Z286" s="58"/>
      <x:c r="AA286" s="60"/>
      <x:c r="AB286" s="60"/>
      <x:c r="AC286" s="61">
        <x:f t="shared" si="18"/>
        <x:v>1</x:v>
      </x:c>
      <x:c r="AD286" s="61">
        <x:f t="shared" si="19"/>
        <x:v>1</x:v>
      </x:c>
    </x:row>
    <x:row r="287" s="59" customFormat="1" ht="12.5">
      <x:c r="A287" s="63">
        <x:v>282</x:v>
      </x:c>
      <x:c r="B287" s="58" t="s">
        <x:v>709</x:v>
      </x:c>
      <x:c r="C287" s="59" t="s">
        <x:v>34</x:v>
      </x:c>
      <x:c r="D287" s="58" t="s">
        <x:v>60</x:v>
      </x:c>
      <x:c r="E287" s="58" t="s">
        <x:v>70</x:v>
      </x:c>
      <x:c r="F287" s="59" t="s">
        <x:v>710</x:v>
      </x:c>
      <x:c r="G287" s="59" t="s">
        <x:v>356</x:v>
      </x:c>
      <x:c r="H287" s="59" t="s">
        <x:v>357</x:v>
      </x:c>
      <x:c r="I287" s="59" t="s">
        <x:v>112</x:v>
      </x:c>
      <x:c r="J287" s="59">
        <x:v>2019</x:v>
      </x:c>
      <x:c r="K287" s="59">
        <x:v>43</x:v>
      </x:c>
      <x:c r="L287" s="58">
        <x:v>23</x:v>
      </x:c>
      <x:c r="M287" s="59">
        <x:v>18</x:v>
      </x:c>
      <x:c r="N287" s="59" t="s">
        <x:v>41</x:v>
      </x:c>
      <x:c r="O287" s="59" t="s">
        <x:v>42</x:v>
      </x:c>
      <x:c r="Q287" s="23" t="s">
        <x:v>43</x:v>
      </x:c>
      <x:c r="S287" s="58"/>
      <x:c r="T287" s="58"/>
      <x:c r="U287" s="58"/>
      <x:c r="V287" s="58">
        <x:v>-2.0969530000000001</x:v>
      </x:c>
      <x:c r="W287" s="58">
        <x:v>106.087341</x:v>
      </x:c>
      <x:c r="X287" s="60"/>
      <x:c r="Y287" s="60"/>
      <x:c r="Z287" s="58"/>
      <x:c r="AA287" s="60"/>
      <x:c r="AB287" s="60"/>
      <x:c r="AC287" s="61">
        <x:f t="shared" si="18"/>
        <x:v>0.53488372093023251</x:v>
      </x:c>
      <x:c r="AD287" s="61">
        <x:f t="shared" si="19"/>
        <x:v>0.78260869565217395</x:v>
      </x:c>
    </x:row>
    <x:row r="288" s="59" customFormat="1" ht="12.5">
      <x:c r="A288" s="63">
        <x:v>283</x:v>
      </x:c>
      <x:c r="B288" s="58" t="s">
        <x:v>711</x:v>
      </x:c>
      <x:c r="C288" s="59" t="s">
        <x:v>34</x:v>
      </x:c>
      <x:c r="D288" s="58" t="s">
        <x:v>60</x:v>
      </x:c>
      <x:c r="E288" s="58" t="s">
        <x:v>267</x:v>
      </x:c>
      <x:c r="F288" s="59" t="s">
        <x:v>712</x:v>
      </x:c>
      <x:c r="G288" s="59" t="s">
        <x:v>713</x:v>
      </x:c>
      <x:c r="H288" s="59" t="s">
        <x:v>714</x:v>
      </x:c>
      <x:c r="I288" s="59" t="s">
        <x:v>112</x:v>
      </x:c>
      <x:c r="J288" s="59">
        <x:v>2017</x:v>
      </x:c>
      <x:c r="K288" s="59">
        <x:v>15</x:v>
      </x:c>
      <x:c r="L288" s="58">
        <x:v>15</x:v>
      </x:c>
      <x:c r="M288" s="59">
        <x:v>14</x:v>
      </x:c>
      <x:c r="N288" s="59" t="s">
        <x:v>48</x:v>
      </x:c>
      <x:c r="O288" s="59">
        <x:v>2022</x:v>
      </x:c>
      <x:c r="Q288" s="23" t="s">
        <x:v>43</x:v>
      </x:c>
      <x:c r="R288" s="59" t="s">
        <x:v>247</x:v>
      </x:c>
      <x:c r="S288" s="58"/>
      <x:c r="T288" s="58"/>
      <x:c r="U288" s="58"/>
      <x:c r="V288" s="58">
        <x:v>-2.0940059999999998</x:v>
      </x:c>
      <x:c r="W288" s="58">
        <x:v>106.105633</x:v>
      </x:c>
      <x:c r="X288" s="60"/>
      <x:c r="Y288" s="60"/>
      <x:c r="Z288" s="58"/>
      <x:c r="AA288" s="60"/>
      <x:c r="AB288" s="60"/>
      <x:c r="AC288" s="61">
        <x:f t="shared" si="18"/>
        <x:v>1</x:v>
      </x:c>
      <x:c r="AD288" s="61">
        <x:f t="shared" si="19"/>
        <x:v>0.93333333333333335</x:v>
      </x:c>
    </x:row>
    <x:row r="289" s="59" customFormat="1" ht="12.5">
      <x:c r="A289" s="63">
        <x:v>284</x:v>
      </x:c>
      <x:c r="B289" s="58" t="s">
        <x:v>715</x:v>
      </x:c>
      <x:c r="C289" s="59" t="s">
        <x:v>34</x:v>
      </x:c>
      <x:c r="D289" s="58" t="s">
        <x:v>60</x:v>
      </x:c>
      <x:c r="E289" s="58" t="s">
        <x:v>267</x:v>
      </x:c>
      <x:c r="F289" s="59" t="s">
        <x:v>716</x:v>
      </x:c>
      <x:c r="G289" s="59" t="s">
        <x:v>717</x:v>
      </x:c>
      <x:c r="H289" s="59" t="s">
        <x:v>714</x:v>
      </x:c>
      <x:c r="I289" s="59" t="s">
        <x:v>112</x:v>
      </x:c>
      <x:c r="J289" s="59">
        <x:v>2017</x:v>
      </x:c>
      <x:c r="K289" s="59">
        <x:v>40</x:v>
      </x:c>
      <x:c r="L289" s="58">
        <x:v>40</x:v>
      </x:c>
      <x:c r="M289" s="59">
        <x:v>40</x:v>
      </x:c>
      <x:c r="N289" s="59" t="s">
        <x:v>48</x:v>
      </x:c>
      <x:c r="O289" s="59">
        <x:v>2022</x:v>
      </x:c>
      <x:c r="Q289" s="23" t="s">
        <x:v>43</x:v>
      </x:c>
      <x:c r="R289" s="59" t="s">
        <x:v>113</x:v>
      </x:c>
      <x:c r="S289" s="58"/>
      <x:c r="T289" s="58"/>
      <x:c r="U289" s="58"/>
      <x:c r="V289" s="58">
        <x:v>-2.0972919999999999</x:v>
      </x:c>
      <x:c r="W289" s="58">
        <x:v>106.10591599999999</x:v>
      </x:c>
      <x:c r="X289" s="60"/>
      <x:c r="Y289" s="60"/>
      <x:c r="Z289" s="58"/>
      <x:c r="AA289" s="60"/>
      <x:c r="AB289" s="60"/>
      <x:c r="AC289" s="61">
        <x:f t="shared" si="18"/>
        <x:v>1</x:v>
      </x:c>
      <x:c r="AD289" s="61">
        <x:f t="shared" si="19"/>
        <x:v>1</x:v>
      </x:c>
    </x:row>
    <x:row r="290" s="59" customFormat="1" ht="12.5">
      <x:c r="A290" s="63">
        <x:v>285</x:v>
      </x:c>
      <x:c r="B290" s="58" t="s">
        <x:v>718</x:v>
      </x:c>
      <x:c r="C290" s="59" t="s">
        <x:v>34</x:v>
      </x:c>
      <x:c r="D290" s="58" t="s">
        <x:v>60</x:v>
      </x:c>
      <x:c r="E290" s="58" t="s">
        <x:v>267</x:v>
      </x:c>
      <x:c r="F290" s="59" t="s">
        <x:v>716</x:v>
      </x:c>
      <x:c r="G290" s="59" t="s">
        <x:v>713</x:v>
      </x:c>
      <x:c r="H290" s="59" t="s">
        <x:v>714</x:v>
      </x:c>
      <x:c r="I290" s="59" t="s">
        <x:v>112</x:v>
      </x:c>
      <x:c r="J290" s="59">
        <x:v>2017</x:v>
      </x:c>
      <x:c r="K290" s="59">
        <x:v>34</x:v>
      </x:c>
      <x:c r="L290" s="58">
        <x:v>33</x:v>
      </x:c>
      <x:c r="M290" s="59">
        <x:v>32</x:v>
      </x:c>
      <x:c r="N290" s="59" t="s">
        <x:v>48</x:v>
      </x:c>
      <x:c r="O290" s="59">
        <x:v>2022</x:v>
      </x:c>
      <x:c r="Q290" s="23" t="s">
        <x:v>43</x:v>
      </x:c>
      <x:c r="R290" s="59" t="s">
        <x:v>113</x:v>
      </x:c>
      <x:c r="S290" s="58"/>
      <x:c r="T290" s="58"/>
      <x:c r="U290" s="58"/>
      <x:c r="V290" s="58">
        <x:v>-2.0940059999999998</x:v>
      </x:c>
      <x:c r="W290" s="58">
        <x:v>106.105633</x:v>
      </x:c>
      <x:c r="X290" s="60"/>
      <x:c r="Y290" s="60"/>
      <x:c r="Z290" s="58"/>
      <x:c r="AA290" s="60"/>
      <x:c r="AB290" s="60"/>
      <x:c r="AC290" s="61">
        <x:f t="shared" si="18"/>
        <x:v>0.97058823529411764</x:v>
      </x:c>
      <x:c r="AD290" s="61">
        <x:f t="shared" si="19"/>
        <x:v>0.96969696969696972</x:v>
      </x:c>
    </x:row>
    <x:row r="291" s="59" customFormat="1" ht="12.5">
      <x:c r="A291" s="63">
        <x:v>286</x:v>
      </x:c>
      <x:c r="B291" s="58" t="s">
        <x:v>719</x:v>
      </x:c>
      <x:c r="C291" s="59" t="s">
        <x:v>34</x:v>
      </x:c>
      <x:c r="D291" s="58" t="s">
        <x:v>60</x:v>
      </x:c>
      <x:c r="E291" s="58" t="s">
        <x:v>267</x:v>
      </x:c>
      <x:c r="F291" s="59" t="s">
        <x:v>716</x:v>
      </x:c>
      <x:c r="G291" s="59" t="s">
        <x:v>713</x:v>
      </x:c>
      <x:c r="H291" s="59" t="s">
        <x:v>714</x:v>
      </x:c>
      <x:c r="I291" s="59" t="s">
        <x:v>112</x:v>
      </x:c>
      <x:c r="J291" s="59">
        <x:v>2017</x:v>
      </x:c>
      <x:c r="K291" s="59">
        <x:v>50</x:v>
      </x:c>
      <x:c r="L291" s="58">
        <x:v>50</x:v>
      </x:c>
      <x:c r="M291" s="59">
        <x:v>42</x:v>
      </x:c>
      <x:c r="N291" s="59" t="s">
        <x:v>48</x:v>
      </x:c>
      <x:c r="O291" s="59">
        <x:v>2022</x:v>
      </x:c>
      <x:c r="Q291" s="23" t="s">
        <x:v>43</x:v>
      </x:c>
      <x:c r="R291" s="59" t="s">
        <x:v>113</x:v>
      </x:c>
      <x:c r="S291" s="58"/>
      <x:c r="T291" s="58"/>
      <x:c r="U291" s="58"/>
      <x:c r="V291" s="58">
        <x:v>-2.0929440000000001</x:v>
      </x:c>
      <x:c r="W291" s="58">
        <x:v>106.109611</x:v>
      </x:c>
      <x:c r="X291" s="60"/>
      <x:c r="Y291" s="60"/>
      <x:c r="Z291" s="58"/>
      <x:c r="AA291" s="60"/>
      <x:c r="AB291" s="60"/>
      <x:c r="AC291" s="61">
        <x:f t="shared" si="18"/>
        <x:v>1</x:v>
      </x:c>
      <x:c r="AD291" s="61">
        <x:f t="shared" si="19"/>
        <x:v>0.84</x:v>
      </x:c>
    </x:row>
    <x:row r="292" s="59" customFormat="1" ht="12.5">
      <x:c r="A292" s="63">
        <x:v>287</x:v>
      </x:c>
      <x:c r="B292" s="58" t="s">
        <x:v>720</x:v>
      </x:c>
      <x:c r="C292" s="59" t="s">
        <x:v>34</x:v>
      </x:c>
      <x:c r="D292" s="58" t="s">
        <x:v>60</x:v>
      </x:c>
      <x:c r="E292" s="58" t="s">
        <x:v>267</x:v>
      </x:c>
      <x:c r="F292" s="59" t="s">
        <x:v>721</x:v>
      </x:c>
      <x:c r="G292" s="59" t="s">
        <x:v>713</x:v>
      </x:c>
      <x:c r="H292" s="59" t="s">
        <x:v>714</x:v>
      </x:c>
      <x:c r="I292" s="59" t="s">
        <x:v>112</x:v>
      </x:c>
      <x:c r="J292" s="59">
        <x:v>2017</x:v>
      </x:c>
      <x:c r="K292" s="59">
        <x:v>26</x:v>
      </x:c>
      <x:c r="L292" s="58">
        <x:v>26</x:v>
      </x:c>
      <x:c r="M292" s="59">
        <x:v>24</x:v>
      </x:c>
      <x:c r="N292" s="59" t="s">
        <x:v>48</x:v>
      </x:c>
      <x:c r="O292" s="59">
        <x:v>2022</x:v>
      </x:c>
      <x:c r="Q292" s="23" t="s">
        <x:v>43</x:v>
      </x:c>
      <x:c r="R292" s="59" t="s">
        <x:v>247</x:v>
      </x:c>
      <x:c r="S292" s="58"/>
      <x:c r="T292" s="58"/>
      <x:c r="U292" s="58"/>
      <x:c r="V292" s="58">
        <x:v>-2.0958761250000002</x:v>
      </x:c>
      <x:c r="W292" s="58">
        <x:v>106.113303</x:v>
      </x:c>
      <x:c r="X292" s="60"/>
      <x:c r="Y292" s="60"/>
      <x:c r="Z292" s="58"/>
      <x:c r="AA292" s="60"/>
      <x:c r="AB292" s="60"/>
      <x:c r="AC292" s="61">
        <x:f t="shared" si="18"/>
        <x:v>1</x:v>
      </x:c>
      <x:c r="AD292" s="61">
        <x:f t="shared" si="19"/>
        <x:v>0.92307692307692313</x:v>
      </x:c>
    </x:row>
    <x:row r="293" s="59" customFormat="1" ht="12.5">
      <x:c r="A293" s="63">
        <x:v>288</x:v>
      </x:c>
      <x:c r="B293" s="58" t="s">
        <x:v>722</x:v>
      </x:c>
      <x:c r="C293" s="59" t="s">
        <x:v>34</x:v>
      </x:c>
      <x:c r="D293" s="58" t="s">
        <x:v>60</x:v>
      </x:c>
      <x:c r="E293" s="58" t="s">
        <x:v>61</x:v>
      </x:c>
      <x:c r="F293" s="59" t="s">
        <x:v>723</x:v>
      </x:c>
      <x:c r="G293" s="59" t="s">
        <x:v>713</x:v>
      </x:c>
      <x:c r="H293" s="59" t="s">
        <x:v>714</x:v>
      </x:c>
      <x:c r="I293" s="59" t="s">
        <x:v>112</x:v>
      </x:c>
      <x:c r="J293" s="59">
        <x:v>2018</x:v>
      </x:c>
      <x:c r="K293" s="59">
        <x:v>55</x:v>
      </x:c>
      <x:c r="L293" s="58">
        <x:v>55</x:v>
      </x:c>
      <x:c r="M293" s="59">
        <x:v>54</x:v>
      </x:c>
      <x:c r="N293" s="59" t="s">
        <x:v>48</x:v>
      </x:c>
      <x:c r="O293" s="59">
        <x:v>2022</x:v>
      </x:c>
      <x:c r="Q293" s="59" t="s">
        <x:v>72</x:v>
      </x:c>
      <x:c r="R293" s="59" t="s">
        <x:v>247</x:v>
      </x:c>
      <x:c r="S293" s="58"/>
      <x:c r="T293" s="58"/>
      <x:c r="U293" s="58"/>
      <x:c r="V293" s="58">
        <x:v>-2.1036250000000001</x:v>
      </x:c>
      <x:c r="W293" s="58">
        <x:v>106.104417</x:v>
      </x:c>
      <x:c r="X293" s="60"/>
      <x:c r="Y293" s="60"/>
      <x:c r="Z293" s="58"/>
      <x:c r="AA293" s="60"/>
      <x:c r="AB293" s="60"/>
      <x:c r="AC293" s="61">
        <x:f t="shared" si="18"/>
        <x:v>1</x:v>
      </x:c>
      <x:c r="AD293" s="61">
        <x:f t="shared" si="19"/>
        <x:v>0.98181818181818181</x:v>
      </x:c>
    </x:row>
    <x:row r="294" s="59" customFormat="1" ht="12.5">
      <x:c r="A294" s="63">
        <x:v>289</x:v>
      </x:c>
      <x:c r="B294" s="58" t="s">
        <x:v>724</x:v>
      </x:c>
      <x:c r="C294" s="59" t="s">
        <x:v>34</x:v>
      </x:c>
      <x:c r="D294" s="58" t="s">
        <x:v>35</x:v>
      </x:c>
      <x:c r="E294" s="58" t="s">
        <x:v>136</x:v>
      </x:c>
      <x:c r="F294" s="59" t="s">
        <x:v>725</x:v>
      </x:c>
      <x:c r="G294" s="59" t="s">
        <x:v>713</x:v>
      </x:c>
      <x:c r="H294" s="59" t="s">
        <x:v>714</x:v>
      </x:c>
      <x:c r="I294" s="59" t="s">
        <x:v>112</x:v>
      </x:c>
      <x:c r="J294" s="59">
        <x:v>2018</x:v>
      </x:c>
      <x:c r="K294" s="59">
        <x:v>37</x:v>
      </x:c>
      <x:c r="L294" s="58">
        <x:v>37</x:v>
      </x:c>
      <x:c r="M294" s="59">
        <x:v>37</x:v>
      </x:c>
      <x:c r="N294" s="59" t="s">
        <x:v>48</x:v>
      </x:c>
      <x:c r="O294" s="59">
        <x:v>2022</x:v>
      </x:c>
      <x:c r="Q294" s="23" t="s">
        <x:v>43</x:v>
      </x:c>
      <x:c r="R294" s="59" t="s">
        <x:v>113</x:v>
      </x:c>
      <x:c r="S294" s="58"/>
      <x:c r="T294" s="58"/>
      <x:c r="U294" s="58"/>
      <x:c r="V294" s="58">
        <x:v>-2.1039151</x:v>
      </x:c>
      <x:c r="W294" s="58">
        <x:v>106.0908293</x:v>
      </x:c>
      <x:c r="X294" s="60"/>
      <x:c r="Y294" s="60"/>
      <x:c r="Z294" s="58"/>
      <x:c r="AA294" s="60"/>
      <x:c r="AB294" s="60"/>
      <x:c r="AC294" s="61">
        <x:f t="shared" si="18"/>
        <x:v>1</x:v>
      </x:c>
      <x:c r="AD294" s="61">
        <x:f t="shared" si="19"/>
        <x:v>1</x:v>
      </x:c>
    </x:row>
    <x:row r="295" s="59" customFormat="1" ht="12.5">
      <x:c r="A295" s="63">
        <x:v>290</x:v>
      </x:c>
      <x:c r="B295" s="58" t="s">
        <x:v>726</x:v>
      </x:c>
      <x:c r="C295" s="59" t="s">
        <x:v>34</x:v>
      </x:c>
      <x:c r="D295" s="58" t="s">
        <x:v>35</x:v>
      </x:c>
      <x:c r="E295" s="58" t="s">
        <x:v>184</x:v>
      </x:c>
      <x:c r="F295" s="59" t="s">
        <x:v>185</x:v>
      </x:c>
      <x:c r="G295" s="59" t="s">
        <x:v>713</x:v>
      </x:c>
      <x:c r="H295" s="59" t="s">
        <x:v>714</x:v>
      </x:c>
      <x:c r="I295" s="59" t="s">
        <x:v>112</x:v>
      </x:c>
      <x:c r="J295" s="59">
        <x:v>2018</x:v>
      </x:c>
      <x:c r="K295" s="59">
        <x:v>20</x:v>
      </x:c>
      <x:c r="L295" s="58">
        <x:v>20</x:v>
      </x:c>
      <x:c r="M295" s="59">
        <x:v>20</x:v>
      </x:c>
      <x:c r="N295" s="59" t="s">
        <x:v>48</x:v>
      </x:c>
      <x:c r="O295" s="59">
        <x:v>2022</x:v>
      </x:c>
      <x:c r="Q295" s="23" t="s">
        <x:v>43</x:v>
      </x:c>
      <x:c r="R295" s="59" t="s">
        <x:v>113</x:v>
      </x:c>
      <x:c r="S295" s="58"/>
      <x:c r="T295" s="58"/>
      <x:c r="U295" s="58"/>
      <x:c r="V295" s="58">
        <x:v>-2.1048110000000002</x:v>
      </x:c>
      <x:c r="W295" s="58">
        <x:v>106.088823</x:v>
      </x:c>
      <x:c r="X295" s="60"/>
      <x:c r="Y295" s="60"/>
      <x:c r="Z295" s="58"/>
      <x:c r="AA295" s="60"/>
      <x:c r="AB295" s="60"/>
      <x:c r="AC295" s="61">
        <x:f t="shared" si="18"/>
        <x:v>1</x:v>
      </x:c>
      <x:c r="AD295" s="61">
        <x:f t="shared" si="19"/>
        <x:v>1</x:v>
      </x:c>
    </x:row>
    <x:row r="296" s="59" customFormat="1" ht="12.5">
      <x:c r="A296" s="63">
        <x:v>291</x:v>
      </x:c>
      <x:c r="B296" s="58" t="s">
        <x:v>727</x:v>
      </x:c>
      <x:c r="C296" s="59" t="s">
        <x:v>34</x:v>
      </x:c>
      <x:c r="D296" s="58" t="s">
        <x:v>60</x:v>
      </x:c>
      <x:c r="E296" s="58" t="s">
        <x:v>61</x:v>
      </x:c>
      <x:c r="F296" s="59" t="s">
        <x:v>728</x:v>
      </x:c>
      <x:c r="G296" s="59" t="s">
        <x:v>713</x:v>
      </x:c>
      <x:c r="H296" s="59" t="s">
        <x:v>714</x:v>
      </x:c>
      <x:c r="I296" s="59" t="s">
        <x:v>112</x:v>
      </x:c>
      <x:c r="J296" s="59">
        <x:v>2018</x:v>
      </x:c>
      <x:c r="K296" s="59">
        <x:v>39</x:v>
      </x:c>
      <x:c r="L296" s="58">
        <x:v>35</x:v>
      </x:c>
      <x:c r="M296" s="59">
        <x:v>34</x:v>
      </x:c>
      <x:c r="N296" s="59" t="s">
        <x:v>48</x:v>
      </x:c>
      <x:c r="O296" s="59">
        <x:v>2022</x:v>
      </x:c>
      <x:c r="Q296" s="59" t="s">
        <x:v>72</x:v>
      </x:c>
      <x:c r="R296" s="59" t="s">
        <x:v>55</x:v>
      </x:c>
      <x:c r="S296" s="58"/>
      <x:c r="T296" s="58"/>
      <x:c r="U296" s="58"/>
      <x:c r="V296" s="58">
        <x:v>-2.1032679999999999</x:v>
      </x:c>
      <x:c r="W296" s="58">
        <x:v>106.102847</x:v>
      </x:c>
      <x:c r="X296" s="60"/>
      <x:c r="Y296" s="60"/>
      <x:c r="Z296" s="58"/>
      <x:c r="AA296" s="60"/>
      <x:c r="AB296" s="60"/>
      <x:c r="AC296" s="61">
        <x:f t="shared" si="18"/>
        <x:v>0.89743589743589747</x:v>
      </x:c>
      <x:c r="AD296" s="61">
        <x:f t="shared" si="19"/>
        <x:v>0.97142857142857142</x:v>
      </x:c>
    </x:row>
    <x:row r="297" s="59" customFormat="1" ht="12.5">
      <x:c r="A297" s="63">
        <x:v>292</x:v>
      </x:c>
      <x:c r="B297" s="58" t="s">
        <x:v>729</x:v>
      </x:c>
      <x:c r="C297" s="59" t="s">
        <x:v>34</x:v>
      </x:c>
      <x:c r="D297" s="58" t="s">
        <x:v>35</x:v>
      </x:c>
      <x:c r="E297" s="58" t="s">
        <x:v>46</x:v>
      </x:c>
      <x:c r="F297" s="59" t="s">
        <x:v>51</x:v>
      </x:c>
      <x:c r="G297" s="59" t="s">
        <x:v>713</x:v>
      </x:c>
      <x:c r="H297" s="59" t="s">
        <x:v>714</x:v>
      </x:c>
      <x:c r="I297" s="59" t="s">
        <x:v>112</x:v>
      </x:c>
      <x:c r="J297" s="59">
        <x:v>2018</x:v>
      </x:c>
      <x:c r="K297" s="59">
        <x:v>35</x:v>
      </x:c>
      <x:c r="L297" s="58">
        <x:v>35</x:v>
      </x:c>
      <x:c r="M297" s="59">
        <x:v>35</x:v>
      </x:c>
      <x:c r="N297" s="59" t="s">
        <x:v>41</x:v>
      </x:c>
      <x:c r="O297" s="59" t="s">
        <x:v>42</x:v>
      </x:c>
      <x:c r="Q297" s="23" t="s">
        <x:v>43</x:v>
      </x:c>
      <x:c r="S297" s="58"/>
      <x:c r="T297" s="58"/>
      <x:c r="U297" s="58"/>
      <x:c r="V297" s="58">
        <x:v>-2.1212407999999998</x:v>
      </x:c>
      <x:c r="W297" s="58">
        <x:v>106.07339570000001</x:v>
      </x:c>
      <x:c r="X297" s="60"/>
      <x:c r="Y297" s="60"/>
      <x:c r="Z297" s="58"/>
      <x:c r="AA297" s="60"/>
      <x:c r="AB297" s="60"/>
      <x:c r="AC297" s="61">
        <x:f t="shared" si="18"/>
        <x:v>1</x:v>
      </x:c>
      <x:c r="AD297" s="61">
        <x:f t="shared" si="19"/>
        <x:v>1</x:v>
      </x:c>
    </x:row>
    <x:row r="298" s="59" customFormat="1" ht="12.5">
      <x:c r="A298" s="63">
        <x:v>293</x:v>
      </x:c>
      <x:c r="B298" s="58" t="s">
        <x:v>730</x:v>
      </x:c>
      <x:c r="C298" s="59" t="s">
        <x:v>34</x:v>
      </x:c>
      <x:c r="D298" s="58" t="s">
        <x:v>60</x:v>
      </x:c>
      <x:c r="E298" s="58" t="s">
        <x:v>70</x:v>
      </x:c>
      <x:c r="F298" s="59" t="s">
        <x:v>486</x:v>
      </x:c>
      <x:c r="G298" s="59" t="s">
        <x:v>713</x:v>
      </x:c>
      <x:c r="H298" s="59" t="s">
        <x:v>714</x:v>
      </x:c>
      <x:c r="I298" s="59" t="s">
        <x:v>112</x:v>
      </x:c>
      <x:c r="J298" s="59">
        <x:v>2019</x:v>
      </x:c>
      <x:c r="K298" s="59">
        <x:v>39</x:v>
      </x:c>
      <x:c r="L298" s="58">
        <x:v>39</x:v>
      </x:c>
      <x:c r="M298" s="59">
        <x:v>31</x:v>
      </x:c>
      <x:c r="N298" s="59" t="s">
        <x:v>41</x:v>
      </x:c>
      <x:c r="O298" s="59" t="s">
        <x:v>42</x:v>
      </x:c>
      <x:c r="Q298" s="23" t="s">
        <x:v>43</x:v>
      </x:c>
      <x:c r="R298" s="23" t="s">
        <x:v>88</x:v>
      </x:c>
      <x:c r="S298" s="58"/>
      <x:c r="T298" s="58"/>
      <x:c r="U298" s="58"/>
      <x:c r="V298" s="58">
        <x:v>-2.0921159999999999</x:v>
      </x:c>
      <x:c r="W298" s="58">
        <x:v>106.092775</x:v>
      </x:c>
      <x:c r="X298" s="60"/>
      <x:c r="Y298" s="60"/>
      <x:c r="Z298" s="58"/>
      <x:c r="AA298" s="60"/>
      <x:c r="AB298" s="60"/>
      <x:c r="AC298" s="61">
        <x:f t="shared" si="18"/>
        <x:v>1</x:v>
      </x:c>
      <x:c r="AD298" s="61">
        <x:f t="shared" si="19"/>
        <x:v>0.79487179487179482</x:v>
      </x:c>
    </x:row>
    <x:row r="299" s="59" customFormat="1" ht="12.5">
      <x:c r="A299" s="63">
        <x:v>294</x:v>
      </x:c>
      <x:c r="B299" s="58" t="s">
        <x:v>731</x:v>
      </x:c>
      <x:c r="C299" s="59" t="s">
        <x:v>34</x:v>
      </x:c>
      <x:c r="D299" s="58" t="s">
        <x:v>35</x:v>
      </x:c>
      <x:c r="E299" s="58" t="s">
        <x:v>36</x:v>
      </x:c>
      <x:c r="F299" s="59" t="s">
        <x:v>732</x:v>
      </x:c>
      <x:c r="G299" s="59" t="s">
        <x:v>713</x:v>
      </x:c>
      <x:c r="H299" s="59" t="s">
        <x:v>714</x:v>
      </x:c>
      <x:c r="I299" s="59" t="s">
        <x:v>112</x:v>
      </x:c>
      <x:c r="J299" s="59">
        <x:v>2019</x:v>
      </x:c>
      <x:c r="K299" s="59">
        <x:v>39</x:v>
      </x:c>
      <x:c r="L299" s="58">
        <x:v>36</x:v>
      </x:c>
      <x:c r="M299" s="59">
        <x:v>36</x:v>
      </x:c>
      <x:c r="N299" s="59" t="s">
        <x:v>41</x:v>
      </x:c>
      <x:c r="O299" s="59" t="s">
        <x:v>42</x:v>
      </x:c>
      <x:c r="Q299" s="23" t="s">
        <x:v>43</x:v>
      </x:c>
      <x:c r="S299" s="58"/>
      <x:c r="T299" s="58"/>
      <x:c r="U299" s="58"/>
      <x:c r="V299" s="58">
        <x:v>-2.109334</x:v>
      </x:c>
      <x:c r="W299" s="58">
        <x:v>106.08140899999999</x:v>
      </x:c>
      <x:c r="X299" s="60"/>
      <x:c r="Y299" s="60"/>
      <x:c r="Z299" s="58"/>
      <x:c r="AA299" s="60"/>
      <x:c r="AB299" s="60"/>
      <x:c r="AC299" s="61">
        <x:f t="shared" si="18"/>
        <x:v>0.92307692307692313</x:v>
      </x:c>
      <x:c r="AD299" s="61">
        <x:f t="shared" si="19"/>
        <x:v>1</x:v>
      </x:c>
    </x:row>
    <x:row r="300" s="59" customFormat="1" ht="12.5">
      <x:c r="A300" s="63">
        <x:v>295</x:v>
      </x:c>
      <x:c r="B300" s="58" t="s">
        <x:v>733</x:v>
      </x:c>
      <x:c r="C300" s="59" t="s">
        <x:v>34</x:v>
      </x:c>
      <x:c r="D300" s="58" t="s">
        <x:v>60</x:v>
      </x:c>
      <x:c r="E300" s="58" t="s">
        <x:v>70</x:v>
      </x:c>
      <x:c r="F300" s="59" t="s">
        <x:v>74</x:v>
      </x:c>
      <x:c r="G300" s="59" t="s">
        <x:v>734</x:v>
      </x:c>
      <x:c r="H300" s="59" t="s">
        <x:v>519</x:v>
      </x:c>
      <x:c r="I300" s="59" t="s">
        <x:v>112</x:v>
      </x:c>
      <x:c r="J300" s="59">
        <x:v>2021</x:v>
      </x:c>
      <x:c r="K300" s="59">
        <x:v>34</x:v>
      </x:c>
      <x:c r="L300" s="58">
        <x:v>34</x:v>
      </x:c>
      <x:c r="M300" s="59">
        <x:v>34</x:v>
      </x:c>
      <x:c r="N300" s="59" t="s">
        <x:v>41</x:v>
      </x:c>
      <x:c r="O300" s="59" t="s">
        <x:v>42</x:v>
      </x:c>
      <x:c r="Q300" s="23" t="s">
        <x:v>43</x:v>
      </x:c>
      <x:c r="R300" s="23" t="s">
        <x:v>88</x:v>
      </x:c>
      <x:c r="S300" s="58"/>
      <x:c r="T300" s="58"/>
      <x:c r="U300" s="58"/>
      <x:c r="V300" s="58"/>
      <x:c r="W300" s="58"/>
      <x:c r="X300" s="60"/>
      <x:c r="Y300" s="60"/>
      <x:c r="Z300" s="58"/>
      <x:c r="AA300" s="60"/>
      <x:c r="AB300" s="60"/>
      <x:c r="AC300" s="61">
        <x:f t="shared" si="18"/>
        <x:v>1</x:v>
      </x:c>
      <x:c r="AD300" s="61">
        <x:f t="shared" si="19"/>
        <x:v>1</x:v>
      </x:c>
    </x:row>
    <x:row r="301" s="59" customFormat="1" ht="12.5">
      <x:c r="A301" s="63">
        <x:v>296</x:v>
      </x:c>
      <x:c r="B301" s="58" t="s">
        <x:v>735</x:v>
      </x:c>
      <x:c r="C301" s="59" t="s">
        <x:v>34</x:v>
      </x:c>
      <x:c r="D301" s="58" t="s">
        <x:v>35</x:v>
      </x:c>
      <x:c r="E301" s="58" t="s">
        <x:v>36</x:v>
      </x:c>
      <x:c r="F301" s="59" t="s">
        <x:v>732</x:v>
      </x:c>
      <x:c r="G301" s="59" t="s">
        <x:v>734</x:v>
      </x:c>
      <x:c r="H301" s="59" t="s">
        <x:v>736</x:v>
      </x:c>
      <x:c r="I301" s="59" t="s">
        <x:v>112</x:v>
      </x:c>
      <x:c r="J301" s="59">
        <x:v>2022</x:v>
      </x:c>
      <x:c r="K301" s="59">
        <x:v>58</x:v>
      </x:c>
      <x:c r="L301" s="58">
        <x:v>58</x:v>
      </x:c>
      <x:c r="M301" s="59">
        <x:v>0</x:v>
      </x:c>
      <x:c r="N301" s="59" t="s">
        <x:v>41</x:v>
      </x:c>
      <x:c r="O301" s="59" t="s">
        <x:v>42</x:v>
      </x:c>
      <x:c r="Q301" s="23" t="s">
        <x:v>43</x:v>
      </x:c>
      <x:c r="S301" s="58"/>
      <x:c r="T301" s="58"/>
      <x:c r="U301" s="58"/>
      <x:c r="V301" s="58">
        <x:v>-2.1086290000000001</x:v>
      </x:c>
      <x:c r="W301" s="58">
        <x:v>106.080664</x:v>
      </x:c>
      <x:c r="X301" s="60"/>
      <x:c r="Y301" s="60"/>
      <x:c r="Z301" s="58"/>
      <x:c r="AA301" s="60"/>
      <x:c r="AB301" s="60"/>
      <x:c r="AC301" s="61">
        <x:f t="shared" si="18"/>
        <x:v>1</x:v>
      </x:c>
      <x:c r="AD301" s="61">
        <x:f t="shared" si="19"/>
        <x:v>0</x:v>
      </x:c>
    </x:row>
    <x:row r="302" s="59" customFormat="1" ht="12.5">
      <x:c r="A302" s="63">
        <x:v>297</x:v>
      </x:c>
      <x:c r="B302" s="58" t="s">
        <x:v>737</x:v>
      </x:c>
      <x:c r="C302" s="59" t="s">
        <x:v>34</x:v>
      </x:c>
      <x:c r="D302" s="58" t="s">
        <x:v>60</x:v>
      </x:c>
      <x:c r="E302" s="58" t="s">
        <x:v>61</x:v>
      </x:c>
      <x:c r="F302" s="59" t="s">
        <x:v>738</x:v>
      </x:c>
      <x:c r="G302" s="59" t="s">
        <x:v>734</x:v>
      </x:c>
      <x:c r="H302" s="59" t="s">
        <x:v>519</x:v>
      </x:c>
      <x:c r="I302" s="59" t="s">
        <x:v>112</x:v>
      </x:c>
      <x:c r="J302" s="59">
        <x:v>2022</x:v>
      </x:c>
      <x:c r="K302" s="59">
        <x:v>36</x:v>
      </x:c>
      <x:c r="L302" s="58">
        <x:v>33</x:v>
      </x:c>
      <x:c r="M302" s="59">
        <x:v>33</x:v>
      </x:c>
      <x:c r="N302" s="59" t="s">
        <x:v>41</x:v>
      </x:c>
      <x:c r="O302" s="59" t="s">
        <x:v>42</x:v>
      </x:c>
      <x:c r="Q302" s="23" t="s">
        <x:v>43</x:v>
      </x:c>
      <x:c r="S302" s="58"/>
      <x:c r="T302" s="58"/>
      <x:c r="U302" s="58"/>
      <x:c r="V302" s="58">
        <x:v>-2.1061350000000001</x:v>
      </x:c>
      <x:c r="W302" s="58">
        <x:v>106.102529</x:v>
      </x:c>
      <x:c r="X302" s="60"/>
      <x:c r="Y302" s="60"/>
      <x:c r="Z302" s="58"/>
      <x:c r="AA302" s="60"/>
      <x:c r="AB302" s="60"/>
      <x:c r="AC302" s="61">
        <x:f t="shared" si="18"/>
        <x:v>0.91666666666666663</x:v>
      </x:c>
      <x:c r="AD302" s="61">
        <x:f t="shared" si="19"/>
        <x:v>1</x:v>
      </x:c>
    </x:row>
    <x:row r="303" s="59" customFormat="1" ht="12.5">
      <x:c r="A303" s="63">
        <x:v>298</x:v>
      </x:c>
      <x:c r="B303" s="58" t="s">
        <x:v>739</x:v>
      </x:c>
      <x:c r="C303" s="59" t="s">
        <x:v>34</x:v>
      </x:c>
      <x:c r="D303" s="58" t="s">
        <x:v>35</x:v>
      </x:c>
      <x:c r="E303" s="58" t="s">
        <x:v>36</x:v>
      </x:c>
      <x:c r="F303" s="59" t="s">
        <x:v>104</x:v>
      </x:c>
      <x:c r="G303" s="59" t="s">
        <x:v>734</x:v>
      </x:c>
      <x:c r="H303" s="59" t="s">
        <x:v>736</x:v>
      </x:c>
      <x:c r="I303" s="59" t="s">
        <x:v>112</x:v>
      </x:c>
      <x:c r="J303" s="59">
        <x:v>2023</x:v>
      </x:c>
      <x:c r="K303" s="59">
        <x:v>35</x:v>
      </x:c>
      <x:c r="L303" s="58">
        <x:v>29</x:v>
      </x:c>
      <x:c r="M303" s="59">
        <x:v>0</x:v>
      </x:c>
      <x:c r="N303" s="59" t="s">
        <x:v>41</x:v>
      </x:c>
      <x:c r="O303" s="59" t="s">
        <x:v>42</x:v>
      </x:c>
      <x:c r="Q303" s="23" t="s">
        <x:v>43</x:v>
      </x:c>
      <x:c r="R303" s="23" t="s">
        <x:v>88</x:v>
      </x:c>
      <x:c r="S303" s="58"/>
      <x:c r="T303" s="58"/>
      <x:c r="U303" s="58"/>
      <x:c r="V303" s="58">
        <x:v>-2.1097893000000001</x:v>
      </x:c>
      <x:c r="W303" s="58">
        <x:v>106.0797096</x:v>
      </x:c>
      <x:c r="X303" s="60"/>
      <x:c r="Y303" s="60"/>
      <x:c r="Z303" s="58"/>
      <x:c r="AA303" s="60"/>
      <x:c r="AB303" s="60"/>
      <x:c r="AC303" s="61">
        <x:f t="shared" si="18"/>
        <x:v>0.82857142857142863</x:v>
      </x:c>
      <x:c r="AD303" s="61">
        <x:f t="shared" si="19"/>
        <x:v>0</x:v>
      </x:c>
    </x:row>
    <x:row r="304" s="59" customFormat="1" ht="12.5">
      <x:c r="A304" s="63">
        <x:v>299</x:v>
      </x:c>
      <x:c r="B304" s="58" t="s">
        <x:v>740</x:v>
      </x:c>
      <x:c r="C304" s="59" t="s">
        <x:v>34</x:v>
      </x:c>
      <x:c r="D304" s="58" t="s">
        <x:v>60</x:v>
      </x:c>
      <x:c r="E304" s="58" t="s">
        <x:v>60</x:v>
      </x:c>
      <x:c r="F304" s="59" t="s">
        <x:v>741</x:v>
      </x:c>
      <x:c r="G304" s="59" t="s">
        <x:v>734</x:v>
      </x:c>
      <x:c r="H304" s="59" t="s">
        <x:v>736</x:v>
      </x:c>
      <x:c r="I304" s="59" t="s">
        <x:v>112</x:v>
      </x:c>
      <x:c r="J304" s="59">
        <x:v>2024</x:v>
      </x:c>
      <x:c r="K304" s="59">
        <x:v>62</x:v>
      </x:c>
      <x:c r="L304" s="58">
        <x:v>0</x:v>
      </x:c>
      <x:c r="M304" s="59">
        <x:v>0</x:v>
      </x:c>
      <x:c r="N304" s="59" t="s">
        <x:v>41</x:v>
      </x:c>
      <x:c r="O304" s="59" t="s">
        <x:v>42</x:v>
      </x:c>
      <x:c r="Q304" s="23" t="s">
        <x:v>43</x:v>
      </x:c>
      <x:c r="S304" s="58"/>
      <x:c r="T304" s="58"/>
      <x:c r="U304" s="58"/>
      <x:c r="V304" s="58">
        <x:v>-2.10541</x:v>
      </x:c>
      <x:c r="W304" s="58">
        <x:v>106.107096</x:v>
      </x:c>
      <x:c r="X304" s="60"/>
      <x:c r="Y304" s="60"/>
      <x:c r="Z304" s="58"/>
      <x:c r="AA304" s="60"/>
      <x:c r="AB304" s="60"/>
      <x:c r="AC304" s="61">
        <x:f t="shared" si="18"/>
        <x:v>0</x:v>
      </x:c>
      <x:c r="AD304" s="61">
        <x:f t="shared" si="19"/>
        <x:v>0</x:v>
      </x:c>
    </x:row>
    <x:row r="305" s="59" customFormat="1" ht="12.5">
      <x:c r="A305" s="63">
        <x:v>300</x:v>
      </x:c>
      <x:c r="B305" s="58" t="s">
        <x:v>742</x:v>
      </x:c>
      <x:c r="C305" s="59" t="s">
        <x:v>34</x:v>
      </x:c>
      <x:c r="D305" s="58" t="s">
        <x:v>35</x:v>
      </x:c>
      <x:c r="E305" s="58" t="s">
        <x:v>136</x:v>
      </x:c>
      <x:c r="F305" s="59" t="s">
        <x:v>62</x:v>
      </x:c>
      <x:c r="G305" s="59" t="s">
        <x:v>734</x:v>
      </x:c>
      <x:c r="H305" s="59" t="s">
        <x:v>519</x:v>
      </x:c>
      <x:c r="I305" s="59" t="s">
        <x:v>112</x:v>
      </x:c>
      <x:c r="J305" s="59">
        <x:v>2019</x:v>
      </x:c>
      <x:c r="K305" s="59">
        <x:v>115</x:v>
      </x:c>
      <x:c r="L305" s="58">
        <x:v>115</x:v>
      </x:c>
      <x:c r="M305" s="59">
        <x:v>115</x:v>
      </x:c>
      <x:c r="N305" s="59" t="s">
        <x:v>41</x:v>
      </x:c>
      <x:c r="O305" s="59" t="s">
        <x:v>42</x:v>
      </x:c>
      <x:c r="Q305" s="23" t="s">
        <x:v>43</x:v>
      </x:c>
      <x:c r="S305" s="58"/>
      <x:c r="T305" s="58"/>
      <x:c r="U305" s="58"/>
      <x:c r="V305" s="58">
        <x:v>-2.1040869999999998</x:v>
      </x:c>
      <x:c r="W305" s="58">
        <x:v>106.09254199999999</x:v>
      </x:c>
      <x:c r="X305" s="60"/>
      <x:c r="Y305" s="60"/>
      <x:c r="Z305" s="58"/>
      <x:c r="AA305" s="60"/>
      <x:c r="AB305" s="60"/>
      <x:c r="AC305" s="61">
        <x:f t="shared" si="18"/>
        <x:v>1</x:v>
      </x:c>
      <x:c r="AD305" s="61">
        <x:f t="shared" si="19"/>
        <x:v>1</x:v>
      </x:c>
    </x:row>
    <x:row r="306" s="59" customFormat="1" ht="12.5">
      <x:c r="A306" s="63">
        <x:v>301</x:v>
      </x:c>
      <x:c r="B306" s="58" t="s">
        <x:v>743</x:v>
      </x:c>
      <x:c r="C306" s="59" t="s">
        <x:v>34</x:v>
      </x:c>
      <x:c r="D306" s="58" t="s">
        <x:v>35</x:v>
      </x:c>
      <x:c r="E306" s="58" t="s">
        <x:v>136</x:v>
      </x:c>
      <x:c r="F306" s="59" t="s">
        <x:v>62</x:v>
      </x:c>
      <x:c r="G306" s="59" t="s">
        <x:v>734</x:v>
      </x:c>
      <x:c r="H306" s="59" t="s">
        <x:v>519</x:v>
      </x:c>
      <x:c r="I306" s="59" t="s">
        <x:v>112</x:v>
      </x:c>
      <x:c r="J306" s="59">
        <x:v>2019</x:v>
      </x:c>
      <x:c r="K306" s="59">
        <x:v>83</x:v>
      </x:c>
      <x:c r="L306" s="58">
        <x:v>63</x:v>
      </x:c>
      <x:c r="M306" s="59">
        <x:v>45</x:v>
      </x:c>
      <x:c r="N306" s="59" t="s">
        <x:v>41</x:v>
      </x:c>
      <x:c r="O306" s="59" t="s">
        <x:v>42</x:v>
      </x:c>
      <x:c r="Q306" s="23" t="s">
        <x:v>43</x:v>
      </x:c>
      <x:c r="S306" s="58"/>
      <x:c r="T306" s="58"/>
      <x:c r="U306" s="58"/>
      <x:c r="V306" s="58">
        <x:v>-2.1046480000000001</x:v>
      </x:c>
      <x:c r="W306" s="58">
        <x:v>106.093439</x:v>
      </x:c>
      <x:c r="X306" s="60"/>
      <x:c r="Y306" s="60"/>
      <x:c r="Z306" s="58"/>
      <x:c r="AA306" s="60"/>
      <x:c r="AB306" s="60"/>
      <x:c r="AC306" s="61">
        <x:f t="shared" si="18"/>
        <x:v>0.75903614457831325</x:v>
      </x:c>
      <x:c r="AD306" s="61">
        <x:f t="shared" si="19"/>
        <x:v>0.7142857142857143</x:v>
      </x:c>
    </x:row>
    <x:row r="307" s="59" customFormat="1" ht="12.5">
      <x:c r="A307" s="63">
        <x:v>302</x:v>
      </x:c>
      <x:c r="B307" s="58" t="s">
        <x:v>744</x:v>
      </x:c>
      <x:c r="C307" s="59" t="s">
        <x:v>170</x:v>
      </x:c>
      <x:c r="D307" s="58" t="s">
        <x:v>81</x:v>
      </x:c>
      <x:c r="E307" s="58" t="s">
        <x:v>202</x:v>
      </x:c>
      <x:c r="F307" s="59" t="s">
        <x:v>745</x:v>
      </x:c>
      <x:c r="G307" s="59" t="s">
        <x:v>42</x:v>
      </x:c>
      <x:c r="H307" s="59" t="s">
        <x:v>42</x:v>
      </x:c>
      <x:c r="I307" s="59" t="s">
        <x:v>42</x:v>
      </x:c>
      <x:c r="J307" s="59" t="s">
        <x:v>42</x:v>
      </x:c>
      <x:c r="K307" s="59">
        <x:v>90</x:v>
      </x:c>
      <x:c r="L307" s="58">
        <x:v>0</x:v>
      </x:c>
      <x:c r="M307" s="59">
        <x:v>0</x:v>
      </x:c>
      <x:c r="N307" s="59" t="s">
        <x:v>41</x:v>
      </x:c>
      <x:c r="O307" s="59" t="s">
        <x:v>42</x:v>
      </x:c>
      <x:c r="Q307" s="59" t="s">
        <x:v>72</x:v>
      </x:c>
      <x:c r="S307" s="58"/>
      <x:c r="T307" s="58"/>
      <x:c r="U307" s="58"/>
      <x:c r="V307" s="58"/>
      <x:c r="W307" s="58"/>
      <x:c r="X307" s="60"/>
      <x:c r="Y307" s="60"/>
      <x:c r="Z307" s="58"/>
      <x:c r="AA307" s="60"/>
      <x:c r="AB307" s="60"/>
      <x:c r="AC307" s="61">
        <x:f t="shared" si="18"/>
        <x:v>0</x:v>
      </x:c>
      <x:c r="AD307" s="61">
        <x:f t="shared" si="19"/>
        <x:v>0</x:v>
      </x:c>
    </x:row>
    <x:row r="308" s="59" customFormat="1" ht="12.5">
      <x:c r="A308" s="63">
        <x:v>303</x:v>
      </x:c>
      <x:c r="B308" s="58" t="s">
        <x:v>746</x:v>
      </x:c>
      <x:c r="C308" s="59" t="s">
        <x:v>34</x:v>
      </x:c>
      <x:c r="D308" s="58" t="s">
        <x:v>35</x:v>
      </x:c>
      <x:c r="E308" s="58" t="s">
        <x:v>36</x:v>
      </x:c>
      <x:c r="F308" s="59" t="s">
        <x:v>396</x:v>
      </x:c>
      <x:c r="G308" s="59" t="s">
        <x:v>747</x:v>
      </x:c>
      <x:c r="H308" s="59" t="s">
        <x:v>748</x:v>
      </x:c>
      <x:c r="I308" s="59" t="s">
        <x:v>86</x:v>
      </x:c>
      <x:c r="J308" s="59">
        <x:v>2015</x:v>
      </x:c>
      <x:c r="K308" s="59">
        <x:v>75</x:v>
      </x:c>
      <x:c r="L308" s="58">
        <x:v>27</x:v>
      </x:c>
      <x:c r="M308" s="59">
        <x:v>27</x:v>
      </x:c>
      <x:c r="N308" s="59" t="s">
        <x:v>41</x:v>
      </x:c>
      <x:c r="O308" s="59" t="s">
        <x:v>42</x:v>
      </x:c>
      <x:c r="Q308" s="23" t="s">
        <x:v>43</x:v>
      </x:c>
      <x:c r="R308" s="23" t="s">
        <x:v>88</x:v>
      </x:c>
      <x:c r="S308" s="58"/>
      <x:c r="T308" s="58"/>
      <x:c r="U308" s="58"/>
      <x:c r="V308" s="58"/>
      <x:c r="W308" s="58"/>
      <x:c r="X308" s="60"/>
      <x:c r="Y308" s="60"/>
      <x:c r="Z308" s="58"/>
      <x:c r="AA308" s="60"/>
      <x:c r="AB308" s="60"/>
      <x:c r="AC308" s="61">
        <x:f t="shared" si="18"/>
        <x:v>0.36</x:v>
      </x:c>
      <x:c r="AD308" s="61">
        <x:f t="shared" si="19"/>
        <x:v>1</x:v>
      </x:c>
    </x:row>
    <x:row r="309" s="59" customFormat="1" ht="12.5">
      <x:c r="A309" s="63">
        <x:v>304</x:v>
      </x:c>
      <x:c r="B309" s="58" t="s">
        <x:v>749</x:v>
      </x:c>
      <x:c r="C309" s="59" t="s">
        <x:v>34</x:v>
      </x:c>
      <x:c r="D309" s="58" t="s">
        <x:v>35</x:v>
      </x:c>
      <x:c r="E309" s="58" t="s">
        <x:v>184</x:v>
      </x:c>
      <x:c r="F309" s="59" t="s">
        <x:v>185</x:v>
      </x:c>
      <x:c r="G309" s="59" t="s">
        <x:v>747</x:v>
      </x:c>
      <x:c r="H309" s="59" t="s">
        <x:v>748</x:v>
      </x:c>
      <x:c r="I309" s="59" t="s">
        <x:v>86</x:v>
      </x:c>
      <x:c r="J309" s="59">
        <x:v>2018</x:v>
      </x:c>
      <x:c r="K309" s="59">
        <x:v>45</x:v>
      </x:c>
      <x:c r="L309" s="58">
        <x:v>43</x:v>
      </x:c>
      <x:c r="M309" s="59">
        <x:v>43</x:v>
      </x:c>
      <x:c r="N309" s="59" t="s">
        <x:v>41</x:v>
      </x:c>
      <x:c r="O309" s="59" t="s">
        <x:v>42</x:v>
      </x:c>
      <x:c r="Q309" s="23" t="s">
        <x:v>43</x:v>
      </x:c>
      <x:c r="S309" s="58"/>
      <x:c r="T309" s="58"/>
      <x:c r="U309" s="58"/>
      <x:c r="V309" s="58">
        <x:v>-2.1097419999999998</x:v>
      </x:c>
      <x:c r="W309" s="58">
        <x:v>106.090282</x:v>
      </x:c>
      <x:c r="X309" s="60"/>
      <x:c r="Y309" s="60"/>
      <x:c r="Z309" s="58"/>
      <x:c r="AA309" s="60"/>
      <x:c r="AB309" s="60"/>
      <x:c r="AC309" s="61">
        <x:f t="shared" si="18"/>
        <x:v>0.9555555555555556</x:v>
      </x:c>
      <x:c r="AD309" s="61">
        <x:f t="shared" si="19"/>
        <x:v>1</x:v>
      </x:c>
    </x:row>
    <x:row r="310" s="59" customFormat="1" ht="12.5">
      <x:c r="A310" s="63">
        <x:v>305</x:v>
      </x:c>
      <x:c r="B310" s="58" t="s">
        <x:v>750</x:v>
      </x:c>
      <x:c r="C310" s="59" t="s">
        <x:v>34</x:v>
      </x:c>
      <x:c r="D310" s="58" t="s">
        <x:v>35</x:v>
      </x:c>
      <x:c r="E310" s="58" t="s">
        <x:v>136</x:v>
      </x:c>
      <x:c r="F310" s="59" t="s">
        <x:v>185</x:v>
      </x:c>
      <x:c r="G310" s="59" t="s">
        <x:v>751</x:v>
      </x:c>
      <x:c r="H310" s="59" t="s">
        <x:v>748</x:v>
      </x:c>
      <x:c r="I310" s="59" t="s">
        <x:v>86</x:v>
      </x:c>
      <x:c r="J310" s="59">
        <x:v>2018</x:v>
      </x:c>
      <x:c r="K310" s="59">
        <x:v>58</x:v>
      </x:c>
      <x:c r="L310" s="58">
        <x:v>0</x:v>
      </x:c>
      <x:c r="M310" s="59">
        <x:v>0</x:v>
      </x:c>
      <x:c r="N310" s="59" t="s">
        <x:v>41</x:v>
      </x:c>
      <x:c r="O310" s="59" t="s">
        <x:v>42</x:v>
      </x:c>
      <x:c r="Q310" s="23" t="s">
        <x:v>43</x:v>
      </x:c>
      <x:c r="S310" s="58"/>
      <x:c r="T310" s="58"/>
      <x:c r="U310" s="58"/>
      <x:c r="V310" s="58">
        <x:v>-2.1087570000000002</x:v>
      </x:c>
      <x:c r="W310" s="58">
        <x:v>106.08998630000001</x:v>
      </x:c>
      <x:c r="X310" s="60"/>
      <x:c r="Y310" s="60"/>
      <x:c r="Z310" s="58"/>
      <x:c r="AA310" s="60"/>
      <x:c r="AB310" s="60"/>
      <x:c r="AC310" s="61">
        <x:f t="shared" si="18"/>
        <x:v>0</x:v>
      </x:c>
      <x:c r="AD310" s="61">
        <x:f t="shared" si="19"/>
        <x:v>0</x:v>
      </x:c>
    </x:row>
    <x:row r="311" s="59" customFormat="1" ht="12.5">
      <x:c r="A311" s="63">
        <x:v>306</x:v>
      </x:c>
      <x:c r="B311" s="58" t="s">
        <x:v>752</x:v>
      </x:c>
      <x:c r="C311" s="59" t="s">
        <x:v>34</x:v>
      </x:c>
      <x:c r="D311" s="58" t="s">
        <x:v>81</x:v>
      </x:c>
      <x:c r="E311" s="58" t="s">
        <x:v>202</x:v>
      </x:c>
      <x:c r="F311" s="59" t="s">
        <x:v>455</x:v>
      </x:c>
      <x:c r="G311" s="59" t="s">
        <x:v>753</x:v>
      </x:c>
      <x:c r="H311" s="59" t="s">
        <x:v>754</x:v>
      </x:c>
      <x:c r="I311" s="59" t="s">
        <x:v>86</x:v>
      </x:c>
      <x:c r="J311" s="59">
        <x:v>2021</x:v>
      </x:c>
      <x:c r="K311" s="59">
        <x:v>35</x:v>
      </x:c>
      <x:c r="L311" s="58">
        <x:v>7</x:v>
      </x:c>
      <x:c r="M311" s="59">
        <x:v>7</x:v>
      </x:c>
      <x:c r="N311" s="59" t="s">
        <x:v>41</x:v>
      </x:c>
      <x:c r="O311" s="59" t="s">
        <x:v>42</x:v>
      </x:c>
      <x:c r="Q311" s="23" t="s">
        <x:v>43</x:v>
      </x:c>
      <x:c r="R311" s="23" t="s">
        <x:v>88</x:v>
      </x:c>
      <x:c r="S311" s="58"/>
      <x:c r="T311" s="58"/>
      <x:c r="U311" s="58"/>
      <x:c r="V311" s="58">
        <x:v>-2.1579456000000001</x:v>
      </x:c>
      <x:c r="W311" s="58">
        <x:v>106.1530825</x:v>
      </x:c>
      <x:c r="X311" s="60"/>
      <x:c r="Y311" s="60"/>
      <x:c r="Z311" s="58"/>
      <x:c r="AA311" s="60"/>
      <x:c r="AB311" s="60"/>
      <x:c r="AC311" s="61">
        <x:f t="shared" si="18"/>
        <x:v>0.2</x:v>
      </x:c>
      <x:c r="AD311" s="61">
        <x:f t="shared" si="19"/>
        <x:v>1</x:v>
      </x:c>
    </x:row>
    <x:row r="312" s="59" customFormat="1" ht="12.5">
      <x:c r="A312" s="63">
        <x:v>307</x:v>
      </x:c>
      <x:c r="B312" s="58" t="s">
        <x:v>755</x:v>
      </x:c>
      <x:c r="C312" s="59" t="s">
        <x:v>34</x:v>
      </x:c>
      <x:c r="D312" s="58" t="s">
        <x:v>60</x:v>
      </x:c>
      <x:c r="E312" s="58" t="s">
        <x:v>70</x:v>
      </x:c>
      <x:c r="F312" s="59" t="s">
        <x:v>472</x:v>
      </x:c>
      <x:c r="G312" s="59" t="s">
        <x:v>756</x:v>
      </x:c>
      <x:c r="H312" s="59" t="s">
        <x:v>338</x:v>
      </x:c>
      <x:c r="I312" s="59" t="s">
        <x:v>42</x:v>
      </x:c>
      <x:c r="J312" s="59">
        <x:v>2017</x:v>
      </x:c>
      <x:c r="K312" s="59">
        <x:v>38</x:v>
      </x:c>
      <x:c r="L312" s="58">
        <x:v>29</x:v>
      </x:c>
      <x:c r="M312" s="59">
        <x:v>29</x:v>
      </x:c>
      <x:c r="N312" s="59" t="s">
        <x:v>41</x:v>
      </x:c>
      <x:c r="O312" s="59" t="s">
        <x:v>42</x:v>
      </x:c>
      <x:c r="Q312" s="23" t="s">
        <x:v>43</x:v>
      </x:c>
      <x:c r="S312" s="58"/>
      <x:c r="T312" s="58"/>
      <x:c r="U312" s="58"/>
      <x:c r="V312" s="58"/>
      <x:c r="W312" s="58"/>
      <x:c r="X312" s="60"/>
      <x:c r="Y312" s="60"/>
      <x:c r="Z312" s="58"/>
      <x:c r="AA312" s="60"/>
      <x:c r="AB312" s="60"/>
      <x:c r="AC312" s="61">
        <x:f t="shared" si="18"/>
        <x:v>0.76315789473684215</x:v>
      </x:c>
      <x:c r="AD312" s="61">
        <x:f t="shared" si="19"/>
        <x:v>1</x:v>
      </x:c>
    </x:row>
    <x:row r="313" s="59" customFormat="1" ht="12.5">
      <x:c r="A313" s="63">
        <x:v>308</x:v>
      </x:c>
      <x:c r="B313" s="58" t="s">
        <x:v>757</x:v>
      </x:c>
      <x:c r="C313" s="59" t="s">
        <x:v>34</x:v>
      </x:c>
      <x:c r="D313" s="58" t="s">
        <x:v>35</x:v>
      </x:c>
      <x:c r="E313" s="58" t="s">
        <x:v>36</x:v>
      </x:c>
      <x:c r="F313" s="59" t="s">
        <x:v>62</x:v>
      </x:c>
      <x:c r="G313" s="59" t="s">
        <x:v>356</x:v>
      </x:c>
      <x:c r="H313" s="59" t="s">
        <x:v>357</x:v>
      </x:c>
      <x:c r="I313" s="59" t="s">
        <x:v>112</x:v>
      </x:c>
      <x:c r="J313" s="59">
        <x:v>2017</x:v>
      </x:c>
      <x:c r="K313" s="59">
        <x:v>100</x:v>
      </x:c>
      <x:c r="L313" s="58">
        <x:v>98</x:v>
      </x:c>
      <x:c r="M313" s="59">
        <x:v>98</x:v>
      </x:c>
      <x:c r="N313" s="59" t="s">
        <x:v>41</x:v>
      </x:c>
      <x:c r="O313" s="59" t="s">
        <x:v>42</x:v>
      </x:c>
      <x:c r="Q313" s="23" t="s">
        <x:v>43</x:v>
      </x:c>
      <x:c r="R313" s="23" t="s">
        <x:v>88</x:v>
      </x:c>
      <x:c r="S313" s="58"/>
      <x:c r="T313" s="58"/>
      <x:c r="U313" s="58"/>
      <x:c r="V313" s="58">
        <x:v>-2.1049924</x:v>
      </x:c>
      <x:c r="W313" s="58">
        <x:v>106.0809118</x:v>
      </x:c>
      <x:c r="X313" s="60"/>
      <x:c r="Y313" s="60"/>
      <x:c r="Z313" s="58"/>
      <x:c r="AA313" s="60"/>
      <x:c r="AB313" s="60"/>
      <x:c r="AC313" s="61">
        <x:f t="shared" si="18"/>
        <x:v>0.98</x:v>
      </x:c>
      <x:c r="AD313" s="61">
        <x:f t="shared" si="19"/>
        <x:v>1</x:v>
      </x:c>
    </x:row>
    <x:row r="314" s="59" customFormat="1" ht="12.5">
      <x:c r="A314" s="63">
        <x:v>309</x:v>
      </x:c>
      <x:c r="B314" s="58" t="s">
        <x:v>758</x:v>
      </x:c>
      <x:c r="C314" s="59" t="s">
        <x:v>34</x:v>
      </x:c>
      <x:c r="D314" s="58" t="s">
        <x:v>306</x:v>
      </x:c>
      <x:c r="E314" s="58" t="s">
        <x:v>307</x:v>
      </x:c>
      <x:c r="F314" s="59" t="s">
        <x:v>759</x:v>
      </x:c>
      <x:c r="G314" s="59" t="s">
        <x:v>42</x:v>
      </x:c>
      <x:c r="H314" s="59" t="s">
        <x:v>42</x:v>
      </x:c>
      <x:c r="I314" s="59" t="s">
        <x:v>42</x:v>
      </x:c>
      <x:c r="J314" s="59">
        <x:v>2016</x:v>
      </x:c>
      <x:c r="K314" s="59">
        <x:v>45</x:v>
      </x:c>
      <x:c r="L314" s="58">
        <x:v>45</x:v>
      </x:c>
      <x:c r="M314" s="59">
        <x:v>45</x:v>
      </x:c>
      <x:c r="N314" s="59" t="s">
        <x:v>41</x:v>
      </x:c>
      <x:c r="O314" s="59" t="s">
        <x:v>42</x:v>
      </x:c>
      <x:c r="Q314" s="23" t="s">
        <x:v>43</x:v>
      </x:c>
      <x:c r="R314" s="23" t="s">
        <x:v>88</x:v>
      </x:c>
      <x:c r="S314" s="58"/>
      <x:c r="T314" s="58"/>
      <x:c r="U314" s="58"/>
      <x:c r="V314" s="58"/>
      <x:c r="W314" s="58"/>
      <x:c r="X314" s="60"/>
      <x:c r="Y314" s="60"/>
      <x:c r="Z314" s="58"/>
      <x:c r="AA314" s="60"/>
      <x:c r="AB314" s="60"/>
      <x:c r="AC314" s="61">
        <x:f t="shared" si="18"/>
        <x:v>1</x:v>
      </x:c>
      <x:c r="AD314" s="61">
        <x:f t="shared" si="19"/>
        <x:v>1</x:v>
      </x:c>
    </x:row>
    <x:row r="315" s="59" customFormat="1" ht="12.5">
      <x:c r="A315" s="63">
        <x:v>310</x:v>
      </x:c>
      <x:c r="B315" s="58" t="s">
        <x:v>760</x:v>
      </x:c>
      <x:c r="C315" s="59" t="s">
        <x:v>34</x:v>
      </x:c>
      <x:c r="D315" s="58" t="s">
        <x:v>306</x:v>
      </x:c>
      <x:c r="E315" s="58" t="s">
        <x:v>307</x:v>
      </x:c>
      <x:c r="F315" s="59" t="s">
        <x:v>761</x:v>
      </x:c>
      <x:c r="G315" s="59" t="s">
        <x:v>42</x:v>
      </x:c>
      <x:c r="H315" s="59" t="s">
        <x:v>42</x:v>
      </x:c>
      <x:c r="I315" s="59" t="s">
        <x:v>42</x:v>
      </x:c>
      <x:c r="J315" s="59" t="s">
        <x:v>42</x:v>
      </x:c>
      <x:c r="K315" s="59">
        <x:v>18</x:v>
      </x:c>
      <x:c r="L315" s="58">
        <x:v>18</x:v>
      </x:c>
      <x:c r="M315" s="59">
        <x:v>18</x:v>
      </x:c>
      <x:c r="N315" s="59" t="s">
        <x:v>41</x:v>
      </x:c>
      <x:c r="O315" s="59" t="s">
        <x:v>42</x:v>
      </x:c>
      <x:c r="Q315" s="23" t="s">
        <x:v>43</x:v>
      </x:c>
      <x:c r="S315" s="58"/>
      <x:c r="T315" s="58"/>
      <x:c r="U315" s="58"/>
      <x:c r="V315" s="58">
        <x:v>-2.1483458</x:v>
      </x:c>
      <x:c r="W315" s="58">
        <x:v>106.1082993</x:v>
      </x:c>
      <x:c r="X315" s="60"/>
      <x:c r="Y315" s="60"/>
      <x:c r="Z315" s="58"/>
      <x:c r="AA315" s="60"/>
      <x:c r="AB315" s="60"/>
      <x:c r="AC315" s="61">
        <x:f t="shared" si="18"/>
        <x:v>1</x:v>
      </x:c>
      <x:c r="AD315" s="61">
        <x:f t="shared" si="19"/>
        <x:v>1</x:v>
      </x:c>
    </x:row>
    <x:row r="316" s="59" customFormat="1" ht="12.5">
      <x:c r="A316" s="63">
        <x:v>311</x:v>
      </x:c>
      <x:c r="B316" s="58" t="s">
        <x:v>762</x:v>
      </x:c>
      <x:c r="C316" s="59" t="s">
        <x:v>34</x:v>
      </x:c>
      <x:c r="D316" s="58" t="s">
        <x:v>35</x:v>
      </x:c>
      <x:c r="E316" s="58" t="s">
        <x:v>36</x:v>
      </x:c>
      <x:c r="F316" s="59" t="s">
        <x:v>763</x:v>
      </x:c>
      <x:c r="G316" s="59" t="s">
        <x:v>764</x:v>
      </x:c>
      <x:c r="H316" s="59" t="s">
        <x:v>765</x:v>
      </x:c>
      <x:c r="I316" s="59" t="s">
        <x:v>86</x:v>
      </x:c>
      <x:c r="J316" s="59">
        <x:v>2017</x:v>
      </x:c>
      <x:c r="K316" s="59">
        <x:v>101</x:v>
      </x:c>
      <x:c r="L316" s="58">
        <x:v>93</x:v>
      </x:c>
      <x:c r="M316" s="59">
        <x:v>92</x:v>
      </x:c>
      <x:c r="N316" s="59" t="s">
        <x:v>48</x:v>
      </x:c>
      <x:c r="O316" s="59">
        <x:v>2022</x:v>
      </x:c>
      <x:c r="Q316" s="23" t="s">
        <x:v>43</x:v>
      </x:c>
      <x:c r="S316" s="58"/>
      <x:c r="T316" s="58" t="s">
        <x:v>44</x:v>
      </x:c>
      <x:c r="U316" s="58"/>
      <x:c r="V316" s="58">
        <x:v>-2.1053109000000001</x:v>
      </x:c>
      <x:c r="W316" s="58">
        <x:v>106.0879218</x:v>
      </x:c>
      <x:c r="X316" s="60"/>
      <x:c r="Y316" s="60"/>
      <x:c r="Z316" s="58"/>
      <x:c r="AA316" s="60"/>
      <x:c r="AB316" s="60"/>
      <x:c r="AC316" s="61">
        <x:f t="shared" si="18"/>
        <x:v>0.92079207920792083</x:v>
      </x:c>
      <x:c r="AD316" s="61">
        <x:f t="shared" si="19"/>
        <x:v>0.989247311827957</x:v>
      </x:c>
    </x:row>
    <x:row r="317" s="59" customFormat="1" ht="12.5">
      <x:c r="A317" s="63">
        <x:v>312</x:v>
      </x:c>
      <x:c r="B317" s="58" t="s">
        <x:v>766</x:v>
      </x:c>
      <x:c r="C317" s="59" t="s">
        <x:v>34</x:v>
      </x:c>
      <x:c r="D317" s="58" t="s">
        <x:v>35</x:v>
      </x:c>
      <x:c r="E317" s="58" t="s">
        <x:v>36</x:v>
      </x:c>
      <x:c r="F317" s="59" t="s">
        <x:v>767</x:v>
      </x:c>
      <x:c r="G317" s="59" t="s">
        <x:v>356</x:v>
      </x:c>
      <x:c r="H317" s="59" t="s">
        <x:v>357</x:v>
      </x:c>
      <x:c r="I317" s="59" t="s">
        <x:v>112</x:v>
      </x:c>
      <x:c r="J317" s="59">
        <x:v>2016</x:v>
      </x:c>
      <x:c r="K317" s="59">
        <x:v>36</x:v>
      </x:c>
      <x:c r="L317" s="58">
        <x:v>36</x:v>
      </x:c>
      <x:c r="M317" s="59">
        <x:v>34</x:v>
      </x:c>
      <x:c r="N317" s="59" t="s">
        <x:v>48</x:v>
      </x:c>
      <x:c r="O317" s="59">
        <x:v>2023</x:v>
      </x:c>
      <x:c r="Q317" s="23" t="s">
        <x:v>43</x:v>
      </x:c>
      <x:c r="S317" s="58"/>
      <x:c r="T317" s="58"/>
      <x:c r="U317" s="58"/>
      <x:c r="V317" s="58">
        <x:v>-2.1001536000000001</x:v>
      </x:c>
      <x:c r="W317" s="58">
        <x:v>106.08345679999999</x:v>
      </x:c>
      <x:c r="X317" s="60"/>
      <x:c r="Y317" s="60"/>
      <x:c r="Z317" s="58"/>
      <x:c r="AA317" s="60"/>
      <x:c r="AB317" s="60"/>
      <x:c r="AC317" s="61">
        <x:f t="shared" si="18"/>
        <x:v>1</x:v>
      </x:c>
      <x:c r="AD317" s="61">
        <x:f t="shared" si="19"/>
        <x:v>0.94444444444444442</x:v>
      </x:c>
    </x:row>
    <x:row r="318" s="59" customFormat="1" ht="12.5">
      <x:c r="A318" s="63">
        <x:v>313</x:v>
      </x:c>
      <x:c r="B318" s="58" t="s">
        <x:v>768</x:v>
      </x:c>
      <x:c r="C318" s="59" t="s">
        <x:v>34</x:v>
      </x:c>
      <x:c r="D318" s="58" t="s">
        <x:v>35</x:v>
      </x:c>
      <x:c r="E318" s="58" t="s">
        <x:v>36</x:v>
      </x:c>
      <x:c r="F318" s="59" t="s">
        <x:v>506</x:v>
      </x:c>
      <x:c r="G318" s="59" t="s">
        <x:v>356</x:v>
      </x:c>
      <x:c r="H318" s="59" t="s">
        <x:v>357</x:v>
      </x:c>
      <x:c r="I318" s="59" t="s">
        <x:v>112</x:v>
      </x:c>
      <x:c r="J318" s="59">
        <x:v>2015</x:v>
      </x:c>
      <x:c r="K318" s="59">
        <x:v>22</x:v>
      </x:c>
      <x:c r="L318" s="58">
        <x:v>17</x:v>
      </x:c>
      <x:c r="M318" s="59">
        <x:v>17</x:v>
      </x:c>
      <x:c r="N318" s="59" t="s">
        <x:v>48</x:v>
      </x:c>
      <x:c r="O318" s="59">
        <x:v>2023</x:v>
      </x:c>
      <x:c r="Q318" s="23" t="s">
        <x:v>43</x:v>
      </x:c>
      <x:c r="S318" s="58"/>
      <x:c r="T318" s="58"/>
      <x:c r="U318" s="58"/>
      <x:c r="V318" s="58">
        <x:v>-2.1023559999999999</x:v>
      </x:c>
      <x:c r="W318" s="58">
        <x:v>106.083191</x:v>
      </x:c>
      <x:c r="X318" s="60"/>
      <x:c r="Y318" s="60"/>
      <x:c r="Z318" s="58"/>
      <x:c r="AA318" s="60"/>
      <x:c r="AB318" s="60"/>
      <x:c r="AC318" s="61">
        <x:f t="shared" si="18"/>
        <x:v>0.77272727272727271</x:v>
      </x:c>
      <x:c r="AD318" s="61">
        <x:f t="shared" si="19"/>
        <x:v>1</x:v>
      </x:c>
    </x:row>
    <x:row r="319" s="59" customFormat="1" ht="12.5">
      <x:c r="A319" s="63">
        <x:v>314</x:v>
      </x:c>
      <x:c r="B319" s="58" t="s">
        <x:v>769</x:v>
      </x:c>
      <x:c r="C319" s="59" t="s">
        <x:v>170</x:v>
      </x:c>
      <x:c r="D319" s="58" t="s">
        <x:v>81</x:v>
      </x:c>
      <x:c r="E319" s="58" t="s">
        <x:v>122</x:v>
      </x:c>
      <x:c r="F319" s="59" t="s">
        <x:v>163</x:v>
      </x:c>
      <x:c r="G319" s="59" t="s">
        <x:v>770</x:v>
      </x:c>
      <x:c r="H319" s="59" t="s">
        <x:v>771</x:v>
      </x:c>
      <x:c r="I319" s="59" t="s">
        <x:v>86</x:v>
      </x:c>
      <x:c r="J319" s="59" t="s">
        <x:v>42</x:v>
      </x:c>
      <x:c r="K319" s="59">
        <x:v>378</x:v>
      </x:c>
      <x:c r="L319" s="58">
        <x:v>257</x:v>
      </x:c>
      <x:c r="M319" s="59">
        <x:v>174</x:v>
      </x:c>
      <x:c r="N319" s="59" t="s">
        <x:v>48</x:v>
      </x:c>
      <x:c r="O319" s="59">
        <x:v>2020</x:v>
      </x:c>
      <x:c r="Q319" s="59" t="s">
        <x:v>72</x:v>
      </x:c>
      <x:c r="R319" s="59" t="s">
        <x:v>55</x:v>
      </x:c>
      <x:c r="S319" s="58"/>
      <x:c r="T319" s="58"/>
      <x:c r="U319" s="58"/>
      <x:c r="V319" s="58"/>
      <x:c r="W319" s="58"/>
      <x:c r="X319" s="60"/>
      <x:c r="Y319" s="60"/>
      <x:c r="Z319" s="58"/>
      <x:c r="AA319" s="60"/>
      <x:c r="AB319" s="60"/>
      <x:c r="AC319" s="61">
        <x:f t="shared" si="18"/>
        <x:v>0.67989417989417988</x:v>
      </x:c>
      <x:c r="AD319" s="61">
        <x:f t="shared" si="19"/>
        <x:v>0.67704280155642027</x:v>
      </x:c>
    </x:row>
    <x:row r="320" s="59" customFormat="1" ht="12.5">
      <x:c r="A320" s="63">
        <x:v>315</x:v>
      </x:c>
      <x:c r="B320" s="58" t="s">
        <x:v>772</x:v>
      </x:c>
      <x:c r="C320" s="59" t="s">
        <x:v>34</x:v>
      </x:c>
      <x:c r="D320" s="58" t="s">
        <x:v>81</x:v>
      </x:c>
      <x:c r="E320" s="58" t="s">
        <x:v>122</x:v>
      </x:c>
      <x:c r="F320" s="59" t="s">
        <x:v>773</x:v>
      </x:c>
      <x:c r="G320" s="59" t="s">
        <x:v>774</x:v>
      </x:c>
      <x:c r="H320" s="59" t="s">
        <x:v>775</x:v>
      </x:c>
      <x:c r="I320" s="59" t="s">
        <x:v>86</x:v>
      </x:c>
      <x:c r="J320" s="59">
        <x:v>2023</x:v>
      </x:c>
      <x:c r="K320" s="59">
        <x:v>111</x:v>
      </x:c>
      <x:c r="L320" s="58">
        <x:v>33</x:v>
      </x:c>
      <x:c r="M320" s="59">
        <x:v>0</x:v>
      </x:c>
      <x:c r="N320" s="59" t="s">
        <x:v>41</x:v>
      </x:c>
      <x:c r="O320" s="59" t="s">
        <x:v>42</x:v>
      </x:c>
      <x:c r="Q320" s="23" t="s">
        <x:v>43</x:v>
      </x:c>
      <x:c r="R320" s="59" t="s">
        <x:v>88</x:v>
      </x:c>
      <x:c r="S320" s="58"/>
      <x:c r="T320" s="58"/>
      <x:c r="U320" s="58"/>
      <x:c r="V320" s="58">
        <x:v>-2.1357955</x:v>
      </x:c>
      <x:c r="W320" s="58">
        <x:v>106.157904</x:v>
      </x:c>
      <x:c r="X320" s="60"/>
      <x:c r="Y320" s="60"/>
      <x:c r="Z320" s="58"/>
      <x:c r="AA320" s="60"/>
      <x:c r="AB320" s="60"/>
      <x:c r="AC320" s="61">
        <x:f t="shared" si="18"/>
        <x:v>0.29729729729729731</x:v>
      </x:c>
      <x:c r="AD320" s="61">
        <x:f t="shared" si="19"/>
        <x:v>0</x:v>
      </x:c>
    </x:row>
    <x:row r="321" s="59" customFormat="1" ht="12.5">
      <x:c r="A321" s="63">
        <x:v>316</x:v>
      </x:c>
      <x:c r="B321" s="58" t="s">
        <x:v>776</x:v>
      </x:c>
      <x:c r="C321" s="59" t="s">
        <x:v>170</x:v>
      </x:c>
      <x:c r="D321" s="58" t="s">
        <x:v>81</x:v>
      </x:c>
      <x:c r="E321" s="58" t="s">
        <x:v>122</x:v>
      </x:c>
      <x:c r="F321" s="59" t="s">
        <x:v>777</x:v>
      </x:c>
      <x:c r="G321" s="59" t="s">
        <x:v>770</x:v>
      </x:c>
      <x:c r="H321" s="59" t="s">
        <x:v>771</x:v>
      </x:c>
      <x:c r="I321" s="59" t="s">
        <x:v>86</x:v>
      </x:c>
      <x:c r="J321" s="59" t="s">
        <x:v>42</x:v>
      </x:c>
      <x:c r="K321" s="59">
        <x:v>313</x:v>
      </x:c>
      <x:c r="L321" s="58">
        <x:v>112</x:v>
      </x:c>
      <x:c r="M321" s="59">
        <x:v>70</x:v>
      </x:c>
      <x:c r="N321" s="59" t="s">
        <x:v>48</x:v>
      </x:c>
      <x:c r="O321" s="59">
        <x:v>2020</x:v>
      </x:c>
      <x:c r="Q321" s="59" t="s">
        <x:v>72</x:v>
      </x:c>
      <x:c r="R321" s="59" t="s">
        <x:v>55</x:v>
      </x:c>
      <x:c r="S321" s="58"/>
      <x:c r="T321" s="58"/>
      <x:c r="U321" s="58"/>
      <x:c r="V321" s="58">
        <x:v>-2.1391578999999998</x:v>
      </x:c>
      <x:c r="W321" s="58">
        <x:v>106.162323</x:v>
      </x:c>
      <x:c r="X321" s="60"/>
      <x:c r="Y321" s="60"/>
      <x:c r="Z321" s="58"/>
      <x:c r="AA321" s="60"/>
      <x:c r="AB321" s="60"/>
      <x:c r="AC321" s="61">
        <x:f t="shared" si="18"/>
        <x:v>0.35782747603833864</x:v>
      </x:c>
      <x:c r="AD321" s="61">
        <x:f t="shared" si="19"/>
        <x:v>0.625</x:v>
      </x:c>
    </x:row>
    <x:row r="322" s="59" customFormat="1" ht="12.5">
      <x:c r="A322" s="63">
        <x:v>317</x:v>
      </x:c>
      <x:c r="B322" s="58" t="s">
        <x:v>778</x:v>
      </x:c>
      <x:c r="C322" s="59" t="s">
        <x:v>170</x:v>
      </x:c>
      <x:c r="D322" s="58" t="s">
        <x:v>81</x:v>
      </x:c>
      <x:c r="E322" s="58" t="s">
        <x:v>95</x:v>
      </x:c>
      <x:c r="F322" s="59" t="s">
        <x:v>583</x:v>
      </x:c>
      <x:c r="G322" s="59" t="s">
        <x:v>770</x:v>
      </x:c>
      <x:c r="H322" s="59" t="s">
        <x:v>771</x:v>
      </x:c>
      <x:c r="I322" s="59" t="s">
        <x:v>86</x:v>
      </x:c>
      <x:c r="J322" s="59" t="s">
        <x:v>42</x:v>
      </x:c>
      <x:c r="K322" s="59">
        <x:v>200</x:v>
      </x:c>
      <x:c r="L322" s="58">
        <x:v>200</x:v>
      </x:c>
      <x:c r="M322" s="59">
        <x:v>200</x:v>
      </x:c>
      <x:c r="N322" s="59" t="s">
        <x:v>41</x:v>
      </x:c>
      <x:c r="O322" s="59" t="s">
        <x:v>42</x:v>
      </x:c>
      <x:c r="Q322" s="59" t="s">
        <x:v>72</x:v>
      </x:c>
      <x:c r="S322" s="58"/>
      <x:c r="T322" s="58"/>
      <x:c r="U322" s="58"/>
      <x:c r="V322" s="58"/>
      <x:c r="W322" s="58"/>
      <x:c r="X322" s="60"/>
      <x:c r="Y322" s="60"/>
      <x:c r="Z322" s="58"/>
      <x:c r="AA322" s="60"/>
      <x:c r="AB322" s="60"/>
      <x:c r="AC322" s="61">
        <x:f t="shared" si="18"/>
        <x:v>1</x:v>
      </x:c>
      <x:c r="AD322" s="61">
        <x:f t="shared" si="19"/>
        <x:v>1</x:v>
      </x:c>
    </x:row>
    <x:row r="323" s="59" customFormat="1" ht="12.5">
      <x:c r="A323" s="63">
        <x:v>318</x:v>
      </x:c>
      <x:c r="B323" s="58" t="s">
        <x:v>779</x:v>
      </x:c>
      <x:c r="C323" s="59" t="s">
        <x:v>34</x:v>
      </x:c>
      <x:c r="D323" s="58" t="s">
        <x:v>81</x:v>
      </x:c>
      <x:c r="E323" s="58" t="s">
        <x:v>95</x:v>
      </x:c>
      <x:c r="F323" s="59" t="s">
        <x:v>583</x:v>
      </x:c>
      <x:c r="G323" s="59" t="s">
        <x:v>770</x:v>
      </x:c>
      <x:c r="H323" s="59" t="s">
        <x:v>771</x:v>
      </x:c>
      <x:c r="I323" s="59" t="s">
        <x:v>86</x:v>
      </x:c>
      <x:c r="J323" s="59">
        <x:v>2016</x:v>
      </x:c>
      <x:c r="K323" s="59">
        <x:v>59</x:v>
      </x:c>
      <x:c r="L323" s="58">
        <x:v>59</x:v>
      </x:c>
      <x:c r="M323" s="59">
        <x:v>57</x:v>
      </x:c>
      <x:c r="N323" s="59" t="s">
        <x:v>48</x:v>
      </x:c>
      <x:c r="O323" s="59">
        <x:v>2020</x:v>
      </x:c>
      <x:c r="Q323" s="23" t="s">
        <x:v>43</x:v>
      </x:c>
      <x:c r="R323" s="59" t="s">
        <x:v>88</x:v>
      </x:c>
      <x:c r="S323" s="58"/>
      <x:c r="T323" s="58"/>
      <x:c r="U323" s="58"/>
      <x:c r="V323" s="58"/>
      <x:c r="W323" s="58"/>
      <x:c r="X323" s="60"/>
      <x:c r="Y323" s="60"/>
      <x:c r="Z323" s="58"/>
      <x:c r="AA323" s="60"/>
      <x:c r="AB323" s="60"/>
      <x:c r="AC323" s="61">
        <x:f t="shared" si="18"/>
        <x:v>1</x:v>
      </x:c>
      <x:c r="AD323" s="61">
        <x:f t="shared" si="19"/>
        <x:v>0.96610169491525422</x:v>
      </x:c>
    </x:row>
    <x:row r="324" s="59" customFormat="1" ht="12.5">
      <x:c r="A324" s="63">
        <x:v>319</x:v>
      </x:c>
      <x:c r="B324" s="58" t="s">
        <x:v>780</x:v>
      </x:c>
      <x:c r="C324" s="59" t="s">
        <x:v>34</x:v>
      </x:c>
      <x:c r="D324" s="58" t="s">
        <x:v>81</x:v>
      </x:c>
      <x:c r="E324" s="58" t="s">
        <x:v>202</x:v>
      </x:c>
      <x:c r="F324" s="59" t="s">
        <x:v>777</x:v>
      </x:c>
      <x:c r="G324" s="59" t="s">
        <x:v>770</x:v>
      </x:c>
      <x:c r="H324" s="59" t="s">
        <x:v>771</x:v>
      </x:c>
      <x:c r="I324" s="59" t="s">
        <x:v>86</x:v>
      </x:c>
      <x:c r="J324" s="59">
        <x:v>2019</x:v>
      </x:c>
      <x:c r="K324" s="59">
        <x:v>305</x:v>
      </x:c>
      <x:c r="L324" s="58">
        <x:v>305</x:v>
      </x:c>
      <x:c r="M324" s="59">
        <x:v>26</x:v>
      </x:c>
      <x:c r="N324" s="59" t="s">
        <x:v>41</x:v>
      </x:c>
      <x:c r="O324" s="59" t="s">
        <x:v>42</x:v>
      </x:c>
      <x:c r="Q324" s="23" t="s">
        <x:v>43</x:v>
      </x:c>
      <x:c r="R324" s="59" t="s">
        <x:v>88</x:v>
      </x:c>
      <x:c r="S324" s="58"/>
      <x:c r="T324" s="58"/>
      <x:c r="U324" s="58"/>
      <x:c r="V324" s="58"/>
      <x:c r="W324" s="58"/>
      <x:c r="X324" s="60"/>
      <x:c r="Y324" s="60"/>
      <x:c r="Z324" s="58"/>
      <x:c r="AA324" s="60"/>
      <x:c r="AB324" s="60"/>
      <x:c r="AC324" s="61">
        <x:f t="shared" si="18"/>
        <x:v>1</x:v>
      </x:c>
      <x:c r="AD324" s="61">
        <x:f t="shared" si="19"/>
        <x:v>8.5245901639344257E-2</x:v>
      </x:c>
    </x:row>
    <x:row r="325" s="59" customFormat="1" ht="12.5">
      <x:c r="A325" s="63">
        <x:v>320</x:v>
      </x:c>
      <x:c r="B325" s="58" t="s">
        <x:v>781</x:v>
      </x:c>
      <x:c r="C325" s="59" t="s">
        <x:v>34</x:v>
      </x:c>
      <x:c r="D325" s="58" t="s">
        <x:v>60</x:v>
      </x:c>
      <x:c r="E325" s="58" t="s">
        <x:v>91</x:v>
      </x:c>
      <x:c r="F325" s="59" t="s">
        <x:v>209</x:v>
      </x:c>
      <x:c r="G325" s="59" t="s">
        <x:v>782</x:v>
      </x:c>
      <x:c r="H325" s="59" t="s">
        <x:v>783</x:v>
      </x:c>
      <x:c r="I325" s="59" t="s">
        <x:v>784</x:v>
      </x:c>
      <x:c r="J325" s="59">
        <x:v>2020</x:v>
      </x:c>
      <x:c r="K325" s="59">
        <x:v>68</x:v>
      </x:c>
      <x:c r="L325" s="58">
        <x:v>61</x:v>
      </x:c>
      <x:c r="M325" s="59">
        <x:v>12</x:v>
      </x:c>
      <x:c r="N325" s="59" t="s">
        <x:v>41</x:v>
      </x:c>
      <x:c r="O325" s="59" t="s">
        <x:v>42</x:v>
      </x:c>
      <x:c r="Q325" s="23" t="s">
        <x:v>43</x:v>
      </x:c>
      <x:c r="R325" s="23" t="s">
        <x:v>88</x:v>
      </x:c>
      <x:c r="S325" s="58"/>
      <x:c r="T325" s="58"/>
      <x:c r="U325" s="58"/>
      <x:c r="V325" s="58">
        <x:v>-2.0771199999999999</x:v>
      </x:c>
      <x:c r="W325" s="58">
        <x:v>106.1209532</x:v>
      </x:c>
      <x:c r="X325" s="60"/>
      <x:c r="Y325" s="60"/>
      <x:c r="Z325" s="58"/>
      <x:c r="AA325" s="60"/>
      <x:c r="AB325" s="60"/>
      <x:c r="AC325" s="61">
        <x:f t="shared" si="18"/>
        <x:v>0.8970588235294118</x:v>
      </x:c>
      <x:c r="AD325" s="61">
        <x:f t="shared" si="19"/>
        <x:v>0.19672131147540983</x:v>
      </x:c>
    </x:row>
    <x:row r="326" s="59" customFormat="1" ht="12.5">
      <x:c r="A326" s="63">
        <x:v>321</x:v>
      </x:c>
      <x:c r="B326" s="58" t="s">
        <x:v>785</x:v>
      </x:c>
      <x:c r="C326" s="59" t="s">
        <x:v>34</x:v>
      </x:c>
      <x:c r="D326" s="58" t="s">
        <x:v>60</x:v>
      </x:c>
      <x:c r="E326" s="58" t="s">
        <x:v>91</x:v>
      </x:c>
      <x:c r="F326" s="59" t="s">
        <x:v>786</x:v>
      </x:c>
      <x:c r="G326" s="59" t="s">
        <x:v>782</x:v>
      </x:c>
      <x:c r="H326" s="59" t="s">
        <x:v>783</x:v>
      </x:c>
      <x:c r="I326" s="59" t="s">
        <x:v>784</x:v>
      </x:c>
      <x:c r="J326" s="59">
        <x:v>2023</x:v>
      </x:c>
      <x:c r="K326" s="59">
        <x:v>25</x:v>
      </x:c>
      <x:c r="L326" s="58">
        <x:v>6</x:v>
      </x:c>
      <x:c r="M326" s="59">
        <x:v>0</x:v>
      </x:c>
      <x:c r="N326" s="59" t="s">
        <x:v>41</x:v>
      </x:c>
      <x:c r="O326" s="59" t="s">
        <x:v>42</x:v>
      </x:c>
      <x:c r="Q326" s="23" t="s">
        <x:v>43</x:v>
      </x:c>
      <x:c r="R326" s="23" t="s">
        <x:v>88</x:v>
      </x:c>
      <x:c r="S326" s="58"/>
      <x:c r="T326" s="58"/>
      <x:c r="U326" s="58"/>
      <x:c r="V326" s="58">
        <x:v>-2.075809</x:v>
      </x:c>
      <x:c r="W326" s="58">
        <x:v>106.1217353</x:v>
      </x:c>
      <x:c r="X326" s="60"/>
      <x:c r="Y326" s="60"/>
      <x:c r="Z326" s="58"/>
      <x:c r="AA326" s="60"/>
      <x:c r="AB326" s="60"/>
      <x:c r="AC326" s="61">
        <x:f t="shared" si="18"/>
        <x:v>0.24</x:v>
      </x:c>
      <x:c r="AD326" s="61">
        <x:f t="shared" si="19"/>
        <x:v>0</x:v>
      </x:c>
    </x:row>
    <x:row r="327" s="59" customFormat="1" ht="12.5">
      <x:c r="A327" s="63">
        <x:v>322</x:v>
      </x:c>
      <x:c r="B327" s="58" t="s">
        <x:v>787</x:v>
      </x:c>
      <x:c r="C327" s="59" t="s">
        <x:v>34</x:v>
      </x:c>
      <x:c r="D327" s="58" t="s">
        <x:v>81</x:v>
      </x:c>
      <x:c r="E327" s="58" t="s">
        <x:v>202</x:v>
      </x:c>
      <x:c r="F327" s="59" t="s">
        <x:v>421</x:v>
      </x:c>
      <x:c r="G327" s="59" t="s">
        <x:v>160</x:v>
      </x:c>
      <x:c r="H327" s="59" t="s">
        <x:v>42</x:v>
      </x:c>
      <x:c r="I327" s="59" t="s">
        <x:v>42</x:v>
      </x:c>
      <x:c r="J327" s="59">
        <x:v>2014</x:v>
      </x:c>
      <x:c r="K327" s="59">
        <x:v>0</x:v>
      </x:c>
      <x:c r="L327" s="58">
        <x:v>0</x:v>
      </x:c>
      <x:c r="M327" s="59">
        <x:v>0</x:v>
      </x:c>
      <x:c r="N327" s="59" t="s">
        <x:v>41</x:v>
      </x:c>
      <x:c r="O327" s="59" t="s">
        <x:v>42</x:v>
      </x:c>
      <x:c r="Q327" s="23" t="s">
        <x:v>43</x:v>
      </x:c>
      <x:c r="S327" s="58"/>
      <x:c r="T327" s="58"/>
      <x:c r="U327" s="58"/>
      <x:c r="V327" s="58"/>
      <x:c r="W327" s="58"/>
      <x:c r="X327" s="60"/>
      <x:c r="Y327" s="60"/>
      <x:c r="Z327" s="58"/>
      <x:c r="AA327" s="60"/>
      <x:c r="AB327" s="60"/>
      <x:c r="AC327" s="61">
        <x:f t="shared" si="18"/>
        <x:v>0</x:v>
      </x:c>
      <x:c r="AD327" s="61">
        <x:f t="shared" si="19"/>
        <x:v>0</x:v>
      </x:c>
    </x:row>
    <x:row r="328" s="59" customFormat="1" ht="12.5">
      <x:c r="A328" s="63">
        <x:v>323</x:v>
      </x:c>
      <x:c r="B328" s="58" t="s">
        <x:v>788</x:v>
      </x:c>
      <x:c r="C328" s="59" t="s">
        <x:v>34</x:v>
      </x:c>
      <x:c r="D328" s="58" t="s">
        <x:v>60</x:v>
      </x:c>
      <x:c r="E328" s="58" t="s">
        <x:v>91</x:v>
      </x:c>
      <x:c r="F328" s="59" t="s">
        <x:v>789</x:v>
      </x:c>
      <x:c r="G328" s="59" t="s">
        <x:v>790</x:v>
      </x:c>
      <x:c r="H328" s="59" t="s">
        <x:v>791</x:v>
      </x:c>
      <x:c r="I328" s="59" t="s">
        <x:v>112</x:v>
      </x:c>
      <x:c r="J328" s="59">
        <x:v>2017</x:v>
      </x:c>
      <x:c r="K328" s="59">
        <x:v>18</x:v>
      </x:c>
      <x:c r="L328" s="58">
        <x:v>18</x:v>
      </x:c>
      <x:c r="M328" s="59">
        <x:v>18</x:v>
      </x:c>
      <x:c r="N328" s="59" t="s">
        <x:v>41</x:v>
      </x:c>
      <x:c r="O328" s="59" t="s">
        <x:v>42</x:v>
      </x:c>
      <x:c r="Q328" s="23" t="s">
        <x:v>43</x:v>
      </x:c>
      <x:c r="R328" s="23" t="s">
        <x:v>88</x:v>
      </x:c>
      <x:c r="S328" s="58"/>
      <x:c r="T328" s="58"/>
      <x:c r="U328" s="58"/>
      <x:c r="V328" s="58">
        <x:v>-2.080425</x:v>
      </x:c>
      <x:c r="W328" s="58">
        <x:v>106.12715</x:v>
      </x:c>
      <x:c r="X328" s="60"/>
      <x:c r="Y328" s="60"/>
      <x:c r="Z328" s="58"/>
      <x:c r="AA328" s="60"/>
      <x:c r="AB328" s="60"/>
      <x:c r="AC328" s="61">
        <x:f t="shared" si="18"/>
        <x:v>1</x:v>
      </x:c>
      <x:c r="AD328" s="61">
        <x:f t="shared" si="19"/>
        <x:v>1</x:v>
      </x:c>
    </x:row>
    <x:row r="329" s="59" customFormat="1" ht="12.5">
      <x:c r="A329" s="63">
        <x:v>324</x:v>
      </x:c>
      <x:c r="B329" s="58" t="s">
        <x:v>792</x:v>
      </x:c>
      <x:c r="C329" s="59" t="s">
        <x:v>34</x:v>
      </x:c>
      <x:c r="D329" s="58" t="s">
        <x:v>60</x:v>
      </x:c>
      <x:c r="E329" s="58" t="s">
        <x:v>91</x:v>
      </x:c>
      <x:c r="F329" s="59" t="s">
        <x:v>42</x:v>
      </x:c>
      <x:c r="G329" s="59" t="s">
        <x:v>790</x:v>
      </x:c>
      <x:c r="H329" s="59" t="s">
        <x:v>42</x:v>
      </x:c>
      <x:c r="I329" s="59" t="s">
        <x:v>112</x:v>
      </x:c>
      <x:c r="J329" s="59" t="s">
        <x:v>42</x:v>
      </x:c>
      <x:c r="K329" s="59">
        <x:v>0</x:v>
      </x:c>
      <x:c r="L329" s="58">
        <x:v>0</x:v>
      </x:c>
      <x:c r="M329" s="59">
        <x:v>0</x:v>
      </x:c>
      <x:c r="N329" s="59" t="s">
        <x:v>41</x:v>
      </x:c>
      <x:c r="O329" s="59" t="s">
        <x:v>42</x:v>
      </x:c>
      <x:c r="Q329" s="23" t="s">
        <x:v>43</x:v>
      </x:c>
      <x:c r="S329" s="58"/>
      <x:c r="T329" s="58"/>
      <x:c r="U329" s="58"/>
      <x:c r="V329" s="58">
        <x:v>-2.0804089000000001</x:v>
      </x:c>
      <x:c r="W329" s="58">
        <x:v>106.1274526</x:v>
      </x:c>
      <x:c r="X329" s="60"/>
      <x:c r="Y329" s="60"/>
      <x:c r="Z329" s="58"/>
      <x:c r="AA329" s="60"/>
      <x:c r="AB329" s="60"/>
      <x:c r="AC329" s="61">
        <x:f t="shared" si="18"/>
        <x:v>0</x:v>
      </x:c>
      <x:c r="AD329" s="61">
        <x:f t="shared" si="19"/>
        <x:v>0</x:v>
      </x:c>
    </x:row>
    <x:row r="330" s="59" customFormat="1" ht="12.5">
      <x:c r="A330" s="63">
        <x:v>325</x:v>
      </x:c>
      <x:c r="B330" s="58" t="s">
        <x:v>793</x:v>
      </x:c>
      <x:c r="C330" s="59" t="s">
        <x:v>34</x:v>
      </x:c>
      <x:c r="D330" s="58" t="s">
        <x:v>60</x:v>
      </x:c>
      <x:c r="E330" s="58" t="s">
        <x:v>91</x:v>
      </x:c>
      <x:c r="F330" s="59" t="s">
        <x:v>794</x:v>
      </x:c>
      <x:c r="G330" s="59" t="s">
        <x:v>790</x:v>
      </x:c>
      <x:c r="H330" s="59" t="s">
        <x:v>795</x:v>
      </x:c>
      <x:c r="I330" s="59" t="s">
        <x:v>112</x:v>
      </x:c>
      <x:c r="J330" s="59">
        <x:v>2018</x:v>
      </x:c>
      <x:c r="K330" s="59">
        <x:v>47</x:v>
      </x:c>
      <x:c r="L330" s="58">
        <x:v>24</x:v>
      </x:c>
      <x:c r="M330" s="59">
        <x:v>24</x:v>
      </x:c>
      <x:c r="N330" s="59" t="s">
        <x:v>41</x:v>
      </x:c>
      <x:c r="O330" s="59" t="s">
        <x:v>42</x:v>
      </x:c>
      <x:c r="Q330" s="23" t="s">
        <x:v>43</x:v>
      </x:c>
      <x:c r="R330" s="23" t="s">
        <x:v>88</x:v>
      </x:c>
      <x:c r="S330" s="58"/>
      <x:c r="T330" s="58"/>
      <x:c r="U330" s="58"/>
      <x:c r="V330" s="58">
        <x:v>-2.0781331999999999</x:v>
      </x:c>
      <x:c r="W330" s="58">
        <x:v>106.12577349999999</x:v>
      </x:c>
      <x:c r="X330" s="60"/>
      <x:c r="Y330" s="60"/>
      <x:c r="Z330" s="58"/>
      <x:c r="AA330" s="60"/>
      <x:c r="AB330" s="60"/>
      <x:c r="AC330" s="61">
        <x:f t="shared" si="18"/>
        <x:v>0.51063829787234039</x:v>
      </x:c>
      <x:c r="AD330" s="61">
        <x:f t="shared" si="19"/>
        <x:v>1</x:v>
      </x:c>
    </x:row>
    <x:row r="331" s="59" customFormat="1" ht="12.5">
      <x:c r="A331" s="63">
        <x:v>326</x:v>
      </x:c>
      <x:c r="B331" s="58" t="s">
        <x:v>796</x:v>
      </x:c>
      <x:c r="C331" s="59" t="s">
        <x:v>170</x:v>
      </x:c>
      <x:c r="D331" s="58" t="s">
        <x:v>60</x:v>
      </x:c>
      <x:c r="E331" s="58" t="s">
        <x:v>267</x:v>
      </x:c>
      <x:c r="F331" s="59" t="s">
        <x:v>797</x:v>
      </x:c>
      <x:c r="G331" s="59" t="s">
        <x:v>798</x:v>
      </x:c>
      <x:c r="H331" s="59" t="s">
        <x:v>799</x:v>
      </x:c>
      <x:c r="I331" s="59" t="s">
        <x:v>86</x:v>
      </x:c>
      <x:c r="J331" s="59" t="s">
        <x:v>42</x:v>
      </x:c>
      <x:c r="K331" s="59">
        <x:v>468</x:v>
      </x:c>
      <x:c r="L331" s="58">
        <x:v>468</x:v>
      </x:c>
      <x:c r="M331" s="59">
        <x:v>468</x:v>
      </x:c>
      <x:c r="N331" s="59" t="s">
        <x:v>41</x:v>
      </x:c>
      <x:c r="O331" s="59" t="s">
        <x:v>42</x:v>
      </x:c>
      <x:c r="Q331" s="59" t="s">
        <x:v>72</x:v>
      </x:c>
      <x:c r="S331" s="58"/>
      <x:c r="T331" s="58"/>
      <x:c r="U331" s="58"/>
      <x:c r="V331" s="58">
        <x:v>-2.0850230000000001</x:v>
      </x:c>
      <x:c r="W331" s="58">
        <x:v>106.10572999999999</x:v>
      </x:c>
      <x:c r="X331" s="60"/>
      <x:c r="Y331" s="60"/>
      <x:c r="Z331" s="58"/>
      <x:c r="AA331" s="60"/>
      <x:c r="AB331" s="60"/>
      <x:c r="AC331" s="61">
        <x:f t="shared" si="18"/>
        <x:v>1</x:v>
      </x:c>
      <x:c r="AD331" s="61">
        <x:f t="shared" si="19"/>
        <x:v>1</x:v>
      </x:c>
    </x:row>
    <x:row r="332" s="59" customFormat="1" ht="12.5">
      <x:c r="A332" s="63">
        <x:v>327</x:v>
      </x:c>
      <x:c r="B332" s="58" t="s">
        <x:v>800</x:v>
      </x:c>
      <x:c r="C332" s="59" t="s">
        <x:v>34</x:v>
      </x:c>
      <x:c r="D332" s="58" t="s">
        <x:v>81</x:v>
      </x:c>
      <x:c r="E332" s="58" t="s">
        <x:v>122</x:v>
      </x:c>
      <x:c r="F332" s="59" t="s">
        <x:v>801</x:v>
      </x:c>
      <x:c r="G332" s="59" t="s">
        <x:v>802</x:v>
      </x:c>
      <x:c r="H332" s="59" t="s">
        <x:v>578</x:v>
      </x:c>
      <x:c r="I332" s="59" t="s">
        <x:v>65</x:v>
      </x:c>
      <x:c r="J332" s="59">
        <x:v>2019</x:v>
      </x:c>
      <x:c r="K332" s="59">
        <x:v>63</x:v>
      </x:c>
      <x:c r="L332" s="58">
        <x:v>59</x:v>
      </x:c>
      <x:c r="M332" s="59">
        <x:v>59</x:v>
      </x:c>
      <x:c r="N332" s="59" t="s">
        <x:v>41</x:v>
      </x:c>
      <x:c r="O332" s="59" t="s">
        <x:v>42</x:v>
      </x:c>
      <x:c r="Q332" s="59" t="s">
        <x:v>72</x:v>
      </x:c>
      <x:c r="S332" s="58"/>
      <x:c r="T332" s="58"/>
      <x:c r="U332" s="58"/>
      <x:c r="V332" s="58">
        <x:v>-2.128768</x:v>
      </x:c>
      <x:c r="W332" s="58">
        <x:v>106.160301</x:v>
      </x:c>
      <x:c r="X332" s="60"/>
      <x:c r="Y332" s="60"/>
      <x:c r="Z332" s="58"/>
      <x:c r="AA332" s="60"/>
      <x:c r="AB332" s="60"/>
      <x:c r="AC332" s="61">
        <x:f t="shared" si="18"/>
        <x:v>0.93650793650793651</x:v>
      </x:c>
      <x:c r="AD332" s="61">
        <x:f t="shared" si="19"/>
        <x:v>1</x:v>
      </x:c>
    </x:row>
    <x:row r="333" s="59" customFormat="1" ht="12.5">
      <x:c r="A333" s="63">
        <x:v>328</x:v>
      </x:c>
      <x:c r="B333" s="58" t="s">
        <x:v>803</x:v>
      </x:c>
      <x:c r="C333" s="59" t="s">
        <x:v>34</x:v>
      </x:c>
      <x:c r="D333" s="58" t="s">
        <x:v>306</x:v>
      </x:c>
      <x:c r="E333" s="58" t="s">
        <x:v>307</x:v>
      </x:c>
      <x:c r="F333" s="59" t="s">
        <x:v>635</x:v>
      </x:c>
      <x:c r="G333" s="59" t="s">
        <x:v>42</x:v>
      </x:c>
      <x:c r="H333" s="59" t="s">
        <x:v>804</x:v>
      </x:c>
      <x:c r="I333" s="59" t="s">
        <x:v>42</x:v>
      </x:c>
      <x:c r="J333" s="59">
        <x:v>2015</x:v>
      </x:c>
      <x:c r="K333" s="59">
        <x:v>78</x:v>
      </x:c>
      <x:c r="L333" s="58">
        <x:v>78</x:v>
      </x:c>
      <x:c r="M333" s="59">
        <x:v>76</x:v>
      </x:c>
      <x:c r="N333" s="59" t="s">
        <x:v>41</x:v>
      </x:c>
      <x:c r="O333" s="59" t="s">
        <x:v>42</x:v>
      </x:c>
      <x:c r="Q333" s="23" t="s">
        <x:v>43</x:v>
      </x:c>
      <x:c r="S333" s="58"/>
      <x:c r="T333" s="58"/>
      <x:c r="U333" s="58"/>
      <x:c r="V333" s="58">
        <x:v>-2.1533030000000002</x:v>
      </x:c>
      <x:c r="W333" s="58">
        <x:v>106.107823</x:v>
      </x:c>
      <x:c r="X333" s="60"/>
      <x:c r="Y333" s="60"/>
      <x:c r="Z333" s="58"/>
      <x:c r="AA333" s="60"/>
      <x:c r="AB333" s="60"/>
      <x:c r="AC333" s="61">
        <x:f t="shared" si="18"/>
        <x:v>1</x:v>
      </x:c>
      <x:c r="AD333" s="61">
        <x:f t="shared" si="19"/>
        <x:v>0.97435897435897434</x:v>
      </x:c>
    </x:row>
    <x:row r="334" s="59" customFormat="1" ht="12.5">
      <x:c r="A334" s="63">
        <x:v>329</x:v>
      </x:c>
      <x:c r="B334" s="58" t="s">
        <x:v>805</x:v>
      </x:c>
      <x:c r="C334" s="59" t="s">
        <x:v>34</x:v>
      </x:c>
      <x:c r="D334" s="58" t="s">
        <x:v>60</x:v>
      </x:c>
      <x:c r="E334" s="58" t="s">
        <x:v>91</x:v>
      </x:c>
      <x:c r="F334" s="59" t="s">
        <x:v>79</x:v>
      </x:c>
      <x:c r="G334" s="59" t="s">
        <x:v>806</x:v>
      </x:c>
      <x:c r="H334" s="59" t="s">
        <x:v>807</x:v>
      </x:c>
      <x:c r="I334" s="59" t="s">
        <x:v>40</x:v>
      </x:c>
      <x:c r="J334" s="59">
        <x:v>2015</x:v>
      </x:c>
      <x:c r="K334" s="59">
        <x:v>44</x:v>
      </x:c>
      <x:c r="L334" s="58">
        <x:v>44</x:v>
      </x:c>
      <x:c r="M334" s="59">
        <x:v>44</x:v>
      </x:c>
      <x:c r="N334" s="59" t="s">
        <x:v>41</x:v>
      </x:c>
      <x:c r="O334" s="59" t="s">
        <x:v>42</x:v>
      </x:c>
      <x:c r="Q334" s="23" t="s">
        <x:v>43</x:v>
      </x:c>
      <x:c r="S334" s="58"/>
      <x:c r="T334" s="58"/>
      <x:c r="U334" s="58"/>
      <x:c r="V334" s="58">
        <x:v>-2.0866501</x:v>
      </x:c>
      <x:c r="W334" s="58">
        <x:v>106.09902460000001</x:v>
      </x:c>
      <x:c r="X334" s="60"/>
      <x:c r="Y334" s="60"/>
      <x:c r="Z334" s="58"/>
      <x:c r="AA334" s="60"/>
      <x:c r="AB334" s="60"/>
      <x:c r="AC334" s="61">
        <x:f t="shared" si="18"/>
        <x:v>1</x:v>
      </x:c>
      <x:c r="AD334" s="61">
        <x:f t="shared" si="19"/>
        <x:v>1</x:v>
      </x:c>
    </x:row>
    <x:row r="335" s="59" customFormat="1" ht="12.5">
      <x:c r="A335" s="63">
        <x:v>330</x:v>
      </x:c>
      <x:c r="B335" s="58" t="s">
        <x:v>808</x:v>
      </x:c>
      <x:c r="C335" s="59" t="s">
        <x:v>34</x:v>
      </x:c>
      <x:c r="D335" s="58" t="s">
        <x:v>60</x:v>
      </x:c>
      <x:c r="E335" s="58" t="s">
        <x:v>70</x:v>
      </x:c>
      <x:c r="F335" s="59" t="s">
        <x:v>486</x:v>
      </x:c>
      <x:c r="G335" s="59" t="s">
        <x:v>806</x:v>
      </x:c>
      <x:c r="H335" s="59" t="s">
        <x:v>807</x:v>
      </x:c>
      <x:c r="I335" s="59" t="s">
        <x:v>40</x:v>
      </x:c>
      <x:c r="J335" s="59">
        <x:v>2019</x:v>
      </x:c>
      <x:c r="K335" s="59">
        <x:v>39</x:v>
      </x:c>
      <x:c r="L335" s="58">
        <x:v>39</x:v>
      </x:c>
      <x:c r="M335" s="59">
        <x:v>39</x:v>
      </x:c>
      <x:c r="N335" s="59" t="s">
        <x:v>41</x:v>
      </x:c>
      <x:c r="O335" s="59" t="s">
        <x:v>42</x:v>
      </x:c>
      <x:c r="Q335" s="23" t="s">
        <x:v>43</x:v>
      </x:c>
      <x:c r="S335" s="58"/>
      <x:c r="T335" s="58"/>
      <x:c r="U335" s="58"/>
      <x:c r="V335" s="58">
        <x:v>-2.0910150000000001</x:v>
      </x:c>
      <x:c r="W335" s="58">
        <x:v>106.092673</x:v>
      </x:c>
      <x:c r="X335" s="60"/>
      <x:c r="Y335" s="60"/>
      <x:c r="Z335" s="58"/>
      <x:c r="AA335" s="60"/>
      <x:c r="AB335" s="60"/>
      <x:c r="AC335" s="61">
        <x:f t="shared" si="18"/>
        <x:v>1</x:v>
      </x:c>
      <x:c r="AD335" s="61">
        <x:f t="shared" si="19"/>
        <x:v>1</x:v>
      </x:c>
    </x:row>
    <x:row r="336" s="59" customFormat="1" ht="12.5">
      <x:c r="A336" s="63">
        <x:v>331</x:v>
      </x:c>
      <x:c r="B336" s="58" t="s">
        <x:v>809</x:v>
      </x:c>
      <x:c r="C336" s="59" t="s">
        <x:v>34</x:v>
      </x:c>
      <x:c r="D336" s="58" t="s">
        <x:v>35</x:v>
      </x:c>
      <x:c r="E336" s="58" t="s">
        <x:v>36</x:v>
      </x:c>
      <x:c r="F336" s="59" t="s">
        <x:v>310</x:v>
      </x:c>
      <x:c r="G336" s="59" t="s">
        <x:v>806</x:v>
      </x:c>
      <x:c r="H336" s="59" t="s">
        <x:v>807</x:v>
      </x:c>
      <x:c r="I336" s="59" t="s">
        <x:v>40</x:v>
      </x:c>
      <x:c r="J336" s="59">
        <x:v>2018</x:v>
      </x:c>
      <x:c r="K336" s="59">
        <x:v>12</x:v>
      </x:c>
      <x:c r="L336" s="58">
        <x:v>12</x:v>
      </x:c>
      <x:c r="M336" s="59">
        <x:v>12</x:v>
      </x:c>
      <x:c r="N336" s="59" t="s">
        <x:v>41</x:v>
      </x:c>
      <x:c r="O336" s="59" t="s">
        <x:v>42</x:v>
      </x:c>
      <x:c r="Q336" s="23" t="s">
        <x:v>43</x:v>
      </x:c>
      <x:c r="S336" s="58"/>
      <x:c r="T336" s="58"/>
      <x:c r="U336" s="58"/>
      <x:c r="V336" s="58"/>
      <x:c r="W336" s="58"/>
      <x:c r="X336" s="60"/>
      <x:c r="Y336" s="60"/>
      <x:c r="Z336" s="58"/>
      <x:c r="AA336" s="60"/>
      <x:c r="AB336" s="60"/>
      <x:c r="AC336" s="61">
        <x:f t="shared" si="18"/>
        <x:v>1</x:v>
      </x:c>
      <x:c r="AD336" s="61">
        <x:f t="shared" si="19"/>
        <x:v>1</x:v>
      </x:c>
    </x:row>
    <x:row r="337" s="59" customFormat="1" ht="12.5">
      <x:c r="A337" s="63">
        <x:v>332</x:v>
      </x:c>
      <x:c r="B337" s="58" t="s">
        <x:v>810</x:v>
      </x:c>
      <x:c r="C337" s="59" t="s">
        <x:v>34</x:v>
      </x:c>
      <x:c r="D337" s="58" t="s">
        <x:v>81</x:v>
      </x:c>
      <x:c r="E337" s="58" t="s">
        <x:v>122</x:v>
      </x:c>
      <x:c r="F337" s="59" t="s">
        <x:v>163</x:v>
      </x:c>
      <x:c r="G337" s="59" t="s">
        <x:v>806</x:v>
      </x:c>
      <x:c r="H337" s="59" t="s">
        <x:v>807</x:v>
      </x:c>
      <x:c r="I337" s="59" t="s">
        <x:v>40</x:v>
      </x:c>
      <x:c r="J337" s="59">
        <x:v>2017</x:v>
      </x:c>
      <x:c r="K337" s="59">
        <x:v>21</x:v>
      </x:c>
      <x:c r="L337" s="58">
        <x:v>21</x:v>
      </x:c>
      <x:c r="M337" s="59">
        <x:v>21</x:v>
      </x:c>
      <x:c r="N337" s="59" t="s">
        <x:v>41</x:v>
      </x:c>
      <x:c r="O337" s="59" t="s">
        <x:v>42</x:v>
      </x:c>
      <x:c r="Q337" s="23" t="s">
        <x:v>43</x:v>
      </x:c>
      <x:c r="S337" s="58"/>
      <x:c r="T337" s="58"/>
      <x:c r="U337" s="58"/>
      <x:c r="V337" s="58">
        <x:v>-2.1389182999999998</x:v>
      </x:c>
      <x:c r="W337" s="58">
        <x:v>106.16784389999999</x:v>
      </x:c>
      <x:c r="X337" s="60"/>
      <x:c r="Y337" s="60"/>
      <x:c r="Z337" s="58"/>
      <x:c r="AA337" s="60"/>
      <x:c r="AB337" s="60"/>
      <x:c r="AC337" s="61">
        <x:f t="shared" si="18"/>
        <x:v>1</x:v>
      </x:c>
      <x:c r="AD337" s="61">
        <x:f t="shared" si="19"/>
        <x:v>1</x:v>
      </x:c>
    </x:row>
    <x:row r="338" s="59" customFormat="1" ht="12.5">
      <x:c r="A338" s="63">
        <x:v>333</x:v>
      </x:c>
      <x:c r="B338" s="58" t="s">
        <x:v>811</x:v>
      </x:c>
      <x:c r="C338" s="59" t="s">
        <x:v>90</x:v>
      </x:c>
      <x:c r="D338" s="58" t="s">
        <x:v>812</x:v>
      </x:c>
      <x:c r="E338" s="58" t="s">
        <x:v>813</x:v>
      </x:c>
      <x:c r="F338" s="59" t="s">
        <x:v>814</x:v>
      </x:c>
      <x:c r="G338" s="59" t="s">
        <x:v>815</x:v>
      </x:c>
      <x:c r="H338" s="59" t="s">
        <x:v>816</x:v>
      </x:c>
      <x:c r="I338" s="59" t="s">
        <x:v>86</x:v>
      </x:c>
      <x:c r="J338" s="59">
        <x:v>2021</x:v>
      </x:c>
      <x:c r="K338" s="59">
        <x:v>50</x:v>
      </x:c>
      <x:c r="L338" s="58">
        <x:v>50</x:v>
      </x:c>
      <x:c r="M338" s="59">
        <x:v>50</x:v>
      </x:c>
      <x:c r="N338" s="59" t="s">
        <x:v>41</x:v>
      </x:c>
      <x:c r="O338" s="59" t="s">
        <x:v>42</x:v>
      </x:c>
      <x:c r="Q338" s="23" t="s">
        <x:v>43</x:v>
      </x:c>
      <x:c r="S338" s="58"/>
      <x:c r="T338" s="58"/>
      <x:c r="U338" s="58"/>
      <x:c r="V338" s="58">
        <x:v>-2.1468946</x:v>
      </x:c>
      <x:c r="W338" s="58">
        <x:v>106.0942438</x:v>
      </x:c>
      <x:c r="X338" s="60"/>
      <x:c r="Y338" s="60"/>
      <x:c r="Z338" s="58"/>
      <x:c r="AA338" s="60"/>
      <x:c r="AB338" s="60"/>
      <x:c r="AC338" s="61">
        <x:f t="shared" si="18"/>
        <x:v>1</x:v>
      </x:c>
      <x:c r="AD338" s="61">
        <x:f t="shared" si="19"/>
        <x:v>1</x:v>
      </x:c>
    </x:row>
    <x:row r="339" s="59" customFormat="1" ht="12.5">
      <x:c r="A339" s="63">
        <x:v>334</x:v>
      </x:c>
      <x:c r="B339" s="58" t="s">
        <x:v>817</x:v>
      </x:c>
      <x:c r="C339" s="59" t="s">
        <x:v>34</x:v>
      </x:c>
      <x:c r="D339" s="58" t="s">
        <x:v>81</x:v>
      </x:c>
      <x:c r="E339" s="58" t="s">
        <x:v>291</x:v>
      </x:c>
      <x:c r="F339" s="59" t="s">
        <x:v>292</x:v>
      </x:c>
      <x:c r="G339" s="59" t="s">
        <x:v>815</x:v>
      </x:c>
      <x:c r="H339" s="59" t="s">
        <x:v>816</x:v>
      </x:c>
      <x:c r="I339" s="59" t="s">
        <x:v>86</x:v>
      </x:c>
      <x:c r="J339" s="59">
        <x:v>2023</x:v>
      </x:c>
      <x:c r="K339" s="59">
        <x:v>170</x:v>
      </x:c>
      <x:c r="L339" s="58">
        <x:v>102</x:v>
      </x:c>
      <x:c r="M339" s="59">
        <x:v>102</x:v>
      </x:c>
      <x:c r="N339" s="59" t="s">
        <x:v>41</x:v>
      </x:c>
      <x:c r="O339" s="59" t="s">
        <x:v>42</x:v>
      </x:c>
      <x:c r="Q339" s="23" t="s">
        <x:v>43</x:v>
      </x:c>
      <x:c r="R339" s="59" t="s">
        <x:v>88</x:v>
      </x:c>
      <x:c r="S339" s="58"/>
      <x:c r="T339" s="58"/>
      <x:c r="U339" s="58"/>
      <x:c r="V339" s="58">
        <x:v>-2.1261269999999999</x:v>
      </x:c>
      <x:c r="W339" s="58">
        <x:v>106.14223749999999</x:v>
      </x:c>
      <x:c r="X339" s="60"/>
      <x:c r="Y339" s="60"/>
      <x:c r="Z339" s="58"/>
      <x:c r="AA339" s="60"/>
      <x:c r="AB339" s="60"/>
      <x:c r="AC339" s="61">
        <x:f t="shared" si="18"/>
        <x:v>0.6</x:v>
      </x:c>
      <x:c r="AD339" s="61">
        <x:f t="shared" si="19"/>
        <x:v>1</x:v>
      </x:c>
    </x:row>
    <x:row r="340" s="59" customFormat="1" ht="12.5">
      <x:c r="A340" s="63">
        <x:v>335</x:v>
      </x:c>
      <x:c r="B340" s="58" t="s">
        <x:v>818</x:v>
      </x:c>
      <x:c r="C340" s="59" t="s">
        <x:v>34</x:v>
      </x:c>
      <x:c r="D340" s="58" t="s">
        <x:v>35</x:v>
      </x:c>
      <x:c r="E340" s="58" t="s">
        <x:v>36</x:v>
      </x:c>
      <x:c r="F340" s="59" t="s">
        <x:v>42</x:v>
      </x:c>
      <x:c r="G340" s="59" t="s">
        <x:v>42</x:v>
      </x:c>
      <x:c r="H340" s="59" t="s">
        <x:v>42</x:v>
      </x:c>
      <x:c r="I340" s="59" t="s">
        <x:v>42</x:v>
      </x:c>
      <x:c r="J340" s="59">
        <x:v>2018</x:v>
      </x:c>
      <x:c r="K340" s="59">
        <x:v>33</x:v>
      </x:c>
      <x:c r="L340" s="58">
        <x:v>33</x:v>
      </x:c>
      <x:c r="M340" s="59">
        <x:v>33</x:v>
      </x:c>
      <x:c r="N340" s="59" t="s">
        <x:v>41</x:v>
      </x:c>
      <x:c r="O340" s="59" t="s">
        <x:v>42</x:v>
      </x:c>
      <x:c r="Q340" s="23" t="s">
        <x:v>43</x:v>
      </x:c>
      <x:c r="R340" s="23" t="s">
        <x:v>88</x:v>
      </x:c>
      <x:c r="S340" s="58"/>
      <x:c r="T340" s="58"/>
      <x:c r="U340" s="58"/>
      <x:c r="V340" s="58">
        <x:v>-2.1123416000000002</x:v>
      </x:c>
      <x:c r="W340" s="58">
        <x:v>106.06992219999999</x:v>
      </x:c>
      <x:c r="X340" s="60"/>
      <x:c r="Y340" s="60"/>
      <x:c r="Z340" s="58"/>
      <x:c r="AA340" s="60"/>
      <x:c r="AB340" s="60"/>
      <x:c r="AC340" s="61">
        <x:f t="shared" si="18"/>
        <x:v>1</x:v>
      </x:c>
      <x:c r="AD340" s="61">
        <x:f t="shared" si="19"/>
        <x:v>1</x:v>
      </x:c>
    </x:row>
    <x:row r="341" s="59" customFormat="1" ht="12.5">
      <x:c r="A341" s="63">
        <x:v>336</x:v>
      </x:c>
      <x:c r="B341" s="58" t="s">
        <x:v>819</x:v>
      </x:c>
      <x:c r="C341" s="59" t="s">
        <x:v>34</x:v>
      </x:c>
      <x:c r="D341" s="58" t="s">
        <x:v>99</x:v>
      </x:c>
      <x:c r="E341" s="58" t="s">
        <x:v>820</x:v>
      </x:c>
      <x:c r="F341" s="59" t="s">
        <x:v>821</x:v>
      </x:c>
      <x:c r="G341" s="59" t="s">
        <x:v>487</x:v>
      </x:c>
      <x:c r="H341" s="59" t="s">
        <x:v>822</x:v>
      </x:c>
      <x:c r="I341" s="59" t="s">
        <x:v>166</x:v>
      </x:c>
      <x:c r="J341" s="59">
        <x:v>2020</x:v>
      </x:c>
      <x:c r="K341" s="59">
        <x:v>62</x:v>
      </x:c>
      <x:c r="L341" s="58">
        <x:v>27</x:v>
      </x:c>
      <x:c r="M341" s="59">
        <x:v>27</x:v>
      </x:c>
      <x:c r="N341" s="59" t="s">
        <x:v>41</x:v>
      </x:c>
      <x:c r="O341" s="59" t="s">
        <x:v>42</x:v>
      </x:c>
      <x:c r="Q341" s="23" t="s">
        <x:v>43</x:v>
      </x:c>
      <x:c r="R341" s="23" t="s">
        <x:v>88</x:v>
      </x:c>
      <x:c r="S341" s="58"/>
      <x:c r="T341" s="58"/>
      <x:c r="U341" s="58"/>
      <x:c r="V341" s="58">
        <x:v>-2.1102194000000001</x:v>
      </x:c>
      <x:c r="W341" s="58">
        <x:v>106.123358</x:v>
      </x:c>
      <x:c r="X341" s="60"/>
      <x:c r="Y341" s="60"/>
      <x:c r="Z341" s="58"/>
      <x:c r="AA341" s="60"/>
      <x:c r="AB341" s="60"/>
      <x:c r="AC341" s="61" t="n">
        <x:f t="shared" ref="AC341:AC351" si="20">IF(A341="","",IFERROR(L341/K341,0))</x:f>
        <x:v>0.43548387096774194</x:v>
      </x:c>
      <x:c r="AD341" s="61" t="n">
        <x:f t="shared" ref="AD341:AD351" si="21">IF(A341="","",IFERROR(M341/L341,0))</x:f>
        <x:v>1</x:v>
      </x:c>
    </x:row>
    <x:row r="342" s="59" customFormat="1" ht="12.5">
      <x:c r="A342" s="63">
        <x:v>337</x:v>
      </x:c>
      <x:c r="B342" s="58" t="s">
        <x:v>823</x:v>
      </x:c>
      <x:c r="C342" s="59" t="s">
        <x:v>34</x:v>
      </x:c>
      <x:c r="D342" s="58" t="s">
        <x:v>60</x:v>
      </x:c>
      <x:c r="E342" s="58" t="s">
        <x:v>91</x:v>
      </x:c>
      <x:c r="F342" s="59" t="s">
        <x:v>824</x:v>
      </x:c>
      <x:c r="G342" s="59" t="s">
        <x:v>825</x:v>
      </x:c>
      <x:c r="H342" s="59" t="s">
        <x:v>42</x:v>
      </x:c>
      <x:c r="I342" s="59" t="s">
        <x:v>196</x:v>
      </x:c>
      <x:c r="J342" s="59">
        <x:v>2017</x:v>
      </x:c>
      <x:c r="K342" s="59">
        <x:v>43</x:v>
      </x:c>
      <x:c r="L342" s="58">
        <x:v>40</x:v>
      </x:c>
      <x:c r="M342" s="59">
        <x:v>34</x:v>
      </x:c>
      <x:c r="N342" s="59" t="s">
        <x:v>41</x:v>
      </x:c>
      <x:c r="O342" s="59" t="s">
        <x:v>42</x:v>
      </x:c>
      <x:c r="Q342" s="23" t="s">
        <x:v>43</x:v>
      </x:c>
      <x:c r="R342" s="23" t="s">
        <x:v>88</x:v>
      </x:c>
      <x:c r="S342" s="58"/>
      <x:c r="T342" s="58"/>
      <x:c r="U342" s="58"/>
      <x:c r="V342" s="58">
        <x:v>-2.0877240000000001</x:v>
      </x:c>
      <x:c r="W342" s="58">
        <x:v>106.104771</x:v>
      </x:c>
      <x:c r="X342" s="60"/>
      <x:c r="Y342" s="60"/>
      <x:c r="Z342" s="58"/>
      <x:c r="AA342" s="60"/>
      <x:c r="AB342" s="60"/>
      <x:c r="AC342" s="61">
        <x:f t="shared" si="20"/>
        <x:v>0.93023255813953487</x:v>
      </x:c>
      <x:c r="AD342" s="61">
        <x:f t="shared" si="21"/>
        <x:v>0.85</x:v>
      </x:c>
    </x:row>
    <x:row r="343" s="59" customFormat="1" ht="12.5">
      <x:c r="A343" s="63">
        <x:v>338</x:v>
      </x:c>
      <x:c r="B343" s="58" t="s">
        <x:v>826</x:v>
      </x:c>
      <x:c r="C343" s="59" t="s">
        <x:v>34</x:v>
      </x:c>
      <x:c r="D343" s="58" t="s">
        <x:v>35</x:v>
      </x:c>
      <x:c r="E343" s="58" t="s">
        <x:v>36</x:v>
      </x:c>
      <x:c r="F343" s="59" t="s">
        <x:v>827</x:v>
      </x:c>
      <x:c r="G343" s="59" t="s">
        <x:v>828</x:v>
      </x:c>
      <x:c r="H343" s="59" t="s">
        <x:v>659</x:v>
      </x:c>
      <x:c r="I343" s="59" t="s">
        <x:v>112</x:v>
      </x:c>
      <x:c r="J343" s="59">
        <x:v>2019</x:v>
      </x:c>
      <x:c r="K343" s="59">
        <x:v>44</x:v>
      </x:c>
      <x:c r="L343" s="58">
        <x:v>44</x:v>
      </x:c>
      <x:c r="M343" s="59">
        <x:v>44</x:v>
      </x:c>
      <x:c r="N343" s="59" t="s">
        <x:v>41</x:v>
      </x:c>
      <x:c r="O343" s="59" t="s">
        <x:v>42</x:v>
      </x:c>
      <x:c r="Q343" s="23" t="s">
        <x:v>43</x:v>
      </x:c>
      <x:c r="S343" s="58"/>
      <x:c r="T343" s="58"/>
      <x:c r="U343" s="58"/>
      <x:c r="V343" s="58">
        <x:v>-2.1144664</x:v>
      </x:c>
      <x:c r="W343" s="58">
        <x:v>106.07396660000001</x:v>
      </x:c>
      <x:c r="X343" s="60"/>
      <x:c r="Y343" s="60"/>
      <x:c r="Z343" s="58"/>
      <x:c r="AA343" s="60"/>
      <x:c r="AB343" s="60"/>
      <x:c r="AC343" s="61">
        <x:f t="shared" si="20"/>
        <x:v>1</x:v>
      </x:c>
      <x:c r="AD343" s="61">
        <x:f t="shared" si="21"/>
        <x:v>1</x:v>
      </x:c>
    </x:row>
    <x:row r="344" s="59" customFormat="1" ht="12.5">
      <x:c r="A344" s="63">
        <x:v>339</x:v>
      </x:c>
      <x:c r="B344" s="58" t="s">
        <x:v>829</x:v>
      </x:c>
      <x:c r="C344" s="59" t="s">
        <x:v>34</x:v>
      </x:c>
      <x:c r="D344" s="58" t="s">
        <x:v>99</x:v>
      </x:c>
      <x:c r="E344" s="58" t="s">
        <x:v>213</x:v>
      </x:c>
      <x:c r="F344" s="59" t="s">
        <x:v>830</x:v>
      </x:c>
      <x:c r="G344" s="59" t="s">
        <x:v>831</x:v>
      </x:c>
      <x:c r="H344" s="59" t="s">
        <x:v>832</x:v>
      </x:c>
      <x:c r="I344" s="59" t="s">
        <x:v>196</x:v>
      </x:c>
      <x:c r="J344" s="59">
        <x:v>2017</x:v>
      </x:c>
      <x:c r="K344" s="59">
        <x:v>48</x:v>
      </x:c>
      <x:c r="L344" s="58">
        <x:v>42</x:v>
      </x:c>
      <x:c r="M344" s="59">
        <x:v>33</x:v>
      </x:c>
      <x:c r="N344" s="59" t="s">
        <x:v>41</x:v>
      </x:c>
      <x:c r="O344" s="59" t="s">
        <x:v>42</x:v>
      </x:c>
      <x:c r="Q344" s="23" t="s">
        <x:v>43</x:v>
      </x:c>
      <x:c r="R344" s="23" t="s">
        <x:v>88</x:v>
      </x:c>
      <x:c r="S344" s="58"/>
      <x:c r="T344" s="58"/>
      <x:c r="U344" s="58"/>
      <x:c r="V344" s="58">
        <x:v>-2.0870636999999999</x:v>
      </x:c>
      <x:c r="W344" s="58">
        <x:v>106.12246279999999</x:v>
      </x:c>
      <x:c r="X344" s="60"/>
      <x:c r="Y344" s="60"/>
      <x:c r="Z344" s="58"/>
      <x:c r="AA344" s="60"/>
      <x:c r="AB344" s="60"/>
      <x:c r="AC344" s="61">
        <x:f t="shared" si="20"/>
        <x:v>0.875</x:v>
      </x:c>
      <x:c r="AD344" s="61">
        <x:f t="shared" si="21"/>
        <x:v>0.7857142857142857</x:v>
      </x:c>
    </x:row>
    <x:row r="345" s="59" customFormat="1" ht="12.5">
      <x:c r="A345" s="63">
        <x:v>340</x:v>
      </x:c>
      <x:c r="B345" s="58" t="s">
        <x:v>833</x:v>
      </x:c>
      <x:c r="C345" s="59" t="s">
        <x:v>34</x:v>
      </x:c>
      <x:c r="D345" s="58" t="s">
        <x:v>60</x:v>
      </x:c>
      <x:c r="E345" s="58" t="s">
        <x:v>91</x:v>
      </x:c>
      <x:c r="F345" s="59" t="s">
        <x:v>834</x:v>
      </x:c>
      <x:c r="G345" s="59" t="s">
        <x:v>155</x:v>
      </x:c>
      <x:c r="H345" s="59" t="s">
        <x:v>156</x:v>
      </x:c>
      <x:c r="I345" s="59" t="s">
        <x:v>65</x:v>
      </x:c>
      <x:c r="J345" s="59">
        <x:v>2016</x:v>
      </x:c>
      <x:c r="K345" s="59">
        <x:v>56</x:v>
      </x:c>
      <x:c r="L345" s="58">
        <x:v>56</x:v>
      </x:c>
      <x:c r="M345" s="59">
        <x:v>56</x:v>
      </x:c>
      <x:c r="N345" s="59" t="s">
        <x:v>41</x:v>
      </x:c>
      <x:c r="O345" s="59" t="s">
        <x:v>42</x:v>
      </x:c>
      <x:c r="Q345" s="23" t="s">
        <x:v>43</x:v>
      </x:c>
      <x:c r="S345" s="58"/>
      <x:c r="T345" s="58"/>
      <x:c r="U345" s="58"/>
      <x:c r="V345" s="58">
        <x:v>-2.0997509999999999</x:v>
      </x:c>
      <x:c r="W345" s="58">
        <x:v>106.108549</x:v>
      </x:c>
      <x:c r="X345" s="60"/>
      <x:c r="Y345" s="60"/>
      <x:c r="Z345" s="58"/>
      <x:c r="AA345" s="60"/>
      <x:c r="AB345" s="60"/>
      <x:c r="AC345" s="61">
        <x:f t="shared" si="20"/>
        <x:v>1</x:v>
      </x:c>
      <x:c r="AD345" s="61">
        <x:f t="shared" si="21"/>
        <x:v>1</x:v>
      </x:c>
    </x:row>
    <x:row r="346" s="59" customFormat="1" ht="12.5">
      <x:c r="A346" s="63">
        <x:v>341</x:v>
      </x:c>
      <x:c r="B346" s="58" t="s">
        <x:v>835</x:v>
      </x:c>
      <x:c r="C346" s="59" t="s">
        <x:v>34</x:v>
      </x:c>
      <x:c r="D346" s="58" t="s">
        <x:v>60</x:v>
      </x:c>
      <x:c r="E346" s="58" t="s">
        <x:v>70</x:v>
      </x:c>
      <x:c r="F346" s="59" t="s">
        <x:v>836</x:v>
      </x:c>
      <x:c r="G346" s="59" t="s">
        <x:v>837</x:v>
      </x:c>
      <x:c r="H346" s="59" t="s">
        <x:v>838</x:v>
      </x:c>
      <x:c r="I346" s="59" t="s">
        <x:v>42</x:v>
      </x:c>
      <x:c r="J346" s="59">
        <x:v>2023</x:v>
      </x:c>
      <x:c r="K346" s="59">
        <x:v>77</x:v>
      </x:c>
      <x:c r="L346" s="58">
        <x:v>29</x:v>
      </x:c>
      <x:c r="M346" s="59">
        <x:v>24</x:v>
      </x:c>
      <x:c r="N346" s="59" t="s">
        <x:v>41</x:v>
      </x:c>
      <x:c r="O346" s="59" t="s">
        <x:v>42</x:v>
      </x:c>
      <x:c r="Q346" s="23" t="s">
        <x:v>43</x:v>
      </x:c>
      <x:c r="R346" s="23" t="s">
        <x:v>88</x:v>
      </x:c>
      <x:c r="S346" s="58"/>
      <x:c r="T346" s="58"/>
      <x:c r="U346" s="58"/>
      <x:c r="V346" s="58">
        <x:v>-2.0913586999999998</x:v>
      </x:c>
      <x:c r="W346" s="58">
        <x:v>106.0929603</x:v>
      </x:c>
      <x:c r="X346" s="60"/>
      <x:c r="Y346" s="60"/>
      <x:c r="Z346" s="58"/>
      <x:c r="AA346" s="60"/>
      <x:c r="AB346" s="60"/>
      <x:c r="AC346" s="61">
        <x:f t="shared" si="20"/>
        <x:v>0.37662337662337664</x:v>
      </x:c>
      <x:c r="AD346" s="61">
        <x:f t="shared" si="21"/>
        <x:v>0.82758620689655171</x:v>
      </x:c>
    </x:row>
    <x:row r="347" s="59" customFormat="1" ht="12.5">
      <x:c r="A347" s="63">
        <x:v>342</x:v>
      </x:c>
      <x:c r="B347" s="58" t="s">
        <x:v>839</x:v>
      </x:c>
      <x:c r="C347" s="59" t="s">
        <x:v>170</x:v>
      </x:c>
      <x:c r="D347" s="58" t="s">
        <x:v>812</x:v>
      </x:c>
      <x:c r="E347" s="58" t="s">
        <x:v>840</x:v>
      </x:c>
      <x:c r="F347" s="59" t="s">
        <x:v>841</x:v>
      </x:c>
      <x:c r="G347" s="59" t="s">
        <x:v>42</x:v>
      </x:c>
      <x:c r="H347" s="59" t="s">
        <x:v>42</x:v>
      </x:c>
      <x:c r="I347" s="59" t="s">
        <x:v>42</x:v>
      </x:c>
      <x:c r="J347" s="59" t="s">
        <x:v>42</x:v>
      </x:c>
      <x:c r="K347" s="59">
        <x:v>0</x:v>
      </x:c>
      <x:c r="L347" s="58">
        <x:v>0</x:v>
      </x:c>
      <x:c r="M347" s="59">
        <x:v>0</x:v>
      </x:c>
      <x:c r="N347" s="59" t="s">
        <x:v>41</x:v>
      </x:c>
      <x:c r="O347" s="59" t="s">
        <x:v>42</x:v>
      </x:c>
      <x:c r="Q347" s="23" t="s">
        <x:v>43</x:v>
      </x:c>
      <x:c r="S347" s="58"/>
      <x:c r="T347" s="58"/>
      <x:c r="U347" s="58"/>
      <x:c r="V347" s="58">
        <x:v>-2.1322789200000001</x:v>
      </x:c>
      <x:c r="W347" s="58">
        <x:v>106.0984273</x:v>
      </x:c>
      <x:c r="X347" s="60"/>
      <x:c r="Y347" s="60"/>
      <x:c r="Z347" s="58"/>
      <x:c r="AA347" s="60"/>
      <x:c r="AB347" s="60"/>
      <x:c r="AC347" s="61">
        <x:f t="shared" si="20"/>
        <x:v>0</x:v>
      </x:c>
      <x:c r="AD347" s="61">
        <x:f t="shared" si="21"/>
        <x:v>0</x:v>
      </x:c>
    </x:row>
    <x:row r="348" s="59" customFormat="1" ht="12.5">
      <x:c r="A348" s="63">
        <x:v>343</x:v>
      </x:c>
      <x:c r="B348" s="58" t="s">
        <x:v>842</x:v>
      </x:c>
      <x:c r="C348" s="59" t="s">
        <x:v>34</x:v>
      </x:c>
      <x:c r="D348" s="58" t="s">
        <x:v>60</x:v>
      </x:c>
      <x:c r="E348" s="58" t="s">
        <x:v>91</x:v>
      </x:c>
      <x:c r="F348" s="59" t="s">
        <x:v>209</x:v>
      </x:c>
      <x:c r="G348" s="59" t="s">
        <x:v>843</x:v>
      </x:c>
      <x:c r="H348" s="59" t="s">
        <x:v>844</x:v>
      </x:c>
      <x:c r="I348" s="59" t="s">
        <x:v>42</x:v>
      </x:c>
      <x:c r="J348" s="59">
        <x:v>2018</x:v>
      </x:c>
      <x:c r="K348" s="59">
        <x:v>128</x:v>
      </x:c>
      <x:c r="L348" s="58">
        <x:v>128</x:v>
      </x:c>
      <x:c r="M348" s="59">
        <x:v>128</x:v>
      </x:c>
      <x:c r="N348" s="59" t="s">
        <x:v>41</x:v>
      </x:c>
      <x:c r="O348" s="59" t="s">
        <x:v>42</x:v>
      </x:c>
      <x:c r="Q348" s="23" t="s">
        <x:v>43</x:v>
      </x:c>
      <x:c r="S348" s="58"/>
      <x:c r="T348" s="58"/>
      <x:c r="U348" s="58"/>
      <x:c r="V348" s="58">
        <x:v>-2.0771069999999998</x:v>
      </x:c>
      <x:c r="W348" s="58">
        <x:v>106.115712</x:v>
      </x:c>
      <x:c r="X348" s="60"/>
      <x:c r="Y348" s="60"/>
      <x:c r="Z348" s="58"/>
      <x:c r="AA348" s="60"/>
      <x:c r="AB348" s="60"/>
      <x:c r="AC348" s="61">
        <x:f t="shared" si="20"/>
        <x:v>1</x:v>
      </x:c>
      <x:c r="AD348" s="61">
        <x:f t="shared" si="21"/>
        <x:v>1</x:v>
      </x:c>
    </x:row>
    <x:row r="349" s="59" customFormat="1" ht="12.5">
      <x:c r="A349" s="63">
        <x:v>344</x:v>
      </x:c>
      <x:c r="B349" s="58" t="s">
        <x:v>845</x:v>
      </x:c>
      <x:c r="C349" s="59" t="s">
        <x:v>34</x:v>
      </x:c>
      <x:c r="D349" s="58" t="s">
        <x:v>60</x:v>
      </x:c>
      <x:c r="E349" s="58" t="s">
        <x:v>91</x:v>
      </x:c>
      <x:c r="F349" s="59" t="s">
        <x:v>209</x:v>
      </x:c>
      <x:c r="G349" s="59" t="s">
        <x:v>843</x:v>
      </x:c>
      <x:c r="H349" s="59" t="s">
        <x:v>844</x:v>
      </x:c>
      <x:c r="I349" s="59" t="s">
        <x:v>42</x:v>
      </x:c>
      <x:c r="J349" s="59">
        <x:v>2018</x:v>
      </x:c>
      <x:c r="K349" s="59">
        <x:v>116</x:v>
      </x:c>
      <x:c r="L349" s="58">
        <x:v>59</x:v>
      </x:c>
      <x:c r="M349" s="59">
        <x:v>59</x:v>
      </x:c>
      <x:c r="N349" s="59" t="s">
        <x:v>41</x:v>
      </x:c>
      <x:c r="O349" s="59" t="s">
        <x:v>42</x:v>
      </x:c>
      <x:c r="Q349" s="23" t="s">
        <x:v>43</x:v>
      </x:c>
      <x:c r="S349" s="58"/>
      <x:c r="T349" s="58"/>
      <x:c r="U349" s="58"/>
      <x:c r="V349" s="58">
        <x:v>-2.0771069999999998</x:v>
      </x:c>
      <x:c r="W349" s="58">
        <x:v>106.115712</x:v>
      </x:c>
      <x:c r="X349" s="60"/>
      <x:c r="Y349" s="60"/>
      <x:c r="Z349" s="58"/>
      <x:c r="AA349" s="60"/>
      <x:c r="AB349" s="60"/>
      <x:c r="AC349" s="61">
        <x:f t="shared" si="20"/>
        <x:v>0.50862068965517238</x:v>
      </x:c>
      <x:c r="AD349" s="61">
        <x:f t="shared" si="21"/>
        <x:v>1</x:v>
      </x:c>
    </x:row>
    <x:row r="350" s="59" customFormat="1" ht="12.5">
      <x:c r="A350" s="63">
        <x:v>345</x:v>
      </x:c>
      <x:c r="B350" s="58" t="s">
        <x:v>846</x:v>
      </x:c>
      <x:c r="C350" s="59" t="s">
        <x:v>34</x:v>
      </x:c>
      <x:c r="D350" s="58" t="s">
        <x:v>60</x:v>
      </x:c>
      <x:c r="E350" s="58" t="s">
        <x:v>91</x:v>
      </x:c>
      <x:c r="F350" s="59" t="s">
        <x:v>209</x:v>
      </x:c>
      <x:c r="G350" s="59" t="s">
        <x:v>843</x:v>
      </x:c>
      <x:c r="H350" s="59" t="s">
        <x:v>844</x:v>
      </x:c>
      <x:c r="I350" s="59" t="s">
        <x:v>42</x:v>
      </x:c>
      <x:c r="J350" s="59">
        <x:v>2019</x:v>
      </x:c>
      <x:c r="K350" s="59">
        <x:v>105</x:v>
      </x:c>
      <x:c r="L350" s="58">
        <x:v>9</x:v>
      </x:c>
      <x:c r="M350" s="59">
        <x:v>9</x:v>
      </x:c>
      <x:c r="N350" s="59" t="s">
        <x:v>41</x:v>
      </x:c>
      <x:c r="O350" s="59" t="s">
        <x:v>42</x:v>
      </x:c>
      <x:c r="Q350" s="23" t="s">
        <x:v>43</x:v>
      </x:c>
      <x:c r="S350" s="58"/>
      <x:c r="T350" s="58"/>
      <x:c r="U350" s="58"/>
      <x:c r="V350" s="58">
        <x:v>-2.0771069999999998</x:v>
      </x:c>
      <x:c r="W350" s="58">
        <x:v>106.115712</x:v>
      </x:c>
      <x:c r="X350" s="60"/>
      <x:c r="Y350" s="60"/>
      <x:c r="Z350" s="58"/>
      <x:c r="AA350" s="60"/>
      <x:c r="AB350" s="60"/>
      <x:c r="AC350" s="61">
        <x:f t="shared" si="20"/>
        <x:v>8.5714285714285715E-2</x:v>
      </x:c>
      <x:c r="AD350" s="61">
        <x:f t="shared" si="21"/>
        <x:v>1</x:v>
      </x:c>
    </x:row>
    <x:row r="351" s="59" customFormat="1" ht="12.5">
      <x:c r="A351" s="63">
        <x:v>346</x:v>
      </x:c>
      <x:c r="B351" s="58" t="s">
        <x:v>847</x:v>
      </x:c>
      <x:c r="C351" s="59" t="s">
        <x:v>34</x:v>
      </x:c>
      <x:c r="D351" s="58" t="s">
        <x:v>60</x:v>
      </x:c>
      <x:c r="E351" s="58" t="s">
        <x:v>91</x:v>
      </x:c>
      <x:c r="F351" s="59" t="s">
        <x:v>848</x:v>
      </x:c>
      <x:c r="G351" s="59" t="s">
        <x:v>843</x:v>
      </x:c>
      <x:c r="H351" s="59" t="s">
        <x:v>844</x:v>
      </x:c>
      <x:c r="I351" s="59" t="s">
        <x:v>42</x:v>
      </x:c>
      <x:c r="J351" s="59">
        <x:v>2019</x:v>
      </x:c>
      <x:c r="K351" s="59">
        <x:v>43</x:v>
      </x:c>
      <x:c r="L351" s="58">
        <x:v>0</x:v>
      </x:c>
      <x:c r="M351" s="59">
        <x:v>0</x:v>
      </x:c>
      <x:c r="N351" s="59" t="s">
        <x:v>41</x:v>
      </x:c>
      <x:c r="O351" s="59" t="s">
        <x:v>42</x:v>
      </x:c>
      <x:c r="Q351" s="23" t="s">
        <x:v>43</x:v>
      </x:c>
      <x:c r="S351" s="58"/>
      <x:c r="T351" s="58"/>
      <x:c r="U351" s="58"/>
      <x:c r="V351" s="58">
        <x:v>-2.0771069999999998</x:v>
      </x:c>
      <x:c r="W351" s="58">
        <x:v>106.115712</x:v>
      </x:c>
      <x:c r="X351" s="60"/>
      <x:c r="Y351" s="60"/>
      <x:c r="Z351" s="58"/>
      <x:c r="AA351" s="60"/>
      <x:c r="AB351" s="60"/>
      <x:c r="AC351" s="61">
        <x:f t="shared" si="20"/>
        <x:v>0</x:v>
      </x:c>
      <x:c r="AD351" s="61">
        <x:f t="shared" si="21"/>
        <x:v>0</x:v>
      </x:c>
    </x:row>
  </x:sheetData>
  <x:mergeCells>
    <x:mergeCell ref="A1:AD1"/>
    <x:mergeCell ref="A2:AD2"/>
    <x:mergeCell ref="A3:AD3"/>
  </x:mergeCells>
  <x:conditionalFormatting sqref="AC6:AD351">
    <x:cfRule type="dataBar" priority="1">
      <x:dataBar>
        <x:cfvo type="min"/>
        <x:cfvo type="max"/>
        <x:color rgb="FF175B72"/>
      </x:dataBar>
    </x:cfRule>
    <x:cfRule type="dataBar" priority="2">
      <x:dataBar>
        <x:cfvo type="min"/>
        <x:cfvo type="max"/>
        <x:color rgb="FF175B72"/>
      </x:dataBar>
    </x:cfRule>
    <x:cfRule type="dataBar" priority="3">
      <x:dataBar>
        <x:cfvo type="min"/>
        <x:cfvo type="max"/>
        <x:color rgb="FF175B72"/>
      </x:dataBar>
      <x:extLst>
        <x:ext xmlns:x14="http://schemas.microsoft.com/office/spreadsheetml/2009/9/main" uri="{B025F937-C7B1-47D3-B67F-A62EFF666E3E}">
          <x14:id>{DF34E544-7FC4-FE13-C659-99D1A02A5B09}</x14:id>
        </x:ext>
      </x:extLst>
    </x:cfRule>
  </x:conditionalFormatting>
  <x:dataValidations count="8">
    <x:dataValidation type="list" sqref="C6:C351">
      <x:formula1>"Subsidi,Komersial,Campuran,Lainnya"</x:formula1>
    </x:dataValidation>
    <x:dataValidation type="list" sqref="D6:D351">
      <x:formula1>"Bukit Intan,Gabek,Gerunggang,Girimaya,Pangkal Balam,Rangkui,Taman Sari"</x:formula1>
    </x:dataValidation>
    <x:dataValidation type="list" sqref="N6:N351">
      <x:formula1>"SUDAH DISERAHKAN,BELUM DISERAHKAN,DALAM PROSES,TIDAK DIKETAHUI"</x:formula1>
    </x:dataValidation>
    <x:dataValidation type="list" sqref="Q6:Q351">
      <x:formula1>"RTH terbangun,RTH belum terbangun,RTH beralih fungsi,Tidak tersedia,Belum terdata"</x:formula1>
    </x:dataValidation>
    <x:dataValidation type="list" sqref="R6:R351">
      <x:formula1>"Jalan belum perkerasan,Jalan rusak ringan,Jalan rusak sedang,Jalan rusak berat"</x:formula1>
    </x:dataValidation>
    <x:dataValidation type="list" sqref="S6:S351">
      <x:formula1>"Pengembang tidak aktif"</x:formula1>
    </x:dataValidation>
    <x:dataValidation type="list" sqref="T6:T351">
      <x:formula1>"Titik rawan genangan dan banjir"</x:formula1>
    </x:dataValidation>
    <x:dataValidation type="list" sqref="Z6:Z351">
      <x:formula1>"Draft,Dalam Verifikasi,Terverifikasi,Perlu Perbaikan"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63732b8656b465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DF34E544-7FC4-FE13-C659-99D1A02A5B09}">
            <x14:dataBar>
              <x14:cfvo type="min"/>
              <x14:cfvo type="max"/>
              <x14:fillColor rgb="FF175B72"/>
              <x14:negativeFillColor auto="1"/>
              <x14:axisColor auto="1"/>
            </x14:dataBar>
          </x14:cfRule>
          <xm:sqref>AC6:AD351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4"/>
  <x:cols>
    <x:col min="1" max="1" width="16" customWidth="1"/>
    <x:col min="2" max="2" width="18" customWidth="1"/>
    <x:col min="3" max="4" width="22" customWidth="1"/>
    <x:col min="5" max="5" width="18" customWidth="1"/>
    <x:col min="6" max="6" width="13" customWidth="1"/>
    <x:col min="7" max="7" width="34" customWidth="1"/>
    <x:col min="8" max="8" width="20" customWidth="1"/>
    <x:col min="9" max="9" width="16" customWidth="1"/>
    <x:col min="10" max="10" width="20" customWidth="1"/>
    <x:col min="11" max="11" width="34" customWidth="1"/>
  </x:cols>
  <x:sheetData>
    <x:row r="1" ht="13.399999618530273" customHeight="1">
      <x:c r="A1" s="77" t="s">
        <x:v>849</x:v>
      </x:c>
      <x:c r="B1" s="77"/>
      <x:c r="C1" s="77"/>
      <x:c r="D1" s="77"/>
      <x:c r="E1" s="77"/>
      <x:c r="F1" s="77"/>
      <x:c r="G1" s="77"/>
      <x:c r="H1" s="77"/>
      <x:c r="I1" s="77"/>
      <x:c r="J1" s="77"/>
      <x:c r="K1" s="77"/>
    </x:row>
    <x:row r="2" ht="11.649999618530273" customHeight="1">
      <x:c r="A2" s="79" t="s">
        <x:v>850</x:v>
      </x:c>
      <x:c r="B2" s="79"/>
      <x:c r="C2" s="79"/>
      <x:c r="D2" s="79"/>
      <x:c r="E2" s="79"/>
      <x:c r="F2" s="79"/>
      <x:c r="G2" s="79"/>
      <x:c r="H2" s="79"/>
      <x:c r="I2" s="79"/>
      <x:c r="J2" s="79"/>
      <x:c r="K2" s="79"/>
    </x:row>
    <x:row r="3" ht="13.399999618530273" customHeight="1">
      <x:c r="A3" s="80" t="s">
        <x:v>851</x:v>
      </x:c>
      <x:c r="B3" s="80"/>
      <x:c r="C3" s="80"/>
      <x:c r="D3" s="80"/>
      <x:c r="E3" s="80"/>
      <x:c r="F3" s="80"/>
      <x:c r="G3" s="80"/>
      <x:c r="H3" s="80"/>
      <x:c r="I3" s="80"/>
      <x:c r="J3" s="80"/>
      <x:c r="K3" s="80"/>
    </x:row>
    <x:row r="5" ht="18.649999618530273" customHeight="1">
      <x:c r="A5" s="1" t="s">
        <x:v>852</x:v>
      </x:c>
      <x:c r="B5" s="2" t="s">
        <x:v>853</x:v>
      </x:c>
      <x:c r="C5" s="2" t="s">
        <x:v>854</x:v>
      </x:c>
      <x:c r="D5" s="2" t="s">
        <x:v>855</x:v>
      </x:c>
      <x:c r="E5" s="2" t="s">
        <x:v>856</x:v>
      </x:c>
      <x:c r="F5" s="2" t="s">
        <x:v>26</x:v>
      </x:c>
      <x:c r="G5" s="2" t="s">
        <x:v>27</x:v>
      </x:c>
      <x:c r="H5" s="2" t="s">
        <x:v>28</x:v>
      </x:c>
      <x:c r="I5" s="2" t="s">
        <x:v>29</x:v>
      </x:c>
      <x:c r="J5" s="2" t="s">
        <x:v>30</x:v>
      </x:c>
      <x:c r="K5" s="3" t="s">
        <x:v>857</x:v>
      </x:c>
    </x:row>
    <x:row r="6" ht="9.75" customHeight="1">
      <x:c r="A6" s="31" t="s">
        <x:v>858</x:v>
      </x:c>
      <x:c r="B6" s="10" t="s">
        <x:v>859</x:v>
      </x:c>
      <x:c r="C6" s="10" t="s">
        <x:v>35</x:v>
      </x:c>
      <x:c r="D6" s="16">
        <x:v>1977</x:v>
      </x:c>
      <x:c r="E6" s="16"/>
      <x:c r="F6" s="19">
        <x:v>2023</x:v>
      </x:c>
      <x:c r="G6" s="10" t="s">
        <x:v>860</x:v>
      </x:c>
      <x:c r="H6" s="10" t="s">
        <x:v>861</x:v>
      </x:c>
      <x:c r="I6" s="13"/>
      <x:c r="J6" s="10"/>
      <x:c r="K6" s="5"/>
    </x:row>
    <x:row r="7" ht="9.75" customHeight="1">
      <x:c r="A7" s="32" t="s">
        <x:v>862</x:v>
      </x:c>
      <x:c r="B7" s="11" t="s">
        <x:v>859</x:v>
      </x:c>
      <x:c r="C7" s="11" t="s">
        <x:v>81</x:v>
      </x:c>
      <x:c r="D7" s="17">
        <x:v>1420</x:v>
      </x:c>
      <x:c r="E7" s="17"/>
      <x:c r="F7" s="20">
        <x:v>2023</x:v>
      </x:c>
      <x:c r="G7" s="11" t="s">
        <x:v>860</x:v>
      </x:c>
      <x:c r="H7" s="11" t="s">
        <x:v>861</x:v>
      </x:c>
      <x:c r="I7" s="14"/>
      <x:c r="J7" s="11"/>
      <x:c r="K7" s="7"/>
    </x:row>
    <x:row r="8" ht="9.75" customHeight="1">
      <x:c r="A8" s="32" t="s">
        <x:v>863</x:v>
      </x:c>
      <x:c r="B8" s="11" t="s">
        <x:v>859</x:v>
      </x:c>
      <x:c r="C8" s="11" t="s">
        <x:v>864</x:v>
      </x:c>
      <x:c r="D8" s="17">
        <x:v>1571</x:v>
      </x:c>
      <x:c r="E8" s="17"/>
      <x:c r="F8" s="20">
        <x:v>2023</x:v>
      </x:c>
      <x:c r="G8" s="11" t="s">
        <x:v>860</x:v>
      </x:c>
      <x:c r="H8" s="11" t="s">
        <x:v>861</x:v>
      </x:c>
      <x:c r="I8" s="14"/>
      <x:c r="J8" s="11"/>
      <x:c r="K8" s="7"/>
    </x:row>
    <x:row r="9" ht="9.75" customHeight="1">
      <x:c r="A9" s="32" t="s">
        <x:v>865</x:v>
      </x:c>
      <x:c r="B9" s="11" t="s">
        <x:v>859</x:v>
      </x:c>
      <x:c r="C9" s="11" t="s">
        <x:v>60</x:v>
      </x:c>
      <x:c r="D9" s="17">
        <x:v>1322</x:v>
      </x:c>
      <x:c r="E9" s="17"/>
      <x:c r="F9" s="20">
        <x:v>2023</x:v>
      </x:c>
      <x:c r="G9" s="11" t="s">
        <x:v>860</x:v>
      </x:c>
      <x:c r="H9" s="11" t="s">
        <x:v>861</x:v>
      </x:c>
      <x:c r="I9" s="14"/>
      <x:c r="J9" s="11"/>
      <x:c r="K9" s="7"/>
    </x:row>
    <x:row r="10" ht="9.75" customHeight="1">
      <x:c r="A10" s="32" t="s">
        <x:v>866</x:v>
      </x:c>
      <x:c r="B10" s="11" t="s">
        <x:v>859</x:v>
      </x:c>
      <x:c r="C10" s="11" t="s">
        <x:v>812</x:v>
      </x:c>
      <x:c r="D10" s="17">
        <x:v>3084</x:v>
      </x:c>
      <x:c r="E10" s="17"/>
      <x:c r="F10" s="20">
        <x:v>2023</x:v>
      </x:c>
      <x:c r="G10" s="11" t="s">
        <x:v>860</x:v>
      </x:c>
      <x:c r="H10" s="11" t="s">
        <x:v>861</x:v>
      </x:c>
      <x:c r="I10" s="14"/>
      <x:c r="J10" s="11"/>
      <x:c r="K10" s="7"/>
    </x:row>
    <x:row r="11" ht="9.75" customHeight="1">
      <x:c r="A11" s="32" t="s">
        <x:v>867</x:v>
      </x:c>
      <x:c r="B11" s="11" t="s">
        <x:v>859</x:v>
      </x:c>
      <x:c r="C11" s="11" t="s">
        <x:v>99</x:v>
      </x:c>
      <x:c r="D11" s="17">
        <x:v>1450</x:v>
      </x:c>
      <x:c r="E11" s="17"/>
      <x:c r="F11" s="20">
        <x:v>2023</x:v>
      </x:c>
      <x:c r="G11" s="11" t="s">
        <x:v>860</x:v>
      </x:c>
      <x:c r="H11" s="11" t="s">
        <x:v>861</x:v>
      </x:c>
      <x:c r="I11" s="14"/>
      <x:c r="J11" s="11"/>
      <x:c r="K11" s="7"/>
    </x:row>
    <x:row r="12" ht="9.75" customHeight="1">
      <x:c r="A12" s="32" t="s">
        <x:v>868</x:v>
      </x:c>
      <x:c r="B12" s="11" t="s">
        <x:v>859</x:v>
      </x:c>
      <x:c r="C12" s="11" t="s">
        <x:v>306</x:v>
      </x:c>
      <x:c r="D12" s="17">
        <x:v>1338</x:v>
      </x:c>
      <x:c r="E12" s="17"/>
      <x:c r="F12" s="20">
        <x:v>2023</x:v>
      </x:c>
      <x:c r="G12" s="11" t="s">
        <x:v>860</x:v>
      </x:c>
      <x:c r="H12" s="11" t="s">
        <x:v>861</x:v>
      </x:c>
      <x:c r="I12" s="14"/>
      <x:c r="J12" s="11"/>
      <x:c r="K12" s="7"/>
    </x:row>
    <x:row r="13" ht="9.75" customHeight="1">
      <x:c r="A13" s="32" t="s">
        <x:v>869</x:v>
      </x:c>
      <x:c r="B13" s="11" t="s">
        <x:v>870</x:v>
      </x:c>
      <x:c r="C13" s="11"/>
      <x:c r="D13" s="17"/>
      <x:c r="E13" s="17">
        <x:v>13921</x:v>
      </x:c>
      <x:c r="F13" s="20">
        <x:v>2023</x:v>
      </x:c>
      <x:c r="G13" s="11" t="s">
        <x:v>860</x:v>
      </x:c>
      <x:c r="H13" s="11" t="s">
        <x:v>861</x:v>
      </x:c>
      <x:c r="I13" s="14"/>
      <x:c r="J13" s="11"/>
      <x:c r="K13" s="7"/>
    </x:row>
    <x:row r="14" ht="9.75" customHeight="1">
      <x:c r="A14" s="32"/>
      <x:c r="B14" s="11"/>
      <x:c r="C14" s="11"/>
      <x:c r="D14" s="17"/>
      <x:c r="E14" s="17"/>
      <x:c r="F14" s="20"/>
      <x:c r="G14" s="11"/>
      <x:c r="H14" s="11"/>
      <x:c r="I14" s="14"/>
      <x:c r="J14" s="11"/>
      <x:c r="K14" s="7"/>
    </x:row>
    <x:row r="15" ht="9.75" customHeight="1">
      <x:c r="A15" s="32"/>
      <x:c r="B15" s="11"/>
      <x:c r="C15" s="11"/>
      <x:c r="D15" s="17"/>
      <x:c r="E15" s="17"/>
      <x:c r="F15" s="20"/>
      <x:c r="G15" s="11"/>
      <x:c r="H15" s="11"/>
      <x:c r="I15" s="14"/>
      <x:c r="J15" s="11"/>
      <x:c r="K15" s="7"/>
    </x:row>
    <x:row r="16" ht="9.75" customHeight="1">
      <x:c r="A16" s="32"/>
      <x:c r="B16" s="11"/>
      <x:c r="C16" s="11"/>
      <x:c r="D16" s="17"/>
      <x:c r="E16" s="17"/>
      <x:c r="F16" s="20"/>
      <x:c r="G16" s="11"/>
      <x:c r="H16" s="11"/>
      <x:c r="I16" s="14"/>
      <x:c r="J16" s="11"/>
      <x:c r="K16" s="7"/>
    </x:row>
    <x:row r="17" ht="9.75" customHeight="1">
      <x:c r="A17" s="32"/>
      <x:c r="B17" s="11"/>
      <x:c r="C17" s="11"/>
      <x:c r="D17" s="17"/>
      <x:c r="E17" s="17"/>
      <x:c r="F17" s="20"/>
      <x:c r="G17" s="11"/>
      <x:c r="H17" s="11"/>
      <x:c r="I17" s="14"/>
      <x:c r="J17" s="11"/>
      <x:c r="K17" s="7"/>
    </x:row>
    <x:row r="18" ht="9.75" customHeight="1">
      <x:c r="A18" s="32"/>
      <x:c r="B18" s="11"/>
      <x:c r="C18" s="11"/>
      <x:c r="D18" s="17"/>
      <x:c r="E18" s="17"/>
      <x:c r="F18" s="20"/>
      <x:c r="G18" s="11"/>
      <x:c r="H18" s="11"/>
      <x:c r="I18" s="14"/>
      <x:c r="J18" s="11"/>
      <x:c r="K18" s="7"/>
    </x:row>
    <x:row r="19" ht="9.75" customHeight="1">
      <x:c r="A19" s="32"/>
      <x:c r="B19" s="11"/>
      <x:c r="C19" s="11"/>
      <x:c r="D19" s="17"/>
      <x:c r="E19" s="17"/>
      <x:c r="F19" s="20"/>
      <x:c r="G19" s="11"/>
      <x:c r="H19" s="11"/>
      <x:c r="I19" s="14"/>
      <x:c r="J19" s="11"/>
      <x:c r="K19" s="7"/>
    </x:row>
    <x:row r="20" ht="9.75" customHeight="1">
      <x:c r="A20" s="32"/>
      <x:c r="B20" s="11"/>
      <x:c r="C20" s="11"/>
      <x:c r="D20" s="17"/>
      <x:c r="E20" s="17"/>
      <x:c r="F20" s="20"/>
      <x:c r="G20" s="11"/>
      <x:c r="H20" s="11"/>
      <x:c r="I20" s="14"/>
      <x:c r="J20" s="11"/>
      <x:c r="K20" s="7"/>
    </x:row>
    <x:row r="21" ht="9.75" customHeight="1">
      <x:c r="A21" s="32"/>
      <x:c r="B21" s="11"/>
      <x:c r="C21" s="11"/>
      <x:c r="D21" s="17"/>
      <x:c r="E21" s="17"/>
      <x:c r="F21" s="20"/>
      <x:c r="G21" s="11"/>
      <x:c r="H21" s="11"/>
      <x:c r="I21" s="14"/>
      <x:c r="J21" s="11"/>
      <x:c r="K21" s="7"/>
    </x:row>
    <x:row r="22" ht="9.75" customHeight="1">
      <x:c r="A22" s="32"/>
      <x:c r="B22" s="11"/>
      <x:c r="C22" s="11"/>
      <x:c r="D22" s="17"/>
      <x:c r="E22" s="17"/>
      <x:c r="F22" s="20"/>
      <x:c r="G22" s="11"/>
      <x:c r="H22" s="11"/>
      <x:c r="I22" s="14"/>
      <x:c r="J22" s="11"/>
      <x:c r="K22" s="7"/>
    </x:row>
    <x:row r="23" ht="9.75" customHeight="1">
      <x:c r="A23" s="32"/>
      <x:c r="B23" s="11"/>
      <x:c r="C23" s="11"/>
      <x:c r="D23" s="17"/>
      <x:c r="E23" s="17"/>
      <x:c r="F23" s="20"/>
      <x:c r="G23" s="11"/>
      <x:c r="H23" s="11"/>
      <x:c r="I23" s="14"/>
      <x:c r="J23" s="11"/>
      <x:c r="K23" s="7"/>
    </x:row>
    <x:row r="24" ht="9.75" customHeight="1">
      <x:c r="A24" s="32"/>
      <x:c r="B24" s="11"/>
      <x:c r="C24" s="11"/>
      <x:c r="D24" s="17"/>
      <x:c r="E24" s="17"/>
      <x:c r="F24" s="20"/>
      <x:c r="G24" s="11"/>
      <x:c r="H24" s="11"/>
      <x:c r="I24" s="14"/>
      <x:c r="J24" s="11"/>
      <x:c r="K24" s="7"/>
    </x:row>
    <x:row r="25" ht="9.75" customHeight="1">
      <x:c r="A25" s="32"/>
      <x:c r="B25" s="11"/>
      <x:c r="C25" s="11"/>
      <x:c r="D25" s="17"/>
      <x:c r="E25" s="17"/>
      <x:c r="F25" s="20"/>
      <x:c r="G25" s="11"/>
      <x:c r="H25" s="11"/>
      <x:c r="I25" s="14"/>
      <x:c r="J25" s="11"/>
      <x:c r="K25" s="7"/>
    </x:row>
    <x:row r="26" ht="9.75" customHeight="1">
      <x:c r="A26" s="32"/>
      <x:c r="B26" s="11"/>
      <x:c r="C26" s="11"/>
      <x:c r="D26" s="17"/>
      <x:c r="E26" s="17"/>
      <x:c r="F26" s="20"/>
      <x:c r="G26" s="11"/>
      <x:c r="H26" s="11"/>
      <x:c r="I26" s="14"/>
      <x:c r="J26" s="11"/>
      <x:c r="K26" s="7"/>
    </x:row>
    <x:row r="27" ht="9.75" customHeight="1">
      <x:c r="A27" s="32"/>
      <x:c r="B27" s="11"/>
      <x:c r="C27" s="11"/>
      <x:c r="D27" s="17"/>
      <x:c r="E27" s="17"/>
      <x:c r="F27" s="20"/>
      <x:c r="G27" s="11"/>
      <x:c r="H27" s="11"/>
      <x:c r="I27" s="14"/>
      <x:c r="J27" s="11"/>
      <x:c r="K27" s="7"/>
    </x:row>
    <x:row r="28" ht="9.75" customHeight="1">
      <x:c r="A28" s="32"/>
      <x:c r="B28" s="11"/>
      <x:c r="C28" s="11"/>
      <x:c r="D28" s="17"/>
      <x:c r="E28" s="17"/>
      <x:c r="F28" s="20"/>
      <x:c r="G28" s="11"/>
      <x:c r="H28" s="11"/>
      <x:c r="I28" s="14"/>
      <x:c r="J28" s="11"/>
      <x:c r="K28" s="7"/>
    </x:row>
    <x:row r="29" ht="9.75" customHeight="1">
      <x:c r="A29" s="32"/>
      <x:c r="B29" s="11"/>
      <x:c r="C29" s="11"/>
      <x:c r="D29" s="17"/>
      <x:c r="E29" s="17"/>
      <x:c r="F29" s="20"/>
      <x:c r="G29" s="11"/>
      <x:c r="H29" s="11"/>
      <x:c r="I29" s="14"/>
      <x:c r="J29" s="11"/>
      <x:c r="K29" s="7"/>
    </x:row>
    <x:row r="30" ht="9.75" customHeight="1">
      <x:c r="A30" s="32"/>
      <x:c r="B30" s="11"/>
      <x:c r="C30" s="11"/>
      <x:c r="D30" s="17"/>
      <x:c r="E30" s="17"/>
      <x:c r="F30" s="20"/>
      <x:c r="G30" s="11"/>
      <x:c r="H30" s="11"/>
      <x:c r="I30" s="14"/>
      <x:c r="J30" s="11"/>
      <x:c r="K30" s="7"/>
    </x:row>
    <x:row r="31" ht="9.75" customHeight="1">
      <x:c r="A31" s="32"/>
      <x:c r="B31" s="11"/>
      <x:c r="C31" s="11"/>
      <x:c r="D31" s="17"/>
      <x:c r="E31" s="17"/>
      <x:c r="F31" s="20"/>
      <x:c r="G31" s="11"/>
      <x:c r="H31" s="11"/>
      <x:c r="I31" s="14"/>
      <x:c r="J31" s="11"/>
      <x:c r="K31" s="7"/>
    </x:row>
    <x:row r="32" ht="9.75" customHeight="1">
      <x:c r="A32" s="32"/>
      <x:c r="B32" s="11"/>
      <x:c r="C32" s="11"/>
      <x:c r="D32" s="17"/>
      <x:c r="E32" s="17"/>
      <x:c r="F32" s="20"/>
      <x:c r="G32" s="11"/>
      <x:c r="H32" s="11"/>
      <x:c r="I32" s="14"/>
      <x:c r="J32" s="11"/>
      <x:c r="K32" s="7"/>
    </x:row>
    <x:row r="33" ht="9.75" customHeight="1">
      <x:c r="A33" s="32"/>
      <x:c r="B33" s="11"/>
      <x:c r="C33" s="11"/>
      <x:c r="D33" s="17"/>
      <x:c r="E33" s="17"/>
      <x:c r="F33" s="20"/>
      <x:c r="G33" s="11"/>
      <x:c r="H33" s="11"/>
      <x:c r="I33" s="14"/>
      <x:c r="J33" s="11"/>
      <x:c r="K33" s="7"/>
    </x:row>
    <x:row r="34" ht="9.75" customHeight="1">
      <x:c r="A34" s="32"/>
      <x:c r="B34" s="11"/>
      <x:c r="C34" s="11"/>
      <x:c r="D34" s="17"/>
      <x:c r="E34" s="17"/>
      <x:c r="F34" s="20"/>
      <x:c r="G34" s="11"/>
      <x:c r="H34" s="11"/>
      <x:c r="I34" s="14"/>
      <x:c r="J34" s="11"/>
      <x:c r="K34" s="7"/>
    </x:row>
    <x:row r="35" ht="9.75" customHeight="1">
      <x:c r="A35" s="32"/>
      <x:c r="B35" s="11"/>
      <x:c r="C35" s="11"/>
      <x:c r="D35" s="17"/>
      <x:c r="E35" s="17"/>
      <x:c r="F35" s="20"/>
      <x:c r="G35" s="11"/>
      <x:c r="H35" s="11"/>
      <x:c r="I35" s="14"/>
      <x:c r="J35" s="11"/>
      <x:c r="K35" s="7"/>
    </x:row>
    <x:row r="36" ht="9.75" customHeight="1">
      <x:c r="A36" s="32"/>
      <x:c r="B36" s="11"/>
      <x:c r="C36" s="11"/>
      <x:c r="D36" s="17"/>
      <x:c r="E36" s="17"/>
      <x:c r="F36" s="20"/>
      <x:c r="G36" s="11"/>
      <x:c r="H36" s="11"/>
      <x:c r="I36" s="14"/>
      <x:c r="J36" s="11"/>
      <x:c r="K36" s="7"/>
    </x:row>
    <x:row r="37" ht="9.75" customHeight="1">
      <x:c r="A37" s="32"/>
      <x:c r="B37" s="11"/>
      <x:c r="C37" s="11"/>
      <x:c r="D37" s="17"/>
      <x:c r="E37" s="17"/>
      <x:c r="F37" s="20"/>
      <x:c r="G37" s="11"/>
      <x:c r="H37" s="11"/>
      <x:c r="I37" s="14"/>
      <x:c r="J37" s="11"/>
      <x:c r="K37" s="7"/>
    </x:row>
    <x:row r="38" ht="9.75" customHeight="1">
      <x:c r="A38" s="32"/>
      <x:c r="B38" s="11"/>
      <x:c r="C38" s="11"/>
      <x:c r="D38" s="17"/>
      <x:c r="E38" s="17"/>
      <x:c r="F38" s="20"/>
      <x:c r="G38" s="11"/>
      <x:c r="H38" s="11"/>
      <x:c r="I38" s="14"/>
      <x:c r="J38" s="11"/>
      <x:c r="K38" s="7"/>
    </x:row>
    <x:row r="39" ht="9.75" customHeight="1">
      <x:c r="A39" s="32"/>
      <x:c r="B39" s="11"/>
      <x:c r="C39" s="11"/>
      <x:c r="D39" s="17"/>
      <x:c r="E39" s="17"/>
      <x:c r="F39" s="20"/>
      <x:c r="G39" s="11"/>
      <x:c r="H39" s="11"/>
      <x:c r="I39" s="14"/>
      <x:c r="J39" s="11"/>
      <x:c r="K39" s="7"/>
    </x:row>
    <x:row r="40" ht="9.75" customHeight="1">
      <x:c r="A40" s="32"/>
      <x:c r="B40" s="11"/>
      <x:c r="C40" s="11"/>
      <x:c r="D40" s="17"/>
      <x:c r="E40" s="17"/>
      <x:c r="F40" s="20"/>
      <x:c r="G40" s="11"/>
      <x:c r="H40" s="11"/>
      <x:c r="I40" s="14"/>
      <x:c r="J40" s="11"/>
      <x:c r="K40" s="7"/>
    </x:row>
    <x:row r="41" ht="9.75" customHeight="1">
      <x:c r="A41" s="32"/>
      <x:c r="B41" s="11"/>
      <x:c r="C41" s="11"/>
      <x:c r="D41" s="17"/>
      <x:c r="E41" s="17"/>
      <x:c r="F41" s="20"/>
      <x:c r="G41" s="11"/>
      <x:c r="H41" s="11"/>
      <x:c r="I41" s="14"/>
      <x:c r="J41" s="11"/>
      <x:c r="K41" s="7"/>
    </x:row>
    <x:row r="42" ht="9.75" customHeight="1">
      <x:c r="A42" s="32"/>
      <x:c r="B42" s="11"/>
      <x:c r="C42" s="11"/>
      <x:c r="D42" s="17"/>
      <x:c r="E42" s="17"/>
      <x:c r="F42" s="20"/>
      <x:c r="G42" s="11"/>
      <x:c r="H42" s="11"/>
      <x:c r="I42" s="14"/>
      <x:c r="J42" s="11"/>
      <x:c r="K42" s="7"/>
    </x:row>
    <x:row r="43" ht="9.75" customHeight="1">
      <x:c r="A43" s="32"/>
      <x:c r="B43" s="11"/>
      <x:c r="C43" s="11"/>
      <x:c r="D43" s="17"/>
      <x:c r="E43" s="17"/>
      <x:c r="F43" s="20"/>
      <x:c r="G43" s="11"/>
      <x:c r="H43" s="11"/>
      <x:c r="I43" s="14"/>
      <x:c r="J43" s="11"/>
      <x:c r="K43" s="7"/>
    </x:row>
    <x:row r="44" ht="9.75" customHeight="1">
      <x:c r="A44" s="32"/>
      <x:c r="B44" s="11"/>
      <x:c r="C44" s="11"/>
      <x:c r="D44" s="17"/>
      <x:c r="E44" s="17"/>
      <x:c r="F44" s="20"/>
      <x:c r="G44" s="11"/>
      <x:c r="H44" s="11"/>
      <x:c r="I44" s="14"/>
      <x:c r="J44" s="11"/>
      <x:c r="K44" s="7"/>
    </x:row>
    <x:row r="45" ht="9.75" customHeight="1">
      <x:c r="A45" s="32"/>
      <x:c r="B45" s="11"/>
      <x:c r="C45" s="11"/>
      <x:c r="D45" s="17"/>
      <x:c r="E45" s="17"/>
      <x:c r="F45" s="20"/>
      <x:c r="G45" s="11"/>
      <x:c r="H45" s="11"/>
      <x:c r="I45" s="14"/>
      <x:c r="J45" s="11"/>
      <x:c r="K45" s="7"/>
    </x:row>
    <x:row r="46" ht="9.75" customHeight="1">
      <x:c r="A46" s="32"/>
      <x:c r="B46" s="11"/>
      <x:c r="C46" s="11"/>
      <x:c r="D46" s="17"/>
      <x:c r="E46" s="17"/>
      <x:c r="F46" s="20"/>
      <x:c r="G46" s="11"/>
      <x:c r="H46" s="11"/>
      <x:c r="I46" s="14"/>
      <x:c r="J46" s="11"/>
      <x:c r="K46" s="7"/>
    </x:row>
    <x:row r="47" ht="9.75" customHeight="1">
      <x:c r="A47" s="32"/>
      <x:c r="B47" s="11"/>
      <x:c r="C47" s="11"/>
      <x:c r="D47" s="17"/>
      <x:c r="E47" s="17"/>
      <x:c r="F47" s="20"/>
      <x:c r="G47" s="11"/>
      <x:c r="H47" s="11"/>
      <x:c r="I47" s="14"/>
      <x:c r="J47" s="11"/>
      <x:c r="K47" s="7"/>
    </x:row>
    <x:row r="48" ht="9.75" customHeight="1">
      <x:c r="A48" s="32"/>
      <x:c r="B48" s="11"/>
      <x:c r="C48" s="11"/>
      <x:c r="D48" s="17"/>
      <x:c r="E48" s="17"/>
      <x:c r="F48" s="20"/>
      <x:c r="G48" s="11"/>
      <x:c r="H48" s="11"/>
      <x:c r="I48" s="14"/>
      <x:c r="J48" s="11"/>
      <x:c r="K48" s="7"/>
    </x:row>
    <x:row r="49" ht="9.75" customHeight="1">
      <x:c r="A49" s="32"/>
      <x:c r="B49" s="11"/>
      <x:c r="C49" s="11"/>
      <x:c r="D49" s="17"/>
      <x:c r="E49" s="17"/>
      <x:c r="F49" s="20"/>
      <x:c r="G49" s="11"/>
      <x:c r="H49" s="11"/>
      <x:c r="I49" s="14"/>
      <x:c r="J49" s="11"/>
      <x:c r="K49" s="7"/>
    </x:row>
    <x:row r="50" ht="9.75" customHeight="1">
      <x:c r="A50" s="32"/>
      <x:c r="B50" s="11"/>
      <x:c r="C50" s="11"/>
      <x:c r="D50" s="17"/>
      <x:c r="E50" s="17"/>
      <x:c r="F50" s="20"/>
      <x:c r="G50" s="11"/>
      <x:c r="H50" s="11"/>
      <x:c r="I50" s="14"/>
      <x:c r="J50" s="11"/>
      <x:c r="K50" s="7"/>
    </x:row>
    <x:row r="51" ht="9.75" customHeight="1">
      <x:c r="A51" s="32"/>
      <x:c r="B51" s="11"/>
      <x:c r="C51" s="11"/>
      <x:c r="D51" s="17"/>
      <x:c r="E51" s="17"/>
      <x:c r="F51" s="20"/>
      <x:c r="G51" s="11"/>
      <x:c r="H51" s="11"/>
      <x:c r="I51" s="14"/>
      <x:c r="J51" s="11"/>
      <x:c r="K51" s="7"/>
    </x:row>
    <x:row r="52" ht="9.75" customHeight="1">
      <x:c r="A52" s="32"/>
      <x:c r="B52" s="11"/>
      <x:c r="C52" s="11"/>
      <x:c r="D52" s="17"/>
      <x:c r="E52" s="17"/>
      <x:c r="F52" s="20"/>
      <x:c r="G52" s="11"/>
      <x:c r="H52" s="11"/>
      <x:c r="I52" s="14"/>
      <x:c r="J52" s="11"/>
      <x:c r="K52" s="7"/>
    </x:row>
    <x:row r="53" ht="9.75" customHeight="1">
      <x:c r="A53" s="32"/>
      <x:c r="B53" s="11"/>
      <x:c r="C53" s="11"/>
      <x:c r="D53" s="17"/>
      <x:c r="E53" s="17"/>
      <x:c r="F53" s="20"/>
      <x:c r="G53" s="11"/>
      <x:c r="H53" s="11"/>
      <x:c r="I53" s="14"/>
      <x:c r="J53" s="11"/>
      <x:c r="K53" s="7"/>
    </x:row>
    <x:row r="54" ht="9.75" customHeight="1">
      <x:c r="A54" s="32"/>
      <x:c r="B54" s="11"/>
      <x:c r="C54" s="11"/>
      <x:c r="D54" s="17"/>
      <x:c r="E54" s="17"/>
      <x:c r="F54" s="20"/>
      <x:c r="G54" s="11"/>
      <x:c r="H54" s="11"/>
      <x:c r="I54" s="14"/>
      <x:c r="J54" s="11"/>
      <x:c r="K54" s="7"/>
    </x:row>
    <x:row r="55" ht="9.75" customHeight="1">
      <x:c r="A55" s="33"/>
      <x:c r="B55" s="12"/>
      <x:c r="C55" s="12"/>
      <x:c r="D55" s="18"/>
      <x:c r="E55" s="18"/>
      <x:c r="F55" s="21"/>
      <x:c r="G55" s="12"/>
      <x:c r="H55" s="12"/>
      <x:c r="I55" s="15"/>
      <x:c r="J55" s="12"/>
      <x:c r="K55" s="9"/>
    </x:row>
  </x:sheetData>
  <x:mergeCells>
    <x:mergeCell ref="A1:K1"/>
    <x:mergeCell ref="A2:K2"/>
    <x:mergeCell ref="A3:K3"/>
  </x:mergeCells>
  <x:conditionalFormatting sqref="D6:E55">
    <x:cfRule type="dataBar" priority="1">
      <x:dataBar>
        <x:cfvo type="min"/>
        <x:cfvo type="max"/>
        <x:color rgb="FF175B72"/>
      </x:dataBar>
    </x:cfRule>
    <x:cfRule type="dataBar" priority="2">
      <x:dataBar>
        <x:cfvo type="min"/>
        <x:cfvo type="max"/>
        <x:color rgb="FF175B72"/>
      </x:dataBar>
    </x:cfRule>
    <x:cfRule type="dataBar" priority="3">
      <x:dataBar>
        <x:cfvo type="min"/>
        <x:cfvo type="max"/>
        <x:color rgb="FF175B72"/>
      </x:dataBar>
      <x:extLst>
        <x:ext xmlns:x14="http://schemas.microsoft.com/office/spreadsheetml/2009/9/main" uri="{B025F937-C7B1-47D3-B67F-A62EFF666E3E}">
          <x14:id>{198728E1-1479-6937-0D78-593A886017BA}</x14:id>
        </x:ext>
      </x:extLst>
    </x:cfRule>
  </x:conditionalFormatting>
  <x:dataValidations count="3">
    <x:dataValidation type="list" sqref="B6:B55">
      <x:formula1>"Kecamatan,Kota"</x:formula1>
    </x:dataValidation>
    <x:dataValidation type="list" sqref="C6:C55">
      <x:formula1>"Bukit Intan,Gabek,Gerunggang,Girimaya,Pangkal Balam,Rangkui,Taman Sari,Kota Pangkalpinang"</x:formula1>
    </x:dataValidation>
    <x:dataValidation type="list" sqref="H6:H55">
      <x:formula1>"Draft,Dalam Verifikasi,Terverifikasi,Perlu Perbaikan"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25eea28871c43e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198728E1-1479-6937-0D78-593A886017BA}">
            <x14:dataBar>
              <x14:cfvo type="min"/>
              <x14:cfvo type="max"/>
              <x14:fillColor rgb="FF175B72"/>
              <x14:negativeFillColor auto="1"/>
              <x14:axisColor auto="1"/>
            </x14:dataBar>
          </x14:cfRule>
          <xm:sqref>D6:E55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4"/>
  <x:cols>
    <x:col min="1" max="1" width="16" customWidth="1"/>
    <x:col min="2" max="2" width="20" customWidth="1"/>
    <x:col min="3" max="3" width="17" customWidth="1"/>
    <x:col min="4" max="5" width="12" customWidth="1"/>
    <x:col min="6" max="6" width="18" customWidth="1"/>
    <x:col min="7" max="7" width="13" customWidth="1"/>
    <x:col min="8" max="8" width="34" customWidth="1"/>
    <x:col min="9" max="9" width="20" customWidth="1"/>
    <x:col min="10" max="10" width="16" customWidth="1"/>
    <x:col min="11" max="11" width="20" customWidth="1"/>
  </x:cols>
  <x:sheetData>
    <x:row r="1" ht="13.399999618530273" customHeight="1">
      <x:c r="A1" s="77" t="s">
        <x:v>871</x:v>
      </x:c>
      <x:c r="B1" s="77"/>
      <x:c r="C1" s="77"/>
      <x:c r="D1" s="77"/>
      <x:c r="E1" s="77"/>
      <x:c r="F1" s="77"/>
      <x:c r="G1" s="77"/>
      <x:c r="H1" s="77"/>
      <x:c r="I1" s="77"/>
      <x:c r="J1" s="77"/>
      <x:c r="K1" s="77"/>
    </x:row>
    <x:row r="2" ht="11.649999618530273" customHeight="1">
      <x:c r="A2" s="79" t="s">
        <x:v>872</x:v>
      </x:c>
      <x:c r="B2" s="79"/>
      <x:c r="C2" s="79"/>
      <x:c r="D2" s="79"/>
      <x:c r="E2" s="79"/>
      <x:c r="F2" s="79"/>
      <x:c r="G2" s="79"/>
      <x:c r="H2" s="79"/>
      <x:c r="I2" s="79"/>
      <x:c r="J2" s="79"/>
      <x:c r="K2" s="79"/>
    </x:row>
    <x:row r="3" ht="13.399999618530273" customHeight="1">
      <x:c r="A3" s="80" t="s">
        <x:v>851</x:v>
      </x:c>
      <x:c r="B3" s="80"/>
      <x:c r="C3" s="80"/>
      <x:c r="D3" s="80"/>
      <x:c r="E3" s="80"/>
      <x:c r="F3" s="80"/>
      <x:c r="G3" s="80"/>
      <x:c r="H3" s="80"/>
      <x:c r="I3" s="80"/>
      <x:c r="J3" s="80"/>
      <x:c r="K3" s="80"/>
    </x:row>
    <x:row r="5" ht="18.649999618530273" customHeight="1">
      <x:c r="A5" s="1" t="s">
        <x:v>873</x:v>
      </x:c>
      <x:c r="B5" s="2" t="s">
        <x:v>6</x:v>
      </x:c>
      <x:c r="C5" s="2" t="s">
        <x:v>874</x:v>
      </x:c>
      <x:c r="D5" s="2" t="s">
        <x:v>875</x:v>
      </x:c>
      <x:c r="E5" s="2" t="s">
        <x:v>876</x:v>
      </x:c>
      <x:c r="F5" s="2" t="s">
        <x:v>877</x:v>
      </x:c>
      <x:c r="G5" s="2" t="s">
        <x:v>26</x:v>
      </x:c>
      <x:c r="H5" s="2" t="s">
        <x:v>27</x:v>
      </x:c>
      <x:c r="I5" s="2" t="s">
        <x:v>28</x:v>
      </x:c>
      <x:c r="J5" s="2" t="s">
        <x:v>29</x:v>
      </x:c>
      <x:c r="K5" s="3" t="s">
        <x:v>30</x:v>
      </x:c>
    </x:row>
    <x:row r="6" ht="9.75" customHeight="1">
      <x:c r="A6" s="31" t="s">
        <x:v>858</x:v>
      </x:c>
      <x:c r="B6" s="10" t="s">
        <x:v>35</x:v>
      </x:c>
      <x:c r="C6" s="19">
        <x:v>12049</x:v>
      </x:c>
      <x:c r="D6" s="19">
        <x:v>424</x:v>
      </x:c>
      <x:c r="E6" s="37" t="n">
        <x:f t="shared" ref="E6:E37" si="0">IF(A6="","",MAX(C6-D6,0))</x:f>
        <x:v>11625</x:v>
      </x:c>
      <x:c r="F6" s="25" t="n">
        <x:f t="shared" ref="F6:F37" si="1">IF(A6="","",IFERROR(D6/C6,0))</x:f>
        <x:v>0.0351896422939663</x:v>
      </x:c>
      <x:c r="G6" s="19">
        <x:v>2023</x:v>
      </x:c>
      <x:c r="H6" s="10" t="s">
        <x:v>860</x:v>
      </x:c>
      <x:c r="I6" s="10" t="s">
        <x:v>861</x:v>
      </x:c>
      <x:c r="J6" s="13"/>
      <x:c r="K6" s="34"/>
    </x:row>
    <x:row r="7" ht="9.75" customHeight="1">
      <x:c r="A7" s="32" t="s">
        <x:v>862</x:v>
      </x:c>
      <x:c r="B7" s="11" t="s">
        <x:v>81</x:v>
      </x:c>
      <x:c r="C7" s="20">
        <x:v>9500</x:v>
      </x:c>
      <x:c r="D7" s="20">
        <x:v>655</x:v>
      </x:c>
      <x:c r="E7" s="38">
        <x:f t="shared" si="0"/>
        <x:v>8845</x:v>
      </x:c>
      <x:c r="F7" s="26">
        <x:f t="shared" si="1"/>
        <x:v>6.8947368421052632E-2</x:v>
      </x:c>
      <x:c r="G7" s="20">
        <x:v>2023</x:v>
      </x:c>
      <x:c r="H7" s="11" t="s">
        <x:v>860</x:v>
      </x:c>
      <x:c r="I7" s="11" t="s">
        <x:v>861</x:v>
      </x:c>
      <x:c r="J7" s="14"/>
      <x:c r="K7" s="35"/>
    </x:row>
    <x:row r="8" ht="9.75" customHeight="1">
      <x:c r="A8" s="32" t="s">
        <x:v>863</x:v>
      </x:c>
      <x:c r="B8" s="11" t="s">
        <x:v>864</x:v>
      </x:c>
      <x:c r="C8" s="20">
        <x:v>4805</x:v>
      </x:c>
      <x:c r="D8" s="20">
        <x:v>183</x:v>
      </x:c>
      <x:c r="E8" s="38">
        <x:f t="shared" si="0"/>
        <x:v>4622</x:v>
      </x:c>
      <x:c r="F8" s="26">
        <x:f t="shared" si="1"/>
        <x:v>3.8085327783558796E-2</x:v>
      </x:c>
      <x:c r="G8" s="20">
        <x:v>2023</x:v>
      </x:c>
      <x:c r="H8" s="11" t="s">
        <x:v>860</x:v>
      </x:c>
      <x:c r="I8" s="11" t="s">
        <x:v>861</x:v>
      </x:c>
      <x:c r="J8" s="14"/>
      <x:c r="K8" s="35"/>
    </x:row>
    <x:row r="9" ht="9.75" customHeight="1">
      <x:c r="A9" s="32" t="s">
        <x:v>865</x:v>
      </x:c>
      <x:c r="B9" s="11" t="s">
        <x:v>60</x:v>
      </x:c>
      <x:c r="C9" s="20">
        <x:v>8982</x:v>
      </x:c>
      <x:c r="D9" s="20">
        <x:v>568</x:v>
      </x:c>
      <x:c r="E9" s="38">
        <x:f t="shared" si="0"/>
        <x:v>8414</x:v>
      </x:c>
      <x:c r="F9" s="26">
        <x:f t="shared" si="1"/>
        <x:v>6.3237586283678468E-2</x:v>
      </x:c>
      <x:c r="G9" s="20">
        <x:v>2023</x:v>
      </x:c>
      <x:c r="H9" s="11" t="s">
        <x:v>860</x:v>
      </x:c>
      <x:c r="I9" s="11" t="s">
        <x:v>861</x:v>
      </x:c>
      <x:c r="J9" s="14"/>
      <x:c r="K9" s="35"/>
    </x:row>
    <x:row r="10" ht="9.75" customHeight="1">
      <x:c r="A10" s="32" t="s">
        <x:v>866</x:v>
      </x:c>
      <x:c r="B10" s="11" t="s">
        <x:v>812</x:v>
      </x:c>
      <x:c r="C10" s="20">
        <x:v>9679</x:v>
      </x:c>
      <x:c r="D10" s="20">
        <x:v>362</x:v>
      </x:c>
      <x:c r="E10" s="38">
        <x:f t="shared" si="0"/>
        <x:v>9317</x:v>
      </x:c>
      <x:c r="F10" s="26">
        <x:f t="shared" si="1"/>
        <x:v>3.7400557908874886E-2</x:v>
      </x:c>
      <x:c r="G10" s="20">
        <x:v>2023</x:v>
      </x:c>
      <x:c r="H10" s="11" t="s">
        <x:v>860</x:v>
      </x:c>
      <x:c r="I10" s="11" t="s">
        <x:v>861</x:v>
      </x:c>
      <x:c r="J10" s="14"/>
      <x:c r="K10" s="35"/>
    </x:row>
    <x:row r="11" ht="9.75" customHeight="1">
      <x:c r="A11" s="32" t="s">
        <x:v>867</x:v>
      </x:c>
      <x:c r="B11" s="11" t="s">
        <x:v>99</x:v>
      </x:c>
      <x:c r="C11" s="20">
        <x:v>5789</x:v>
      </x:c>
      <x:c r="D11" s="20">
        <x:v>757</x:v>
      </x:c>
      <x:c r="E11" s="38">
        <x:f t="shared" si="0"/>
        <x:v>5032</x:v>
      </x:c>
      <x:c r="F11" s="26">
        <x:f t="shared" si="1"/>
        <x:v>0.13076524442908966</x:v>
      </x:c>
      <x:c r="G11" s="20">
        <x:v>2023</x:v>
      </x:c>
      <x:c r="H11" s="11" t="s">
        <x:v>860</x:v>
      </x:c>
      <x:c r="I11" s="11" t="s">
        <x:v>861</x:v>
      </x:c>
      <x:c r="J11" s="14"/>
      <x:c r="K11" s="35"/>
    </x:row>
    <x:row r="12" ht="9.75" customHeight="1">
      <x:c r="A12" s="32" t="s">
        <x:v>868</x:v>
      </x:c>
      <x:c r="B12" s="11" t="s">
        <x:v>306</x:v>
      </x:c>
      <x:c r="C12" s="20">
        <x:v>4979</x:v>
      </x:c>
      <x:c r="D12" s="20">
        <x:v>49</x:v>
      </x:c>
      <x:c r="E12" s="38">
        <x:f t="shared" si="0"/>
        <x:v>4930</x:v>
      </x:c>
      <x:c r="F12" s="26">
        <x:f t="shared" si="1"/>
        <x:v>9.8413336011247236E-3</x:v>
      </x:c>
      <x:c r="G12" s="20">
        <x:v>2023</x:v>
      </x:c>
      <x:c r="H12" s="11" t="s">
        <x:v>860</x:v>
      </x:c>
      <x:c r="I12" s="11" t="s">
        <x:v>861</x:v>
      </x:c>
      <x:c r="J12" s="14"/>
      <x:c r="K12" s="35"/>
    </x:row>
    <x:row r="13" ht="9.75" customHeight="1">
      <x:c r="A13" s="32"/>
      <x:c r="B13" s="11"/>
      <x:c r="C13" s="20"/>
      <x:c r="D13" s="20"/>
      <x:c r="E13" s="38" t="str">
        <x:f t="shared" si="0"/>
      </x:c>
      <x:c r="F13" s="26" t="str">
        <x:f t="shared" si="1"/>
      </x:c>
      <x:c r="G13" s="20"/>
      <x:c r="H13" s="11"/>
      <x:c r="I13" s="11"/>
      <x:c r="J13" s="14"/>
      <x:c r="K13" s="35"/>
    </x:row>
    <x:row r="14" ht="9.75" customHeight="1">
      <x:c r="A14" s="32"/>
      <x:c r="B14" s="11"/>
      <x:c r="C14" s="20"/>
      <x:c r="D14" s="20"/>
      <x:c r="E14" s="38" t="str">
        <x:f t="shared" si="0"/>
      </x:c>
      <x:c r="F14" s="26" t="str">
        <x:f t="shared" si="1"/>
      </x:c>
      <x:c r="G14" s="20"/>
      <x:c r="H14" s="11"/>
      <x:c r="I14" s="11"/>
      <x:c r="J14" s="14"/>
      <x:c r="K14" s="35"/>
    </x:row>
    <x:row r="15" ht="9.75" customHeight="1">
      <x:c r="A15" s="32"/>
      <x:c r="B15" s="11"/>
      <x:c r="C15" s="20"/>
      <x:c r="D15" s="20"/>
      <x:c r="E15" s="38" t="str">
        <x:f t="shared" si="0"/>
      </x:c>
      <x:c r="F15" s="26" t="str">
        <x:f t="shared" si="1"/>
      </x:c>
      <x:c r="G15" s="20"/>
      <x:c r="H15" s="11"/>
      <x:c r="I15" s="11"/>
      <x:c r="J15" s="14"/>
      <x:c r="K15" s="35"/>
    </x:row>
    <x:row r="16" ht="9.75" customHeight="1">
      <x:c r="A16" s="32"/>
      <x:c r="B16" s="11"/>
      <x:c r="C16" s="20"/>
      <x:c r="D16" s="20"/>
      <x:c r="E16" s="38" t="str">
        <x:f t="shared" si="0"/>
      </x:c>
      <x:c r="F16" s="26" t="str">
        <x:f t="shared" si="1"/>
      </x:c>
      <x:c r="G16" s="20"/>
      <x:c r="H16" s="11"/>
      <x:c r="I16" s="11"/>
      <x:c r="J16" s="14"/>
      <x:c r="K16" s="35"/>
    </x:row>
    <x:row r="17" ht="9.75" customHeight="1">
      <x:c r="A17" s="32"/>
      <x:c r="B17" s="11"/>
      <x:c r="C17" s="20"/>
      <x:c r="D17" s="20"/>
      <x:c r="E17" s="38" t="str">
        <x:f t="shared" si="0"/>
      </x:c>
      <x:c r="F17" s="26" t="str">
        <x:f t="shared" si="1"/>
      </x:c>
      <x:c r="G17" s="20"/>
      <x:c r="H17" s="11"/>
      <x:c r="I17" s="11"/>
      <x:c r="J17" s="14"/>
      <x:c r="K17" s="35"/>
    </x:row>
    <x:row r="18" ht="9.75" customHeight="1">
      <x:c r="A18" s="32"/>
      <x:c r="B18" s="11"/>
      <x:c r="C18" s="20"/>
      <x:c r="D18" s="20"/>
      <x:c r="E18" s="38" t="str">
        <x:f t="shared" si="0"/>
      </x:c>
      <x:c r="F18" s="26" t="str">
        <x:f t="shared" si="1"/>
      </x:c>
      <x:c r="G18" s="20"/>
      <x:c r="H18" s="11"/>
      <x:c r="I18" s="11"/>
      <x:c r="J18" s="14"/>
      <x:c r="K18" s="35"/>
    </x:row>
    <x:row r="19" ht="9.75" customHeight="1">
      <x:c r="A19" s="32"/>
      <x:c r="B19" s="11"/>
      <x:c r="C19" s="20"/>
      <x:c r="D19" s="20"/>
      <x:c r="E19" s="38" t="str">
        <x:f t="shared" si="0"/>
      </x:c>
      <x:c r="F19" s="26" t="str">
        <x:f t="shared" si="1"/>
      </x:c>
      <x:c r="G19" s="20"/>
      <x:c r="H19" s="11"/>
      <x:c r="I19" s="11"/>
      <x:c r="J19" s="14"/>
      <x:c r="K19" s="35"/>
    </x:row>
    <x:row r="20" ht="9.75" customHeight="1">
      <x:c r="A20" s="32"/>
      <x:c r="B20" s="11"/>
      <x:c r="C20" s="20"/>
      <x:c r="D20" s="20"/>
      <x:c r="E20" s="38" t="str">
        <x:f t="shared" si="0"/>
      </x:c>
      <x:c r="F20" s="26" t="str">
        <x:f t="shared" si="1"/>
      </x:c>
      <x:c r="G20" s="20"/>
      <x:c r="H20" s="11"/>
      <x:c r="I20" s="11"/>
      <x:c r="J20" s="14"/>
      <x:c r="K20" s="35"/>
    </x:row>
    <x:row r="21" ht="9.75" customHeight="1">
      <x:c r="A21" s="32"/>
      <x:c r="B21" s="11"/>
      <x:c r="C21" s="20"/>
      <x:c r="D21" s="20"/>
      <x:c r="E21" s="38" t="str">
        <x:f t="shared" si="0"/>
      </x:c>
      <x:c r="F21" s="26" t="str">
        <x:f t="shared" si="1"/>
      </x:c>
      <x:c r="G21" s="20"/>
      <x:c r="H21" s="11"/>
      <x:c r="I21" s="11"/>
      <x:c r="J21" s="14"/>
      <x:c r="K21" s="35"/>
    </x:row>
    <x:row r="22" ht="9.75" customHeight="1">
      <x:c r="A22" s="32"/>
      <x:c r="B22" s="11"/>
      <x:c r="C22" s="20"/>
      <x:c r="D22" s="20"/>
      <x:c r="E22" s="38" t="str">
        <x:f t="shared" si="0"/>
      </x:c>
      <x:c r="F22" s="26" t="str">
        <x:f t="shared" si="1"/>
      </x:c>
      <x:c r="G22" s="20"/>
      <x:c r="H22" s="11"/>
      <x:c r="I22" s="11"/>
      <x:c r="J22" s="14"/>
      <x:c r="K22" s="35"/>
    </x:row>
    <x:row r="23" ht="9.75" customHeight="1">
      <x:c r="A23" s="32"/>
      <x:c r="B23" s="11"/>
      <x:c r="C23" s="20"/>
      <x:c r="D23" s="20"/>
      <x:c r="E23" s="38" t="str">
        <x:f t="shared" si="0"/>
      </x:c>
      <x:c r="F23" s="26" t="str">
        <x:f t="shared" si="1"/>
      </x:c>
      <x:c r="G23" s="20"/>
      <x:c r="H23" s="11"/>
      <x:c r="I23" s="11"/>
      <x:c r="J23" s="14"/>
      <x:c r="K23" s="35"/>
    </x:row>
    <x:row r="24" ht="9.75" customHeight="1">
      <x:c r="A24" s="32"/>
      <x:c r="B24" s="11"/>
      <x:c r="C24" s="20"/>
      <x:c r="D24" s="20"/>
      <x:c r="E24" s="38" t="str">
        <x:f t="shared" si="0"/>
      </x:c>
      <x:c r="F24" s="26" t="str">
        <x:f t="shared" si="1"/>
      </x:c>
      <x:c r="G24" s="20"/>
      <x:c r="H24" s="11"/>
      <x:c r="I24" s="11"/>
      <x:c r="J24" s="14"/>
      <x:c r="K24" s="35"/>
    </x:row>
    <x:row r="25" ht="9.75" customHeight="1">
      <x:c r="A25" s="32"/>
      <x:c r="B25" s="11"/>
      <x:c r="C25" s="20"/>
      <x:c r="D25" s="20"/>
      <x:c r="E25" s="38" t="str">
        <x:f t="shared" si="0"/>
      </x:c>
      <x:c r="F25" s="26" t="str">
        <x:f t="shared" si="1"/>
      </x:c>
      <x:c r="G25" s="20"/>
      <x:c r="H25" s="11"/>
      <x:c r="I25" s="11"/>
      <x:c r="J25" s="14"/>
      <x:c r="K25" s="35"/>
    </x:row>
    <x:row r="26" ht="9.75" customHeight="1">
      <x:c r="A26" s="32"/>
      <x:c r="B26" s="11"/>
      <x:c r="C26" s="20"/>
      <x:c r="D26" s="20"/>
      <x:c r="E26" s="38" t="str">
        <x:f t="shared" si="0"/>
      </x:c>
      <x:c r="F26" s="26" t="str">
        <x:f t="shared" si="1"/>
      </x:c>
      <x:c r="G26" s="20"/>
      <x:c r="H26" s="11"/>
      <x:c r="I26" s="11"/>
      <x:c r="J26" s="14"/>
      <x:c r="K26" s="35"/>
    </x:row>
    <x:row r="27" ht="9.75" customHeight="1">
      <x:c r="A27" s="32"/>
      <x:c r="B27" s="11"/>
      <x:c r="C27" s="20"/>
      <x:c r="D27" s="20"/>
      <x:c r="E27" s="38" t="str">
        <x:f t="shared" si="0"/>
      </x:c>
      <x:c r="F27" s="26" t="str">
        <x:f t="shared" si="1"/>
      </x:c>
      <x:c r="G27" s="20"/>
      <x:c r="H27" s="11"/>
      <x:c r="I27" s="11"/>
      <x:c r="J27" s="14"/>
      <x:c r="K27" s="35"/>
    </x:row>
    <x:row r="28" ht="9.75" customHeight="1">
      <x:c r="A28" s="32"/>
      <x:c r="B28" s="11"/>
      <x:c r="C28" s="20"/>
      <x:c r="D28" s="20"/>
      <x:c r="E28" s="38" t="str">
        <x:f t="shared" si="0"/>
      </x:c>
      <x:c r="F28" s="26" t="str">
        <x:f t="shared" si="1"/>
      </x:c>
      <x:c r="G28" s="20"/>
      <x:c r="H28" s="11"/>
      <x:c r="I28" s="11"/>
      <x:c r="J28" s="14"/>
      <x:c r="K28" s="35"/>
    </x:row>
    <x:row r="29" ht="9.75" customHeight="1">
      <x:c r="A29" s="32"/>
      <x:c r="B29" s="11"/>
      <x:c r="C29" s="20"/>
      <x:c r="D29" s="20"/>
      <x:c r="E29" s="38" t="str">
        <x:f t="shared" si="0"/>
      </x:c>
      <x:c r="F29" s="26" t="str">
        <x:f t="shared" si="1"/>
      </x:c>
      <x:c r="G29" s="20"/>
      <x:c r="H29" s="11"/>
      <x:c r="I29" s="11"/>
      <x:c r="J29" s="14"/>
      <x:c r="K29" s="35"/>
    </x:row>
    <x:row r="30" ht="9.75" customHeight="1">
      <x:c r="A30" s="32"/>
      <x:c r="B30" s="11"/>
      <x:c r="C30" s="20"/>
      <x:c r="D30" s="20"/>
      <x:c r="E30" s="38" t="str">
        <x:f t="shared" si="0"/>
      </x:c>
      <x:c r="F30" s="26" t="str">
        <x:f t="shared" si="1"/>
      </x:c>
      <x:c r="G30" s="20"/>
      <x:c r="H30" s="11"/>
      <x:c r="I30" s="11"/>
      <x:c r="J30" s="14"/>
      <x:c r="K30" s="35"/>
    </x:row>
    <x:row r="31" ht="9.75" customHeight="1">
      <x:c r="A31" s="32"/>
      <x:c r="B31" s="11"/>
      <x:c r="C31" s="20"/>
      <x:c r="D31" s="20"/>
      <x:c r="E31" s="38" t="str">
        <x:f t="shared" si="0"/>
      </x:c>
      <x:c r="F31" s="26" t="str">
        <x:f t="shared" si="1"/>
      </x:c>
      <x:c r="G31" s="20"/>
      <x:c r="H31" s="11"/>
      <x:c r="I31" s="11"/>
      <x:c r="J31" s="14"/>
      <x:c r="K31" s="35"/>
    </x:row>
    <x:row r="32" ht="9.75" customHeight="1">
      <x:c r="A32" s="32"/>
      <x:c r="B32" s="11"/>
      <x:c r="C32" s="20"/>
      <x:c r="D32" s="20"/>
      <x:c r="E32" s="38" t="str">
        <x:f t="shared" si="0"/>
      </x:c>
      <x:c r="F32" s="26" t="str">
        <x:f t="shared" si="1"/>
      </x:c>
      <x:c r="G32" s="20"/>
      <x:c r="H32" s="11"/>
      <x:c r="I32" s="11"/>
      <x:c r="J32" s="14"/>
      <x:c r="K32" s="35"/>
    </x:row>
    <x:row r="33" ht="9.75" customHeight="1">
      <x:c r="A33" s="32"/>
      <x:c r="B33" s="11"/>
      <x:c r="C33" s="20"/>
      <x:c r="D33" s="20"/>
      <x:c r="E33" s="38" t="str">
        <x:f t="shared" si="0"/>
      </x:c>
      <x:c r="F33" s="26" t="str">
        <x:f t="shared" si="1"/>
      </x:c>
      <x:c r="G33" s="20"/>
      <x:c r="H33" s="11"/>
      <x:c r="I33" s="11"/>
      <x:c r="J33" s="14"/>
      <x:c r="K33" s="35"/>
    </x:row>
    <x:row r="34" ht="9.75" customHeight="1">
      <x:c r="A34" s="32"/>
      <x:c r="B34" s="11"/>
      <x:c r="C34" s="20"/>
      <x:c r="D34" s="20"/>
      <x:c r="E34" s="38" t="str">
        <x:f t="shared" si="0"/>
      </x:c>
      <x:c r="F34" s="26" t="str">
        <x:f t="shared" si="1"/>
      </x:c>
      <x:c r="G34" s="20"/>
      <x:c r="H34" s="11"/>
      <x:c r="I34" s="11"/>
      <x:c r="J34" s="14"/>
      <x:c r="K34" s="35"/>
    </x:row>
    <x:row r="35" ht="9.75" customHeight="1">
      <x:c r="A35" s="32"/>
      <x:c r="B35" s="11"/>
      <x:c r="C35" s="20"/>
      <x:c r="D35" s="20"/>
      <x:c r="E35" s="38" t="str">
        <x:f t="shared" si="0"/>
      </x:c>
      <x:c r="F35" s="26" t="str">
        <x:f t="shared" si="1"/>
      </x:c>
      <x:c r="G35" s="20"/>
      <x:c r="H35" s="11"/>
      <x:c r="I35" s="11"/>
      <x:c r="J35" s="14"/>
      <x:c r="K35" s="35"/>
    </x:row>
    <x:row r="36" ht="9.75" customHeight="1">
      <x:c r="A36" s="32"/>
      <x:c r="B36" s="11"/>
      <x:c r="C36" s="20"/>
      <x:c r="D36" s="20"/>
      <x:c r="E36" s="38" t="str">
        <x:f t="shared" si="0"/>
      </x:c>
      <x:c r="F36" s="26" t="str">
        <x:f t="shared" si="1"/>
      </x:c>
      <x:c r="G36" s="20"/>
      <x:c r="H36" s="11"/>
      <x:c r="I36" s="11"/>
      <x:c r="J36" s="14"/>
      <x:c r="K36" s="35"/>
    </x:row>
    <x:row r="37" ht="9.75" customHeight="1">
      <x:c r="A37" s="32"/>
      <x:c r="B37" s="11"/>
      <x:c r="C37" s="20"/>
      <x:c r="D37" s="20"/>
      <x:c r="E37" s="38" t="str">
        <x:f t="shared" si="0"/>
      </x:c>
      <x:c r="F37" s="26" t="str">
        <x:f t="shared" si="1"/>
      </x:c>
      <x:c r="G37" s="20"/>
      <x:c r="H37" s="11"/>
      <x:c r="I37" s="11"/>
      <x:c r="J37" s="14"/>
      <x:c r="K37" s="35"/>
    </x:row>
    <x:row r="38" ht="9.75" customHeight="1">
      <x:c r="A38" s="32"/>
      <x:c r="B38" s="11"/>
      <x:c r="C38" s="20"/>
      <x:c r="D38" s="20"/>
      <x:c r="E38" s="38" t="str">
        <x:f t="shared" ref="E38:E55" si="2">IF(A38="","",MAX(C38-D38,0))</x:f>
      </x:c>
      <x:c r="F38" s="26" t="str">
        <x:f t="shared" ref="F38:F55" si="3">IF(A38="","",IFERROR(D38/C38,0))</x:f>
      </x:c>
      <x:c r="G38" s="20"/>
      <x:c r="H38" s="11"/>
      <x:c r="I38" s="11"/>
      <x:c r="J38" s="14"/>
      <x:c r="K38" s="35"/>
    </x:row>
    <x:row r="39" ht="9.75" customHeight="1">
      <x:c r="A39" s="32"/>
      <x:c r="B39" s="11"/>
      <x:c r="C39" s="20"/>
      <x:c r="D39" s="20"/>
      <x:c r="E39" s="38" t="str">
        <x:f t="shared" si="2"/>
      </x:c>
      <x:c r="F39" s="26" t="str">
        <x:f t="shared" si="3"/>
      </x:c>
      <x:c r="G39" s="20"/>
      <x:c r="H39" s="11"/>
      <x:c r="I39" s="11"/>
      <x:c r="J39" s="14"/>
      <x:c r="K39" s="35"/>
    </x:row>
    <x:row r="40" ht="9.75" customHeight="1">
      <x:c r="A40" s="32"/>
      <x:c r="B40" s="11"/>
      <x:c r="C40" s="20"/>
      <x:c r="D40" s="20"/>
      <x:c r="E40" s="38" t="str">
        <x:f t="shared" si="2"/>
      </x:c>
      <x:c r="F40" s="26" t="str">
        <x:f t="shared" si="3"/>
      </x:c>
      <x:c r="G40" s="20"/>
      <x:c r="H40" s="11"/>
      <x:c r="I40" s="11"/>
      <x:c r="J40" s="14"/>
      <x:c r="K40" s="35"/>
    </x:row>
    <x:row r="41" ht="9.75" customHeight="1">
      <x:c r="A41" s="32"/>
      <x:c r="B41" s="11"/>
      <x:c r="C41" s="20"/>
      <x:c r="D41" s="20"/>
      <x:c r="E41" s="38" t="str">
        <x:f t="shared" si="2"/>
      </x:c>
      <x:c r="F41" s="26" t="str">
        <x:f t="shared" si="3"/>
      </x:c>
      <x:c r="G41" s="20"/>
      <x:c r="H41" s="11"/>
      <x:c r="I41" s="11"/>
      <x:c r="J41" s="14"/>
      <x:c r="K41" s="35"/>
    </x:row>
    <x:row r="42" ht="9.75" customHeight="1">
      <x:c r="A42" s="32"/>
      <x:c r="B42" s="11"/>
      <x:c r="C42" s="20"/>
      <x:c r="D42" s="20"/>
      <x:c r="E42" s="38" t="str">
        <x:f t="shared" si="2"/>
      </x:c>
      <x:c r="F42" s="26" t="str">
        <x:f t="shared" si="3"/>
      </x:c>
      <x:c r="G42" s="20"/>
      <x:c r="H42" s="11"/>
      <x:c r="I42" s="11"/>
      <x:c r="J42" s="14"/>
      <x:c r="K42" s="35"/>
    </x:row>
    <x:row r="43" ht="9.75" customHeight="1">
      <x:c r="A43" s="32"/>
      <x:c r="B43" s="11"/>
      <x:c r="C43" s="20"/>
      <x:c r="D43" s="20"/>
      <x:c r="E43" s="38" t="str">
        <x:f t="shared" si="2"/>
      </x:c>
      <x:c r="F43" s="26" t="str">
        <x:f t="shared" si="3"/>
      </x:c>
      <x:c r="G43" s="20"/>
      <x:c r="H43" s="11"/>
      <x:c r="I43" s="11"/>
      <x:c r="J43" s="14"/>
      <x:c r="K43" s="35"/>
    </x:row>
    <x:row r="44" ht="9.75" customHeight="1">
      <x:c r="A44" s="32"/>
      <x:c r="B44" s="11"/>
      <x:c r="C44" s="20"/>
      <x:c r="D44" s="20"/>
      <x:c r="E44" s="38" t="str">
        <x:f t="shared" si="2"/>
      </x:c>
      <x:c r="F44" s="26" t="str">
        <x:f t="shared" si="3"/>
      </x:c>
      <x:c r="G44" s="20"/>
      <x:c r="H44" s="11"/>
      <x:c r="I44" s="11"/>
      <x:c r="J44" s="14"/>
      <x:c r="K44" s="35"/>
    </x:row>
    <x:row r="45" ht="9.75" customHeight="1">
      <x:c r="A45" s="32"/>
      <x:c r="B45" s="11"/>
      <x:c r="C45" s="20"/>
      <x:c r="D45" s="20"/>
      <x:c r="E45" s="38" t="str">
        <x:f t="shared" si="2"/>
      </x:c>
      <x:c r="F45" s="26" t="str">
        <x:f t="shared" si="3"/>
      </x:c>
      <x:c r="G45" s="20"/>
      <x:c r="H45" s="11"/>
      <x:c r="I45" s="11"/>
      <x:c r="J45" s="14"/>
      <x:c r="K45" s="35"/>
    </x:row>
    <x:row r="46" ht="9.75" customHeight="1">
      <x:c r="A46" s="32"/>
      <x:c r="B46" s="11"/>
      <x:c r="C46" s="20"/>
      <x:c r="D46" s="20"/>
      <x:c r="E46" s="38" t="str">
        <x:f t="shared" si="2"/>
      </x:c>
      <x:c r="F46" s="26" t="str">
        <x:f t="shared" si="3"/>
      </x:c>
      <x:c r="G46" s="20"/>
      <x:c r="H46" s="11"/>
      <x:c r="I46" s="11"/>
      <x:c r="J46" s="14"/>
      <x:c r="K46" s="35"/>
    </x:row>
    <x:row r="47" ht="9.75" customHeight="1">
      <x:c r="A47" s="32"/>
      <x:c r="B47" s="11"/>
      <x:c r="C47" s="20"/>
      <x:c r="D47" s="20"/>
      <x:c r="E47" s="38" t="str">
        <x:f t="shared" si="2"/>
      </x:c>
      <x:c r="F47" s="26" t="str">
        <x:f t="shared" si="3"/>
      </x:c>
      <x:c r="G47" s="20"/>
      <x:c r="H47" s="11"/>
      <x:c r="I47" s="11"/>
      <x:c r="J47" s="14"/>
      <x:c r="K47" s="35"/>
    </x:row>
    <x:row r="48" ht="9.75" customHeight="1">
      <x:c r="A48" s="32"/>
      <x:c r="B48" s="11"/>
      <x:c r="C48" s="20"/>
      <x:c r="D48" s="20"/>
      <x:c r="E48" s="38" t="str">
        <x:f t="shared" si="2"/>
      </x:c>
      <x:c r="F48" s="26" t="str">
        <x:f t="shared" si="3"/>
      </x:c>
      <x:c r="G48" s="20"/>
      <x:c r="H48" s="11"/>
      <x:c r="I48" s="11"/>
      <x:c r="J48" s="14"/>
      <x:c r="K48" s="35"/>
    </x:row>
    <x:row r="49" ht="9.75" customHeight="1">
      <x:c r="A49" s="32"/>
      <x:c r="B49" s="11"/>
      <x:c r="C49" s="20"/>
      <x:c r="D49" s="20"/>
      <x:c r="E49" s="38" t="str">
        <x:f t="shared" si="2"/>
      </x:c>
      <x:c r="F49" s="26" t="str">
        <x:f t="shared" si="3"/>
      </x:c>
      <x:c r="G49" s="20"/>
      <x:c r="H49" s="11"/>
      <x:c r="I49" s="11"/>
      <x:c r="J49" s="14"/>
      <x:c r="K49" s="35"/>
    </x:row>
    <x:row r="50" ht="9.75" customHeight="1">
      <x:c r="A50" s="32"/>
      <x:c r="B50" s="11"/>
      <x:c r="C50" s="20"/>
      <x:c r="D50" s="20"/>
      <x:c r="E50" s="38" t="str">
        <x:f t="shared" si="2"/>
      </x:c>
      <x:c r="F50" s="26" t="str">
        <x:f t="shared" si="3"/>
      </x:c>
      <x:c r="G50" s="20"/>
      <x:c r="H50" s="11"/>
      <x:c r="I50" s="11"/>
      <x:c r="J50" s="14"/>
      <x:c r="K50" s="35"/>
    </x:row>
    <x:row r="51" ht="9.75" customHeight="1">
      <x:c r="A51" s="32"/>
      <x:c r="B51" s="11"/>
      <x:c r="C51" s="20"/>
      <x:c r="D51" s="20"/>
      <x:c r="E51" s="38" t="str">
        <x:f t="shared" si="2"/>
      </x:c>
      <x:c r="F51" s="26" t="str">
        <x:f t="shared" si="3"/>
      </x:c>
      <x:c r="G51" s="20"/>
      <x:c r="H51" s="11"/>
      <x:c r="I51" s="11"/>
      <x:c r="J51" s="14"/>
      <x:c r="K51" s="35"/>
    </x:row>
    <x:row r="52" ht="9.75" customHeight="1">
      <x:c r="A52" s="32"/>
      <x:c r="B52" s="11"/>
      <x:c r="C52" s="20"/>
      <x:c r="D52" s="20"/>
      <x:c r="E52" s="38" t="str">
        <x:f t="shared" si="2"/>
      </x:c>
      <x:c r="F52" s="26" t="str">
        <x:f t="shared" si="3"/>
      </x:c>
      <x:c r="G52" s="20"/>
      <x:c r="H52" s="11"/>
      <x:c r="I52" s="11"/>
      <x:c r="J52" s="14"/>
      <x:c r="K52" s="35"/>
    </x:row>
    <x:row r="53" ht="9.75" customHeight="1">
      <x:c r="A53" s="32"/>
      <x:c r="B53" s="11"/>
      <x:c r="C53" s="20"/>
      <x:c r="D53" s="20"/>
      <x:c r="E53" s="38" t="str">
        <x:f t="shared" si="2"/>
      </x:c>
      <x:c r="F53" s="26" t="str">
        <x:f t="shared" si="3"/>
      </x:c>
      <x:c r="G53" s="20"/>
      <x:c r="H53" s="11"/>
      <x:c r="I53" s="11"/>
      <x:c r="J53" s="14"/>
      <x:c r="K53" s="35"/>
    </x:row>
    <x:row r="54" ht="9.75" customHeight="1">
      <x:c r="A54" s="32"/>
      <x:c r="B54" s="11"/>
      <x:c r="C54" s="20"/>
      <x:c r="D54" s="20"/>
      <x:c r="E54" s="38" t="str">
        <x:f t="shared" si="2"/>
      </x:c>
      <x:c r="F54" s="26" t="str">
        <x:f t="shared" si="3"/>
      </x:c>
      <x:c r="G54" s="20"/>
      <x:c r="H54" s="11"/>
      <x:c r="I54" s="11"/>
      <x:c r="J54" s="14"/>
      <x:c r="K54" s="35"/>
    </x:row>
    <x:row r="55" ht="9.75" customHeight="1">
      <x:c r="A55" s="33"/>
      <x:c r="B55" s="12"/>
      <x:c r="C55" s="21"/>
      <x:c r="D55" s="21"/>
      <x:c r="E55" s="39" t="str">
        <x:f t="shared" si="2"/>
      </x:c>
      <x:c r="F55" s="27" t="str">
        <x:f t="shared" si="3"/>
      </x:c>
      <x:c r="G55" s="21"/>
      <x:c r="H55" s="12"/>
      <x:c r="I55" s="12"/>
      <x:c r="J55" s="15"/>
      <x:c r="K55" s="36"/>
    </x:row>
  </x:sheetData>
  <x:mergeCells>
    <x:mergeCell ref="A1:K1"/>
    <x:mergeCell ref="A2:K2"/>
    <x:mergeCell ref="A3:K3"/>
  </x:mergeCells>
  <x:conditionalFormatting sqref="F6:F55">
    <x:cfRule type="colorScale" priority="1">
      <x:colorScale>
        <x:cfvo type="min"/>
        <x:cfvo type="percentile" val="50"/>
        <x:cfvo type="max"/>
        <x:color rgb="FFE8F5EE"/>
        <x:color rgb="FFF6F1DA"/>
        <x:color rgb="FFFDECEC"/>
      </x:colorScale>
    </x:cfRule>
  </x:conditionalFormatting>
  <x:dataValidations count="2">
    <x:dataValidation type="list" sqref="B6:B55">
      <x:formula1>"Bukit Intan,Gabek,Gerunggang,Girimaya,Pangkal Balam,Rangkui,Taman Sari"</x:formula1>
    </x:dataValidation>
    <x:dataValidation type="list" sqref="I6:I55">
      <x:formula1>"Draft,Dalam Verifikasi,Terverifikasi,Perlu Perbaikan"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6ea1fbd37a24700"/>
  </x:tableParts>
</x:worksheet>
</file>

<file path=xl/worksheets/sheet4.xml><?xml version="1.0" encoding="utf-8"?>
<x:worksheet xmlns:x="http://schemas.openxmlformats.org/spreadsheetml/2006/main">
  <x:sheetFormatPr defaultRowHeight="14"/>
  <x:cols>
    <x:col min="1" max="1" width="15" hidden="0" customWidth="1"/>
    <x:col min="2" max="2" width="24" hidden="0" customWidth="1"/>
    <x:col min="3" max="4" width="20" customWidth="1"/>
    <x:col min="5" max="5" width="34" hidden="0" customWidth="1"/>
    <x:col min="6" max="6" width="18" hidden="0" customWidth="1"/>
    <x:col min="7" max="7" width="18" hidden="0" customWidth="1"/>
    <x:col min="8" max="8" width="22" hidden="0" customWidth="1"/>
    <x:col min="9" max="9" width="42" hidden="0" customWidth="1"/>
    <x:col min="10" max="10" width="23" hidden="0" customWidth="1"/>
    <x:col min="11" max="11" width="22" hidden="0" customWidth="1"/>
    <x:col min="12" max="13" width="18" customWidth="1"/>
    <x:col min="14" max="14" width="18" hidden="0" customWidth="1"/>
    <x:col min="15" max="15" width="21" hidden="0" customWidth="1"/>
    <x:col min="16" max="16" width="18" hidden="0" customWidth="1"/>
    <x:col min="17" max="17" width="30" hidden="0" customWidth="1"/>
    <x:col min="18" max="18" width="28" hidden="0" customWidth="1"/>
    <x:col min="19" max="19" width="36" hidden="0" customWidth="1"/>
    <x:col min="20" max="20" width="27" hidden="0" customWidth="1"/>
    <x:col min="3" max="3" width="19" hidden="0" customWidth="1"/>
    <x:col min="4" max="4" width="19" hidden="0" customWidth="1"/>
    <x:col min="12" max="12" width="18" hidden="0" customWidth="1"/>
    <x:col min="13" max="13" width="31" hidden="0" customWidth="1"/>
    <x:col min="21" max="21" width="38" hidden="0" customWidth="1"/>
    <x:col min="22" max="22" width="15" hidden="0" customWidth="1"/>
    <x:col min="23" max="23" width="36" hidden="0" customWidth="1"/>
    <x:col min="24" max="24" width="48" hidden="0" customWidth="1"/>
    <x:col min="25" max="25" width="16" hidden="0" customWidth="1"/>
    <x:col min="26" max="26" width="21" hidden="0" customWidth="1"/>
    <x:col min="27" max="27" width="19" hidden="0" customWidth="1"/>
    <x:col min="28" max="28" width="21" hidden="0" customWidth="1"/>
    <x:col min="29" max="29" width="21" hidden="0" customWidth="1"/>
    <x:col min="31" max="31" width="16" hidden="0" customWidth="1"/>
    <x:col min="32" max="32" width="24" hidden="0" customWidth="1"/>
    <x:col min="30" max="30" width="18" hidden="0" customWidth="1"/>
    <x:col min="33" max="33" width="18" hidden="0" customWidth="1"/>
    <x:col min="34" max="34" width="16" hidden="0" customWidth="1"/>
    <x:col min="35" max="35" width="13" hidden="0" customWidth="1"/>
    <x:col min="36" max="36" width="30" hidden="0" customWidth="1"/>
    <x:col min="37" max="37" width="16" hidden="0" customWidth="1"/>
    <x:col min="38" max="38" width="28" hidden="0" customWidth="1"/>
    <x:col min="40" max="40" width="56" hidden="0" customWidth="1"/>
    <x:col min="42" max="42" width="38" hidden="0" customWidth="1"/>
  </x:cols>
  <x:sheetData>
    <x:row r="1" ht="28" customHeight="1">
      <x:c r="A1" s="679" t="str">
        <x:v>TEMPLATE RESMI DATABASE SIRUMAH — DATA INDIVIDU RTLH</x:v>
      </x:c>
      <x:c r="B1" s="679"/>
      <x:c r="C1" s="679"/>
      <x:c r="D1" s="679"/>
      <x:c r="E1" s="679"/>
      <x:c r="F1" s="679"/>
      <x:c r="G1" s="679"/>
      <x:c r="H1" s="679"/>
      <x:c r="I1" s="679"/>
      <x:c r="J1" s="679"/>
      <x:c r="K1" s="679"/>
      <x:c r="L1" s="679"/>
      <x:c r="M1" s="679"/>
      <x:c r="N1" s="679"/>
      <x:c r="O1" s="679"/>
      <x:c r="P1" s="679"/>
      <x:c r="Q1" s="679"/>
      <x:c r="R1" s="679"/>
      <x:c r="S1" s="679"/>
      <x:c r="T1" s="679"/>
      <x:c r="U1" s="680"/>
      <x:c r="V1" s="680"/>
      <x:c r="W1" s="680"/>
      <x:c r="X1" s="680"/>
      <x:c r="Y1" s="680"/>
      <x:c r="Z1" s="680"/>
      <x:c r="AA1" s="680"/>
      <x:c r="AB1" s="680"/>
      <x:c r="AC1" s="680"/>
      <x:c r="AD1" s="680"/>
      <x:c r="AE1" s="680"/>
      <x:c r="AF1" s="680"/>
      <x:c r="AG1" s="680"/>
      <x:c r="AH1" s="680"/>
      <x:c r="AI1" s="680"/>
      <x:c r="AJ1" s="680"/>
      <x:c r="AK1" s="680"/>
      <x:c r="AL1" s="680"/>
      <x:c r="AM1" s="680"/>
      <x:c r="AN1" s="683"/>
      <x:c r="AO1" s="683"/>
      <x:c r="AP1" s="683"/>
      <x:c r="AQ1" s="683"/>
      <x:c r="AR1" s="683"/>
      <x:c r="AS1" s="683"/>
      <x:c r="AT1" s="683"/>
      <x:c r="AU1" s="683"/>
      <x:c r="AV1" s="683"/>
      <x:c r="AW1" s="683"/>
      <x:c r="AX1" s="683"/>
      <x:c r="AY1" s="683"/>
      <x:c r="AZ1" s="683"/>
      <x:c r="BA1" s="683"/>
      <x:c r="BB1" s="683"/>
      <x:c r="BC1" s="683"/>
      <x:c r="BD1" s="683"/>
      <x:c r="BE1" s="683"/>
      <x:c r="BF1" s="683"/>
    </x:row>
    <x:row r="2" ht="32" customHeight="1">
      <x:c r="A2" s="684" t="str">
        <x:v>DATA INTERNAL. Berisi usulan Musrenbang dan Pokir DPRD. Lindungi NIK, No. KK, alamat lengkap, dan nomor telepon; dashboard publik hanya menampilkan data agregat.</x:v>
      </x:c>
      <x:c r="B2" s="684"/>
      <x:c r="C2" s="684"/>
      <x:c r="D2" s="684"/>
      <x:c r="E2" s="684"/>
      <x:c r="F2" s="684"/>
      <x:c r="G2" s="684"/>
      <x:c r="H2" s="684"/>
      <x:c r="I2" s="684"/>
      <x:c r="J2" s="684"/>
      <x:c r="K2" s="684"/>
      <x:c r="L2" s="684"/>
      <x:c r="M2" s="684"/>
      <x:c r="N2" s="684"/>
      <x:c r="O2" s="684"/>
      <x:c r="P2" s="684"/>
      <x:c r="Q2" s="684"/>
      <x:c r="R2" s="684"/>
      <x:c r="S2" s="684"/>
      <x:c r="T2" s="684"/>
      <x:c r="U2" s="685"/>
      <x:c r="V2" s="685"/>
      <x:c r="W2" s="685"/>
      <x:c r="X2" s="685"/>
      <x:c r="Y2" s="685"/>
      <x:c r="Z2" s="685"/>
      <x:c r="AA2" s="685"/>
      <x:c r="AB2" s="685"/>
      <x:c r="AC2" s="685"/>
      <x:c r="AD2" s="685"/>
      <x:c r="AE2" s="685"/>
      <x:c r="AF2" s="685"/>
      <x:c r="AG2" s="685"/>
      <x:c r="AH2" s="685"/>
      <x:c r="AI2" s="685"/>
      <x:c r="AJ2" s="685"/>
      <x:c r="AK2" s="685"/>
      <x:c r="AL2" s="685"/>
      <x:c r="AM2" s="685"/>
      <x:c r="AN2" s="690"/>
      <x:c r="AO2" s="690"/>
      <x:c r="AP2" s="690"/>
      <x:c r="AQ2" s="690"/>
      <x:c r="AR2" s="690"/>
      <x:c r="AS2" s="690"/>
      <x:c r="AT2" s="690"/>
      <x:c r="AU2" s="690"/>
      <x:c r="AV2" s="690"/>
      <x:c r="AW2" s="690"/>
      <x:c r="AX2" s="690"/>
      <x:c r="AY2" s="690"/>
      <x:c r="AZ2" s="690"/>
      <x:c r="BA2" s="690"/>
      <x:c r="BB2" s="690"/>
      <x:c r="BC2" s="690"/>
      <x:c r="BD2" s="690"/>
      <x:c r="BE2" s="690"/>
      <x:c r="BF2" s="690"/>
    </x:row>
    <x:row r="3" ht="38" customHeight="1">
      <x:c r="A3" s="687" t="str">
        <x:v>PETUNJUK: Kolom faktor rentan dan risiko berfungsi seperti checklist. Pilih Ya, Tidak, atau Belum Dinilai. Ringkasan faktor dan poin dihitung otomatis.</x:v>
      </x:c>
      <x:c r="B3" s="687"/>
      <x:c r="C3" s="687"/>
      <x:c r="D3" s="687"/>
      <x:c r="E3" s="687"/>
      <x:c r="F3" s="687"/>
      <x:c r="G3" s="687"/>
      <x:c r="H3" s="687"/>
      <x:c r="I3" s="687"/>
      <x:c r="J3" s="687"/>
      <x:c r="K3" s="687"/>
      <x:c r="L3" s="687"/>
      <x:c r="M3" s="687"/>
      <x:c r="N3" s="687"/>
      <x:c r="O3" s="687"/>
      <x:c r="P3" s="687"/>
      <x:c r="Q3" s="687"/>
      <x:c r="R3" s="687"/>
      <x:c r="S3" s="687"/>
      <x:c r="T3" s="687"/>
      <x:c r="U3" s="688"/>
      <x:c r="V3" s="688"/>
      <x:c r="W3" s="688"/>
      <x:c r="X3" s="688"/>
      <x:c r="Y3" s="688"/>
      <x:c r="Z3" s="688"/>
      <x:c r="AA3" s="688"/>
      <x:c r="AB3" s="688"/>
      <x:c r="AC3" s="688"/>
      <x:c r="AD3" s="688"/>
      <x:c r="AE3" s="688"/>
      <x:c r="AF3" s="688"/>
      <x:c r="AG3" s="688"/>
      <x:c r="AH3" s="688"/>
      <x:c r="AI3" s="688"/>
      <x:c r="AJ3" s="688"/>
      <x:c r="AK3" s="688"/>
      <x:c r="AL3" s="688"/>
      <x:c r="AM3" s="690"/>
      <x:c r="AN3" s="690"/>
      <x:c r="AO3" s="690"/>
      <x:c r="AP3" s="690"/>
      <x:c r="AQ3" s="690"/>
      <x:c r="AR3" s="690"/>
      <x:c r="AS3" s="690"/>
      <x:c r="AT3" s="690"/>
      <x:c r="AU3" s="690"/>
      <x:c r="AV3" s="690"/>
      <x:c r="AW3" s="690"/>
      <x:c r="AX3" s="690"/>
      <x:c r="AY3" s="690"/>
      <x:c r="AZ3" s="690"/>
      <x:c r="BA3" s="690"/>
      <x:c r="BB3" s="690"/>
      <x:c r="BC3" s="690"/>
      <x:c r="BD3" s="690"/>
      <x:c r="BE3" s="690"/>
      <x:c r="BF3" s="690"/>
    </x:row>
    <x:row r="4">
      <x:c r="AE4" s="531"/>
      <x:c r="AF4" s="483"/>
    </x:row>
    <x:row r="5" ht="52" customHeight="1">
      <x:c r="A5" s="691" t="str">
        <x:v>ID_RTLH*</x:v>
      </x:c>
      <x:c r="B5" s="692" t="str">
        <x:v>NAMA_KEPALA_KELUARGA*</x:v>
      </x:c>
      <x:c r="C5" s="692" t="str">
        <x:v>NIK</x:v>
      </x:c>
      <x:c r="D5" s="692" t="str">
        <x:v>NO_KK</x:v>
      </x:c>
      <x:c r="E5" s="692" t="str">
        <x:v>ALAMAT*</x:v>
      </x:c>
      <x:c r="F5" s="692" t="str">
        <x:v>KELURAHAN*</x:v>
      </x:c>
      <x:c r="G5" s="692" t="str">
        <x:v>KECAMATAN*</x:v>
      </x:c>
      <x:c r="H5" s="692" t="str">
        <x:v>JENIS_USULAN*</x:v>
      </x:c>
      <x:c r="I5" s="692" t="str">
        <x:v>CATATAN_VERIFIKASI*</x:v>
      </x:c>
      <x:c r="J5" s="692" t="str">
        <x:v>TIPE_KONSTRUKSI_RUMAH*</x:v>
      </x:c>
      <x:c r="K5" s="692" t="str">
        <x:v>MATERIAL_ATAP</x:v>
      </x:c>
      <x:c r="L5" s="692" t="str">
        <x:v>KONDISI_ATAP</x:v>
      </x:c>
      <x:c r="M5" s="692" t="str">
        <x:v>MATERIAL_DINDING</x:v>
      </x:c>
      <x:c r="N5" s="692" t="str">
        <x:v>KONDISI_DINDING</x:v>
      </x:c>
      <x:c r="O5" s="692" t="str">
        <x:v>MATERIAL_LANTAI</x:v>
      </x:c>
      <x:c r="P5" s="692" t="str">
        <x:v>KONDISI_LANTAI</x:v>
      </x:c>
      <x:c r="Q5" s="692" t="str">
        <x:v>STATUS_MBR*</x:v>
      </x:c>
      <x:c r="R5" s="692" t="str">
        <x:v>RENTAN_LANSIA*</x:v>
      </x:c>
      <x:c r="S5" s="692" t="str">
        <x:v>RENTAN_DISABILITAS*</x:v>
      </x:c>
      <x:c r="T5" s="693" t="str">
        <x:v>RENTAN_KEPALA_KELUARGA_PEREMPUAN*</x:v>
      </x:c>
      <x:c r="U5" s="694" t="str">
        <x:v>RENTAN_BALITA*</x:v>
      </x:c>
      <x:c r="V5" s="694" t="str">
        <x:v>RENTAN_KETERGANTUNGAN_TINGGI*</x:v>
      </x:c>
      <x:c r="W5" s="694" t="str">
        <x:v>CATATAN_KERENTANAN_PENGHUNI</x:v>
      </x:c>
      <x:c r="X5" s="695" t="str">
        <x:v>FAKTOR_KERENTANAN_TERPILIH</x:v>
      </x:c>
      <x:c r="Y5" s="694" t="str">
        <x:v>TINGKAT_KERENTANAN_PENGHUNI</x:v>
      </x:c>
      <x:c r="Z5" s="694" t="str">
        <x:v>SKOR_MBR</x:v>
      </x:c>
      <x:c r="AA5" s="694" t="str">
        <x:v>SKOR_FAKTOR_RENTAN</x:v>
      </x:c>
      <x:c r="AB5" s="694" t="str">
        <x:v>SKOR_KERENTANAN</x:v>
      </x:c>
      <x:c r="AC5" s="695" t="str">
        <x:v>RISIKO_BANGUNAN_BERPOTENSI_ROBOH*</x:v>
      </x:c>
      <x:c r="AD5" s="694" t="str">
        <x:v>RISIKO_BEKAS_KEBAKARAN_TIDAK_AMAN*</x:v>
      </x:c>
      <x:c r="AE5" s="694" t="str">
        <x:v>RISIKO_ATAP_DINDING_HAMPIR_RUNTUH*</x:v>
      </x:c>
      <x:c r="AF5" s="694" t="str">
        <x:v>RISIKO_GENANGAN_MEMBAHAYAKAN*</x:v>
      </x:c>
      <x:c r="AG5" s="694" t="str">
        <x:v>RISIKO_STRUKTUR_TIDAK_STABIL*</x:v>
      </x:c>
      <x:c r="AH5" s="694" t="str">
        <x:v>RISIKO_INSTALASI_LISTRIK_BERBAHAYA*</x:v>
      </x:c>
      <x:c r="AI5" s="694" t="str">
        <x:v>RISIKO_KOMPONEN_LEPAS_LAPUK*</x:v>
      </x:c>
      <x:c r="AJ5" s="694" t="str">
        <x:v>RISIKO_AKSES_EVAKUASI_TERBATAS*</x:v>
      </x:c>
      <x:c r="AK5" s="694" t="str">
        <x:v>RISIKO_LOKASI_RAWAN_BENCANA*</x:v>
      </x:c>
      <x:c r="AL5" s="695" t="str">
        <x:v>RISIKO_LAINNYA</x:v>
      </x:c>
      <x:c r="AM5" s="700" t="str">
        <x:v>TINGKAT_RISIKO_LAINNYA</x:v>
      </x:c>
      <x:c r="AN5" s="700" t="str">
        <x:v>FAKTOR_RISIKO_TERPILIH</x:v>
      </x:c>
      <x:c r="AO5" s="700" t="str">
        <x:v>TINGKAT_RISIKO_KESELAMATAN</x:v>
      </x:c>
      <x:c r="AP5" s="700" t="str">
        <x:v>CATATAN_RISIKO_KESELAMATAN</x:v>
      </x:c>
      <x:c r="AQ5" s="700" t="str">
        <x:v>SKOR_TEKNIS</x:v>
      </x:c>
      <x:c r="AR5" s="700" t="str">
        <x:v>SKOR_RISIKO</x:v>
      </x:c>
      <x:c r="AS5" s="700" t="str">
        <x:v>SKOR_PRIORITAS</x:v>
      </x:c>
      <x:c r="AT5" s="700" t="str">
        <x:v>TINGKAT_PRIORITAS</x:v>
      </x:c>
      <x:c r="AU5" s="700" t="str">
        <x:v>STATUS_ADMINISTRASI*</x:v>
      </x:c>
      <x:c r="AV5" s="700" t="str">
        <x:v>STATUS_VERIFIKASI*</x:v>
      </x:c>
      <x:c r="AW5" s="700" t="str">
        <x:v>STATUS_PENANGANAN*</x:v>
      </x:c>
      <x:c r="AX5" s="700" t="str">
        <x:v>SUMBER_DANA</x:v>
      </x:c>
      <x:c r="AY5" s="700" t="str">
        <x:v>TAHUN_PENANGANAN</x:v>
      </x:c>
      <x:c r="AZ5" s="700" t="str">
        <x:v>STATUS_KEPEMILIKAN_TANAH</x:v>
      </x:c>
      <x:c r="BA5" s="700" t="str">
        <x:v>NOMOR_HP</x:v>
      </x:c>
      <x:c r="BB5" s="700" t="str">
        <x:v>TANGGAL_SURVEI</x:v>
      </x:c>
      <x:c r="BC5" s="700" t="str">
        <x:v>TAHUN_DATA*</x:v>
      </x:c>
      <x:c r="BD5" s="700" t="str">
        <x:v>SUMBER_DATA*</x:v>
      </x:c>
      <x:c r="BE5" s="700" t="str">
        <x:v>TANGGAL_UPDATE*</x:v>
      </x:c>
      <x:c r="BF5" s="700" t="str">
        <x:v>OPERATOR*</x:v>
      </x:c>
    </x:row>
    <x:row r="6" ht="32" customHeight="1">
      <x:c r="A6" s="310" t="str">
        <x:v>RTLH-0001</x:v>
      </x:c>
      <x:c r="B6" s="311" t="str">
        <x:v>WAHYU KURNIADI</x:v>
      </x:c>
      <x:c r="C6" s="312"/>
      <x:c r="D6" s="312"/>
      <x:c r="E6" s="311" t="str">
        <x:v>JL. BATU RUBI XI RT.003 RW.001</x:v>
      </x:c>
      <x:c r="F6" s="311" t="str">
        <x:v>BUKIT BESAR</x:v>
      </x:c>
      <x:c r="G6" s="311" t="str">
        <x:v>GIRIMAYA</x:v>
      </x:c>
      <x:c r="H6" s="311" t="str">
        <x:v>Pembangunan Baru</x:v>
      </x:c>
      <x:c r="I6" s="313" t="str">
        <x:v>RUMAH BAGIAN UTAMA FULL PAPAN, BAGIAN DAPUR BARU DI RENOVASI (PERMANEN), ATAP ASBES,</x:v>
      </x:c>
      <x:c r="J6" s="311" t="str">
        <x:v>Semipermanen</x:v>
      </x:c>
      <x:c r="K6" s="311" t="str">
        <x:v>Asbes/Fiber Semen</x:v>
      </x:c>
      <x:c r="L6" s="311" t="str">
        <x:v>Belum Dinilai</x:v>
      </x:c>
      <x:c r="M6" s="366" t="str">
        <x:v>Papan/Kayu</x:v>
      </x:c>
      <x:c r="N6" s="311" t="str">
        <x:v>Belum Dinilai</x:v>
      </x:c>
      <x:c r="O6" s="312" t="str">
        <x:v>Belum Diidentifikasi</x:v>
      </x:c>
      <x:c r="P6" s="346" t="str">
        <x:v>Belum Dinilai</x:v>
      </x:c>
      <x:c r="Q6" s="701" t="str">
        <x:v>Belum Dinilai</x:v>
      </x:c>
      <x:c r="R6" s="701" t="str">
        <x:v>Belum Dinilai</x:v>
      </x:c>
      <x:c r="S6" s="702" t="str">
        <x:v>Belum Dinilai</x:v>
      </x:c>
      <x:c r="T6" s="703" t="str">
        <x:v>Belum Dinilai</x:v>
      </x:c>
      <x:c r="U6" s="704" t="str">
        <x:v>Belum Dinilai</x:v>
      </x:c>
      <x:c r="V6" s="704" t="str">
        <x:v>Belum Dinilai</x:v>
      </x:c>
      <x:c r="W6" s="704" t="str"/>
      <x:c r="X6" s="704" t="str">
        <x:f>IF(COUNTIF(R6:V6,"Belum Dinilai")&gt;0,"Belum Dinilai",IF(COUNTIF(R6:V6,"Ya")=0,"Tidak ada faktor rentan",TEXTJOIN(", ",TRUE,IF(R6="Ya","Lansia",""),IF(S6="Ya","Penyandang disabilitas",""),IF(T6="Ya","Kepala keluarga perempuan",""),IF(U6="Ya","Balita",""),IF(V6="Ya","Anggota keluarga dengan ketergantungan tinggi",""))))</x:f>
        <x:v>Belum Dinilai</x:v>
      </x:c>
      <x:c r="Y6" s="704" t="str">
        <x:f>IF(COUNTIF(R6:V6,"Belum Dinilai")&gt;0,"Belum Dinilai",IF(COUNTIF(R6:V6,"Ya")=0,"Tidak Ada Faktor Rentan",IF(COUNTIF(R6:V6,"Ya")=1,"1 Faktor Rentan","2 atau Lebih Faktor Rentan")))</x:f>
        <x:v>Belum Dinilai</x:v>
      </x:c>
      <x:c r="Z6" s="704" t="str">
        <x:f>IF(OR(Q6="",Q6="Belum Dinilai"),"",IF(Q6="Terverifikasi DTKS/P3KE/MBR",10,IF(Q6="Diusulkan, Belum Terverifikasi",5,0)))</x:f>
      </x:c>
      <x:c r="AA6" s="705" t="str">
        <x:f>IF(COUNTIF(R6:V6,"Belum Dinilai")&gt;0,"",IF(COUNTIF(R6:V6,"Ya")=0,0,IF(COUNTIF(R6:V6,"Ya")=1,5,10)))</x:f>
      </x:c>
      <x:c r="AB6" s="706" t="str">
        <x:f>IF(OR(Z6="",AA6=""),"",Z6+AA6)</x:f>
      </x:c>
      <x:c r="AC6" s="713" t="str">
        <x:v>Belum Dinilai</x:v>
      </x:c>
      <x:c r="AD6" s="713" t="str">
        <x:v>Belum Dinilai</x:v>
      </x:c>
      <x:c r="AE6" s="714" t="str">
        <x:v>Belum Dinilai</x:v>
      </x:c>
      <x:c r="AF6" s="713" t="str">
        <x:v>Belum Dinilai</x:v>
      </x:c>
      <x:c r="AG6" s="713" t="str">
        <x:v>Belum Dinilai</x:v>
      </x:c>
      <x:c r="AH6" s="715" t="str">
        <x:v>Belum Dinilai</x:v>
      </x:c>
      <x:c r="AI6" s="714" t="str">
        <x:v>Belum Dinilai</x:v>
      </x:c>
      <x:c r="AJ6" s="713" t="str">
        <x:v>Belum Dinilai</x:v>
      </x:c>
      <x:c r="AK6" s="715" t="str">
        <x:v>Belum Dinilai</x:v>
      </x:c>
      <x:c r="AL6" s="713" t="str"/>
      <x:c r="AM6" s="716" t="str">
        <x:v>Belum Dinilai</x:v>
      </x:c>
      <x:c r="AN6" s="716" t="str">
        <x:f>IF(AND(COUNTIF(AC6:AK6,"Ya")=0,AL6=""),IF(COUNTIF(AC6:AK6,"Belum Dinilai")&gt;0,"Belum Dinilai","Tidak ada risiko khusus"),TEXTJOIN(", ",TRUE,IF(AC6="Ya","Bangunan berpotensi roboh",""),IF(AD6="Ya","Bekas kebakaran dan tidak aman dihuni",""),IF(AE6="Ya","Atap atau dinding utama hampir runtuh",""),IF(AF6="Ya","Genangan yang membahayakan",""),IF(AG6="Ya","Struktur rumah tidak stabil",""),IF(AH6="Ya","Instalasi listrik berbahaya",""),IF(AI6="Ya","Komponen bangunan lepas atau lapuk",""),IF(AJ6="Ya","Akses keluar atau evakuasi terbatas",""),IF(AK6="Ya","Lokasi rawan bencana",""),IF(AL6&lt;&gt;"","Lainnya: "&amp;AL6,"")))</x:f>
        <x:v>Belum Dinilai</x:v>
      </x:c>
      <x:c r="AO6" s="716" t="str">
        <x:f>IF(AR6="","Belum Dinilai",IF(AR6=10,"Risiko Tinggi/Darurat",IF(AR6=5,"Risiko Sedang","Tidak Ada Risiko Khusus")))</x:f>
        <x:v>Belum Dinilai</x:v>
      </x:c>
      <x:c r="AP6" s="716" t="str"/>
      <x:c r="AQ6" s="719" t="str">
        <x:f>IF(OR(J6="",J6="Belum Dapat Ditentukan",L6="",L6="Belum Dinilai",N6="",N6="Belum Dinilai",P6="",P6="Belum Dinilai"),"",IF(J6="Permanen",0,IF(J6="Semipermanen",8,IF(J6="Nonpermanen",15,0)))+IF(L6="Baik",0,IF(L6="Rusak Ringan",5,IF(L6="Rusak Sedang",10,IF(L6="Rusak Berat",15,IF(L6="Tidak Ada/Terbuka",20,0)))))+IF(N6="Baik",0,IF(N6="Rusak Ringan",5,IF(N6="Rusak Sedang",10,IF(N6="Rusak Berat",15,IF(N6="Tidak Ada/Terbuka",20,0)))))+IF(P6="Baik",0,IF(P6="Rusak Ringan",4,IF(P6="Rusak Sedang",8,IF(P6="Rusak Berat",12,IF(P6="Tidak Layak",15,0))))))</x:f>
      </x:c>
      <x:c r="AR6" s="719" t="str">
        <x:f>IF(COUNTIF(AC6:AH6,"Ya")&gt;0,10,IF(COUNTIF(AI6:AK6,"Ya")&gt;=2,10,IF(COUNTIF(AI6:AK6,"Ya")=1,MAX(5,IF(AM6="Risiko Tinggi/Darurat",10,IF(AM6="Risiko Sedang",5,0))),IF(AL6&lt;&gt;"",IF(AM6="Risiko Tinggi/Darurat",10,IF(AM6="Risiko Sedang",5,"")),IF(COUNTIF(AC6:AK6,"Belum Dinilai")&gt;0,"",0)))))</x:f>
      </x:c>
      <x:c r="AS6" s="719" t="str">
        <x:f>IF(OR(AQ6="",AB6="",AR6=""),"",AQ6+AB6+AR6)</x:f>
      </x:c>
      <x:c r="AT6" s="719" t="str">
        <x:f>IF(AS6="","Belum Dapat Ditentukan",IF(AS6&gt;=80,"Sangat Tinggi",IF(OR(AO6="Risiko Tinggi/Darurat",(IF(L6="Rusak Berat",1,0)+IF(L6="Tidak Ada/Terbuka",1,0)+IF(N6="Rusak Berat",1,0)+IF(N6="Tidak Ada/Terbuka",1,0)+IF(P6="Rusak Berat",1,0)+IF(P6="Tidak Layak",1,0))&gt;=2),"Tinggi",IF(AS6&gt;=65,"Tinggi",IF(AS6&gt;=50,"Sedang","Rendah")))))</x:f>
        <x:v>Belum Dapat Ditentukan</x:v>
      </x:c>
      <x:c r="AU6" s="240" t="str">
        <x:v>Lengkap</x:v>
      </x:c>
      <x:c r="AV6" s="240" t="str">
        <x:v>Sudah Diverifikasi</x:v>
      </x:c>
      <x:c r="AW6" s="240" t="str">
        <x:v>Belum Ditangani</x:v>
      </x:c>
      <x:c r="AX6" s="240"/>
      <x:c r="AY6" s="240"/>
      <x:c r="AZ6" s="240" t="str">
        <x:v>Belum Diverifikasi</x:v>
      </x:c>
      <x:c r="BA6" s="240"/>
      <x:c r="BB6" s="240"/>
      <x:c r="BC6" s="240" t="n">
        <x:v>2026</x:v>
      </x:c>
      <x:c r="BD6" s="240" t="str">
        <x:v>Usulan Musrenbang/Pokir DPRD</x:v>
      </x:c>
      <x:c r="BE6" s="240" t="n">
        <x:v>46218</x:v>
      </x:c>
      <x:c r="BF6" s="240" t="str">
        <x:v>Dinas Perkim Kota Pangkalpinang</x:v>
      </x:c>
    </x:row>
    <x:row r="7" ht="32" customHeight="1">
      <x:c r="A7" s="314" t="str">
        <x:v>RTLH-0002</x:v>
      </x:c>
      <x:c r="B7" s="315" t="str">
        <x:v>SUSANTO</x:v>
      </x:c>
      <x:c r="C7" s="316"/>
      <x:c r="D7" s="316"/>
      <x:c r="E7" s="315" t="str">
        <x:v>JL. AIR MAWAR DALAM RT.003 RW.002</x:v>
      </x:c>
      <x:c r="F7" s="315" t="str">
        <x:v>AIR MAWAR</x:v>
      </x:c>
      <x:c r="G7" s="315" t="str">
        <x:v>BUKIT INTAN</x:v>
      </x:c>
      <x:c r="H7" s="315" t="str">
        <x:v>Pembangunan Baru</x:v>
      </x:c>
      <x:c r="I7" s="317" t="str">
        <x:v>RUMAH FULL PAPAN</x:v>
      </x:c>
      <x:c r="J7" s="315" t="str">
        <x:v>Nonpermanen</x:v>
      </x:c>
      <x:c r="K7" s="315" t="str">
        <x:v>Belum Diidentifikasi</x:v>
      </x:c>
      <x:c r="L7" s="315" t="str">
        <x:v>Belum Dinilai</x:v>
      </x:c>
      <x:c r="M7" s="367" t="str">
        <x:v>Papan/Kayu</x:v>
      </x:c>
      <x:c r="N7" s="315" t="str">
        <x:v>Belum Dinilai</x:v>
      </x:c>
      <x:c r="O7" s="316" t="str">
        <x:v>Belum Diidentifikasi</x:v>
      </x:c>
      <x:c r="P7" s="349" t="str">
        <x:v>Belum Dinilai</x:v>
      </x:c>
      <x:c r="Q7" s="707" t="str">
        <x:v>Belum Dinilai</x:v>
      </x:c>
      <x:c r="R7" s="707" t="str">
        <x:v>Belum Dinilai</x:v>
      </x:c>
      <x:c r="S7" s="708" t="str">
        <x:v>Belum Dinilai</x:v>
      </x:c>
      <x:c r="T7" s="709" t="str">
        <x:v>Belum Dinilai</x:v>
      </x:c>
      <x:c r="U7" s="704" t="str">
        <x:v>Belum Dinilai</x:v>
      </x:c>
      <x:c r="V7" s="704" t="str">
        <x:v>Belum Dinilai</x:v>
      </x:c>
      <x:c r="W7" s="704" t="str"/>
      <x:c r="X7" s="704" t="str">
        <x:f>IF(COUNTIF(R7:V7,"Belum Dinilai")&gt;0,"Belum Dinilai",IF(COUNTIF(R7:V7,"Ya")=0,"Tidak ada faktor rentan",TEXTJOIN(", ",TRUE,IF(R7="Ya","Lansia",""),IF(S7="Ya","Penyandang disabilitas",""),IF(T7="Ya","Kepala keluarga perempuan",""),IF(U7="Ya","Balita",""),IF(V7="Ya","Anggota keluarga dengan ketergantungan tinggi",""))))</x:f>
        <x:v>Belum Dinilai</x:v>
      </x:c>
      <x:c r="Y7" s="704" t="str">
        <x:f>IF(COUNTIF(R7:V7,"Belum Dinilai")&gt;0,"Belum Dinilai",IF(COUNTIF(R7:V7,"Ya")=0,"Tidak Ada Faktor Rentan",IF(COUNTIF(R7:V7,"Ya")=1,"1 Faktor Rentan","2 atau Lebih Faktor Rentan")))</x:f>
        <x:v>Belum Dinilai</x:v>
      </x:c>
      <x:c r="Z7" s="704" t="str">
        <x:f>IF(OR(Q7="",Q7="Belum Dinilai"),"",IF(Q7="Terverifikasi DTKS/P3KE/MBR",10,IF(Q7="Diusulkan, Belum Terverifikasi",5,0)))</x:f>
      </x:c>
      <x:c r="AA7" s="705" t="str">
        <x:f>IF(COUNTIF(R7:V7,"Belum Dinilai")&gt;0,"",IF(COUNTIF(R7:V7,"Ya")=0,0,IF(COUNTIF(R7:V7,"Ya")=1,5,10)))</x:f>
      </x:c>
      <x:c r="AB7" s="706" t="str">
        <x:f>IF(OR(Z7="",AA7=""),"",Z7+AA7)</x:f>
      </x:c>
      <x:c r="AC7" s="713" t="str">
        <x:v>Belum Dinilai</x:v>
      </x:c>
      <x:c r="AD7" s="713" t="str">
        <x:v>Belum Dinilai</x:v>
      </x:c>
      <x:c r="AE7" s="714" t="str">
        <x:v>Belum Dinilai</x:v>
      </x:c>
      <x:c r="AF7" s="713" t="str">
        <x:v>Belum Dinilai</x:v>
      </x:c>
      <x:c r="AG7" s="713" t="str">
        <x:v>Belum Dinilai</x:v>
      </x:c>
      <x:c r="AH7" s="715" t="str">
        <x:v>Belum Dinilai</x:v>
      </x:c>
      <x:c r="AI7" s="714" t="str">
        <x:v>Belum Dinilai</x:v>
      </x:c>
      <x:c r="AJ7" s="713" t="str">
        <x:v>Belum Dinilai</x:v>
      </x:c>
      <x:c r="AK7" s="715" t="str">
        <x:v>Belum Dinilai</x:v>
      </x:c>
      <x:c r="AL7" s="713" t="str"/>
      <x:c r="AM7" s="716" t="str">
        <x:v>Belum Dinilai</x:v>
      </x:c>
      <x:c r="AN7" s="716" t="str">
        <x:f>IF(AND(COUNTIF(AC7:AK7,"Ya")=0,AL7=""),IF(COUNTIF(AC7:AK7,"Belum Dinilai")&gt;0,"Belum Dinilai","Tidak ada risiko khusus"),TEXTJOIN(", ",TRUE,IF(AC7="Ya","Bangunan berpotensi roboh",""),IF(AD7="Ya","Bekas kebakaran dan tidak aman dihuni",""),IF(AE7="Ya","Atap atau dinding utama hampir runtuh",""),IF(AF7="Ya","Genangan yang membahayakan",""),IF(AG7="Ya","Struktur rumah tidak stabil",""),IF(AH7="Ya","Instalasi listrik berbahaya",""),IF(AI7="Ya","Komponen bangunan lepas atau lapuk",""),IF(AJ7="Ya","Akses keluar atau evakuasi terbatas",""),IF(AK7="Ya","Lokasi rawan bencana",""),IF(AL7&lt;&gt;"","Lainnya: "&amp;AL7,"")))</x:f>
        <x:v>Belum Dinilai</x:v>
      </x:c>
      <x:c r="AO7" s="716" t="str">
        <x:f>IF(AR7="","Belum Dinilai",IF(AR7=10,"Risiko Tinggi/Darurat",IF(AR7=5,"Risiko Sedang","Tidak Ada Risiko Khusus")))</x:f>
        <x:v>Belum Dinilai</x:v>
      </x:c>
      <x:c r="AP7" s="716" t="str"/>
      <x:c r="AQ7" s="719" t="str">
        <x:f>IF(OR(J7="",J7="Belum Dapat Ditentukan",L7="",L7="Belum Dinilai",N7="",N7="Belum Dinilai",P7="",P7="Belum Dinilai"),"",IF(J7="Permanen",0,IF(J7="Semipermanen",8,IF(J7="Nonpermanen",15,0)))+IF(L7="Baik",0,IF(L7="Rusak Ringan",5,IF(L7="Rusak Sedang",10,IF(L7="Rusak Berat",15,IF(L7="Tidak Ada/Terbuka",20,0)))))+IF(N7="Baik",0,IF(N7="Rusak Ringan",5,IF(N7="Rusak Sedang",10,IF(N7="Rusak Berat",15,IF(N7="Tidak Ada/Terbuka",20,0)))))+IF(P7="Baik",0,IF(P7="Rusak Ringan",4,IF(P7="Rusak Sedang",8,IF(P7="Rusak Berat",12,IF(P7="Tidak Layak",15,0))))))</x:f>
      </x:c>
      <x:c r="AR7" s="719" t="str">
        <x:f>IF(COUNTIF(AC7:AH7,"Ya")&gt;0,10,IF(COUNTIF(AI7:AK7,"Ya")&gt;=2,10,IF(COUNTIF(AI7:AK7,"Ya")=1,MAX(5,IF(AM7="Risiko Tinggi/Darurat",10,IF(AM7="Risiko Sedang",5,0))),IF(AL7&lt;&gt;"",IF(AM7="Risiko Tinggi/Darurat",10,IF(AM7="Risiko Sedang",5,"")),IF(COUNTIF(AC7:AK7,"Belum Dinilai")&gt;0,"",0)))))</x:f>
      </x:c>
      <x:c r="AS7" s="719" t="str">
        <x:f>IF(OR(AQ7="",AB7="",AR7=""),"",AQ7+AB7+AR7)</x:f>
      </x:c>
      <x:c r="AT7" s="719" t="str">
        <x:f>IF(AS7="","Belum Dapat Ditentukan",IF(AS7&gt;=80,"Sangat Tinggi",IF(OR(AO7="Risiko Tinggi/Darurat",(IF(L7="Rusak Berat",1,0)+IF(L7="Tidak Ada/Terbuka",1,0)+IF(N7="Rusak Berat",1,0)+IF(N7="Tidak Ada/Terbuka",1,0)+IF(P7="Rusak Berat",1,0)+IF(P7="Tidak Layak",1,0))&gt;=2),"Tinggi",IF(AS7&gt;=65,"Tinggi",IF(AS7&gt;=50,"Sedang","Rendah")))))</x:f>
        <x:v>Belum Dapat Ditentukan</x:v>
      </x:c>
      <x:c r="AU7" s="240" t="str">
        <x:v>Lengkap</x:v>
      </x:c>
      <x:c r="AV7" s="240" t="str">
        <x:v>Sudah Diverifikasi</x:v>
      </x:c>
      <x:c r="AW7" s="240" t="str">
        <x:v>Belum Ditangani</x:v>
      </x:c>
      <x:c r="AX7" s="240"/>
      <x:c r="AY7" s="240"/>
      <x:c r="AZ7" s="240" t="str">
        <x:v>Belum Diverifikasi</x:v>
      </x:c>
      <x:c r="BA7" s="240"/>
      <x:c r="BB7" s="240"/>
      <x:c r="BC7" s="240" t="n">
        <x:v>2026</x:v>
      </x:c>
      <x:c r="BD7" s="240" t="str">
        <x:v>Usulan Musrenbang/Pokir DPRD</x:v>
      </x:c>
      <x:c r="BE7" s="240" t="n">
        <x:v>46218</x:v>
      </x:c>
      <x:c r="BF7" s="240" t="str">
        <x:v>Dinas Perkim Kota Pangkalpinang</x:v>
      </x:c>
    </x:row>
    <x:row r="8" ht="32" customHeight="1">
      <x:c r="A8" s="314" t="str">
        <x:v>RTLH-0003</x:v>
      </x:c>
      <x:c r="B8" s="315" t="str">
        <x:v>MOIFA</x:v>
      </x:c>
      <x:c r="C8" s="316"/>
      <x:c r="D8" s="316"/>
      <x:c r="E8" s="315" t="str">
        <x:v>JL. ARUS DALAM RT.003 RW.002</x:v>
      </x:c>
      <x:c r="F8" s="315" t="str">
        <x:v>AIR MAWAR</x:v>
      </x:c>
      <x:c r="G8" s="315" t="str">
        <x:v>BUKIT INTAN</x:v>
      </x:c>
      <x:c r="H8" s="315" t="str">
        <x:v>Pembangunan Baru</x:v>
      </x:c>
      <x:c r="I8" s="317" t="str">
        <x:v>RUMAH FULL PAPAN,DINDING PAPAN RUSAK SEDANG,ATAP SENG,</x:v>
      </x:c>
      <x:c r="J8" s="315" t="str">
        <x:v>Nonpermanen</x:v>
      </x:c>
      <x:c r="K8" s="315" t="str">
        <x:v>Seng</x:v>
      </x:c>
      <x:c r="L8" s="315" t="str">
        <x:v>Rusak Sedang</x:v>
      </x:c>
      <x:c r="M8" s="367" t="str">
        <x:v>Papan/Kayu</x:v>
      </x:c>
      <x:c r="N8" s="315" t="str">
        <x:v>Rusak Sedang</x:v>
      </x:c>
      <x:c r="O8" s="316" t="str">
        <x:v>Belum Diidentifikasi</x:v>
      </x:c>
      <x:c r="P8" s="349" t="str">
        <x:v>Belum Dinilai</x:v>
      </x:c>
      <x:c r="Q8" s="707" t="str">
        <x:v>Belum Dinilai</x:v>
      </x:c>
      <x:c r="R8" s="707" t="str">
        <x:v>Belum Dinilai</x:v>
      </x:c>
      <x:c r="S8" s="708" t="str">
        <x:v>Belum Dinilai</x:v>
      </x:c>
      <x:c r="T8" s="709" t="str">
        <x:v>Belum Dinilai</x:v>
      </x:c>
      <x:c r="U8" s="704" t="str">
        <x:v>Belum Dinilai</x:v>
      </x:c>
      <x:c r="V8" s="704" t="str">
        <x:v>Belum Dinilai</x:v>
      </x:c>
      <x:c r="W8" s="704" t="str"/>
      <x:c r="X8" s="704" t="str">
        <x:f>IF(COUNTIF(R8:V8,"Belum Dinilai")&gt;0,"Belum Dinilai",IF(COUNTIF(R8:V8,"Ya")=0,"Tidak ada faktor rentan",TEXTJOIN(", ",TRUE,IF(R8="Ya","Lansia",""),IF(S8="Ya","Penyandang disabilitas",""),IF(T8="Ya","Kepala keluarga perempuan",""),IF(U8="Ya","Balita",""),IF(V8="Ya","Anggota keluarga dengan ketergantungan tinggi",""))))</x:f>
        <x:v>Belum Dinilai</x:v>
      </x:c>
      <x:c r="Y8" s="704" t="str">
        <x:f>IF(COUNTIF(R8:V8,"Belum Dinilai")&gt;0,"Belum Dinilai",IF(COUNTIF(R8:V8,"Ya")=0,"Tidak Ada Faktor Rentan",IF(COUNTIF(R8:V8,"Ya")=1,"1 Faktor Rentan","2 atau Lebih Faktor Rentan")))</x:f>
        <x:v>Belum Dinilai</x:v>
      </x:c>
      <x:c r="Z8" s="704" t="str">
        <x:f>IF(OR(Q8="",Q8="Belum Dinilai"),"",IF(Q8="Terverifikasi DTKS/P3KE/MBR",10,IF(Q8="Diusulkan, Belum Terverifikasi",5,0)))</x:f>
      </x:c>
      <x:c r="AA8" s="705" t="str">
        <x:f>IF(COUNTIF(R8:V8,"Belum Dinilai")&gt;0,"",IF(COUNTIF(R8:V8,"Ya")=0,0,IF(COUNTIF(R8:V8,"Ya")=1,5,10)))</x:f>
      </x:c>
      <x:c r="AB8" s="706" t="str">
        <x:f>IF(OR(Z8="",AA8=""),"",Z8+AA8)</x:f>
      </x:c>
      <x:c r="AC8" s="713" t="str">
        <x:v>Belum Dinilai</x:v>
      </x:c>
      <x:c r="AD8" s="713" t="str">
        <x:v>Belum Dinilai</x:v>
      </x:c>
      <x:c r="AE8" s="714" t="str">
        <x:v>Belum Dinilai</x:v>
      </x:c>
      <x:c r="AF8" s="713" t="str">
        <x:v>Belum Dinilai</x:v>
      </x:c>
      <x:c r="AG8" s="713" t="str">
        <x:v>Belum Dinilai</x:v>
      </x:c>
      <x:c r="AH8" s="715" t="str">
        <x:v>Belum Dinilai</x:v>
      </x:c>
      <x:c r="AI8" s="714" t="str">
        <x:v>Belum Dinilai</x:v>
      </x:c>
      <x:c r="AJ8" s="713" t="str">
        <x:v>Belum Dinilai</x:v>
      </x:c>
      <x:c r="AK8" s="715" t="str">
        <x:v>Belum Dinilai</x:v>
      </x:c>
      <x:c r="AL8" s="713" t="str"/>
      <x:c r="AM8" s="716" t="str">
        <x:v>Belum Dinilai</x:v>
      </x:c>
      <x:c r="AN8" s="716" t="str">
        <x:f>IF(AND(COUNTIF(AC8:AK8,"Ya")=0,AL8=""),IF(COUNTIF(AC8:AK8,"Belum Dinilai")&gt;0,"Belum Dinilai","Tidak ada risiko khusus"),TEXTJOIN(", ",TRUE,IF(AC8="Ya","Bangunan berpotensi roboh",""),IF(AD8="Ya","Bekas kebakaran dan tidak aman dihuni",""),IF(AE8="Ya","Atap atau dinding utama hampir runtuh",""),IF(AF8="Ya","Genangan yang membahayakan",""),IF(AG8="Ya","Struktur rumah tidak stabil",""),IF(AH8="Ya","Instalasi listrik berbahaya",""),IF(AI8="Ya","Komponen bangunan lepas atau lapuk",""),IF(AJ8="Ya","Akses keluar atau evakuasi terbatas",""),IF(AK8="Ya","Lokasi rawan bencana",""),IF(AL8&lt;&gt;"","Lainnya: "&amp;AL8,"")))</x:f>
        <x:v>Belum Dinilai</x:v>
      </x:c>
      <x:c r="AO8" s="716" t="str">
        <x:f>IF(AR8="","Belum Dinilai",IF(AR8=10,"Risiko Tinggi/Darurat",IF(AR8=5,"Risiko Sedang","Tidak Ada Risiko Khusus")))</x:f>
        <x:v>Belum Dinilai</x:v>
      </x:c>
      <x:c r="AP8" s="716" t="str"/>
      <x:c r="AQ8" s="719" t="str">
        <x:f>IF(OR(J8="",J8="Belum Dapat Ditentukan",L8="",L8="Belum Dinilai",N8="",N8="Belum Dinilai",P8="",P8="Belum Dinilai"),"",IF(J8="Permanen",0,IF(J8="Semipermanen",8,IF(J8="Nonpermanen",15,0)))+IF(L8="Baik",0,IF(L8="Rusak Ringan",5,IF(L8="Rusak Sedang",10,IF(L8="Rusak Berat",15,IF(L8="Tidak Ada/Terbuka",20,0)))))+IF(N8="Baik",0,IF(N8="Rusak Ringan",5,IF(N8="Rusak Sedang",10,IF(N8="Rusak Berat",15,IF(N8="Tidak Ada/Terbuka",20,0)))))+IF(P8="Baik",0,IF(P8="Rusak Ringan",4,IF(P8="Rusak Sedang",8,IF(P8="Rusak Berat",12,IF(P8="Tidak Layak",15,0))))))</x:f>
      </x:c>
      <x:c r="AR8" s="719" t="str">
        <x:f>IF(COUNTIF(AC8:AH8,"Ya")&gt;0,10,IF(COUNTIF(AI8:AK8,"Ya")&gt;=2,10,IF(COUNTIF(AI8:AK8,"Ya")=1,MAX(5,IF(AM8="Risiko Tinggi/Darurat",10,IF(AM8="Risiko Sedang",5,0))),IF(AL8&lt;&gt;"",IF(AM8="Risiko Tinggi/Darurat",10,IF(AM8="Risiko Sedang",5,"")),IF(COUNTIF(AC8:AK8,"Belum Dinilai")&gt;0,"",0)))))</x:f>
      </x:c>
      <x:c r="AS8" s="719" t="str">
        <x:f>IF(OR(AQ8="",AB8="",AR8=""),"",AQ8+AB8+AR8)</x:f>
      </x:c>
      <x:c r="AT8" s="719" t="str">
        <x:f>IF(AS8="","Belum Dapat Ditentukan",IF(AS8&gt;=80,"Sangat Tinggi",IF(OR(AO8="Risiko Tinggi/Darurat",(IF(L8="Rusak Berat",1,0)+IF(L8="Tidak Ada/Terbuka",1,0)+IF(N8="Rusak Berat",1,0)+IF(N8="Tidak Ada/Terbuka",1,0)+IF(P8="Rusak Berat",1,0)+IF(P8="Tidak Layak",1,0))&gt;=2),"Tinggi",IF(AS8&gt;=65,"Tinggi",IF(AS8&gt;=50,"Sedang","Rendah")))))</x:f>
        <x:v>Belum Dapat Ditentukan</x:v>
      </x:c>
      <x:c r="AU8" s="240" t="str">
        <x:v>Lengkap</x:v>
      </x:c>
      <x:c r="AV8" s="240" t="str">
        <x:v>Sudah Diverifikasi</x:v>
      </x:c>
      <x:c r="AW8" s="240" t="str">
        <x:v>Selesai</x:v>
      </x:c>
      <x:c r="AX8" s="240" t="str">
        <x:v>APBD Kota</x:v>
      </x:c>
      <x:c r="AY8" s="240" t="n">
        <x:v>2023</x:v>
      </x:c>
      <x:c r="AZ8" s="240" t="str">
        <x:v>Belum Diverifikasi</x:v>
      </x:c>
      <x:c r="BA8" s="240"/>
      <x:c r="BB8" s="240"/>
      <x:c r="BC8" s="240" t="n">
        <x:v>2026</x:v>
      </x:c>
      <x:c r="BD8" s="240" t="str">
        <x:v>Usulan Musrenbang/Pokir DPRD</x:v>
      </x:c>
      <x:c r="BE8" s="240" t="n">
        <x:v>46218</x:v>
      </x:c>
      <x:c r="BF8" s="240" t="str">
        <x:v>Dinas Perkim Kota Pangkalpinang</x:v>
      </x:c>
    </x:row>
    <x:row r="9" ht="32" customHeight="1">
      <x:c r="A9" s="314" t="str">
        <x:v>RTLH-0004</x:v>
      </x:c>
      <x:c r="B9" s="315" t="str">
        <x:v>ERLY TAHAR</x:v>
      </x:c>
      <x:c r="C9" s="316"/>
      <x:c r="D9" s="316"/>
      <x:c r="E9" s="315" t="str">
        <x:v>JL RATNA RAYA RT.002 RW.001</x:v>
      </x:c>
      <x:c r="F9" s="315" t="str">
        <x:v>SEMABUNG BARU</x:v>
      </x:c>
      <x:c r="G9" s="315" t="str">
        <x:v>GIRIMAYA</x:v>
      </x:c>
      <x:c r="H9" s="315" t="str">
        <x:v>Pembangunan Baru</x:v>
      </x:c>
      <x:c r="I9" s="317" t="str">
        <x:v>RUMAH SEMI PERMANEN,DINGDING PAPAN, RUSAK RINGAN,ATAP SENG</x:v>
      </x:c>
      <x:c r="J9" s="315" t="str">
        <x:v>Semipermanen</x:v>
      </x:c>
      <x:c r="K9" s="315" t="str">
        <x:v>Seng</x:v>
      </x:c>
      <x:c r="L9" s="315" t="str">
        <x:v>Rusak Ringan</x:v>
      </x:c>
      <x:c r="M9" s="367" t="str">
        <x:v>Papan/Kayu</x:v>
      </x:c>
      <x:c r="N9" s="315" t="str">
        <x:v>Rusak Ringan</x:v>
      </x:c>
      <x:c r="O9" s="316" t="str">
        <x:v>Belum Diidentifikasi</x:v>
      </x:c>
      <x:c r="P9" s="349" t="str">
        <x:v>Belum Dinilai</x:v>
      </x:c>
      <x:c r="Q9" s="707" t="str">
        <x:v>Belum Dinilai</x:v>
      </x:c>
      <x:c r="R9" s="707" t="str">
        <x:v>Belum Dinilai</x:v>
      </x:c>
      <x:c r="S9" s="708" t="str">
        <x:v>Belum Dinilai</x:v>
      </x:c>
      <x:c r="T9" s="709" t="str">
        <x:v>Belum Dinilai</x:v>
      </x:c>
      <x:c r="U9" s="704" t="str">
        <x:v>Belum Dinilai</x:v>
      </x:c>
      <x:c r="V9" s="704" t="str">
        <x:v>Belum Dinilai</x:v>
      </x:c>
      <x:c r="W9" s="704" t="str"/>
      <x:c r="X9" s="704" t="str">
        <x:f>IF(COUNTIF(R9:V9,"Belum Dinilai")&gt;0,"Belum Dinilai",IF(COUNTIF(R9:V9,"Ya")=0,"Tidak ada faktor rentan",TEXTJOIN(", ",TRUE,IF(R9="Ya","Lansia",""),IF(S9="Ya","Penyandang disabilitas",""),IF(T9="Ya","Kepala keluarga perempuan",""),IF(U9="Ya","Balita",""),IF(V9="Ya","Anggota keluarga dengan ketergantungan tinggi",""))))</x:f>
        <x:v>Belum Dinilai</x:v>
      </x:c>
      <x:c r="Y9" s="704" t="str">
        <x:f>IF(COUNTIF(R9:V9,"Belum Dinilai")&gt;0,"Belum Dinilai",IF(COUNTIF(R9:V9,"Ya")=0,"Tidak Ada Faktor Rentan",IF(COUNTIF(R9:V9,"Ya")=1,"1 Faktor Rentan","2 atau Lebih Faktor Rentan")))</x:f>
        <x:v>Belum Dinilai</x:v>
      </x:c>
      <x:c r="Z9" s="704" t="str">
        <x:f>IF(OR(Q9="",Q9="Belum Dinilai"),"",IF(Q9="Terverifikasi DTKS/P3KE/MBR",10,IF(Q9="Diusulkan, Belum Terverifikasi",5,0)))</x:f>
      </x:c>
      <x:c r="AA9" s="705" t="str">
        <x:f>IF(COUNTIF(R9:V9,"Belum Dinilai")&gt;0,"",IF(COUNTIF(R9:V9,"Ya")=0,0,IF(COUNTIF(R9:V9,"Ya")=1,5,10)))</x:f>
      </x:c>
      <x:c r="AB9" s="706" t="str">
        <x:f>IF(OR(Z9="",AA9=""),"",Z9+AA9)</x:f>
      </x:c>
      <x:c r="AC9" s="713" t="str">
        <x:v>Belum Dinilai</x:v>
      </x:c>
      <x:c r="AD9" s="713" t="str">
        <x:v>Belum Dinilai</x:v>
      </x:c>
      <x:c r="AE9" s="714" t="str">
        <x:v>Belum Dinilai</x:v>
      </x:c>
      <x:c r="AF9" s="713" t="str">
        <x:v>Belum Dinilai</x:v>
      </x:c>
      <x:c r="AG9" s="713" t="str">
        <x:v>Belum Dinilai</x:v>
      </x:c>
      <x:c r="AH9" s="715" t="str">
        <x:v>Belum Dinilai</x:v>
      </x:c>
      <x:c r="AI9" s="714" t="str">
        <x:v>Belum Dinilai</x:v>
      </x:c>
      <x:c r="AJ9" s="713" t="str">
        <x:v>Belum Dinilai</x:v>
      </x:c>
      <x:c r="AK9" s="715" t="str">
        <x:v>Belum Dinilai</x:v>
      </x:c>
      <x:c r="AL9" s="713" t="str"/>
      <x:c r="AM9" s="716" t="str">
        <x:v>Belum Dinilai</x:v>
      </x:c>
      <x:c r="AN9" s="716" t="str">
        <x:f>IF(AND(COUNTIF(AC9:AK9,"Ya")=0,AL9=""),IF(COUNTIF(AC9:AK9,"Belum Dinilai")&gt;0,"Belum Dinilai","Tidak ada risiko khusus"),TEXTJOIN(", ",TRUE,IF(AC9="Ya","Bangunan berpotensi roboh",""),IF(AD9="Ya","Bekas kebakaran dan tidak aman dihuni",""),IF(AE9="Ya","Atap atau dinding utama hampir runtuh",""),IF(AF9="Ya","Genangan yang membahayakan",""),IF(AG9="Ya","Struktur rumah tidak stabil",""),IF(AH9="Ya","Instalasi listrik berbahaya",""),IF(AI9="Ya","Komponen bangunan lepas atau lapuk",""),IF(AJ9="Ya","Akses keluar atau evakuasi terbatas",""),IF(AK9="Ya","Lokasi rawan bencana",""),IF(AL9&lt;&gt;"","Lainnya: "&amp;AL9,"")))</x:f>
        <x:v>Belum Dinilai</x:v>
      </x:c>
      <x:c r="AO9" s="716" t="str">
        <x:f>IF(AR9="","Belum Dinilai",IF(AR9=10,"Risiko Tinggi/Darurat",IF(AR9=5,"Risiko Sedang","Tidak Ada Risiko Khusus")))</x:f>
        <x:v>Belum Dinilai</x:v>
      </x:c>
      <x:c r="AP9" s="716" t="str"/>
      <x:c r="AQ9" s="719" t="str">
        <x:f>IF(OR(J9="",J9="Belum Dapat Ditentukan",L9="",L9="Belum Dinilai",N9="",N9="Belum Dinilai",P9="",P9="Belum Dinilai"),"",IF(J9="Permanen",0,IF(J9="Semipermanen",8,IF(J9="Nonpermanen",15,0)))+IF(L9="Baik",0,IF(L9="Rusak Ringan",5,IF(L9="Rusak Sedang",10,IF(L9="Rusak Berat",15,IF(L9="Tidak Ada/Terbuka",20,0)))))+IF(N9="Baik",0,IF(N9="Rusak Ringan",5,IF(N9="Rusak Sedang",10,IF(N9="Rusak Berat",15,IF(N9="Tidak Ada/Terbuka",20,0)))))+IF(P9="Baik",0,IF(P9="Rusak Ringan",4,IF(P9="Rusak Sedang",8,IF(P9="Rusak Berat",12,IF(P9="Tidak Layak",15,0))))))</x:f>
      </x:c>
      <x:c r="AR9" s="719" t="str">
        <x:f>IF(COUNTIF(AC9:AH9,"Ya")&gt;0,10,IF(COUNTIF(AI9:AK9,"Ya")&gt;=2,10,IF(COUNTIF(AI9:AK9,"Ya")=1,MAX(5,IF(AM9="Risiko Tinggi/Darurat",10,IF(AM9="Risiko Sedang",5,0))),IF(AL9&lt;&gt;"",IF(AM9="Risiko Tinggi/Darurat",10,IF(AM9="Risiko Sedang",5,"")),IF(COUNTIF(AC9:AK9,"Belum Dinilai")&gt;0,"",0)))))</x:f>
      </x:c>
      <x:c r="AS9" s="719" t="str">
        <x:f>IF(OR(AQ9="",AB9="",AR9=""),"",AQ9+AB9+AR9)</x:f>
      </x:c>
      <x:c r="AT9" s="719" t="str">
        <x:f>IF(AS9="","Belum Dapat Ditentukan",IF(AS9&gt;=80,"Sangat Tinggi",IF(OR(AO9="Risiko Tinggi/Darurat",(IF(L9="Rusak Berat",1,0)+IF(L9="Tidak Ada/Terbuka",1,0)+IF(N9="Rusak Berat",1,0)+IF(N9="Tidak Ada/Terbuka",1,0)+IF(P9="Rusak Berat",1,0)+IF(P9="Tidak Layak",1,0))&gt;=2),"Tinggi",IF(AS9&gt;=65,"Tinggi",IF(AS9&gt;=50,"Sedang","Rendah")))))</x:f>
        <x:v>Belum Dapat Ditentukan</x:v>
      </x:c>
      <x:c r="AU9" s="240" t="str">
        <x:v>Belum Lengkap</x:v>
      </x:c>
      <x:c r="AV9" s="240" t="str">
        <x:v>Sudah Diverifikasi</x:v>
      </x:c>
      <x:c r="AW9" s="240" t="str">
        <x:v>Belum Ditangani</x:v>
      </x:c>
      <x:c r="AX9" s="240"/>
      <x:c r="AY9" s="240"/>
      <x:c r="AZ9" s="240" t="str">
        <x:v>Belum Diverifikasi</x:v>
      </x:c>
      <x:c r="BA9" s="240"/>
      <x:c r="BB9" s="240"/>
      <x:c r="BC9" s="240" t="n">
        <x:v>2026</x:v>
      </x:c>
      <x:c r="BD9" s="240" t="str">
        <x:v>Usulan Musrenbang/Pokir DPRD</x:v>
      </x:c>
      <x:c r="BE9" s="240" t="n">
        <x:v>46218</x:v>
      </x:c>
      <x:c r="BF9" s="240" t="str">
        <x:v>Dinas Perkim Kota Pangkalpinang</x:v>
      </x:c>
    </x:row>
    <x:row r="10" ht="32" customHeight="1">
      <x:c r="A10" s="314" t="str">
        <x:v>RTLH-0005</x:v>
      </x:c>
      <x:c r="B10" s="315" t="str">
        <x:v>SULAEHA SUNDARI</x:v>
      </x:c>
      <x:c r="C10" s="316"/>
      <x:c r="D10" s="316"/>
      <x:c r="E10" s="315" t="str">
        <x:v>JL. DEPATI HAMZAH RT.001 RW.001</x:v>
      </x:c>
      <x:c r="F10" s="315" t="str">
        <x:v>GAJAH MADA</x:v>
      </x:c>
      <x:c r="G10" s="315" t="str">
        <x:v>RANGKUI</x:v>
      </x:c>
      <x:c r="H10" s="315" t="str">
        <x:v>Peningkatan Kualitas</x:v>
      </x:c>
      <x:c r="I10" s="317" t="str">
        <x:v>RUMAH PERMANEN,KENDALA ( BANJIR SAAT HUJAN) BANGUNAN RUMAH DI ATAS SALURAN AIR (BANDAR)</x:v>
      </x:c>
      <x:c r="J10" s="315" t="str">
        <x:v>Permanen</x:v>
      </x:c>
      <x:c r="K10" s="315" t="str">
        <x:v>Belum Diidentifikasi</x:v>
      </x:c>
      <x:c r="L10" s="315" t="str">
        <x:v>Belum Dinilai</x:v>
      </x:c>
      <x:c r="M10" s="367" t="str">
        <x:v>Dinding Permanen (Material tidak dirinci)</x:v>
      </x:c>
      <x:c r="N10" s="315" t="str">
        <x:v>Belum Dinilai</x:v>
      </x:c>
      <x:c r="O10" s="316" t="str">
        <x:v>Belum Diidentifikasi</x:v>
      </x:c>
      <x:c r="P10" s="349" t="str">
        <x:v>Belum Dinilai</x:v>
      </x:c>
      <x:c r="Q10" s="707" t="str">
        <x:v>Belum Dinilai</x:v>
      </x:c>
      <x:c r="R10" s="707" t="str">
        <x:v>Belum Dinilai</x:v>
      </x:c>
      <x:c r="S10" s="708" t="str">
        <x:v>Belum Dinilai</x:v>
      </x:c>
      <x:c r="T10" s="709" t="str">
        <x:v>Belum Dinilai</x:v>
      </x:c>
      <x:c r="U10" s="704" t="str">
        <x:v>Belum Dinilai</x:v>
      </x:c>
      <x:c r="V10" s="704" t="str">
        <x:v>Belum Dinilai</x:v>
      </x:c>
      <x:c r="W10" s="704" t="str"/>
      <x:c r="X10" s="704" t="str">
        <x:f>IF(COUNTIF(R10:V10,"Belum Dinilai")&gt;0,"Belum Dinilai",IF(COUNTIF(R10:V10,"Ya")=0,"Tidak ada faktor rentan",TEXTJOIN(", ",TRUE,IF(R10="Ya","Lansia",""),IF(S10="Ya","Penyandang disabilitas",""),IF(T10="Ya","Kepala keluarga perempuan",""),IF(U10="Ya","Balita",""),IF(V10="Ya","Anggota keluarga dengan ketergantungan tinggi",""))))</x:f>
        <x:v>Belum Dinilai</x:v>
      </x:c>
      <x:c r="Y10" s="704" t="str">
        <x:f>IF(COUNTIF(R10:V10,"Belum Dinilai")&gt;0,"Belum Dinilai",IF(COUNTIF(R10:V10,"Ya")=0,"Tidak Ada Faktor Rentan",IF(COUNTIF(R10:V10,"Ya")=1,"1 Faktor Rentan","2 atau Lebih Faktor Rentan")))</x:f>
        <x:v>Belum Dinilai</x:v>
      </x:c>
      <x:c r="Z10" s="704" t="str">
        <x:f>IF(OR(Q10="",Q10="Belum Dinilai"),"",IF(Q10="Terverifikasi DTKS/P3KE/MBR",10,IF(Q10="Diusulkan, Belum Terverifikasi",5,0)))</x:f>
      </x:c>
      <x:c r="AA10" s="705" t="str">
        <x:f>IF(COUNTIF(R10:V10,"Belum Dinilai")&gt;0,"",IF(COUNTIF(R10:V10,"Ya")=0,0,IF(COUNTIF(R10:V10,"Ya")=1,5,10)))</x:f>
      </x:c>
      <x:c r="AB10" s="706" t="str">
        <x:f>IF(OR(Z10="",AA10=""),"",Z10+AA10)</x:f>
      </x:c>
      <x:c r="AC10" s="713" t="str">
        <x:v>Belum Dinilai</x:v>
      </x:c>
      <x:c r="AD10" s="713" t="str">
        <x:v>Belum Dinilai</x:v>
      </x:c>
      <x:c r="AE10" s="717" t="str">
        <x:v>Belum Dinilai</x:v>
      </x:c>
      <x:c r="AF10" s="718" t="str">
        <x:v>Belum Dinilai</x:v>
      </x:c>
      <x:c r="AG10" s="713" t="str">
        <x:v>Belum Dinilai</x:v>
      </x:c>
      <x:c r="AH10" s="715" t="str">
        <x:v>Belum Dinilai</x:v>
      </x:c>
      <x:c r="AI10" s="714" t="str">
        <x:v>Belum Dinilai</x:v>
      </x:c>
      <x:c r="AJ10" s="713" t="str">
        <x:v>Belum Dinilai</x:v>
      </x:c>
      <x:c r="AK10" s="715" t="str">
        <x:v>Belum Dinilai</x:v>
      </x:c>
      <x:c r="AL10" s="713" t="str"/>
      <x:c r="AM10" s="716" t="str">
        <x:v>Belum Dinilai</x:v>
      </x:c>
      <x:c r="AN10" s="716" t="str">
        <x:f>IF(AND(COUNTIF(AC10:AK10,"Ya")=0,AL10=""),IF(COUNTIF(AC10:AK10,"Belum Dinilai")&gt;0,"Belum Dinilai","Tidak ada risiko khusus"),TEXTJOIN(", ",TRUE,IF(AC10="Ya","Bangunan berpotensi roboh",""),IF(AD10="Ya","Bekas kebakaran dan tidak aman dihuni",""),IF(AE10="Ya","Atap atau dinding utama hampir runtuh",""),IF(AF10="Ya","Genangan yang membahayakan",""),IF(AG10="Ya","Struktur rumah tidak stabil",""),IF(AH10="Ya","Instalasi listrik berbahaya",""),IF(AI10="Ya","Komponen bangunan lepas atau lapuk",""),IF(AJ10="Ya","Akses keluar atau evakuasi terbatas",""),IF(AK10="Ya","Lokasi rawan bencana",""),IF(AL10&lt;&gt;"","Lainnya: "&amp;AL10,"")))</x:f>
        <x:v>Belum Dinilai</x:v>
      </x:c>
      <x:c r="AO10" s="716" t="str">
        <x:f>IF(AR10="","Belum Dinilai",IF(AR10=10,"Risiko Tinggi/Darurat",IF(AR10=5,"Risiko Sedang","Tidak Ada Risiko Khusus")))</x:f>
        <x:v>Belum Dinilai</x:v>
      </x:c>
      <x:c r="AP10" s="716" t="str"/>
      <x:c r="AQ10" s="719" t="str">
        <x:f>IF(OR(J10="",J10="Belum Dapat Ditentukan",L10="",L10="Belum Dinilai",N10="",N10="Belum Dinilai",P10="",P10="Belum Dinilai"),"",IF(J10="Permanen",0,IF(J10="Semipermanen",8,IF(J10="Nonpermanen",15,0)))+IF(L10="Baik",0,IF(L10="Rusak Ringan",5,IF(L10="Rusak Sedang",10,IF(L10="Rusak Berat",15,IF(L10="Tidak Ada/Terbuka",20,0)))))+IF(N10="Baik",0,IF(N10="Rusak Ringan",5,IF(N10="Rusak Sedang",10,IF(N10="Rusak Berat",15,IF(N10="Tidak Ada/Terbuka",20,0)))))+IF(P10="Baik",0,IF(P10="Rusak Ringan",4,IF(P10="Rusak Sedang",8,IF(P10="Rusak Berat",12,IF(P10="Tidak Layak",15,0))))))</x:f>
      </x:c>
      <x:c r="AR10" s="719" t="str">
        <x:f>IF(COUNTIF(AC10:AH10,"Ya")&gt;0,10,IF(COUNTIF(AI10:AK10,"Ya")&gt;=2,10,IF(COUNTIF(AI10:AK10,"Ya")=1,MAX(5,IF(AM10="Risiko Tinggi/Darurat",10,IF(AM10="Risiko Sedang",5,0))),IF(AL10&lt;&gt;"",IF(AM10="Risiko Tinggi/Darurat",10,IF(AM10="Risiko Sedang",5,"")),IF(COUNTIF(AC10:AK10,"Belum Dinilai")&gt;0,"",0)))))</x:f>
      </x:c>
      <x:c r="AS10" s="719" t="str">
        <x:f>IF(OR(AQ10="",AB10="",AR10=""),"",AQ10+AB10+AR10)</x:f>
      </x:c>
      <x:c r="AT10" s="719" t="str">
        <x:f>IF(AS10="","Belum Dapat Ditentukan",IF(AS10&gt;=80,"Sangat Tinggi",IF(OR(AO10="Risiko Tinggi/Darurat",(IF(L10="Rusak Berat",1,0)+IF(L10="Tidak Ada/Terbuka",1,0)+IF(N10="Rusak Berat",1,0)+IF(N10="Tidak Ada/Terbuka",1,0)+IF(P10="Rusak Berat",1,0)+IF(P10="Tidak Layak",1,0))&gt;=2),"Tinggi",IF(AS10&gt;=65,"Tinggi",IF(AS10&gt;=50,"Sedang","Rendah")))))</x:f>
        <x:v>Belum Dapat Ditentukan</x:v>
      </x:c>
      <x:c r="AU10" s="240" t="str">
        <x:v>Lengkap</x:v>
      </x:c>
      <x:c r="AV10" s="240" t="str">
        <x:v>Sudah Diverifikasi</x:v>
      </x:c>
      <x:c r="AW10" s="240" t="str">
        <x:v>Belum Ditangani</x:v>
      </x:c>
      <x:c r="AX10" s="240"/>
      <x:c r="AY10" s="240"/>
      <x:c r="AZ10" s="240" t="str">
        <x:v>Belum Diverifikasi</x:v>
      </x:c>
      <x:c r="BA10" s="240"/>
      <x:c r="BB10" s="240"/>
      <x:c r="BC10" s="240" t="n">
        <x:v>2026</x:v>
      </x:c>
      <x:c r="BD10" s="240" t="str">
        <x:v>Usulan Musrenbang/Pokir DPRD</x:v>
      </x:c>
      <x:c r="BE10" s="240" t="n">
        <x:v>46218</x:v>
      </x:c>
      <x:c r="BF10" s="240" t="str">
        <x:v>Dinas Perkim Kota Pangkalpinang</x:v>
      </x:c>
    </x:row>
    <x:row r="11" ht="32" customHeight="1">
      <x:c r="A11" s="314" t="str">
        <x:v>RTLH-0006</x:v>
      </x:c>
      <x:c r="B11" s="315" t="str">
        <x:v>MUTROFIN</x:v>
      </x:c>
      <x:c r="C11" s="316"/>
      <x:c r="D11" s="316"/>
      <x:c r="E11" s="315" t="str">
        <x:v>JL. MUSTIKA 4 RT.008 RW.002</x:v>
      </x:c>
      <x:c r="F11" s="315" t="str">
        <x:v>SEMABUNG LAMA</x:v>
      </x:c>
      <x:c r="G11" s="315" t="str">
        <x:v>BUKIT INTAN</x:v>
      </x:c>
      <x:c r="H11" s="315" t="str">
        <x:v>Pembangunan Baru</x:v>
      </x:c>
      <x:c r="I11" s="317" t="str">
        <x:v>RUMAH BAGIAN UTAMA FULL PAPAN, BAGIAN DAPUR BARU DI RENOVASI (PERMANEN), ATAP ASBES,</x:v>
      </x:c>
      <x:c r="J11" s="315" t="str">
        <x:v>Semipermanen</x:v>
      </x:c>
      <x:c r="K11" s="315" t="str">
        <x:v>Asbes/Fiber Semen</x:v>
      </x:c>
      <x:c r="L11" s="315" t="str">
        <x:v>Belum Dinilai</x:v>
      </x:c>
      <x:c r="M11" s="367" t="str">
        <x:v>Papan/Kayu</x:v>
      </x:c>
      <x:c r="N11" s="315" t="str">
        <x:v>Belum Dinilai</x:v>
      </x:c>
      <x:c r="O11" s="316" t="str">
        <x:v>Belum Diidentifikasi</x:v>
      </x:c>
      <x:c r="P11" s="349" t="str">
        <x:v>Belum Dinilai</x:v>
      </x:c>
      <x:c r="Q11" s="707" t="str">
        <x:v>Belum Dinilai</x:v>
      </x:c>
      <x:c r="R11" s="707" t="str">
        <x:v>Belum Dinilai</x:v>
      </x:c>
      <x:c r="S11" s="708" t="str">
        <x:v>Belum Dinilai</x:v>
      </x:c>
      <x:c r="T11" s="709" t="str">
        <x:v>Belum Dinilai</x:v>
      </x:c>
      <x:c r="U11" s="704" t="str">
        <x:v>Belum Dinilai</x:v>
      </x:c>
      <x:c r="V11" s="704" t="str">
        <x:v>Belum Dinilai</x:v>
      </x:c>
      <x:c r="W11" s="704" t="str"/>
      <x:c r="X11" s="704" t="str">
        <x:f>IF(COUNTIF(R11:V11,"Belum Dinilai")&gt;0,"Belum Dinilai",IF(COUNTIF(R11:V11,"Ya")=0,"Tidak ada faktor rentan",TEXTJOIN(", ",TRUE,IF(R11="Ya","Lansia",""),IF(S11="Ya","Penyandang disabilitas",""),IF(T11="Ya","Kepala keluarga perempuan",""),IF(U11="Ya","Balita",""),IF(V11="Ya","Anggota keluarga dengan ketergantungan tinggi",""))))</x:f>
        <x:v>Belum Dinilai</x:v>
      </x:c>
      <x:c r="Y11" s="704" t="str">
        <x:f>IF(COUNTIF(R11:V11,"Belum Dinilai")&gt;0,"Belum Dinilai",IF(COUNTIF(R11:V11,"Ya")=0,"Tidak Ada Faktor Rentan",IF(COUNTIF(R11:V11,"Ya")=1,"1 Faktor Rentan","2 atau Lebih Faktor Rentan")))</x:f>
        <x:v>Belum Dinilai</x:v>
      </x:c>
      <x:c r="Z11" s="704" t="str">
        <x:f>IF(OR(Q11="",Q11="Belum Dinilai"),"",IF(Q11="Terverifikasi DTKS/P3KE/MBR",10,IF(Q11="Diusulkan, Belum Terverifikasi",5,0)))</x:f>
      </x:c>
      <x:c r="AA11" s="705" t="str">
        <x:f>IF(COUNTIF(R11:V11,"Belum Dinilai")&gt;0,"",IF(COUNTIF(R11:V11,"Ya")=0,0,IF(COUNTIF(R11:V11,"Ya")=1,5,10)))</x:f>
      </x:c>
      <x:c r="AB11" s="706" t="str">
        <x:f>IF(OR(Z11="",AA11=""),"",Z11+AA11)</x:f>
      </x:c>
      <x:c r="AC11" s="713" t="str">
        <x:v>Belum Dinilai</x:v>
      </x:c>
      <x:c r="AD11" s="713" t="str">
        <x:v>Belum Dinilai</x:v>
      </x:c>
      <x:c r="AE11" s="714" t="str">
        <x:v>Belum Dinilai</x:v>
      </x:c>
      <x:c r="AF11" s="713" t="str">
        <x:v>Belum Dinilai</x:v>
      </x:c>
      <x:c r="AG11" s="713" t="str">
        <x:v>Belum Dinilai</x:v>
      </x:c>
      <x:c r="AH11" s="715" t="str">
        <x:v>Belum Dinilai</x:v>
      </x:c>
      <x:c r="AI11" s="714" t="str">
        <x:v>Belum Dinilai</x:v>
      </x:c>
      <x:c r="AJ11" s="713" t="str">
        <x:v>Belum Dinilai</x:v>
      </x:c>
      <x:c r="AK11" s="715" t="str">
        <x:v>Belum Dinilai</x:v>
      </x:c>
      <x:c r="AL11" s="713" t="str"/>
      <x:c r="AM11" s="716" t="str">
        <x:v>Belum Dinilai</x:v>
      </x:c>
      <x:c r="AN11" s="716" t="str">
        <x:f>IF(AND(COUNTIF(AC11:AK11,"Ya")=0,AL11=""),IF(COUNTIF(AC11:AK11,"Belum Dinilai")&gt;0,"Belum Dinilai","Tidak ada risiko khusus"),TEXTJOIN(", ",TRUE,IF(AC11="Ya","Bangunan berpotensi roboh",""),IF(AD11="Ya","Bekas kebakaran dan tidak aman dihuni",""),IF(AE11="Ya","Atap atau dinding utama hampir runtuh",""),IF(AF11="Ya","Genangan yang membahayakan",""),IF(AG11="Ya","Struktur rumah tidak stabil",""),IF(AH11="Ya","Instalasi listrik berbahaya",""),IF(AI11="Ya","Komponen bangunan lepas atau lapuk",""),IF(AJ11="Ya","Akses keluar atau evakuasi terbatas",""),IF(AK11="Ya","Lokasi rawan bencana",""),IF(AL11&lt;&gt;"","Lainnya: "&amp;AL11,"")))</x:f>
        <x:v>Belum Dinilai</x:v>
      </x:c>
      <x:c r="AO11" s="716" t="str">
        <x:f>IF(AR11="","Belum Dinilai",IF(AR11=10,"Risiko Tinggi/Darurat",IF(AR11=5,"Risiko Sedang","Tidak Ada Risiko Khusus")))</x:f>
        <x:v>Belum Dinilai</x:v>
      </x:c>
      <x:c r="AP11" s="716" t="str"/>
      <x:c r="AQ11" s="719" t="str">
        <x:f>IF(OR(J11="",J11="Belum Dapat Ditentukan",L11="",L11="Belum Dinilai",N11="",N11="Belum Dinilai",P11="",P11="Belum Dinilai"),"",IF(J11="Permanen",0,IF(J11="Semipermanen",8,IF(J11="Nonpermanen",15,0)))+IF(L11="Baik",0,IF(L11="Rusak Ringan",5,IF(L11="Rusak Sedang",10,IF(L11="Rusak Berat",15,IF(L11="Tidak Ada/Terbuka",20,0)))))+IF(N11="Baik",0,IF(N11="Rusak Ringan",5,IF(N11="Rusak Sedang",10,IF(N11="Rusak Berat",15,IF(N11="Tidak Ada/Terbuka",20,0)))))+IF(P11="Baik",0,IF(P11="Rusak Ringan",4,IF(P11="Rusak Sedang",8,IF(P11="Rusak Berat",12,IF(P11="Tidak Layak",15,0))))))</x:f>
      </x:c>
      <x:c r="AR11" s="719" t="str">
        <x:f>IF(COUNTIF(AC11:AH11,"Ya")&gt;0,10,IF(COUNTIF(AI11:AK11,"Ya")&gt;=2,10,IF(COUNTIF(AI11:AK11,"Ya")=1,MAX(5,IF(AM11="Risiko Tinggi/Darurat",10,IF(AM11="Risiko Sedang",5,0))),IF(AL11&lt;&gt;"",IF(AM11="Risiko Tinggi/Darurat",10,IF(AM11="Risiko Sedang",5,"")),IF(COUNTIF(AC11:AK11,"Belum Dinilai")&gt;0,"",0)))))</x:f>
      </x:c>
      <x:c r="AS11" s="719" t="str">
        <x:f>IF(OR(AQ11="",AB11="",AR11=""),"",AQ11+AB11+AR11)</x:f>
      </x:c>
      <x:c r="AT11" s="719" t="str">
        <x:f>IF(AS11="","Belum Dapat Ditentukan",IF(AS11&gt;=80,"Sangat Tinggi",IF(OR(AO11="Risiko Tinggi/Darurat",(IF(L11="Rusak Berat",1,0)+IF(L11="Tidak Ada/Terbuka",1,0)+IF(N11="Rusak Berat",1,0)+IF(N11="Tidak Ada/Terbuka",1,0)+IF(P11="Rusak Berat",1,0)+IF(P11="Tidak Layak",1,0))&gt;=2),"Tinggi",IF(AS11&gt;=65,"Tinggi",IF(AS11&gt;=50,"Sedang","Rendah")))))</x:f>
        <x:v>Belum Dapat Ditentukan</x:v>
      </x:c>
      <x:c r="AU11" s="240" t="str">
        <x:v>Lengkap</x:v>
      </x:c>
      <x:c r="AV11" s="240" t="str">
        <x:v>Sudah Diverifikasi</x:v>
      </x:c>
      <x:c r="AW11" s="240" t="str">
        <x:v>Selesai</x:v>
      </x:c>
      <x:c r="AX11" s="240" t="str">
        <x:v>APBD Kota</x:v>
      </x:c>
      <x:c r="AY11" s="240" t="n">
        <x:v>2023</x:v>
      </x:c>
      <x:c r="AZ11" s="240" t="str">
        <x:v>Belum Diverifikasi</x:v>
      </x:c>
      <x:c r="BA11" s="240"/>
      <x:c r="BB11" s="240"/>
      <x:c r="BC11" s="240" t="n">
        <x:v>2026</x:v>
      </x:c>
      <x:c r="BD11" s="240" t="str">
        <x:v>Usulan Musrenbang/Pokir DPRD</x:v>
      </x:c>
      <x:c r="BE11" s="240" t="n">
        <x:v>46218</x:v>
      </x:c>
      <x:c r="BF11" s="240" t="str">
        <x:v>Dinas Perkim Kota Pangkalpinang</x:v>
      </x:c>
    </x:row>
    <x:row r="12" ht="32" customHeight="1">
      <x:c r="A12" s="314" t="str">
        <x:v>RTLH-0007</x:v>
      </x:c>
      <x:c r="B12" s="315" t="str">
        <x:v>LAIJ TJHUN MOIJ</x:v>
      </x:c>
      <x:c r="C12" s="316"/>
      <x:c r="D12" s="316"/>
      <x:c r="E12" s="315" t="str">
        <x:v>JL. NIPAH III RT.006 RW.002</x:v>
      </x:c>
      <x:c r="F12" s="315" t="str">
        <x:v>PASIR PUTIH</x:v>
      </x:c>
      <x:c r="G12" s="315" t="str">
        <x:v>BUKIT INTAN</x:v>
      </x:c>
      <x:c r="H12" s="315" t="str">
        <x:v>Pembangunan Baru</x:v>
      </x:c>
      <x:c r="I12" s="317" t="str">
        <x:v>RUMAH RUSAK PARAH, RUMAH DAERAH RAWA-RAWA,</x:v>
      </x:c>
      <x:c r="J12" s="315" t="str">
        <x:v>Belum Dapat Ditentukan</x:v>
      </x:c>
      <x:c r="K12" s="315" t="str">
        <x:v>Belum Diidentifikasi</x:v>
      </x:c>
      <x:c r="L12" s="315" t="str">
        <x:v>Belum Dinilai</x:v>
      </x:c>
      <x:c r="M12" s="367" t="str">
        <x:v>Belum Diidentifikasi</x:v>
      </x:c>
      <x:c r="N12" s="315" t="str">
        <x:v>Belum Dinilai</x:v>
      </x:c>
      <x:c r="O12" s="316" t="str">
        <x:v>Belum Diidentifikasi</x:v>
      </x:c>
      <x:c r="P12" s="349" t="str">
        <x:v>Belum Dinilai</x:v>
      </x:c>
      <x:c r="Q12" s="707" t="str">
        <x:v>Belum Dinilai</x:v>
      </x:c>
      <x:c r="R12" s="707" t="str">
        <x:v>Belum Dinilai</x:v>
      </x:c>
      <x:c r="S12" s="708" t="str">
        <x:v>Belum Dinilai</x:v>
      </x:c>
      <x:c r="T12" s="709" t="str">
        <x:v>Belum Dinilai</x:v>
      </x:c>
      <x:c r="U12" s="704" t="str">
        <x:v>Belum Dinilai</x:v>
      </x:c>
      <x:c r="V12" s="704" t="str">
        <x:v>Belum Dinilai</x:v>
      </x:c>
      <x:c r="W12" s="704" t="str"/>
      <x:c r="X12" s="704" t="str">
        <x:f>IF(COUNTIF(R12:V12,"Belum Dinilai")&gt;0,"Belum Dinilai",IF(COUNTIF(R12:V12,"Ya")=0,"Tidak ada faktor rentan",TEXTJOIN(", ",TRUE,IF(R12="Ya","Lansia",""),IF(S12="Ya","Penyandang disabilitas",""),IF(T12="Ya","Kepala keluarga perempuan",""),IF(U12="Ya","Balita",""),IF(V12="Ya","Anggota keluarga dengan ketergantungan tinggi",""))))</x:f>
        <x:v>Belum Dinilai</x:v>
      </x:c>
      <x:c r="Y12" s="704" t="str">
        <x:f>IF(COUNTIF(R12:V12,"Belum Dinilai")&gt;0,"Belum Dinilai",IF(COUNTIF(R12:V12,"Ya")=0,"Tidak Ada Faktor Rentan",IF(COUNTIF(R12:V12,"Ya")=1,"1 Faktor Rentan","2 atau Lebih Faktor Rentan")))</x:f>
        <x:v>Belum Dinilai</x:v>
      </x:c>
      <x:c r="Z12" s="704" t="str">
        <x:f>IF(OR(Q12="",Q12="Belum Dinilai"),"",IF(Q12="Terverifikasi DTKS/P3KE/MBR",10,IF(Q12="Diusulkan, Belum Terverifikasi",5,0)))</x:f>
      </x:c>
      <x:c r="AA12" s="705" t="str">
        <x:f>IF(COUNTIF(R12:V12,"Belum Dinilai")&gt;0,"",IF(COUNTIF(R12:V12,"Ya")=0,0,IF(COUNTIF(R12:V12,"Ya")=1,5,10)))</x:f>
      </x:c>
      <x:c r="AB12" s="706" t="str">
        <x:f>IF(OR(Z12="",AA12=""),"",Z12+AA12)</x:f>
      </x:c>
      <x:c r="AC12" s="713" t="str">
        <x:v>Belum Dinilai</x:v>
      </x:c>
      <x:c r="AD12" s="713" t="str">
        <x:v>Belum Dinilai</x:v>
      </x:c>
      <x:c r="AE12" s="714" t="str">
        <x:v>Belum Dinilai</x:v>
      </x:c>
      <x:c r="AF12" s="713" t="str">
        <x:v>Belum Dinilai</x:v>
      </x:c>
      <x:c r="AG12" s="713" t="str">
        <x:v>Belum Dinilai</x:v>
      </x:c>
      <x:c r="AH12" s="715" t="str">
        <x:v>Belum Dinilai</x:v>
      </x:c>
      <x:c r="AI12" s="714" t="str">
        <x:v>Belum Dinilai</x:v>
      </x:c>
      <x:c r="AJ12" s="713" t="str">
        <x:v>Belum Dinilai</x:v>
      </x:c>
      <x:c r="AK12" s="715" t="str">
        <x:v>Belum Dinilai</x:v>
      </x:c>
      <x:c r="AL12" s="713" t="str"/>
      <x:c r="AM12" s="716" t="str">
        <x:v>Belum Dinilai</x:v>
      </x:c>
      <x:c r="AN12" s="716" t="str">
        <x:f>IF(AND(COUNTIF(AC12:AK12,"Ya")=0,AL12=""),IF(COUNTIF(AC12:AK12,"Belum Dinilai")&gt;0,"Belum Dinilai","Tidak ada risiko khusus"),TEXTJOIN(", ",TRUE,IF(AC12="Ya","Bangunan berpotensi roboh",""),IF(AD12="Ya","Bekas kebakaran dan tidak aman dihuni",""),IF(AE12="Ya","Atap atau dinding utama hampir runtuh",""),IF(AF12="Ya","Genangan yang membahayakan",""),IF(AG12="Ya","Struktur rumah tidak stabil",""),IF(AH12="Ya","Instalasi listrik berbahaya",""),IF(AI12="Ya","Komponen bangunan lepas atau lapuk",""),IF(AJ12="Ya","Akses keluar atau evakuasi terbatas",""),IF(AK12="Ya","Lokasi rawan bencana",""),IF(AL12&lt;&gt;"","Lainnya: "&amp;AL12,"")))</x:f>
        <x:v>Belum Dinilai</x:v>
      </x:c>
      <x:c r="AO12" s="716" t="str">
        <x:f>IF(AR12="","Belum Dinilai",IF(AR12=10,"Risiko Tinggi/Darurat",IF(AR12=5,"Risiko Sedang","Tidak Ada Risiko Khusus")))</x:f>
        <x:v>Belum Dinilai</x:v>
      </x:c>
      <x:c r="AP12" s="716" t="str"/>
      <x:c r="AQ12" s="719" t="str">
        <x:f>IF(OR(J12="",J12="Belum Dapat Ditentukan",L12="",L12="Belum Dinilai",N12="",N12="Belum Dinilai",P12="",P12="Belum Dinilai"),"",IF(J12="Permanen",0,IF(J12="Semipermanen",8,IF(J12="Nonpermanen",15,0)))+IF(L12="Baik",0,IF(L12="Rusak Ringan",5,IF(L12="Rusak Sedang",10,IF(L12="Rusak Berat",15,IF(L12="Tidak Ada/Terbuka",20,0)))))+IF(N12="Baik",0,IF(N12="Rusak Ringan",5,IF(N12="Rusak Sedang",10,IF(N12="Rusak Berat",15,IF(N12="Tidak Ada/Terbuka",20,0)))))+IF(P12="Baik",0,IF(P12="Rusak Ringan",4,IF(P12="Rusak Sedang",8,IF(P12="Rusak Berat",12,IF(P12="Tidak Layak",15,0))))))</x:f>
      </x:c>
      <x:c r="AR12" s="719" t="str">
        <x:f>IF(COUNTIF(AC12:AH12,"Ya")&gt;0,10,IF(COUNTIF(AI12:AK12,"Ya")&gt;=2,10,IF(COUNTIF(AI12:AK12,"Ya")=1,MAX(5,IF(AM12="Risiko Tinggi/Darurat",10,IF(AM12="Risiko Sedang",5,0))),IF(AL12&lt;&gt;"",IF(AM12="Risiko Tinggi/Darurat",10,IF(AM12="Risiko Sedang",5,"")),IF(COUNTIF(AC12:AK12,"Belum Dinilai")&gt;0,"",0)))))</x:f>
      </x:c>
      <x:c r="AS12" s="719" t="str">
        <x:f>IF(OR(AQ12="",AB12="",AR12=""),"",AQ12+AB12+AR12)</x:f>
      </x:c>
      <x:c r="AT12" s="719" t="str">
        <x:f>IF(AS12="","Belum Dapat Ditentukan",IF(AS12&gt;=80,"Sangat Tinggi",IF(OR(AO12="Risiko Tinggi/Darurat",(IF(L12="Rusak Berat",1,0)+IF(L12="Tidak Ada/Terbuka",1,0)+IF(N12="Rusak Berat",1,0)+IF(N12="Tidak Ada/Terbuka",1,0)+IF(P12="Rusak Berat",1,0)+IF(P12="Tidak Layak",1,0))&gt;=2),"Tinggi",IF(AS12&gt;=65,"Tinggi",IF(AS12&gt;=50,"Sedang","Rendah")))))</x:f>
        <x:v>Belum Dapat Ditentukan</x:v>
      </x:c>
      <x:c r="AU12" s="240" t="str">
        <x:v>Lengkap</x:v>
      </x:c>
      <x:c r="AV12" s="240" t="str">
        <x:v>Sudah Diverifikasi</x:v>
      </x:c>
      <x:c r="AW12" s="240" t="str">
        <x:v>Belum Ditangani</x:v>
      </x:c>
      <x:c r="AX12" s="240"/>
      <x:c r="AY12" s="240"/>
      <x:c r="AZ12" s="240" t="str">
        <x:v>Belum Diverifikasi</x:v>
      </x:c>
      <x:c r="BA12" s="240"/>
      <x:c r="BB12" s="240"/>
      <x:c r="BC12" s="240" t="n">
        <x:v>2026</x:v>
      </x:c>
      <x:c r="BD12" s="240" t="str">
        <x:v>Usulan Musrenbang/Pokir DPRD</x:v>
      </x:c>
      <x:c r="BE12" s="240" t="n">
        <x:v>46218</x:v>
      </x:c>
      <x:c r="BF12" s="240" t="str">
        <x:v>Dinas Perkim Kota Pangkalpinang</x:v>
      </x:c>
    </x:row>
    <x:row r="13" ht="32" customHeight="1">
      <x:c r="A13" s="314" t="str">
        <x:v>RTLH-0008</x:v>
      </x:c>
      <x:c r="B13" s="315" t="str">
        <x:v>FIKA RAMADHANI</x:v>
      </x:c>
      <x:c r="C13" s="316"/>
      <x:c r="D13" s="316"/>
      <x:c r="E13" s="315" t="str">
        <x:v>JL. NILA DAAM NO.74</x:v>
      </x:c>
      <x:c r="F13" s="315" t="str">
        <x:v>REJOSARI</x:v>
      </x:c>
      <x:c r="G13" s="315" t="str">
        <x:v>PANGKAL BALAM</x:v>
      </x:c>
      <x:c r="H13" s="315" t="str">
        <x:v>Pembangunan Baru</x:v>
      </x:c>
      <x:c r="I13" s="317" t="str">
        <x:v>RUMAH RUSAK SEDANG ,BAGIAN DINDING DAN ATAP RUSAK BERAT SEBAGIAN</x:v>
      </x:c>
      <x:c r="J13" s="315" t="str">
        <x:v>Belum Dapat Ditentukan</x:v>
      </x:c>
      <x:c r="K13" s="315" t="str">
        <x:v>Belum Diidentifikasi</x:v>
      </x:c>
      <x:c r="L13" s="315" t="str">
        <x:v>Rusak Berat</x:v>
      </x:c>
      <x:c r="M13" s="367" t="str">
        <x:v>Belum Diidentifikasi</x:v>
      </x:c>
      <x:c r="N13" s="315" t="str">
        <x:v>Rusak Berat</x:v>
      </x:c>
      <x:c r="O13" s="316" t="str">
        <x:v>Belum Diidentifikasi</x:v>
      </x:c>
      <x:c r="P13" s="349" t="str">
        <x:v>Belum Dinilai</x:v>
      </x:c>
      <x:c r="Q13" s="707" t="str">
        <x:v>Belum Dinilai</x:v>
      </x:c>
      <x:c r="R13" s="707" t="str">
        <x:v>Belum Dinilai</x:v>
      </x:c>
      <x:c r="S13" s="708" t="str">
        <x:v>Belum Dinilai</x:v>
      </x:c>
      <x:c r="T13" s="709" t="str">
        <x:v>Belum Dinilai</x:v>
      </x:c>
      <x:c r="U13" s="704" t="str">
        <x:v>Belum Dinilai</x:v>
      </x:c>
      <x:c r="V13" s="704" t="str">
        <x:v>Belum Dinilai</x:v>
      </x:c>
      <x:c r="W13" s="704" t="str"/>
      <x:c r="X13" s="704" t="str">
        <x:f>IF(COUNTIF(R13:V13,"Belum Dinilai")&gt;0,"Belum Dinilai",IF(COUNTIF(R13:V13,"Ya")=0,"Tidak ada faktor rentan",TEXTJOIN(", ",TRUE,IF(R13="Ya","Lansia",""),IF(S13="Ya","Penyandang disabilitas",""),IF(T13="Ya","Kepala keluarga perempuan",""),IF(U13="Ya","Balita",""),IF(V13="Ya","Anggota keluarga dengan ketergantungan tinggi",""))))</x:f>
        <x:v>Belum Dinilai</x:v>
      </x:c>
      <x:c r="Y13" s="704" t="str">
        <x:f>IF(COUNTIF(R13:V13,"Belum Dinilai")&gt;0,"Belum Dinilai",IF(COUNTIF(R13:V13,"Ya")=0,"Tidak Ada Faktor Rentan",IF(COUNTIF(R13:V13,"Ya")=1,"1 Faktor Rentan","2 atau Lebih Faktor Rentan")))</x:f>
        <x:v>Belum Dinilai</x:v>
      </x:c>
      <x:c r="Z13" s="704" t="str">
        <x:f>IF(OR(Q13="",Q13="Belum Dinilai"),"",IF(Q13="Terverifikasi DTKS/P3KE/MBR",10,IF(Q13="Diusulkan, Belum Terverifikasi",5,0)))</x:f>
      </x:c>
      <x:c r="AA13" s="705" t="str">
        <x:f>IF(COUNTIF(R13:V13,"Belum Dinilai")&gt;0,"",IF(COUNTIF(R13:V13,"Ya")=0,0,IF(COUNTIF(R13:V13,"Ya")=1,5,10)))</x:f>
      </x:c>
      <x:c r="AB13" s="706" t="str">
        <x:f>IF(OR(Z13="",AA13=""),"",Z13+AA13)</x:f>
      </x:c>
      <x:c r="AC13" s="713" t="str">
        <x:v>Belum Dinilai</x:v>
      </x:c>
      <x:c r="AD13" s="713" t="str">
        <x:v>Belum Dinilai</x:v>
      </x:c>
      <x:c r="AE13" s="714" t="str">
        <x:v>Belum Dinilai</x:v>
      </x:c>
      <x:c r="AF13" s="713" t="str">
        <x:v>Belum Dinilai</x:v>
      </x:c>
      <x:c r="AG13" s="713" t="str">
        <x:v>Belum Dinilai</x:v>
      </x:c>
      <x:c r="AH13" s="715" t="str">
        <x:v>Belum Dinilai</x:v>
      </x:c>
      <x:c r="AI13" s="714" t="str">
        <x:v>Belum Dinilai</x:v>
      </x:c>
      <x:c r="AJ13" s="713" t="str">
        <x:v>Belum Dinilai</x:v>
      </x:c>
      <x:c r="AK13" s="715" t="str">
        <x:v>Belum Dinilai</x:v>
      </x:c>
      <x:c r="AL13" s="713" t="str"/>
      <x:c r="AM13" s="716" t="str">
        <x:v>Belum Dinilai</x:v>
      </x:c>
      <x:c r="AN13" s="716" t="str">
        <x:f>IF(AND(COUNTIF(AC13:AK13,"Ya")=0,AL13=""),IF(COUNTIF(AC13:AK13,"Belum Dinilai")&gt;0,"Belum Dinilai","Tidak ada risiko khusus"),TEXTJOIN(", ",TRUE,IF(AC13="Ya","Bangunan berpotensi roboh",""),IF(AD13="Ya","Bekas kebakaran dan tidak aman dihuni",""),IF(AE13="Ya","Atap atau dinding utama hampir runtuh",""),IF(AF13="Ya","Genangan yang membahayakan",""),IF(AG13="Ya","Struktur rumah tidak stabil",""),IF(AH13="Ya","Instalasi listrik berbahaya",""),IF(AI13="Ya","Komponen bangunan lepas atau lapuk",""),IF(AJ13="Ya","Akses keluar atau evakuasi terbatas",""),IF(AK13="Ya","Lokasi rawan bencana",""),IF(AL13&lt;&gt;"","Lainnya: "&amp;AL13,"")))</x:f>
        <x:v>Belum Dinilai</x:v>
      </x:c>
      <x:c r="AO13" s="716" t="str">
        <x:f>IF(AR13="","Belum Dinilai",IF(AR13=10,"Risiko Tinggi/Darurat",IF(AR13=5,"Risiko Sedang","Tidak Ada Risiko Khusus")))</x:f>
        <x:v>Belum Dinilai</x:v>
      </x:c>
      <x:c r="AP13" s="716" t="str"/>
      <x:c r="AQ13" s="719" t="str">
        <x:f>IF(OR(J13="",J13="Belum Dapat Ditentukan",L13="",L13="Belum Dinilai",N13="",N13="Belum Dinilai",P13="",P13="Belum Dinilai"),"",IF(J13="Permanen",0,IF(J13="Semipermanen",8,IF(J13="Nonpermanen",15,0)))+IF(L13="Baik",0,IF(L13="Rusak Ringan",5,IF(L13="Rusak Sedang",10,IF(L13="Rusak Berat",15,IF(L13="Tidak Ada/Terbuka",20,0)))))+IF(N13="Baik",0,IF(N13="Rusak Ringan",5,IF(N13="Rusak Sedang",10,IF(N13="Rusak Berat",15,IF(N13="Tidak Ada/Terbuka",20,0)))))+IF(P13="Baik",0,IF(P13="Rusak Ringan",4,IF(P13="Rusak Sedang",8,IF(P13="Rusak Berat",12,IF(P13="Tidak Layak",15,0))))))</x:f>
      </x:c>
      <x:c r="AR13" s="719" t="str">
        <x:f>IF(COUNTIF(AC13:AH13,"Ya")&gt;0,10,IF(COUNTIF(AI13:AK13,"Ya")&gt;=2,10,IF(COUNTIF(AI13:AK13,"Ya")=1,MAX(5,IF(AM13="Risiko Tinggi/Darurat",10,IF(AM13="Risiko Sedang",5,0))),IF(AL13&lt;&gt;"",IF(AM13="Risiko Tinggi/Darurat",10,IF(AM13="Risiko Sedang",5,"")),IF(COUNTIF(AC13:AK13,"Belum Dinilai")&gt;0,"",0)))))</x:f>
      </x:c>
      <x:c r="AS13" s="719" t="str">
        <x:f>IF(OR(AQ13="",AB13="",AR13=""),"",AQ13+AB13+AR13)</x:f>
      </x:c>
      <x:c r="AT13" s="719" t="str">
        <x:f>IF(AS13="","Belum Dapat Ditentukan",IF(AS13&gt;=80,"Sangat Tinggi",IF(OR(AO13="Risiko Tinggi/Darurat",(IF(L13="Rusak Berat",1,0)+IF(L13="Tidak Ada/Terbuka",1,0)+IF(N13="Rusak Berat",1,0)+IF(N13="Tidak Ada/Terbuka",1,0)+IF(P13="Rusak Berat",1,0)+IF(P13="Tidak Layak",1,0))&gt;=2),"Tinggi",IF(AS13&gt;=65,"Tinggi",IF(AS13&gt;=50,"Sedang","Rendah")))))</x:f>
        <x:v>Belum Dapat Ditentukan</x:v>
      </x:c>
      <x:c r="AU13" s="240" t="str">
        <x:v>Lengkap</x:v>
      </x:c>
      <x:c r="AV13" s="240" t="str">
        <x:v>Sudah Diverifikasi</x:v>
      </x:c>
      <x:c r="AW13" s="240" t="str">
        <x:v>Belum Ditangani</x:v>
      </x:c>
      <x:c r="AX13" s="240"/>
      <x:c r="AY13" s="240"/>
      <x:c r="AZ13" s="240" t="str">
        <x:v>Belum Diverifikasi</x:v>
      </x:c>
      <x:c r="BA13" s="240"/>
      <x:c r="BB13" s="240"/>
      <x:c r="BC13" s="240" t="n">
        <x:v>2026</x:v>
      </x:c>
      <x:c r="BD13" s="240" t="str">
        <x:v>Usulan Musrenbang/Pokir DPRD</x:v>
      </x:c>
      <x:c r="BE13" s="240" t="n">
        <x:v>46218</x:v>
      </x:c>
      <x:c r="BF13" s="240" t="str">
        <x:v>Dinas Perkim Kota Pangkalpinang</x:v>
      </x:c>
    </x:row>
    <x:row r="14" ht="32" customHeight="1">
      <x:c r="A14" s="314" t="str">
        <x:v>RTLH-0009</x:v>
      </x:c>
      <x:c r="B14" s="315" t="str">
        <x:v>MARIYATI</x:v>
      </x:c>
      <x:c r="C14" s="316"/>
      <x:c r="D14" s="316"/>
      <x:c r="E14" s="315" t="str">
        <x:v>GG. LOHAN II NO.47</x:v>
      </x:c>
      <x:c r="F14" s="315" t="str">
        <x:v>GABEK I</x:v>
      </x:c>
      <x:c r="G14" s="315" t="str">
        <x:v>GABEK</x:v>
      </x:c>
      <x:c r="H14" s="315" t="str">
        <x:v>Pembangunan Baru</x:v>
      </x:c>
      <x:c r="I14" s="317" t="str">
        <x:v>RUMAH KONDISI MASIH BAGUS</x:v>
      </x:c>
      <x:c r="J14" s="315" t="str">
        <x:v>Belum Dapat Ditentukan</x:v>
      </x:c>
      <x:c r="K14" s="315" t="str">
        <x:v>Belum Diidentifikasi</x:v>
      </x:c>
      <x:c r="L14" s="315" t="str">
        <x:v>Belum Dinilai</x:v>
      </x:c>
      <x:c r="M14" s="367" t="str">
        <x:v>Belum Diidentifikasi</x:v>
      </x:c>
      <x:c r="N14" s="315" t="str">
        <x:v>Belum Dinilai</x:v>
      </x:c>
      <x:c r="O14" s="316" t="str">
        <x:v>Belum Diidentifikasi</x:v>
      </x:c>
      <x:c r="P14" s="349" t="str">
        <x:v>Belum Dinilai</x:v>
      </x:c>
      <x:c r="Q14" s="707" t="str">
        <x:v>Belum Dinilai</x:v>
      </x:c>
      <x:c r="R14" s="707" t="str">
        <x:v>Belum Dinilai</x:v>
      </x:c>
      <x:c r="S14" s="708" t="str">
        <x:v>Belum Dinilai</x:v>
      </x:c>
      <x:c r="T14" s="709" t="str">
        <x:v>Belum Dinilai</x:v>
      </x:c>
      <x:c r="U14" s="704" t="str">
        <x:v>Belum Dinilai</x:v>
      </x:c>
      <x:c r="V14" s="704" t="str">
        <x:v>Belum Dinilai</x:v>
      </x:c>
      <x:c r="W14" s="704" t="str"/>
      <x:c r="X14" s="704" t="str">
        <x:f>IF(COUNTIF(R14:V14,"Belum Dinilai")&gt;0,"Belum Dinilai",IF(COUNTIF(R14:V14,"Ya")=0,"Tidak ada faktor rentan",TEXTJOIN(", ",TRUE,IF(R14="Ya","Lansia",""),IF(S14="Ya","Penyandang disabilitas",""),IF(T14="Ya","Kepala keluarga perempuan",""),IF(U14="Ya","Balita",""),IF(V14="Ya","Anggota keluarga dengan ketergantungan tinggi",""))))</x:f>
        <x:v>Belum Dinilai</x:v>
      </x:c>
      <x:c r="Y14" s="704" t="str">
        <x:f>IF(COUNTIF(R14:V14,"Belum Dinilai")&gt;0,"Belum Dinilai",IF(COUNTIF(R14:V14,"Ya")=0,"Tidak Ada Faktor Rentan",IF(COUNTIF(R14:V14,"Ya")=1,"1 Faktor Rentan","2 atau Lebih Faktor Rentan")))</x:f>
        <x:v>Belum Dinilai</x:v>
      </x:c>
      <x:c r="Z14" s="704" t="str">
        <x:f>IF(OR(Q14="",Q14="Belum Dinilai"),"",IF(Q14="Terverifikasi DTKS/P3KE/MBR",10,IF(Q14="Diusulkan, Belum Terverifikasi",5,0)))</x:f>
      </x:c>
      <x:c r="AA14" s="705" t="str">
        <x:f>IF(COUNTIF(R14:V14,"Belum Dinilai")&gt;0,"",IF(COUNTIF(R14:V14,"Ya")=0,0,IF(COUNTIF(R14:V14,"Ya")=1,5,10)))</x:f>
      </x:c>
      <x:c r="AB14" s="706" t="str">
        <x:f>IF(OR(Z14="",AA14=""),"",Z14+AA14)</x:f>
      </x:c>
      <x:c r="AC14" s="713" t="str">
        <x:v>Belum Dinilai</x:v>
      </x:c>
      <x:c r="AD14" s="713" t="str">
        <x:v>Belum Dinilai</x:v>
      </x:c>
      <x:c r="AE14" s="714" t="str">
        <x:v>Belum Dinilai</x:v>
      </x:c>
      <x:c r="AF14" s="713" t="str">
        <x:v>Belum Dinilai</x:v>
      </x:c>
      <x:c r="AG14" s="713" t="str">
        <x:v>Belum Dinilai</x:v>
      </x:c>
      <x:c r="AH14" s="715" t="str">
        <x:v>Belum Dinilai</x:v>
      </x:c>
      <x:c r="AI14" s="714" t="str">
        <x:v>Belum Dinilai</x:v>
      </x:c>
      <x:c r="AJ14" s="713" t="str">
        <x:v>Belum Dinilai</x:v>
      </x:c>
      <x:c r="AK14" s="715" t="str">
        <x:v>Belum Dinilai</x:v>
      </x:c>
      <x:c r="AL14" s="713" t="str"/>
      <x:c r="AM14" s="716" t="str">
        <x:v>Belum Dinilai</x:v>
      </x:c>
      <x:c r="AN14" s="716" t="str">
        <x:f>IF(AND(COUNTIF(AC14:AK14,"Ya")=0,AL14=""),IF(COUNTIF(AC14:AK14,"Belum Dinilai")&gt;0,"Belum Dinilai","Tidak ada risiko khusus"),TEXTJOIN(", ",TRUE,IF(AC14="Ya","Bangunan berpotensi roboh",""),IF(AD14="Ya","Bekas kebakaran dan tidak aman dihuni",""),IF(AE14="Ya","Atap atau dinding utama hampir runtuh",""),IF(AF14="Ya","Genangan yang membahayakan",""),IF(AG14="Ya","Struktur rumah tidak stabil",""),IF(AH14="Ya","Instalasi listrik berbahaya",""),IF(AI14="Ya","Komponen bangunan lepas atau lapuk",""),IF(AJ14="Ya","Akses keluar atau evakuasi terbatas",""),IF(AK14="Ya","Lokasi rawan bencana",""),IF(AL14&lt;&gt;"","Lainnya: "&amp;AL14,"")))</x:f>
        <x:v>Belum Dinilai</x:v>
      </x:c>
      <x:c r="AO14" s="716" t="str">
        <x:f>IF(AR14="","Belum Dinilai",IF(AR14=10,"Risiko Tinggi/Darurat",IF(AR14=5,"Risiko Sedang","Tidak Ada Risiko Khusus")))</x:f>
        <x:v>Belum Dinilai</x:v>
      </x:c>
      <x:c r="AP14" s="716" t="str"/>
      <x:c r="AQ14" s="719" t="str">
        <x:f>IF(OR(J14="",J14="Belum Dapat Ditentukan",L14="",L14="Belum Dinilai",N14="",N14="Belum Dinilai",P14="",P14="Belum Dinilai"),"",IF(J14="Permanen",0,IF(J14="Semipermanen",8,IF(J14="Nonpermanen",15,0)))+IF(L14="Baik",0,IF(L14="Rusak Ringan",5,IF(L14="Rusak Sedang",10,IF(L14="Rusak Berat",15,IF(L14="Tidak Ada/Terbuka",20,0)))))+IF(N14="Baik",0,IF(N14="Rusak Ringan",5,IF(N14="Rusak Sedang",10,IF(N14="Rusak Berat",15,IF(N14="Tidak Ada/Terbuka",20,0)))))+IF(P14="Baik",0,IF(P14="Rusak Ringan",4,IF(P14="Rusak Sedang",8,IF(P14="Rusak Berat",12,IF(P14="Tidak Layak",15,0))))))</x:f>
      </x:c>
      <x:c r="AR14" s="719" t="str">
        <x:f>IF(COUNTIF(AC14:AH14,"Ya")&gt;0,10,IF(COUNTIF(AI14:AK14,"Ya")&gt;=2,10,IF(COUNTIF(AI14:AK14,"Ya")=1,MAX(5,IF(AM14="Risiko Tinggi/Darurat",10,IF(AM14="Risiko Sedang",5,0))),IF(AL14&lt;&gt;"",IF(AM14="Risiko Tinggi/Darurat",10,IF(AM14="Risiko Sedang",5,"")),IF(COUNTIF(AC14:AK14,"Belum Dinilai")&gt;0,"",0)))))</x:f>
      </x:c>
      <x:c r="AS14" s="719" t="str">
        <x:f>IF(OR(AQ14="",AB14="",AR14=""),"",AQ14+AB14+AR14)</x:f>
      </x:c>
      <x:c r="AT14" s="719" t="str">
        <x:f>IF(AS14="","Belum Dapat Ditentukan",IF(AS14&gt;=80,"Sangat Tinggi",IF(OR(AO14="Risiko Tinggi/Darurat",(IF(L14="Rusak Berat",1,0)+IF(L14="Tidak Ada/Terbuka",1,0)+IF(N14="Rusak Berat",1,0)+IF(N14="Tidak Ada/Terbuka",1,0)+IF(P14="Rusak Berat",1,0)+IF(P14="Tidak Layak",1,0))&gt;=2),"Tinggi",IF(AS14&gt;=65,"Tinggi",IF(AS14&gt;=50,"Sedang","Rendah")))))</x:f>
        <x:v>Belum Dapat Ditentukan</x:v>
      </x:c>
      <x:c r="AU14" s="240" t="str">
        <x:v>Lengkap</x:v>
      </x:c>
      <x:c r="AV14" s="240" t="str">
        <x:v>Sudah Diverifikasi</x:v>
      </x:c>
      <x:c r="AW14" s="240" t="str">
        <x:v>Belum Ditangani</x:v>
      </x:c>
      <x:c r="AX14" s="240"/>
      <x:c r="AY14" s="240"/>
      <x:c r="AZ14" s="240" t="str">
        <x:v>Belum Diverifikasi</x:v>
      </x:c>
      <x:c r="BA14" s="240"/>
      <x:c r="BB14" s="240"/>
      <x:c r="BC14" s="240" t="n">
        <x:v>2026</x:v>
      </x:c>
      <x:c r="BD14" s="240" t="str">
        <x:v>Usulan Musrenbang/Pokir DPRD</x:v>
      </x:c>
      <x:c r="BE14" s="240" t="n">
        <x:v>46218</x:v>
      </x:c>
      <x:c r="BF14" s="240" t="str">
        <x:v>Dinas Perkim Kota Pangkalpinang</x:v>
      </x:c>
    </x:row>
    <x:row r="15" ht="32" customHeight="1">
      <x:c r="A15" s="314" t="str">
        <x:v>RTLH-0010</x:v>
      </x:c>
      <x:c r="B15" s="315" t="str">
        <x:v>SADUANTO</x:v>
      </x:c>
      <x:c r="C15" s="316"/>
      <x:c r="D15" s="316"/>
      <x:c r="E15" s="315" t="str">
        <x:v>GG YOS SUDARSO III</x:v>
      </x:c>
      <x:c r="F15" s="315" t="str">
        <x:v>GABEK II</x:v>
      </x:c>
      <x:c r="G15" s="315" t="str">
        <x:v>GABEK</x:v>
      </x:c>
      <x:c r="H15" s="315" t="str">
        <x:v>Pembangunan Baru</x:v>
      </x:c>
      <x:c r="I15" s="317" t="str">
        <x:v>KONDISI KESELURUHAN RUMAH RUSAK SEDANG ,CUMA ATAP RUSAK BERAT</x:v>
      </x:c>
      <x:c r="J15" s="315" t="str">
        <x:v>Belum Dapat Ditentukan</x:v>
      </x:c>
      <x:c r="K15" s="315" t="str">
        <x:v>Belum Diidentifikasi</x:v>
      </x:c>
      <x:c r="L15" s="315" t="str">
        <x:v>Rusak Berat</x:v>
      </x:c>
      <x:c r="M15" s="367" t="str">
        <x:v>Belum Diidentifikasi</x:v>
      </x:c>
      <x:c r="N15" s="315" t="str">
        <x:v>Belum Dinilai</x:v>
      </x:c>
      <x:c r="O15" s="316" t="str">
        <x:v>Belum Diidentifikasi</x:v>
      </x:c>
      <x:c r="P15" s="349" t="str">
        <x:v>Belum Dinilai</x:v>
      </x:c>
      <x:c r="Q15" s="707" t="str">
        <x:v>Belum Dinilai</x:v>
      </x:c>
      <x:c r="R15" s="707" t="str">
        <x:v>Belum Dinilai</x:v>
      </x:c>
      <x:c r="S15" s="708" t="str">
        <x:v>Belum Dinilai</x:v>
      </x:c>
      <x:c r="T15" s="709" t="str">
        <x:v>Belum Dinilai</x:v>
      </x:c>
      <x:c r="U15" s="704" t="str">
        <x:v>Belum Dinilai</x:v>
      </x:c>
      <x:c r="V15" s="704" t="str">
        <x:v>Belum Dinilai</x:v>
      </x:c>
      <x:c r="W15" s="704" t="str"/>
      <x:c r="X15" s="704" t="str">
        <x:f>IF(COUNTIF(R15:V15,"Belum Dinilai")&gt;0,"Belum Dinilai",IF(COUNTIF(R15:V15,"Ya")=0,"Tidak ada faktor rentan",TEXTJOIN(", ",TRUE,IF(R15="Ya","Lansia",""),IF(S15="Ya","Penyandang disabilitas",""),IF(T15="Ya","Kepala keluarga perempuan",""),IF(U15="Ya","Balita",""),IF(V15="Ya","Anggota keluarga dengan ketergantungan tinggi",""))))</x:f>
        <x:v>Belum Dinilai</x:v>
      </x:c>
      <x:c r="Y15" s="704" t="str">
        <x:f>IF(COUNTIF(R15:V15,"Belum Dinilai")&gt;0,"Belum Dinilai",IF(COUNTIF(R15:V15,"Ya")=0,"Tidak Ada Faktor Rentan",IF(COUNTIF(R15:V15,"Ya")=1,"1 Faktor Rentan","2 atau Lebih Faktor Rentan")))</x:f>
        <x:v>Belum Dinilai</x:v>
      </x:c>
      <x:c r="Z15" s="704" t="str">
        <x:f>IF(OR(Q15="",Q15="Belum Dinilai"),"",IF(Q15="Terverifikasi DTKS/P3KE/MBR",10,IF(Q15="Diusulkan, Belum Terverifikasi",5,0)))</x:f>
      </x:c>
      <x:c r="AA15" s="705" t="str">
        <x:f>IF(COUNTIF(R15:V15,"Belum Dinilai")&gt;0,"",IF(COUNTIF(R15:V15,"Ya")=0,0,IF(COUNTIF(R15:V15,"Ya")=1,5,10)))</x:f>
      </x:c>
      <x:c r="AB15" s="706" t="str">
        <x:f>IF(OR(Z15="",AA15=""),"",Z15+AA15)</x:f>
      </x:c>
      <x:c r="AC15" s="713" t="str">
        <x:v>Belum Dinilai</x:v>
      </x:c>
      <x:c r="AD15" s="713" t="str">
        <x:v>Belum Dinilai</x:v>
      </x:c>
      <x:c r="AE15" s="714" t="str">
        <x:v>Belum Dinilai</x:v>
      </x:c>
      <x:c r="AF15" s="713" t="str">
        <x:v>Belum Dinilai</x:v>
      </x:c>
      <x:c r="AG15" s="713" t="str">
        <x:v>Belum Dinilai</x:v>
      </x:c>
      <x:c r="AH15" s="715" t="str">
        <x:v>Belum Dinilai</x:v>
      </x:c>
      <x:c r="AI15" s="714" t="str">
        <x:v>Belum Dinilai</x:v>
      </x:c>
      <x:c r="AJ15" s="713" t="str">
        <x:v>Belum Dinilai</x:v>
      </x:c>
      <x:c r="AK15" s="715" t="str">
        <x:v>Belum Dinilai</x:v>
      </x:c>
      <x:c r="AL15" s="713" t="str"/>
      <x:c r="AM15" s="716" t="str">
        <x:v>Belum Dinilai</x:v>
      </x:c>
      <x:c r="AN15" s="716" t="str">
        <x:f>IF(AND(COUNTIF(AC15:AK15,"Ya")=0,AL15=""),IF(COUNTIF(AC15:AK15,"Belum Dinilai")&gt;0,"Belum Dinilai","Tidak ada risiko khusus"),TEXTJOIN(", ",TRUE,IF(AC15="Ya","Bangunan berpotensi roboh",""),IF(AD15="Ya","Bekas kebakaran dan tidak aman dihuni",""),IF(AE15="Ya","Atap atau dinding utama hampir runtuh",""),IF(AF15="Ya","Genangan yang membahayakan",""),IF(AG15="Ya","Struktur rumah tidak stabil",""),IF(AH15="Ya","Instalasi listrik berbahaya",""),IF(AI15="Ya","Komponen bangunan lepas atau lapuk",""),IF(AJ15="Ya","Akses keluar atau evakuasi terbatas",""),IF(AK15="Ya","Lokasi rawan bencana",""),IF(AL15&lt;&gt;"","Lainnya: "&amp;AL15,"")))</x:f>
        <x:v>Belum Dinilai</x:v>
      </x:c>
      <x:c r="AO15" s="716" t="str">
        <x:f>IF(AR15="","Belum Dinilai",IF(AR15=10,"Risiko Tinggi/Darurat",IF(AR15=5,"Risiko Sedang","Tidak Ada Risiko Khusus")))</x:f>
        <x:v>Belum Dinilai</x:v>
      </x:c>
      <x:c r="AP15" s="716" t="str"/>
      <x:c r="AQ15" s="719" t="str">
        <x:f>IF(OR(J15="",J15="Belum Dapat Ditentukan",L15="",L15="Belum Dinilai",N15="",N15="Belum Dinilai",P15="",P15="Belum Dinilai"),"",IF(J15="Permanen",0,IF(J15="Semipermanen",8,IF(J15="Nonpermanen",15,0)))+IF(L15="Baik",0,IF(L15="Rusak Ringan",5,IF(L15="Rusak Sedang",10,IF(L15="Rusak Berat",15,IF(L15="Tidak Ada/Terbuka",20,0)))))+IF(N15="Baik",0,IF(N15="Rusak Ringan",5,IF(N15="Rusak Sedang",10,IF(N15="Rusak Berat",15,IF(N15="Tidak Ada/Terbuka",20,0)))))+IF(P15="Baik",0,IF(P15="Rusak Ringan",4,IF(P15="Rusak Sedang",8,IF(P15="Rusak Berat",12,IF(P15="Tidak Layak",15,0))))))</x:f>
      </x:c>
      <x:c r="AR15" s="719" t="str">
        <x:f>IF(COUNTIF(AC15:AH15,"Ya")&gt;0,10,IF(COUNTIF(AI15:AK15,"Ya")&gt;=2,10,IF(COUNTIF(AI15:AK15,"Ya")=1,MAX(5,IF(AM15="Risiko Tinggi/Darurat",10,IF(AM15="Risiko Sedang",5,0))),IF(AL15&lt;&gt;"",IF(AM15="Risiko Tinggi/Darurat",10,IF(AM15="Risiko Sedang",5,"")),IF(COUNTIF(AC15:AK15,"Belum Dinilai")&gt;0,"",0)))))</x:f>
      </x:c>
      <x:c r="AS15" s="719" t="str">
        <x:f>IF(OR(AQ15="",AB15="",AR15=""),"",AQ15+AB15+AR15)</x:f>
      </x:c>
      <x:c r="AT15" s="719" t="str">
        <x:f>IF(AS15="","Belum Dapat Ditentukan",IF(AS15&gt;=80,"Sangat Tinggi",IF(OR(AO15="Risiko Tinggi/Darurat",(IF(L15="Rusak Berat",1,0)+IF(L15="Tidak Ada/Terbuka",1,0)+IF(N15="Rusak Berat",1,0)+IF(N15="Tidak Ada/Terbuka",1,0)+IF(P15="Rusak Berat",1,0)+IF(P15="Tidak Layak",1,0))&gt;=2),"Tinggi",IF(AS15&gt;=65,"Tinggi",IF(AS15&gt;=50,"Sedang","Rendah")))))</x:f>
        <x:v>Belum Dapat Ditentukan</x:v>
      </x:c>
      <x:c r="AU15" s="240" t="str">
        <x:v>Lengkap</x:v>
      </x:c>
      <x:c r="AV15" s="240" t="str">
        <x:v>Sudah Diverifikasi</x:v>
      </x:c>
      <x:c r="AW15" s="240" t="str">
        <x:v>Belum Ditangani</x:v>
      </x:c>
      <x:c r="AX15" s="240"/>
      <x:c r="AY15" s="240"/>
      <x:c r="AZ15" s="240" t="str">
        <x:v>Belum Diverifikasi</x:v>
      </x:c>
      <x:c r="BA15" s="240"/>
      <x:c r="BB15" s="240"/>
      <x:c r="BC15" s="240" t="n">
        <x:v>2026</x:v>
      </x:c>
      <x:c r="BD15" s="240" t="str">
        <x:v>Usulan Musrenbang/Pokir DPRD</x:v>
      </x:c>
      <x:c r="BE15" s="240" t="n">
        <x:v>46218</x:v>
      </x:c>
      <x:c r="BF15" s="240" t="str">
        <x:v>Dinas Perkim Kota Pangkalpinang</x:v>
      </x:c>
    </x:row>
    <x:row r="16" ht="32" customHeight="1">
      <x:c r="A16" s="314" t="str">
        <x:v>RTLH-0011</x:v>
      </x:c>
      <x:c r="B16" s="315" t="str">
        <x:v>JANUAR FIKRI</x:v>
      </x:c>
      <x:c r="C16" s="316"/>
      <x:c r="D16" s="316"/>
      <x:c r="E16" s="315" t="str">
        <x:v>JL. FATMAWATI DALAM</x:v>
      </x:c>
      <x:c r="F16" s="315" t="str">
        <x:v>JERAMBAH GANTUNG</x:v>
      </x:c>
      <x:c r="G16" s="315" t="str">
        <x:v>GABEK</x:v>
      </x:c>
      <x:c r="H16" s="315" t="str">
        <x:v>Pembangunan Baru</x:v>
      </x:c>
      <x:c r="I16" s="317" t="str">
        <x:v>KESELURUHAN RUMAH RUSAK SEDANG</x:v>
      </x:c>
      <x:c r="J16" s="315" t="str">
        <x:v>Belum Dapat Ditentukan</x:v>
      </x:c>
      <x:c r="K16" s="315" t="str">
        <x:v>Belum Diidentifikasi</x:v>
      </x:c>
      <x:c r="L16" s="315" t="str">
        <x:v>Belum Dinilai</x:v>
      </x:c>
      <x:c r="M16" s="367" t="str">
        <x:v>Belum Diidentifikasi</x:v>
      </x:c>
      <x:c r="N16" s="315" t="str">
        <x:v>Belum Dinilai</x:v>
      </x:c>
      <x:c r="O16" s="316" t="str">
        <x:v>Belum Diidentifikasi</x:v>
      </x:c>
      <x:c r="P16" s="349" t="str">
        <x:v>Belum Dinilai</x:v>
      </x:c>
      <x:c r="Q16" s="707" t="str">
        <x:v>Belum Dinilai</x:v>
      </x:c>
      <x:c r="R16" s="707" t="str">
        <x:v>Belum Dinilai</x:v>
      </x:c>
      <x:c r="S16" s="708" t="str">
        <x:v>Belum Dinilai</x:v>
      </x:c>
      <x:c r="T16" s="709" t="str">
        <x:v>Belum Dinilai</x:v>
      </x:c>
      <x:c r="U16" s="704" t="str">
        <x:v>Belum Dinilai</x:v>
      </x:c>
      <x:c r="V16" s="704" t="str">
        <x:v>Belum Dinilai</x:v>
      </x:c>
      <x:c r="W16" s="704" t="str"/>
      <x:c r="X16" s="704" t="str">
        <x:f>IF(COUNTIF(R16:V16,"Belum Dinilai")&gt;0,"Belum Dinilai",IF(COUNTIF(R16:V16,"Ya")=0,"Tidak ada faktor rentan",TEXTJOIN(", ",TRUE,IF(R16="Ya","Lansia",""),IF(S16="Ya","Penyandang disabilitas",""),IF(T16="Ya","Kepala keluarga perempuan",""),IF(U16="Ya","Balita",""),IF(V16="Ya","Anggota keluarga dengan ketergantungan tinggi",""))))</x:f>
        <x:v>Belum Dinilai</x:v>
      </x:c>
      <x:c r="Y16" s="704" t="str">
        <x:f>IF(COUNTIF(R16:V16,"Belum Dinilai")&gt;0,"Belum Dinilai",IF(COUNTIF(R16:V16,"Ya")=0,"Tidak Ada Faktor Rentan",IF(COUNTIF(R16:V16,"Ya")=1,"1 Faktor Rentan","2 atau Lebih Faktor Rentan")))</x:f>
        <x:v>Belum Dinilai</x:v>
      </x:c>
      <x:c r="Z16" s="704" t="str">
        <x:f>IF(OR(Q16="",Q16="Belum Dinilai"),"",IF(Q16="Terverifikasi DTKS/P3KE/MBR",10,IF(Q16="Diusulkan, Belum Terverifikasi",5,0)))</x:f>
      </x:c>
      <x:c r="AA16" s="705" t="str">
        <x:f>IF(COUNTIF(R16:V16,"Belum Dinilai")&gt;0,"",IF(COUNTIF(R16:V16,"Ya")=0,0,IF(COUNTIF(R16:V16,"Ya")=1,5,10)))</x:f>
      </x:c>
      <x:c r="AB16" s="706" t="str">
        <x:f>IF(OR(Z16="",AA16=""),"",Z16+AA16)</x:f>
      </x:c>
      <x:c r="AC16" s="713" t="str">
        <x:v>Belum Dinilai</x:v>
      </x:c>
      <x:c r="AD16" s="713" t="str">
        <x:v>Belum Dinilai</x:v>
      </x:c>
      <x:c r="AE16" s="714" t="str">
        <x:v>Belum Dinilai</x:v>
      </x:c>
      <x:c r="AF16" s="713" t="str">
        <x:v>Belum Dinilai</x:v>
      </x:c>
      <x:c r="AG16" s="713" t="str">
        <x:v>Belum Dinilai</x:v>
      </x:c>
      <x:c r="AH16" s="715" t="str">
        <x:v>Belum Dinilai</x:v>
      </x:c>
      <x:c r="AI16" s="714" t="str">
        <x:v>Belum Dinilai</x:v>
      </x:c>
      <x:c r="AJ16" s="713" t="str">
        <x:v>Belum Dinilai</x:v>
      </x:c>
      <x:c r="AK16" s="715" t="str">
        <x:v>Belum Dinilai</x:v>
      </x:c>
      <x:c r="AL16" s="713" t="str"/>
      <x:c r="AM16" s="716" t="str">
        <x:v>Belum Dinilai</x:v>
      </x:c>
      <x:c r="AN16" s="716" t="str">
        <x:f>IF(AND(COUNTIF(AC16:AK16,"Ya")=0,AL16=""),IF(COUNTIF(AC16:AK16,"Belum Dinilai")&gt;0,"Belum Dinilai","Tidak ada risiko khusus"),TEXTJOIN(", ",TRUE,IF(AC16="Ya","Bangunan berpotensi roboh",""),IF(AD16="Ya","Bekas kebakaran dan tidak aman dihuni",""),IF(AE16="Ya","Atap atau dinding utama hampir runtuh",""),IF(AF16="Ya","Genangan yang membahayakan",""),IF(AG16="Ya","Struktur rumah tidak stabil",""),IF(AH16="Ya","Instalasi listrik berbahaya",""),IF(AI16="Ya","Komponen bangunan lepas atau lapuk",""),IF(AJ16="Ya","Akses keluar atau evakuasi terbatas",""),IF(AK16="Ya","Lokasi rawan bencana",""),IF(AL16&lt;&gt;"","Lainnya: "&amp;AL16,"")))</x:f>
        <x:v>Belum Dinilai</x:v>
      </x:c>
      <x:c r="AO16" s="716" t="str">
        <x:f>IF(AR16="","Belum Dinilai",IF(AR16=10,"Risiko Tinggi/Darurat",IF(AR16=5,"Risiko Sedang","Tidak Ada Risiko Khusus")))</x:f>
        <x:v>Belum Dinilai</x:v>
      </x:c>
      <x:c r="AP16" s="716" t="str"/>
      <x:c r="AQ16" s="719" t="str">
        <x:f>IF(OR(J16="",J16="Belum Dapat Ditentukan",L16="",L16="Belum Dinilai",N16="",N16="Belum Dinilai",P16="",P16="Belum Dinilai"),"",IF(J16="Permanen",0,IF(J16="Semipermanen",8,IF(J16="Nonpermanen",15,0)))+IF(L16="Baik",0,IF(L16="Rusak Ringan",5,IF(L16="Rusak Sedang",10,IF(L16="Rusak Berat",15,IF(L16="Tidak Ada/Terbuka",20,0)))))+IF(N16="Baik",0,IF(N16="Rusak Ringan",5,IF(N16="Rusak Sedang",10,IF(N16="Rusak Berat",15,IF(N16="Tidak Ada/Terbuka",20,0)))))+IF(P16="Baik",0,IF(P16="Rusak Ringan",4,IF(P16="Rusak Sedang",8,IF(P16="Rusak Berat",12,IF(P16="Tidak Layak",15,0))))))</x:f>
      </x:c>
      <x:c r="AR16" s="719" t="str">
        <x:f>IF(COUNTIF(AC16:AH16,"Ya")&gt;0,10,IF(COUNTIF(AI16:AK16,"Ya")&gt;=2,10,IF(COUNTIF(AI16:AK16,"Ya")=1,MAX(5,IF(AM16="Risiko Tinggi/Darurat",10,IF(AM16="Risiko Sedang",5,0))),IF(AL16&lt;&gt;"",IF(AM16="Risiko Tinggi/Darurat",10,IF(AM16="Risiko Sedang",5,"")),IF(COUNTIF(AC16:AK16,"Belum Dinilai")&gt;0,"",0)))))</x:f>
      </x:c>
      <x:c r="AS16" s="719" t="str">
        <x:f>IF(OR(AQ16="",AB16="",AR16=""),"",AQ16+AB16+AR16)</x:f>
      </x:c>
      <x:c r="AT16" s="719" t="str">
        <x:f>IF(AS16="","Belum Dapat Ditentukan",IF(AS16&gt;=80,"Sangat Tinggi",IF(OR(AO16="Risiko Tinggi/Darurat",(IF(L16="Rusak Berat",1,0)+IF(L16="Tidak Ada/Terbuka",1,0)+IF(N16="Rusak Berat",1,0)+IF(N16="Tidak Ada/Terbuka",1,0)+IF(P16="Rusak Berat",1,0)+IF(P16="Tidak Layak",1,0))&gt;=2),"Tinggi",IF(AS16&gt;=65,"Tinggi",IF(AS16&gt;=50,"Sedang","Rendah")))))</x:f>
        <x:v>Belum Dapat Ditentukan</x:v>
      </x:c>
      <x:c r="AU16" s="240" t="str">
        <x:v>Lengkap</x:v>
      </x:c>
      <x:c r="AV16" s="240" t="str">
        <x:v>Sudah Diverifikasi</x:v>
      </x:c>
      <x:c r="AW16" s="240" t="str">
        <x:v>Belum Ditangani</x:v>
      </x:c>
      <x:c r="AX16" s="240"/>
      <x:c r="AY16" s="240"/>
      <x:c r="AZ16" s="240" t="str">
        <x:v>Belum Diverifikasi</x:v>
      </x:c>
      <x:c r="BA16" s="240"/>
      <x:c r="BB16" s="240"/>
      <x:c r="BC16" s="240" t="n">
        <x:v>2026</x:v>
      </x:c>
      <x:c r="BD16" s="240" t="str">
        <x:v>Usulan Musrenbang/Pokir DPRD</x:v>
      </x:c>
      <x:c r="BE16" s="240" t="n">
        <x:v>46218</x:v>
      </x:c>
      <x:c r="BF16" s="240" t="str">
        <x:v>Dinas Perkim Kota Pangkalpinang</x:v>
      </x:c>
    </x:row>
    <x:row r="17" ht="32" customHeight="1">
      <x:c r="A17" s="314" t="str">
        <x:v>RTLH-0012</x:v>
      </x:c>
      <x:c r="B17" s="315" t="str">
        <x:v>MARTOYAH</x:v>
      </x:c>
      <x:c r="C17" s="316"/>
      <x:c r="D17" s="316"/>
      <x:c r="E17" s="315" t="str">
        <x:v>JL. EKOR KUNING VI</x:v>
      </x:c>
      <x:c r="F17" s="315" t="str">
        <x:v>Belum tersedia</x:v>
      </x:c>
      <x:c r="G17" s="315" t="str">
        <x:v>PANGKAL BALAM</x:v>
      </x:c>
      <x:c r="H17" s="315" t="str">
        <x:v>Pembangunan Baru</x:v>
      </x:c>
      <x:c r="I17" s="317" t="str">
        <x:v>KONDISI RUMAH RUSAK PARAH TERMASUK DINDING ,ATAP</x:v>
      </x:c>
      <x:c r="J17" s="315" t="str">
        <x:v>Belum Dapat Ditentukan</x:v>
      </x:c>
      <x:c r="K17" s="315" t="str">
        <x:v>Belum Diidentifikasi</x:v>
      </x:c>
      <x:c r="L17" s="315" t="str">
        <x:v>Rusak Berat</x:v>
      </x:c>
      <x:c r="M17" s="367" t="str">
        <x:v>Belum Diidentifikasi</x:v>
      </x:c>
      <x:c r="N17" s="315" t="str">
        <x:v>Rusak Berat</x:v>
      </x:c>
      <x:c r="O17" s="316" t="str">
        <x:v>Belum Diidentifikasi</x:v>
      </x:c>
      <x:c r="P17" s="349" t="str">
        <x:v>Belum Dinilai</x:v>
      </x:c>
      <x:c r="Q17" s="707" t="str">
        <x:v>Belum Dinilai</x:v>
      </x:c>
      <x:c r="R17" s="707" t="str">
        <x:v>Belum Dinilai</x:v>
      </x:c>
      <x:c r="S17" s="708" t="str">
        <x:v>Belum Dinilai</x:v>
      </x:c>
      <x:c r="T17" s="709" t="str">
        <x:v>Belum Dinilai</x:v>
      </x:c>
      <x:c r="U17" s="704" t="str">
        <x:v>Belum Dinilai</x:v>
      </x:c>
      <x:c r="V17" s="704" t="str">
        <x:v>Belum Dinilai</x:v>
      </x:c>
      <x:c r="W17" s="704" t="str"/>
      <x:c r="X17" s="704" t="str">
        <x:f>IF(COUNTIF(R17:V17,"Belum Dinilai")&gt;0,"Belum Dinilai",IF(COUNTIF(R17:V17,"Ya")=0,"Tidak ada faktor rentan",TEXTJOIN(", ",TRUE,IF(R17="Ya","Lansia",""),IF(S17="Ya","Penyandang disabilitas",""),IF(T17="Ya","Kepala keluarga perempuan",""),IF(U17="Ya","Balita",""),IF(V17="Ya","Anggota keluarga dengan ketergantungan tinggi",""))))</x:f>
        <x:v>Belum Dinilai</x:v>
      </x:c>
      <x:c r="Y17" s="704" t="str">
        <x:f>IF(COUNTIF(R17:V17,"Belum Dinilai")&gt;0,"Belum Dinilai",IF(COUNTIF(R17:V17,"Ya")=0,"Tidak Ada Faktor Rentan",IF(COUNTIF(R17:V17,"Ya")=1,"1 Faktor Rentan","2 atau Lebih Faktor Rentan")))</x:f>
        <x:v>Belum Dinilai</x:v>
      </x:c>
      <x:c r="Z17" s="704" t="str">
        <x:f>IF(OR(Q17="",Q17="Belum Dinilai"),"",IF(Q17="Terverifikasi DTKS/P3KE/MBR",10,IF(Q17="Diusulkan, Belum Terverifikasi",5,0)))</x:f>
      </x:c>
      <x:c r="AA17" s="705" t="str">
        <x:f>IF(COUNTIF(R17:V17,"Belum Dinilai")&gt;0,"",IF(COUNTIF(R17:V17,"Ya")=0,0,IF(COUNTIF(R17:V17,"Ya")=1,5,10)))</x:f>
      </x:c>
      <x:c r="AB17" s="706" t="str">
        <x:f>IF(OR(Z17="",AA17=""),"",Z17+AA17)</x:f>
      </x:c>
      <x:c r="AC17" s="713" t="str">
        <x:v>Belum Dinilai</x:v>
      </x:c>
      <x:c r="AD17" s="713" t="str">
        <x:v>Belum Dinilai</x:v>
      </x:c>
      <x:c r="AE17" s="714" t="str">
        <x:v>Belum Dinilai</x:v>
      </x:c>
      <x:c r="AF17" s="713" t="str">
        <x:v>Belum Dinilai</x:v>
      </x:c>
      <x:c r="AG17" s="713" t="str">
        <x:v>Belum Dinilai</x:v>
      </x:c>
      <x:c r="AH17" s="715" t="str">
        <x:v>Belum Dinilai</x:v>
      </x:c>
      <x:c r="AI17" s="714" t="str">
        <x:v>Belum Dinilai</x:v>
      </x:c>
      <x:c r="AJ17" s="713" t="str">
        <x:v>Belum Dinilai</x:v>
      </x:c>
      <x:c r="AK17" s="715" t="str">
        <x:v>Belum Dinilai</x:v>
      </x:c>
      <x:c r="AL17" s="713" t="str"/>
      <x:c r="AM17" s="716" t="str">
        <x:v>Belum Dinilai</x:v>
      </x:c>
      <x:c r="AN17" s="716" t="str">
        <x:f>IF(AND(COUNTIF(AC17:AK17,"Ya")=0,AL17=""),IF(COUNTIF(AC17:AK17,"Belum Dinilai")&gt;0,"Belum Dinilai","Tidak ada risiko khusus"),TEXTJOIN(", ",TRUE,IF(AC17="Ya","Bangunan berpotensi roboh",""),IF(AD17="Ya","Bekas kebakaran dan tidak aman dihuni",""),IF(AE17="Ya","Atap atau dinding utama hampir runtuh",""),IF(AF17="Ya","Genangan yang membahayakan",""),IF(AG17="Ya","Struktur rumah tidak stabil",""),IF(AH17="Ya","Instalasi listrik berbahaya",""),IF(AI17="Ya","Komponen bangunan lepas atau lapuk",""),IF(AJ17="Ya","Akses keluar atau evakuasi terbatas",""),IF(AK17="Ya","Lokasi rawan bencana",""),IF(AL17&lt;&gt;"","Lainnya: "&amp;AL17,"")))</x:f>
        <x:v>Belum Dinilai</x:v>
      </x:c>
      <x:c r="AO17" s="716" t="str">
        <x:f>IF(AR17="","Belum Dinilai",IF(AR17=10,"Risiko Tinggi/Darurat",IF(AR17=5,"Risiko Sedang","Tidak Ada Risiko Khusus")))</x:f>
        <x:v>Belum Dinilai</x:v>
      </x:c>
      <x:c r="AP17" s="716" t="str"/>
      <x:c r="AQ17" s="719" t="str">
        <x:f>IF(OR(J17="",J17="Belum Dapat Ditentukan",L17="",L17="Belum Dinilai",N17="",N17="Belum Dinilai",P17="",P17="Belum Dinilai"),"",IF(J17="Permanen",0,IF(J17="Semipermanen",8,IF(J17="Nonpermanen",15,0)))+IF(L17="Baik",0,IF(L17="Rusak Ringan",5,IF(L17="Rusak Sedang",10,IF(L17="Rusak Berat",15,IF(L17="Tidak Ada/Terbuka",20,0)))))+IF(N17="Baik",0,IF(N17="Rusak Ringan",5,IF(N17="Rusak Sedang",10,IF(N17="Rusak Berat",15,IF(N17="Tidak Ada/Terbuka",20,0)))))+IF(P17="Baik",0,IF(P17="Rusak Ringan",4,IF(P17="Rusak Sedang",8,IF(P17="Rusak Berat",12,IF(P17="Tidak Layak",15,0))))))</x:f>
      </x:c>
      <x:c r="AR17" s="719" t="str">
        <x:f>IF(COUNTIF(AC17:AH17,"Ya")&gt;0,10,IF(COUNTIF(AI17:AK17,"Ya")&gt;=2,10,IF(COUNTIF(AI17:AK17,"Ya")=1,MAX(5,IF(AM17="Risiko Tinggi/Darurat",10,IF(AM17="Risiko Sedang",5,0))),IF(AL17&lt;&gt;"",IF(AM17="Risiko Tinggi/Darurat",10,IF(AM17="Risiko Sedang",5,"")),IF(COUNTIF(AC17:AK17,"Belum Dinilai")&gt;0,"",0)))))</x:f>
      </x:c>
      <x:c r="AS17" s="719" t="str">
        <x:f>IF(OR(AQ17="",AB17="",AR17=""),"",AQ17+AB17+AR17)</x:f>
      </x:c>
      <x:c r="AT17" s="719" t="str">
        <x:f>IF(AS17="","Belum Dapat Ditentukan",IF(AS17&gt;=80,"Sangat Tinggi",IF(OR(AO17="Risiko Tinggi/Darurat",(IF(L17="Rusak Berat",1,0)+IF(L17="Tidak Ada/Terbuka",1,0)+IF(N17="Rusak Berat",1,0)+IF(N17="Tidak Ada/Terbuka",1,0)+IF(P17="Rusak Berat",1,0)+IF(P17="Tidak Layak",1,0))&gt;=2),"Tinggi",IF(AS17&gt;=65,"Tinggi",IF(AS17&gt;=50,"Sedang","Rendah")))))</x:f>
        <x:v>Belum Dapat Ditentukan</x:v>
      </x:c>
      <x:c r="AU17" s="240" t="str">
        <x:v>Belum Lengkap</x:v>
      </x:c>
      <x:c r="AV17" s="240" t="str">
        <x:v>Sudah Diverifikasi</x:v>
      </x:c>
      <x:c r="AW17" s="240" t="str">
        <x:v>Belum Ditangani</x:v>
      </x:c>
      <x:c r="AX17" s="240"/>
      <x:c r="AY17" s="240"/>
      <x:c r="AZ17" s="240" t="str">
        <x:v>Belum Diverifikasi</x:v>
      </x:c>
      <x:c r="BA17" s="240"/>
      <x:c r="BB17" s="240"/>
      <x:c r="BC17" s="240" t="n">
        <x:v>2026</x:v>
      </x:c>
      <x:c r="BD17" s="240" t="str">
        <x:v>Usulan Musrenbang/Pokir DPRD</x:v>
      </x:c>
      <x:c r="BE17" s="240" t="n">
        <x:v>46218</x:v>
      </x:c>
      <x:c r="BF17" s="240" t="str">
        <x:v>Dinas Perkim Kota Pangkalpinang</x:v>
      </x:c>
    </x:row>
    <x:row r="18" ht="32" customHeight="1">
      <x:c r="A18" s="314" t="str">
        <x:v>RTLH-0013</x:v>
      </x:c>
      <x:c r="B18" s="315" t="str">
        <x:v>M.YAMIN</x:v>
      </x:c>
      <x:c r="C18" s="316"/>
      <x:c r="D18" s="316"/>
      <x:c r="E18" s="315" t="str">
        <x:v>JL. A YANI GG.17</x:v>
      </x:c>
      <x:c r="F18" s="315" t="str">
        <x:v>KEJAKSAAN</x:v>
      </x:c>
      <x:c r="G18" s="315" t="str">
        <x:v>TAMAN SARI</x:v>
      </x:c>
      <x:c r="H18" s="315" t="str">
        <x:v>Peningkatan Kualitas</x:v>
      </x:c>
      <x:c r="I18" s="317" t="str">
        <x:v>KESELURUHAN RUMAH RUSAK PARAH , ATAP DAN DNDING BOCOR</x:v>
      </x:c>
      <x:c r="J18" s="315" t="str">
        <x:v>Belum Dapat Ditentukan</x:v>
      </x:c>
      <x:c r="K18" s="315" t="str">
        <x:v>Belum Diidentifikasi</x:v>
      </x:c>
      <x:c r="L18" s="315" t="str">
        <x:v>Rusak Berat</x:v>
      </x:c>
      <x:c r="M18" s="367" t="str">
        <x:v>Belum Diidentifikasi</x:v>
      </x:c>
      <x:c r="N18" s="315" t="str">
        <x:v>Belum Dinilai</x:v>
      </x:c>
      <x:c r="O18" s="316" t="str">
        <x:v>Belum Diidentifikasi</x:v>
      </x:c>
      <x:c r="P18" s="349" t="str">
        <x:v>Belum Dinilai</x:v>
      </x:c>
      <x:c r="Q18" s="707" t="str">
        <x:v>Belum Dinilai</x:v>
      </x:c>
      <x:c r="R18" s="707" t="str">
        <x:v>Belum Dinilai</x:v>
      </x:c>
      <x:c r="S18" s="708" t="str">
        <x:v>Belum Dinilai</x:v>
      </x:c>
      <x:c r="T18" s="709" t="str">
        <x:v>Belum Dinilai</x:v>
      </x:c>
      <x:c r="U18" s="704" t="str">
        <x:v>Belum Dinilai</x:v>
      </x:c>
      <x:c r="V18" s="704" t="str">
        <x:v>Belum Dinilai</x:v>
      </x:c>
      <x:c r="W18" s="704" t="str"/>
      <x:c r="X18" s="704" t="str">
        <x:f>IF(COUNTIF(R18:V18,"Belum Dinilai")&gt;0,"Belum Dinilai",IF(COUNTIF(R18:V18,"Ya")=0,"Tidak ada faktor rentan",TEXTJOIN(", ",TRUE,IF(R18="Ya","Lansia",""),IF(S18="Ya","Penyandang disabilitas",""),IF(T18="Ya","Kepala keluarga perempuan",""),IF(U18="Ya","Balita",""),IF(V18="Ya","Anggota keluarga dengan ketergantungan tinggi",""))))</x:f>
        <x:v>Belum Dinilai</x:v>
      </x:c>
      <x:c r="Y18" s="704" t="str">
        <x:f>IF(COUNTIF(R18:V18,"Belum Dinilai")&gt;0,"Belum Dinilai",IF(COUNTIF(R18:V18,"Ya")=0,"Tidak Ada Faktor Rentan",IF(COUNTIF(R18:V18,"Ya")=1,"1 Faktor Rentan","2 atau Lebih Faktor Rentan")))</x:f>
        <x:v>Belum Dinilai</x:v>
      </x:c>
      <x:c r="Z18" s="704" t="str">
        <x:f>IF(OR(Q18="",Q18="Belum Dinilai"),"",IF(Q18="Terverifikasi DTKS/P3KE/MBR",10,IF(Q18="Diusulkan, Belum Terverifikasi",5,0)))</x:f>
      </x:c>
      <x:c r="AA18" s="705" t="str">
        <x:f>IF(COUNTIF(R18:V18,"Belum Dinilai")&gt;0,"",IF(COUNTIF(R18:V18,"Ya")=0,0,IF(COUNTIF(R18:V18,"Ya")=1,5,10)))</x:f>
      </x:c>
      <x:c r="AB18" s="706" t="str">
        <x:f>IF(OR(Z18="",AA18=""),"",Z18+AA18)</x:f>
      </x:c>
      <x:c r="AC18" s="713" t="str">
        <x:v>Belum Dinilai</x:v>
      </x:c>
      <x:c r="AD18" s="713" t="str">
        <x:v>Belum Dinilai</x:v>
      </x:c>
      <x:c r="AE18" s="714" t="str">
        <x:v>Belum Dinilai</x:v>
      </x:c>
      <x:c r="AF18" s="713" t="str">
        <x:v>Belum Dinilai</x:v>
      </x:c>
      <x:c r="AG18" s="713" t="str">
        <x:v>Belum Dinilai</x:v>
      </x:c>
      <x:c r="AH18" s="715" t="str">
        <x:v>Belum Dinilai</x:v>
      </x:c>
      <x:c r="AI18" s="714" t="str">
        <x:v>Belum Dinilai</x:v>
      </x:c>
      <x:c r="AJ18" s="713" t="str">
        <x:v>Belum Dinilai</x:v>
      </x:c>
      <x:c r="AK18" s="715" t="str">
        <x:v>Belum Dinilai</x:v>
      </x:c>
      <x:c r="AL18" s="713" t="str"/>
      <x:c r="AM18" s="716" t="str">
        <x:v>Belum Dinilai</x:v>
      </x:c>
      <x:c r="AN18" s="716" t="str">
        <x:f>IF(AND(COUNTIF(AC18:AK18,"Ya")=0,AL18=""),IF(COUNTIF(AC18:AK18,"Belum Dinilai")&gt;0,"Belum Dinilai","Tidak ada risiko khusus"),TEXTJOIN(", ",TRUE,IF(AC18="Ya","Bangunan berpotensi roboh",""),IF(AD18="Ya","Bekas kebakaran dan tidak aman dihuni",""),IF(AE18="Ya","Atap atau dinding utama hampir runtuh",""),IF(AF18="Ya","Genangan yang membahayakan",""),IF(AG18="Ya","Struktur rumah tidak stabil",""),IF(AH18="Ya","Instalasi listrik berbahaya",""),IF(AI18="Ya","Komponen bangunan lepas atau lapuk",""),IF(AJ18="Ya","Akses keluar atau evakuasi terbatas",""),IF(AK18="Ya","Lokasi rawan bencana",""),IF(AL18&lt;&gt;"","Lainnya: "&amp;AL18,"")))</x:f>
        <x:v>Belum Dinilai</x:v>
      </x:c>
      <x:c r="AO18" s="716" t="str">
        <x:f>IF(AR18="","Belum Dinilai",IF(AR18=10,"Risiko Tinggi/Darurat",IF(AR18=5,"Risiko Sedang","Tidak Ada Risiko Khusus")))</x:f>
        <x:v>Belum Dinilai</x:v>
      </x:c>
      <x:c r="AP18" s="716" t="str"/>
      <x:c r="AQ18" s="719" t="str">
        <x:f>IF(OR(J18="",J18="Belum Dapat Ditentukan",L18="",L18="Belum Dinilai",N18="",N18="Belum Dinilai",P18="",P18="Belum Dinilai"),"",IF(J18="Permanen",0,IF(J18="Semipermanen",8,IF(J18="Nonpermanen",15,0)))+IF(L18="Baik",0,IF(L18="Rusak Ringan",5,IF(L18="Rusak Sedang",10,IF(L18="Rusak Berat",15,IF(L18="Tidak Ada/Terbuka",20,0)))))+IF(N18="Baik",0,IF(N18="Rusak Ringan",5,IF(N18="Rusak Sedang",10,IF(N18="Rusak Berat",15,IF(N18="Tidak Ada/Terbuka",20,0)))))+IF(P18="Baik",0,IF(P18="Rusak Ringan",4,IF(P18="Rusak Sedang",8,IF(P18="Rusak Berat",12,IF(P18="Tidak Layak",15,0))))))</x:f>
      </x:c>
      <x:c r="AR18" s="719" t="str">
        <x:f>IF(COUNTIF(AC18:AH18,"Ya")&gt;0,10,IF(COUNTIF(AI18:AK18,"Ya")&gt;=2,10,IF(COUNTIF(AI18:AK18,"Ya")=1,MAX(5,IF(AM18="Risiko Tinggi/Darurat",10,IF(AM18="Risiko Sedang",5,0))),IF(AL18&lt;&gt;"",IF(AM18="Risiko Tinggi/Darurat",10,IF(AM18="Risiko Sedang",5,"")),IF(COUNTIF(AC18:AK18,"Belum Dinilai")&gt;0,"",0)))))</x:f>
      </x:c>
      <x:c r="AS18" s="719" t="str">
        <x:f>IF(OR(AQ18="",AB18="",AR18=""),"",AQ18+AB18+AR18)</x:f>
      </x:c>
      <x:c r="AT18" s="719" t="str">
        <x:f>IF(AS18="","Belum Dapat Ditentukan",IF(AS18&gt;=80,"Sangat Tinggi",IF(OR(AO18="Risiko Tinggi/Darurat",(IF(L18="Rusak Berat",1,0)+IF(L18="Tidak Ada/Terbuka",1,0)+IF(N18="Rusak Berat",1,0)+IF(N18="Tidak Ada/Terbuka",1,0)+IF(P18="Rusak Berat",1,0)+IF(P18="Tidak Layak",1,0))&gt;=2),"Tinggi",IF(AS18&gt;=65,"Tinggi",IF(AS18&gt;=50,"Sedang","Rendah")))))</x:f>
        <x:v>Belum Dapat Ditentukan</x:v>
      </x:c>
      <x:c r="AU18" s="240" t="str">
        <x:v>Lengkap</x:v>
      </x:c>
      <x:c r="AV18" s="240" t="str">
        <x:v>Sudah Diverifikasi</x:v>
      </x:c>
      <x:c r="AW18" s="240" t="str">
        <x:v>Belum Ditangani</x:v>
      </x:c>
      <x:c r="AX18" s="240"/>
      <x:c r="AY18" s="240"/>
      <x:c r="AZ18" s="240" t="str">
        <x:v>Belum Diverifikasi</x:v>
      </x:c>
      <x:c r="BA18" s="240"/>
      <x:c r="BB18" s="240"/>
      <x:c r="BC18" s="240" t="n">
        <x:v>2026</x:v>
      </x:c>
      <x:c r="BD18" s="240" t="str">
        <x:v>Usulan Musrenbang/Pokir DPRD</x:v>
      </x:c>
      <x:c r="BE18" s="240" t="n">
        <x:v>46218</x:v>
      </x:c>
      <x:c r="BF18" s="240" t="str">
        <x:v>Dinas Perkim Kota Pangkalpinang</x:v>
      </x:c>
    </x:row>
    <x:row r="19" ht="32" customHeight="1">
      <x:c r="A19" s="314" t="str">
        <x:v>RTLH-0016</x:v>
      </x:c>
      <x:c r="B19" s="315" t="str">
        <x:v>KASMAH</x:v>
      </x:c>
      <x:c r="C19" s="316"/>
      <x:c r="D19" s="316"/>
      <x:c r="E19" s="315" t="str">
        <x:v>GG. BANDES RT.007 RW.003</x:v>
      </x:c>
      <x:c r="F19" s="315" t="str">
        <x:v>AIR ITAM</x:v>
      </x:c>
      <x:c r="G19" s="315" t="str">
        <x:v>BUKIT INTAN</x:v>
      </x:c>
      <x:c r="H19" s="315" t="str">
        <x:v>Pembangunan Baru</x:v>
      </x:c>
      <x:c r="I19" s="317" t="str">
        <x:v>RUMAH FULL PAPAN</x:v>
      </x:c>
      <x:c r="J19" s="315" t="str">
        <x:v>Nonpermanen</x:v>
      </x:c>
      <x:c r="K19" s="315" t="str">
        <x:v>Belum Diidentifikasi</x:v>
      </x:c>
      <x:c r="L19" s="315" t="str">
        <x:v>Belum Dinilai</x:v>
      </x:c>
      <x:c r="M19" s="367" t="str">
        <x:v>Papan/Kayu</x:v>
      </x:c>
      <x:c r="N19" s="315" t="str">
        <x:v>Belum Dinilai</x:v>
      </x:c>
      <x:c r="O19" s="316" t="str">
        <x:v>Belum Diidentifikasi</x:v>
      </x:c>
      <x:c r="P19" s="349" t="str">
        <x:v>Belum Dinilai</x:v>
      </x:c>
      <x:c r="Q19" s="707" t="str">
        <x:v>Belum Dinilai</x:v>
      </x:c>
      <x:c r="R19" s="707" t="str">
        <x:v>Belum Dinilai</x:v>
      </x:c>
      <x:c r="S19" s="708" t="str">
        <x:v>Belum Dinilai</x:v>
      </x:c>
      <x:c r="T19" s="709" t="str">
        <x:v>Belum Dinilai</x:v>
      </x:c>
      <x:c r="U19" s="704" t="str">
        <x:v>Belum Dinilai</x:v>
      </x:c>
      <x:c r="V19" s="704" t="str">
        <x:v>Belum Dinilai</x:v>
      </x:c>
      <x:c r="W19" s="704" t="str"/>
      <x:c r="X19" s="704" t="str">
        <x:f>IF(COUNTIF(R19:V19,"Belum Dinilai")&gt;0,"Belum Dinilai",IF(COUNTIF(R19:V19,"Ya")=0,"Tidak ada faktor rentan",TEXTJOIN(", ",TRUE,IF(R19="Ya","Lansia",""),IF(S19="Ya","Penyandang disabilitas",""),IF(T19="Ya","Kepala keluarga perempuan",""),IF(U19="Ya","Balita",""),IF(V19="Ya","Anggota keluarga dengan ketergantungan tinggi",""))))</x:f>
        <x:v>Belum Dinilai</x:v>
      </x:c>
      <x:c r="Y19" s="704" t="str">
        <x:f>IF(COUNTIF(R19:V19,"Belum Dinilai")&gt;0,"Belum Dinilai",IF(COUNTIF(R19:V19,"Ya")=0,"Tidak Ada Faktor Rentan",IF(COUNTIF(R19:V19,"Ya")=1,"1 Faktor Rentan","2 atau Lebih Faktor Rentan")))</x:f>
        <x:v>Belum Dinilai</x:v>
      </x:c>
      <x:c r="Z19" s="704" t="str">
        <x:f>IF(OR(Q19="",Q19="Belum Dinilai"),"",IF(Q19="Terverifikasi DTKS/P3KE/MBR",10,IF(Q19="Diusulkan, Belum Terverifikasi",5,0)))</x:f>
      </x:c>
      <x:c r="AA19" s="705" t="str">
        <x:f>IF(COUNTIF(R19:V19,"Belum Dinilai")&gt;0,"",IF(COUNTIF(R19:V19,"Ya")=0,0,IF(COUNTIF(R19:V19,"Ya")=1,5,10)))</x:f>
      </x:c>
      <x:c r="AB19" s="706" t="str">
        <x:f>IF(OR(Z19="",AA19=""),"",Z19+AA19)</x:f>
      </x:c>
      <x:c r="AC19" s="713" t="str">
        <x:v>Belum Dinilai</x:v>
      </x:c>
      <x:c r="AD19" s="713" t="str">
        <x:v>Belum Dinilai</x:v>
      </x:c>
      <x:c r="AE19" s="717" t="str">
        <x:v>Belum Dinilai</x:v>
      </x:c>
      <x:c r="AF19" s="718" t="str">
        <x:v>Belum Dinilai</x:v>
      </x:c>
      <x:c r="AG19" s="713" t="str">
        <x:v>Belum Dinilai</x:v>
      </x:c>
      <x:c r="AH19" s="715" t="str">
        <x:v>Belum Dinilai</x:v>
      </x:c>
      <x:c r="AI19" s="714" t="str">
        <x:v>Belum Dinilai</x:v>
      </x:c>
      <x:c r="AJ19" s="713" t="str">
        <x:v>Belum Dinilai</x:v>
      </x:c>
      <x:c r="AK19" s="715" t="str">
        <x:v>Belum Dinilai</x:v>
      </x:c>
      <x:c r="AL19" s="713" t="str"/>
      <x:c r="AM19" s="716" t="str">
        <x:v>Belum Dinilai</x:v>
      </x:c>
      <x:c r="AN19" s="716" t="str">
        <x:f>IF(AND(COUNTIF(AC19:AK19,"Ya")=0,AL19=""),IF(COUNTIF(AC19:AK19,"Belum Dinilai")&gt;0,"Belum Dinilai","Tidak ada risiko khusus"),TEXTJOIN(", ",TRUE,IF(AC19="Ya","Bangunan berpotensi roboh",""),IF(AD19="Ya","Bekas kebakaran dan tidak aman dihuni",""),IF(AE19="Ya","Atap atau dinding utama hampir runtuh",""),IF(AF19="Ya","Genangan yang membahayakan",""),IF(AG19="Ya","Struktur rumah tidak stabil",""),IF(AH19="Ya","Instalasi listrik berbahaya",""),IF(AI19="Ya","Komponen bangunan lepas atau lapuk",""),IF(AJ19="Ya","Akses keluar atau evakuasi terbatas",""),IF(AK19="Ya","Lokasi rawan bencana",""),IF(AL19&lt;&gt;"","Lainnya: "&amp;AL19,"")))</x:f>
        <x:v>Belum Dinilai</x:v>
      </x:c>
      <x:c r="AO19" s="716" t="str">
        <x:f>IF(AR19="","Belum Dinilai",IF(AR19=10,"Risiko Tinggi/Darurat",IF(AR19=5,"Risiko Sedang","Tidak Ada Risiko Khusus")))</x:f>
        <x:v>Belum Dinilai</x:v>
      </x:c>
      <x:c r="AP19" s="716" t="str"/>
      <x:c r="AQ19" s="719" t="str">
        <x:f>IF(OR(J19="",J19="Belum Dapat Ditentukan",L19="",L19="Belum Dinilai",N19="",N19="Belum Dinilai",P19="",P19="Belum Dinilai"),"",IF(J19="Permanen",0,IF(J19="Semipermanen",8,IF(J19="Nonpermanen",15,0)))+IF(L19="Baik",0,IF(L19="Rusak Ringan",5,IF(L19="Rusak Sedang",10,IF(L19="Rusak Berat",15,IF(L19="Tidak Ada/Terbuka",20,0)))))+IF(N19="Baik",0,IF(N19="Rusak Ringan",5,IF(N19="Rusak Sedang",10,IF(N19="Rusak Berat",15,IF(N19="Tidak Ada/Terbuka",20,0)))))+IF(P19="Baik",0,IF(P19="Rusak Ringan",4,IF(P19="Rusak Sedang",8,IF(P19="Rusak Berat",12,IF(P19="Tidak Layak",15,0))))))</x:f>
      </x:c>
      <x:c r="AR19" s="719" t="str">
        <x:f>IF(COUNTIF(AC19:AH19,"Ya")&gt;0,10,IF(COUNTIF(AI19:AK19,"Ya")&gt;=2,10,IF(COUNTIF(AI19:AK19,"Ya")=1,MAX(5,IF(AM19="Risiko Tinggi/Darurat",10,IF(AM19="Risiko Sedang",5,0))),IF(AL19&lt;&gt;"",IF(AM19="Risiko Tinggi/Darurat",10,IF(AM19="Risiko Sedang",5,"")),IF(COUNTIF(AC19:AK19,"Belum Dinilai")&gt;0,"",0)))))</x:f>
      </x:c>
      <x:c r="AS19" s="719" t="str">
        <x:f>IF(OR(AQ19="",AB19="",AR19=""),"",AQ19+AB19+AR19)</x:f>
      </x:c>
      <x:c r="AT19" s="719" t="str">
        <x:f>IF(AS19="","Belum Dapat Ditentukan",IF(AS19&gt;=80,"Sangat Tinggi",IF(OR(AO19="Risiko Tinggi/Darurat",(IF(L19="Rusak Berat",1,0)+IF(L19="Tidak Ada/Terbuka",1,0)+IF(N19="Rusak Berat",1,0)+IF(N19="Tidak Ada/Terbuka",1,0)+IF(P19="Rusak Berat",1,0)+IF(P19="Tidak Layak",1,0))&gt;=2),"Tinggi",IF(AS19&gt;=65,"Tinggi",IF(AS19&gt;=50,"Sedang","Rendah")))))</x:f>
        <x:v>Belum Dapat Ditentukan</x:v>
      </x:c>
      <x:c r="AU19" s="240" t="str">
        <x:v>Lengkap</x:v>
      </x:c>
      <x:c r="AV19" s="240" t="str">
        <x:v>Sudah Diverifikasi</x:v>
      </x:c>
      <x:c r="AW19" s="240" t="str">
        <x:v>Belum Ditangani</x:v>
      </x:c>
      <x:c r="AX19" s="240"/>
      <x:c r="AY19" s="240"/>
      <x:c r="AZ19" s="240" t="str">
        <x:v>Belum Diverifikasi</x:v>
      </x:c>
      <x:c r="BA19" s="240"/>
      <x:c r="BB19" s="240"/>
      <x:c r="BC19" s="240" t="n">
        <x:v>2026</x:v>
      </x:c>
      <x:c r="BD19" s="240" t="str">
        <x:v>Usulan Musrenbang/Pokir DPRD</x:v>
      </x:c>
      <x:c r="BE19" s="240" t="n">
        <x:v>46218</x:v>
      </x:c>
      <x:c r="BF19" s="240" t="str">
        <x:v>Dinas Perkim Kota Pangkalpinang</x:v>
      </x:c>
    </x:row>
    <x:row r="20" ht="32" customHeight="1">
      <x:c r="A20" s="314" t="str">
        <x:v>RTLH-0018</x:v>
      </x:c>
      <x:c r="B20" s="315" t="str">
        <x:v>USMAN</x:v>
      </x:c>
      <x:c r="C20" s="316"/>
      <x:c r="D20" s="316"/>
      <x:c r="E20" s="315" t="str">
        <x:v>JL. MENGKUDU RT.008 RW.003</x:v>
      </x:c>
      <x:c r="F20" s="315" t="str">
        <x:v>TUATUNU</x:v>
      </x:c>
      <x:c r="G20" s="315" t="str">
        <x:v>GERUNGGANG</x:v>
      </x:c>
      <x:c r="H20" s="315" t="str">
        <x:v>Pembangunan Baru</x:v>
      </x:c>
      <x:c r="I20" s="317" t="str">
        <x:v>SURAT TANAH ATAS NAMA SENDIRI.RUMAH FULL PAPAN.ATAP ASBES.LANTAI SEMEN.</x:v>
      </x:c>
      <x:c r="J20" s="315" t="str">
        <x:v>Nonpermanen</x:v>
      </x:c>
      <x:c r="K20" s="315" t="str">
        <x:v>Asbes/Fiber Semen</x:v>
      </x:c>
      <x:c r="L20" s="315" t="str">
        <x:v>Belum Dinilai</x:v>
      </x:c>
      <x:c r="M20" s="367" t="str">
        <x:v>Papan/Kayu</x:v>
      </x:c>
      <x:c r="N20" s="315" t="str">
        <x:v>Belum Dinilai</x:v>
      </x:c>
      <x:c r="O20" s="316" t="str">
        <x:v>Semen/Plester</x:v>
      </x:c>
      <x:c r="P20" s="349" t="str">
        <x:v>Belum Dinilai</x:v>
      </x:c>
      <x:c r="Q20" s="707" t="str">
        <x:v>Belum Dinilai</x:v>
      </x:c>
      <x:c r="R20" s="707" t="str">
        <x:v>Belum Dinilai</x:v>
      </x:c>
      <x:c r="S20" s="708" t="str">
        <x:v>Belum Dinilai</x:v>
      </x:c>
      <x:c r="T20" s="709" t="str">
        <x:v>Belum Dinilai</x:v>
      </x:c>
      <x:c r="U20" s="704" t="str">
        <x:v>Belum Dinilai</x:v>
      </x:c>
      <x:c r="V20" s="704" t="str">
        <x:v>Belum Dinilai</x:v>
      </x:c>
      <x:c r="W20" s="704" t="str"/>
      <x:c r="X20" s="704" t="str">
        <x:f>IF(COUNTIF(R20:V20,"Belum Dinilai")&gt;0,"Belum Dinilai",IF(COUNTIF(R20:V20,"Ya")=0,"Tidak ada faktor rentan",TEXTJOIN(", ",TRUE,IF(R20="Ya","Lansia",""),IF(S20="Ya","Penyandang disabilitas",""),IF(T20="Ya","Kepala keluarga perempuan",""),IF(U20="Ya","Balita",""),IF(V20="Ya","Anggota keluarga dengan ketergantungan tinggi",""))))</x:f>
        <x:v>Belum Dinilai</x:v>
      </x:c>
      <x:c r="Y20" s="704" t="str">
        <x:f>IF(COUNTIF(R20:V20,"Belum Dinilai")&gt;0,"Belum Dinilai",IF(COUNTIF(R20:V20,"Ya")=0,"Tidak Ada Faktor Rentan",IF(COUNTIF(R20:V20,"Ya")=1,"1 Faktor Rentan","2 atau Lebih Faktor Rentan")))</x:f>
        <x:v>Belum Dinilai</x:v>
      </x:c>
      <x:c r="Z20" s="704" t="str">
        <x:f>IF(OR(Q20="",Q20="Belum Dinilai"),"",IF(Q20="Terverifikasi DTKS/P3KE/MBR",10,IF(Q20="Diusulkan, Belum Terverifikasi",5,0)))</x:f>
      </x:c>
      <x:c r="AA20" s="705" t="str">
        <x:f>IF(COUNTIF(R20:V20,"Belum Dinilai")&gt;0,"",IF(COUNTIF(R20:V20,"Ya")=0,0,IF(COUNTIF(R20:V20,"Ya")=1,5,10)))</x:f>
      </x:c>
      <x:c r="AB20" s="706" t="str">
        <x:f>IF(OR(Z20="",AA20=""),"",Z20+AA20)</x:f>
      </x:c>
      <x:c r="AC20" s="713" t="str">
        <x:v>Belum Dinilai</x:v>
      </x:c>
      <x:c r="AD20" s="713" t="str">
        <x:v>Belum Dinilai</x:v>
      </x:c>
      <x:c r="AE20" s="714" t="str">
        <x:v>Belum Dinilai</x:v>
      </x:c>
      <x:c r="AF20" s="713" t="str">
        <x:v>Belum Dinilai</x:v>
      </x:c>
      <x:c r="AG20" s="713" t="str">
        <x:v>Belum Dinilai</x:v>
      </x:c>
      <x:c r="AH20" s="715" t="str">
        <x:v>Belum Dinilai</x:v>
      </x:c>
      <x:c r="AI20" s="714" t="str">
        <x:v>Belum Dinilai</x:v>
      </x:c>
      <x:c r="AJ20" s="713" t="str">
        <x:v>Belum Dinilai</x:v>
      </x:c>
      <x:c r="AK20" s="715" t="str">
        <x:v>Belum Dinilai</x:v>
      </x:c>
      <x:c r="AL20" s="713" t="str"/>
      <x:c r="AM20" s="716" t="str">
        <x:v>Belum Dinilai</x:v>
      </x:c>
      <x:c r="AN20" s="716" t="str">
        <x:f>IF(AND(COUNTIF(AC20:AK20,"Ya")=0,AL20=""),IF(COUNTIF(AC20:AK20,"Belum Dinilai")&gt;0,"Belum Dinilai","Tidak ada risiko khusus"),TEXTJOIN(", ",TRUE,IF(AC20="Ya","Bangunan berpotensi roboh",""),IF(AD20="Ya","Bekas kebakaran dan tidak aman dihuni",""),IF(AE20="Ya","Atap atau dinding utama hampir runtuh",""),IF(AF20="Ya","Genangan yang membahayakan",""),IF(AG20="Ya","Struktur rumah tidak stabil",""),IF(AH20="Ya","Instalasi listrik berbahaya",""),IF(AI20="Ya","Komponen bangunan lepas atau lapuk",""),IF(AJ20="Ya","Akses keluar atau evakuasi terbatas",""),IF(AK20="Ya","Lokasi rawan bencana",""),IF(AL20&lt;&gt;"","Lainnya: "&amp;AL20,"")))</x:f>
        <x:v>Belum Dinilai</x:v>
      </x:c>
      <x:c r="AO20" s="716" t="str">
        <x:f>IF(AR20="","Belum Dinilai",IF(AR20=10,"Risiko Tinggi/Darurat",IF(AR20=5,"Risiko Sedang","Tidak Ada Risiko Khusus")))</x:f>
        <x:v>Belum Dinilai</x:v>
      </x:c>
      <x:c r="AP20" s="716" t="str"/>
      <x:c r="AQ20" s="719" t="str">
        <x:f>IF(OR(J20="",J20="Belum Dapat Ditentukan",L20="",L20="Belum Dinilai",N20="",N20="Belum Dinilai",P20="",P20="Belum Dinilai"),"",IF(J20="Permanen",0,IF(J20="Semipermanen",8,IF(J20="Nonpermanen",15,0)))+IF(L20="Baik",0,IF(L20="Rusak Ringan",5,IF(L20="Rusak Sedang",10,IF(L20="Rusak Berat",15,IF(L20="Tidak Ada/Terbuka",20,0)))))+IF(N20="Baik",0,IF(N20="Rusak Ringan",5,IF(N20="Rusak Sedang",10,IF(N20="Rusak Berat",15,IF(N20="Tidak Ada/Terbuka",20,0)))))+IF(P20="Baik",0,IF(P20="Rusak Ringan",4,IF(P20="Rusak Sedang",8,IF(P20="Rusak Berat",12,IF(P20="Tidak Layak",15,0))))))</x:f>
      </x:c>
      <x:c r="AR20" s="719" t="str">
        <x:f>IF(COUNTIF(AC20:AH20,"Ya")&gt;0,10,IF(COUNTIF(AI20:AK20,"Ya")&gt;=2,10,IF(COUNTIF(AI20:AK20,"Ya")=1,MAX(5,IF(AM20="Risiko Tinggi/Darurat",10,IF(AM20="Risiko Sedang",5,0))),IF(AL20&lt;&gt;"",IF(AM20="Risiko Tinggi/Darurat",10,IF(AM20="Risiko Sedang",5,"")),IF(COUNTIF(AC20:AK20,"Belum Dinilai")&gt;0,"",0)))))</x:f>
      </x:c>
      <x:c r="AS20" s="719" t="str">
        <x:f>IF(OR(AQ20="",AB20="",AR20=""),"",AQ20+AB20+AR20)</x:f>
      </x:c>
      <x:c r="AT20" s="719" t="str">
        <x:f>IF(AS20="","Belum Dapat Ditentukan",IF(AS20&gt;=80,"Sangat Tinggi",IF(OR(AO20="Risiko Tinggi/Darurat",(IF(L20="Rusak Berat",1,0)+IF(L20="Tidak Ada/Terbuka",1,0)+IF(N20="Rusak Berat",1,0)+IF(N20="Tidak Ada/Terbuka",1,0)+IF(P20="Rusak Berat",1,0)+IF(P20="Tidak Layak",1,0))&gt;=2),"Tinggi",IF(AS20&gt;=65,"Tinggi",IF(AS20&gt;=50,"Sedang","Rendah")))))</x:f>
        <x:v>Belum Dapat Ditentukan</x:v>
      </x:c>
      <x:c r="AU20" s="240" t="str">
        <x:v>Belum Lengkap</x:v>
      </x:c>
      <x:c r="AV20" s="240" t="str">
        <x:v>Sudah Diverifikasi</x:v>
      </x:c>
      <x:c r="AW20" s="240" t="str">
        <x:v>Selesai</x:v>
      </x:c>
      <x:c r="AX20" s="240" t="str">
        <x:v>BSPS</x:v>
      </x:c>
      <x:c r="AY20" s="240" t="n">
        <x:v>2024</x:v>
      </x:c>
      <x:c r="AZ20" s="240" t="str">
        <x:v>Milik Sendiri</x:v>
      </x:c>
      <x:c r="BA20" s="240"/>
      <x:c r="BB20" s="240"/>
      <x:c r="BC20" s="240" t="n">
        <x:v>2026</x:v>
      </x:c>
      <x:c r="BD20" s="240" t="str">
        <x:v>Usulan Musrenbang/Pokir DPRD</x:v>
      </x:c>
      <x:c r="BE20" s="240" t="n">
        <x:v>46218</x:v>
      </x:c>
      <x:c r="BF20" s="240" t="str">
        <x:v>Dinas Perkim Kota Pangkalpinang</x:v>
      </x:c>
    </x:row>
    <x:row r="21" ht="32" customHeight="1">
      <x:c r="A21" s="314" t="str">
        <x:v>RTLH-0019</x:v>
      </x:c>
      <x:c r="B21" s="315" t="str">
        <x:v>ROHANA</x:v>
      </x:c>
      <x:c r="C21" s="316"/>
      <x:c r="D21" s="316"/>
      <x:c r="E21" s="315" t="str">
        <x:v>JL.KURMA RT.003 RW.001</x:v>
      </x:c>
      <x:c r="F21" s="315" t="str">
        <x:v>AIR KEPALA TUJUH</x:v>
      </x:c>
      <x:c r="G21" s="315" t="str">
        <x:v>GERUNGGANG</x:v>
      </x:c>
      <x:c r="H21" s="315" t="str">
        <x:v>Pembangunan Baru</x:v>
      </x:c>
      <x:c r="I21" s="317" t="str">
        <x:v>SURAT TANAH Lengkap. RUMAH FULL PAPAN. ATAP ASBES.</x:v>
      </x:c>
      <x:c r="J21" s="315" t="str">
        <x:v>Nonpermanen</x:v>
      </x:c>
      <x:c r="K21" s="315" t="str">
        <x:v>Asbes/Fiber Semen</x:v>
      </x:c>
      <x:c r="L21" s="315" t="str">
        <x:v>Belum Dinilai</x:v>
      </x:c>
      <x:c r="M21" s="367" t="str">
        <x:v>Papan/Kayu</x:v>
      </x:c>
      <x:c r="N21" s="315" t="str">
        <x:v>Belum Dinilai</x:v>
      </x:c>
      <x:c r="O21" s="316" t="str">
        <x:v>Belum Diidentifikasi</x:v>
      </x:c>
      <x:c r="P21" s="349" t="str">
        <x:v>Belum Dinilai</x:v>
      </x:c>
      <x:c r="Q21" s="707" t="str">
        <x:v>Belum Dinilai</x:v>
      </x:c>
      <x:c r="R21" s="707" t="str">
        <x:v>Belum Dinilai</x:v>
      </x:c>
      <x:c r="S21" s="708" t="str">
        <x:v>Belum Dinilai</x:v>
      </x:c>
      <x:c r="T21" s="709" t="str">
        <x:v>Belum Dinilai</x:v>
      </x:c>
      <x:c r="U21" s="704" t="str">
        <x:v>Belum Dinilai</x:v>
      </x:c>
      <x:c r="V21" s="704" t="str">
        <x:v>Belum Dinilai</x:v>
      </x:c>
      <x:c r="W21" s="704" t="str"/>
      <x:c r="X21" s="704" t="str">
        <x:f>IF(COUNTIF(R21:V21,"Belum Dinilai")&gt;0,"Belum Dinilai",IF(COUNTIF(R21:V21,"Ya")=0,"Tidak ada faktor rentan",TEXTJOIN(", ",TRUE,IF(R21="Ya","Lansia",""),IF(S21="Ya","Penyandang disabilitas",""),IF(T21="Ya","Kepala keluarga perempuan",""),IF(U21="Ya","Balita",""),IF(V21="Ya","Anggota keluarga dengan ketergantungan tinggi",""))))</x:f>
        <x:v>Belum Dinilai</x:v>
      </x:c>
      <x:c r="Y21" s="704" t="str">
        <x:f>IF(COUNTIF(R21:V21,"Belum Dinilai")&gt;0,"Belum Dinilai",IF(COUNTIF(R21:V21,"Ya")=0,"Tidak Ada Faktor Rentan",IF(COUNTIF(R21:V21,"Ya")=1,"1 Faktor Rentan","2 atau Lebih Faktor Rentan")))</x:f>
        <x:v>Belum Dinilai</x:v>
      </x:c>
      <x:c r="Z21" s="704" t="str">
        <x:f>IF(OR(Q21="",Q21="Belum Dinilai"),"",IF(Q21="Terverifikasi DTKS/P3KE/MBR",10,IF(Q21="Diusulkan, Belum Terverifikasi",5,0)))</x:f>
      </x:c>
      <x:c r="AA21" s="705" t="str">
        <x:f>IF(COUNTIF(R21:V21,"Belum Dinilai")&gt;0,"",IF(COUNTIF(R21:V21,"Ya")=0,0,IF(COUNTIF(R21:V21,"Ya")=1,5,10)))</x:f>
      </x:c>
      <x:c r="AB21" s="706" t="str">
        <x:f>IF(OR(Z21="",AA21=""),"",Z21+AA21)</x:f>
      </x:c>
      <x:c r="AC21" s="713" t="str">
        <x:v>Belum Dinilai</x:v>
      </x:c>
      <x:c r="AD21" s="713" t="str">
        <x:v>Belum Dinilai</x:v>
      </x:c>
      <x:c r="AE21" s="714" t="str">
        <x:v>Belum Dinilai</x:v>
      </x:c>
      <x:c r="AF21" s="713" t="str">
        <x:v>Belum Dinilai</x:v>
      </x:c>
      <x:c r="AG21" s="713" t="str">
        <x:v>Belum Dinilai</x:v>
      </x:c>
      <x:c r="AH21" s="715" t="str">
        <x:v>Belum Dinilai</x:v>
      </x:c>
      <x:c r="AI21" s="714" t="str">
        <x:v>Belum Dinilai</x:v>
      </x:c>
      <x:c r="AJ21" s="713" t="str">
        <x:v>Belum Dinilai</x:v>
      </x:c>
      <x:c r="AK21" s="715" t="str">
        <x:v>Belum Dinilai</x:v>
      </x:c>
      <x:c r="AL21" s="713" t="str"/>
      <x:c r="AM21" s="716" t="str">
        <x:v>Belum Dinilai</x:v>
      </x:c>
      <x:c r="AN21" s="716" t="str">
        <x:f>IF(AND(COUNTIF(AC21:AK21,"Ya")=0,AL21=""),IF(COUNTIF(AC21:AK21,"Belum Dinilai")&gt;0,"Belum Dinilai","Tidak ada risiko khusus"),TEXTJOIN(", ",TRUE,IF(AC21="Ya","Bangunan berpotensi roboh",""),IF(AD21="Ya","Bekas kebakaran dan tidak aman dihuni",""),IF(AE21="Ya","Atap atau dinding utama hampir runtuh",""),IF(AF21="Ya","Genangan yang membahayakan",""),IF(AG21="Ya","Struktur rumah tidak stabil",""),IF(AH21="Ya","Instalasi listrik berbahaya",""),IF(AI21="Ya","Komponen bangunan lepas atau lapuk",""),IF(AJ21="Ya","Akses keluar atau evakuasi terbatas",""),IF(AK21="Ya","Lokasi rawan bencana",""),IF(AL21&lt;&gt;"","Lainnya: "&amp;AL21,"")))</x:f>
        <x:v>Belum Dinilai</x:v>
      </x:c>
      <x:c r="AO21" s="716" t="str">
        <x:f>IF(AR21="","Belum Dinilai",IF(AR21=10,"Risiko Tinggi/Darurat",IF(AR21=5,"Risiko Sedang","Tidak Ada Risiko Khusus")))</x:f>
        <x:v>Belum Dinilai</x:v>
      </x:c>
      <x:c r="AP21" s="716" t="str"/>
      <x:c r="AQ21" s="719" t="str">
        <x:f>IF(OR(J21="",J21="Belum Dapat Ditentukan",L21="",L21="Belum Dinilai",N21="",N21="Belum Dinilai",P21="",P21="Belum Dinilai"),"",IF(J21="Permanen",0,IF(J21="Semipermanen",8,IF(J21="Nonpermanen",15,0)))+IF(L21="Baik",0,IF(L21="Rusak Ringan",5,IF(L21="Rusak Sedang",10,IF(L21="Rusak Berat",15,IF(L21="Tidak Ada/Terbuka",20,0)))))+IF(N21="Baik",0,IF(N21="Rusak Ringan",5,IF(N21="Rusak Sedang",10,IF(N21="Rusak Berat",15,IF(N21="Tidak Ada/Terbuka",20,0)))))+IF(P21="Baik",0,IF(P21="Rusak Ringan",4,IF(P21="Rusak Sedang",8,IF(P21="Rusak Berat",12,IF(P21="Tidak Layak",15,0))))))</x:f>
      </x:c>
      <x:c r="AR21" s="719" t="str">
        <x:f>IF(COUNTIF(AC21:AH21,"Ya")&gt;0,10,IF(COUNTIF(AI21:AK21,"Ya")&gt;=2,10,IF(COUNTIF(AI21:AK21,"Ya")=1,MAX(5,IF(AM21="Risiko Tinggi/Darurat",10,IF(AM21="Risiko Sedang",5,0))),IF(AL21&lt;&gt;"",IF(AM21="Risiko Tinggi/Darurat",10,IF(AM21="Risiko Sedang",5,"")),IF(COUNTIF(AC21:AK21,"Belum Dinilai")&gt;0,"",0)))))</x:f>
      </x:c>
      <x:c r="AS21" s="719" t="str">
        <x:f>IF(OR(AQ21="",AB21="",AR21=""),"",AQ21+AB21+AR21)</x:f>
      </x:c>
      <x:c r="AT21" s="719" t="str">
        <x:f>IF(AS21="","Belum Dapat Ditentukan",IF(AS21&gt;=80,"Sangat Tinggi",IF(OR(AO21="Risiko Tinggi/Darurat",(IF(L21="Rusak Berat",1,0)+IF(L21="Tidak Ada/Terbuka",1,0)+IF(N21="Rusak Berat",1,0)+IF(N21="Tidak Ada/Terbuka",1,0)+IF(P21="Rusak Berat",1,0)+IF(P21="Tidak Layak",1,0))&gt;=2),"Tinggi",IF(AS21&gt;=65,"Tinggi",IF(AS21&gt;=50,"Sedang","Rendah")))))</x:f>
        <x:v>Belum Dapat Ditentukan</x:v>
      </x:c>
      <x:c r="AU21" s="240" t="str">
        <x:v>Lengkap</x:v>
      </x:c>
      <x:c r="AV21" s="240" t="str">
        <x:v>Sudah Diverifikasi</x:v>
      </x:c>
      <x:c r="AW21" s="240" t="str">
        <x:v>Belum Ditangani</x:v>
      </x:c>
      <x:c r="AX21" s="240"/>
      <x:c r="AY21" s="240"/>
      <x:c r="AZ21" s="240" t="str">
        <x:v>Belum Diverifikasi</x:v>
      </x:c>
      <x:c r="BA21" s="240"/>
      <x:c r="BB21" s="240"/>
      <x:c r="BC21" s="240" t="n">
        <x:v>2026</x:v>
      </x:c>
      <x:c r="BD21" s="240" t="str">
        <x:v>Usulan Musrenbang/Pokir DPRD</x:v>
      </x:c>
      <x:c r="BE21" s="240" t="n">
        <x:v>46218</x:v>
      </x:c>
      <x:c r="BF21" s="240" t="str">
        <x:v>Dinas Perkim Kota Pangkalpinang</x:v>
      </x:c>
    </x:row>
    <x:row r="22" ht="32" customHeight="1">
      <x:c r="A22" s="314" t="str">
        <x:v>RTLH-0020</x:v>
      </x:c>
      <x:c r="B22" s="315" t="str">
        <x:v>BONG A THIN</x:v>
      </x:c>
      <x:c r="C22" s="316"/>
      <x:c r="D22" s="316"/>
      <x:c r="E22" s="315" t="str">
        <x:v>JL. TELUK BAYUR</x:v>
      </x:c>
      <x:c r="F22" s="315" t="str">
        <x:v>PASIR PUTIH</x:v>
      </x:c>
      <x:c r="G22" s="315" t="str">
        <x:v>BUKIT INTAN</x:v>
      </x:c>
      <x:c r="H22" s="315" t="str">
        <x:v>Pembangunan Baru</x:v>
      </x:c>
      <x:c r="I22" s="317" t="str">
        <x:v>RUMAH FULL PAPAN,ATAP GENTENG,SEBAGIAN ASBES, DINDING RUSAK RINGAN, KEADAAN DAPUR RUSAK PARAH, LANTAI FULL FLOOR,</x:v>
      </x:c>
      <x:c r="J22" s="315" t="str">
        <x:v>Nonpermanen</x:v>
      </x:c>
      <x:c r="K22" s="315" t="str">
        <x:v>Campuran</x:v>
      </x:c>
      <x:c r="L22" s="315" t="str">
        <x:v>Belum Dinilai</x:v>
      </x:c>
      <x:c r="M22" s="367" t="str">
        <x:v>Papan/Kayu</x:v>
      </x:c>
      <x:c r="N22" s="315" t="str">
        <x:v>Rusak Berat</x:v>
      </x:c>
      <x:c r="O22" s="316" t="str">
        <x:v>Semen/Plester</x:v>
      </x:c>
      <x:c r="P22" s="349" t="str">
        <x:v>Rusak Berat</x:v>
      </x:c>
      <x:c r="Q22" s="707" t="str">
        <x:v>Belum Dinilai</x:v>
      </x:c>
      <x:c r="R22" s="707" t="str">
        <x:v>Belum Dinilai</x:v>
      </x:c>
      <x:c r="S22" s="708" t="str">
        <x:v>Belum Dinilai</x:v>
      </x:c>
      <x:c r="T22" s="709" t="str">
        <x:v>Belum Dinilai</x:v>
      </x:c>
      <x:c r="U22" s="704" t="str">
        <x:v>Belum Dinilai</x:v>
      </x:c>
      <x:c r="V22" s="704" t="str">
        <x:v>Belum Dinilai</x:v>
      </x:c>
      <x:c r="W22" s="704" t="str"/>
      <x:c r="X22" s="704" t="str">
        <x:f>IF(COUNTIF(R22:V22,"Belum Dinilai")&gt;0,"Belum Dinilai",IF(COUNTIF(R22:V22,"Ya")=0,"Tidak ada faktor rentan",TEXTJOIN(", ",TRUE,IF(R22="Ya","Lansia",""),IF(S22="Ya","Penyandang disabilitas",""),IF(T22="Ya","Kepala keluarga perempuan",""),IF(U22="Ya","Balita",""),IF(V22="Ya","Anggota keluarga dengan ketergantungan tinggi",""))))</x:f>
        <x:v>Belum Dinilai</x:v>
      </x:c>
      <x:c r="Y22" s="704" t="str">
        <x:f>IF(COUNTIF(R22:V22,"Belum Dinilai")&gt;0,"Belum Dinilai",IF(COUNTIF(R22:V22,"Ya")=0,"Tidak Ada Faktor Rentan",IF(COUNTIF(R22:V22,"Ya")=1,"1 Faktor Rentan","2 atau Lebih Faktor Rentan")))</x:f>
        <x:v>Belum Dinilai</x:v>
      </x:c>
      <x:c r="Z22" s="704" t="str">
        <x:f>IF(OR(Q22="",Q22="Belum Dinilai"),"",IF(Q22="Terverifikasi DTKS/P3KE/MBR",10,IF(Q22="Diusulkan, Belum Terverifikasi",5,0)))</x:f>
      </x:c>
      <x:c r="AA22" s="705" t="str">
        <x:f>IF(COUNTIF(R22:V22,"Belum Dinilai")&gt;0,"",IF(COUNTIF(R22:V22,"Ya")=0,0,IF(COUNTIF(R22:V22,"Ya")=1,5,10)))</x:f>
      </x:c>
      <x:c r="AB22" s="706" t="str">
        <x:f>IF(OR(Z22="",AA22=""),"",Z22+AA22)</x:f>
      </x:c>
      <x:c r="AC22" s="713" t="str">
        <x:v>Belum Dinilai</x:v>
      </x:c>
      <x:c r="AD22" s="713" t="str">
        <x:v>Belum Dinilai</x:v>
      </x:c>
      <x:c r="AE22" s="714" t="str">
        <x:v>Belum Dinilai</x:v>
      </x:c>
      <x:c r="AF22" s="713" t="str">
        <x:v>Belum Dinilai</x:v>
      </x:c>
      <x:c r="AG22" s="713" t="str">
        <x:v>Belum Dinilai</x:v>
      </x:c>
      <x:c r="AH22" s="715" t="str">
        <x:v>Belum Dinilai</x:v>
      </x:c>
      <x:c r="AI22" s="714" t="str">
        <x:v>Belum Dinilai</x:v>
      </x:c>
      <x:c r="AJ22" s="713" t="str">
        <x:v>Belum Dinilai</x:v>
      </x:c>
      <x:c r="AK22" s="715" t="str">
        <x:v>Belum Dinilai</x:v>
      </x:c>
      <x:c r="AL22" s="713" t="str"/>
      <x:c r="AM22" s="716" t="str">
        <x:v>Belum Dinilai</x:v>
      </x:c>
      <x:c r="AN22" s="716" t="str">
        <x:f>IF(AND(COUNTIF(AC22:AK22,"Ya")=0,AL22=""),IF(COUNTIF(AC22:AK22,"Belum Dinilai")&gt;0,"Belum Dinilai","Tidak ada risiko khusus"),TEXTJOIN(", ",TRUE,IF(AC22="Ya","Bangunan berpotensi roboh",""),IF(AD22="Ya","Bekas kebakaran dan tidak aman dihuni",""),IF(AE22="Ya","Atap atau dinding utama hampir runtuh",""),IF(AF22="Ya","Genangan yang membahayakan",""),IF(AG22="Ya","Struktur rumah tidak stabil",""),IF(AH22="Ya","Instalasi listrik berbahaya",""),IF(AI22="Ya","Komponen bangunan lepas atau lapuk",""),IF(AJ22="Ya","Akses keluar atau evakuasi terbatas",""),IF(AK22="Ya","Lokasi rawan bencana",""),IF(AL22&lt;&gt;"","Lainnya: "&amp;AL22,"")))</x:f>
        <x:v>Belum Dinilai</x:v>
      </x:c>
      <x:c r="AO22" s="716" t="str">
        <x:f>IF(AR22="","Belum Dinilai",IF(AR22=10,"Risiko Tinggi/Darurat",IF(AR22=5,"Risiko Sedang","Tidak Ada Risiko Khusus")))</x:f>
        <x:v>Belum Dinilai</x:v>
      </x:c>
      <x:c r="AP22" s="716" t="str"/>
      <x:c r="AQ22" s="719" t="str">
        <x:f>IF(OR(J22="",J22="Belum Dapat Ditentukan",L22="",L22="Belum Dinilai",N22="",N22="Belum Dinilai",P22="",P22="Belum Dinilai"),"",IF(J22="Permanen",0,IF(J22="Semipermanen",8,IF(J22="Nonpermanen",15,0)))+IF(L22="Baik",0,IF(L22="Rusak Ringan",5,IF(L22="Rusak Sedang",10,IF(L22="Rusak Berat",15,IF(L22="Tidak Ada/Terbuka",20,0)))))+IF(N22="Baik",0,IF(N22="Rusak Ringan",5,IF(N22="Rusak Sedang",10,IF(N22="Rusak Berat",15,IF(N22="Tidak Ada/Terbuka",20,0)))))+IF(P22="Baik",0,IF(P22="Rusak Ringan",4,IF(P22="Rusak Sedang",8,IF(P22="Rusak Berat",12,IF(P22="Tidak Layak",15,0))))))</x:f>
      </x:c>
      <x:c r="AR22" s="719" t="str">
        <x:f>IF(COUNTIF(AC22:AH22,"Ya")&gt;0,10,IF(COUNTIF(AI22:AK22,"Ya")&gt;=2,10,IF(COUNTIF(AI22:AK22,"Ya")=1,MAX(5,IF(AM22="Risiko Tinggi/Darurat",10,IF(AM22="Risiko Sedang",5,0))),IF(AL22&lt;&gt;"",IF(AM22="Risiko Tinggi/Darurat",10,IF(AM22="Risiko Sedang",5,"")),IF(COUNTIF(AC22:AK22,"Belum Dinilai")&gt;0,"",0)))))</x:f>
      </x:c>
      <x:c r="AS22" s="719" t="str">
        <x:f>IF(OR(AQ22="",AB22="",AR22=""),"",AQ22+AB22+AR22)</x:f>
      </x:c>
      <x:c r="AT22" s="719" t="str">
        <x:f>IF(AS22="","Belum Dapat Ditentukan",IF(AS22&gt;=80,"Sangat Tinggi",IF(OR(AO22="Risiko Tinggi/Darurat",(IF(L22="Rusak Berat",1,0)+IF(L22="Tidak Ada/Terbuka",1,0)+IF(N22="Rusak Berat",1,0)+IF(N22="Tidak Ada/Terbuka",1,0)+IF(P22="Rusak Berat",1,0)+IF(P22="Tidak Layak",1,0))&gt;=2),"Tinggi",IF(AS22&gt;=65,"Tinggi",IF(AS22&gt;=50,"Sedang","Rendah")))))</x:f>
        <x:v>Belum Dapat Ditentukan</x:v>
      </x:c>
      <x:c r="AU22" s="240" t="str">
        <x:v>Lengkap</x:v>
      </x:c>
      <x:c r="AV22" s="240" t="str">
        <x:v>Sudah Diverifikasi</x:v>
      </x:c>
      <x:c r="AW22" s="240" t="str">
        <x:v>Belum Ditangani</x:v>
      </x:c>
      <x:c r="AX22" s="240"/>
      <x:c r="AY22" s="240"/>
      <x:c r="AZ22" s="240" t="str">
        <x:v>Belum Diverifikasi</x:v>
      </x:c>
      <x:c r="BA22" s="240"/>
      <x:c r="BB22" s="240"/>
      <x:c r="BC22" s="240" t="n">
        <x:v>2026</x:v>
      </x:c>
      <x:c r="BD22" s="240" t="str">
        <x:v>Usulan Musrenbang/Pokir DPRD</x:v>
      </x:c>
      <x:c r="BE22" s="240" t="n">
        <x:v>46218</x:v>
      </x:c>
      <x:c r="BF22" s="240" t="str">
        <x:v>Dinas Perkim Kota Pangkalpinang</x:v>
      </x:c>
    </x:row>
    <x:row r="23" ht="32" customHeight="1">
      <x:c r="A23" s="314" t="str">
        <x:v>RTLH-0022</x:v>
      </x:c>
      <x:c r="B23" s="315" t="str">
        <x:v>NASIR</x:v>
      </x:c>
      <x:c r="C23" s="316"/>
      <x:c r="D23" s="316"/>
      <x:c r="E23" s="315" t="str">
        <x:v>JL. PADANG LAMA RT.009 RW.003</x:v>
      </x:c>
      <x:c r="F23" s="315" t="str">
        <x:v>AIR ITAM</x:v>
      </x:c>
      <x:c r="G23" s="315" t="str">
        <x:v>BUKIT INTAN</x:v>
      </x:c>
      <x:c r="H23" s="315" t="str">
        <x:v>Pembangunan Baru</x:v>
      </x:c>
      <x:c r="I23" s="317" t="str">
        <x:v>RUMAH FULL PAPAN, ATAP SENG ,DINDING PAPAN RUSAK SEDANG, LANTAI FLOOR</x:v>
      </x:c>
      <x:c r="J23" s="315" t="str">
        <x:v>Nonpermanen</x:v>
      </x:c>
      <x:c r="K23" s="315" t="str">
        <x:v>Seng</x:v>
      </x:c>
      <x:c r="L23" s="315" t="str">
        <x:v>Rusak Sedang</x:v>
      </x:c>
      <x:c r="M23" s="367" t="str">
        <x:v>Papan/Kayu</x:v>
      </x:c>
      <x:c r="N23" s="315" t="str">
        <x:v>Rusak Sedang</x:v>
      </x:c>
      <x:c r="O23" s="316" t="str">
        <x:v>Semen/Plester</x:v>
      </x:c>
      <x:c r="P23" s="349" t="str">
        <x:v>Rusak Sedang</x:v>
      </x:c>
      <x:c r="Q23" s="707" t="str">
        <x:v>Belum Dinilai</x:v>
      </x:c>
      <x:c r="R23" s="707" t="str">
        <x:v>Belum Dinilai</x:v>
      </x:c>
      <x:c r="S23" s="708" t="str">
        <x:v>Belum Dinilai</x:v>
      </x:c>
      <x:c r="T23" s="709" t="str">
        <x:v>Belum Dinilai</x:v>
      </x:c>
      <x:c r="U23" s="704" t="str">
        <x:v>Belum Dinilai</x:v>
      </x:c>
      <x:c r="V23" s="704" t="str">
        <x:v>Belum Dinilai</x:v>
      </x:c>
      <x:c r="W23" s="704" t="str"/>
      <x:c r="X23" s="704" t="str">
        <x:f>IF(COUNTIF(R23:V23,"Belum Dinilai")&gt;0,"Belum Dinilai",IF(COUNTIF(R23:V23,"Ya")=0,"Tidak ada faktor rentan",TEXTJOIN(", ",TRUE,IF(R23="Ya","Lansia",""),IF(S23="Ya","Penyandang disabilitas",""),IF(T23="Ya","Kepala keluarga perempuan",""),IF(U23="Ya","Balita",""),IF(V23="Ya","Anggota keluarga dengan ketergantungan tinggi",""))))</x:f>
        <x:v>Belum Dinilai</x:v>
      </x:c>
      <x:c r="Y23" s="704" t="str">
        <x:f>IF(COUNTIF(R23:V23,"Belum Dinilai")&gt;0,"Belum Dinilai",IF(COUNTIF(R23:V23,"Ya")=0,"Tidak Ada Faktor Rentan",IF(COUNTIF(R23:V23,"Ya")=1,"1 Faktor Rentan","2 atau Lebih Faktor Rentan")))</x:f>
        <x:v>Belum Dinilai</x:v>
      </x:c>
      <x:c r="Z23" s="704" t="str">
        <x:f>IF(OR(Q23="",Q23="Belum Dinilai"),"",IF(Q23="Terverifikasi DTKS/P3KE/MBR",10,IF(Q23="Diusulkan, Belum Terverifikasi",5,0)))</x:f>
      </x:c>
      <x:c r="AA23" s="705" t="str">
        <x:f>IF(COUNTIF(R23:V23,"Belum Dinilai")&gt;0,"",IF(COUNTIF(R23:V23,"Ya")=0,0,IF(COUNTIF(R23:V23,"Ya")=1,5,10)))</x:f>
      </x:c>
      <x:c r="AB23" s="706" t="str">
        <x:f>IF(OR(Z23="",AA23=""),"",Z23+AA23)</x:f>
      </x:c>
      <x:c r="AC23" s="713" t="str">
        <x:v>Belum Dinilai</x:v>
      </x:c>
      <x:c r="AD23" s="713" t="str">
        <x:v>Belum Dinilai</x:v>
      </x:c>
      <x:c r="AE23" s="714" t="str">
        <x:v>Belum Dinilai</x:v>
      </x:c>
      <x:c r="AF23" s="713" t="str">
        <x:v>Belum Dinilai</x:v>
      </x:c>
      <x:c r="AG23" s="713" t="str">
        <x:v>Belum Dinilai</x:v>
      </x:c>
      <x:c r="AH23" s="715" t="str">
        <x:v>Belum Dinilai</x:v>
      </x:c>
      <x:c r="AI23" s="714" t="str">
        <x:v>Belum Dinilai</x:v>
      </x:c>
      <x:c r="AJ23" s="713" t="str">
        <x:v>Belum Dinilai</x:v>
      </x:c>
      <x:c r="AK23" s="715" t="str">
        <x:v>Belum Dinilai</x:v>
      </x:c>
      <x:c r="AL23" s="713" t="str"/>
      <x:c r="AM23" s="716" t="str">
        <x:v>Belum Dinilai</x:v>
      </x:c>
      <x:c r="AN23" s="716" t="str">
        <x:f>IF(AND(COUNTIF(AC23:AK23,"Ya")=0,AL23=""),IF(COUNTIF(AC23:AK23,"Belum Dinilai")&gt;0,"Belum Dinilai","Tidak ada risiko khusus"),TEXTJOIN(", ",TRUE,IF(AC23="Ya","Bangunan berpotensi roboh",""),IF(AD23="Ya","Bekas kebakaran dan tidak aman dihuni",""),IF(AE23="Ya","Atap atau dinding utama hampir runtuh",""),IF(AF23="Ya","Genangan yang membahayakan",""),IF(AG23="Ya","Struktur rumah tidak stabil",""),IF(AH23="Ya","Instalasi listrik berbahaya",""),IF(AI23="Ya","Komponen bangunan lepas atau lapuk",""),IF(AJ23="Ya","Akses keluar atau evakuasi terbatas",""),IF(AK23="Ya","Lokasi rawan bencana",""),IF(AL23&lt;&gt;"","Lainnya: "&amp;AL23,"")))</x:f>
        <x:v>Belum Dinilai</x:v>
      </x:c>
      <x:c r="AO23" s="716" t="str">
        <x:f>IF(AR23="","Belum Dinilai",IF(AR23=10,"Risiko Tinggi/Darurat",IF(AR23=5,"Risiko Sedang","Tidak Ada Risiko Khusus")))</x:f>
        <x:v>Belum Dinilai</x:v>
      </x:c>
      <x:c r="AP23" s="716" t="str"/>
      <x:c r="AQ23" s="719" t="n">
        <x:f>IF(OR(J23="",J23="Belum Dapat Ditentukan",L23="",L23="Belum Dinilai",N23="",N23="Belum Dinilai",P23="",P23="Belum Dinilai"),"",IF(J23="Permanen",0,IF(J23="Semipermanen",8,IF(J23="Nonpermanen",15,0)))+IF(L23="Baik",0,IF(L23="Rusak Ringan",5,IF(L23="Rusak Sedang",10,IF(L23="Rusak Berat",15,IF(L23="Tidak Ada/Terbuka",20,0)))))+IF(N23="Baik",0,IF(N23="Rusak Ringan",5,IF(N23="Rusak Sedang",10,IF(N23="Rusak Berat",15,IF(N23="Tidak Ada/Terbuka",20,0)))))+IF(P23="Baik",0,IF(P23="Rusak Ringan",4,IF(P23="Rusak Sedang",8,IF(P23="Rusak Berat",12,IF(P23="Tidak Layak",15,0))))))</x:f>
        <x:v>43</x:v>
      </x:c>
      <x:c r="AR23" s="719" t="str">
        <x:f>IF(COUNTIF(AC23:AH23,"Ya")&gt;0,10,IF(COUNTIF(AI23:AK23,"Ya")&gt;=2,10,IF(COUNTIF(AI23:AK23,"Ya")=1,MAX(5,IF(AM23="Risiko Tinggi/Darurat",10,IF(AM23="Risiko Sedang",5,0))),IF(AL23&lt;&gt;"",IF(AM23="Risiko Tinggi/Darurat",10,IF(AM23="Risiko Sedang",5,"")),IF(COUNTIF(AC23:AK23,"Belum Dinilai")&gt;0,"",0)))))</x:f>
      </x:c>
      <x:c r="AS23" s="719" t="str">
        <x:f>IF(OR(AQ23="",AB23="",AR23=""),"",AQ23+AB23+AR23)</x:f>
      </x:c>
      <x:c r="AT23" s="719" t="str">
        <x:f>IF(AS23="","Belum Dapat Ditentukan",IF(AS23&gt;=80,"Sangat Tinggi",IF(OR(AO23="Risiko Tinggi/Darurat",(IF(L23="Rusak Berat",1,0)+IF(L23="Tidak Ada/Terbuka",1,0)+IF(N23="Rusak Berat",1,0)+IF(N23="Tidak Ada/Terbuka",1,0)+IF(P23="Rusak Berat",1,0)+IF(P23="Tidak Layak",1,0))&gt;=2),"Tinggi",IF(AS23&gt;=65,"Tinggi",IF(AS23&gt;=50,"Sedang","Rendah")))))</x:f>
        <x:v>Belum Dapat Ditentukan</x:v>
      </x:c>
      <x:c r="AU23" s="240" t="str">
        <x:v>Lengkap</x:v>
      </x:c>
      <x:c r="AV23" s="240" t="str">
        <x:v>Sudah Diverifikasi</x:v>
      </x:c>
      <x:c r="AW23" s="240" t="str">
        <x:v>Belum Ditangani</x:v>
      </x:c>
      <x:c r="AX23" s="240"/>
      <x:c r="AY23" s="240"/>
      <x:c r="AZ23" s="240" t="str">
        <x:v>Belum Diverifikasi</x:v>
      </x:c>
      <x:c r="BA23" s="240"/>
      <x:c r="BB23" s="240"/>
      <x:c r="BC23" s="240" t="n">
        <x:v>2026</x:v>
      </x:c>
      <x:c r="BD23" s="240" t="str">
        <x:v>Usulan Musrenbang/Pokir DPRD</x:v>
      </x:c>
      <x:c r="BE23" s="240" t="n">
        <x:v>46218</x:v>
      </x:c>
      <x:c r="BF23" s="240" t="str">
        <x:v>Dinas Perkim Kota Pangkalpinang</x:v>
      </x:c>
    </x:row>
    <x:row r="24" ht="32" customHeight="1">
      <x:c r="A24" s="314" t="str">
        <x:v>RTLH-0023</x:v>
      </x:c>
      <x:c r="B24" s="315" t="str">
        <x:v>JONI</x:v>
      </x:c>
      <x:c r="C24" s="316"/>
      <x:c r="D24" s="316"/>
      <x:c r="E24" s="315" t="str">
        <x:v>GG. MERAH DELIMA RT.004 RW.002</x:v>
      </x:c>
      <x:c r="F24" s="315" t="str">
        <x:v>TEMBERAN</x:v>
      </x:c>
      <x:c r="G24" s="315" t="str">
        <x:v>BUKIT INTAN</x:v>
      </x:c>
      <x:c r="H24" s="315" t="str">
        <x:v>Peningkatan Kualitas</x:v>
      </x:c>
      <x:c r="I24" s="317" t="str">
        <x:v>RUMAH SEMI PERMANEN, SEBAGIAN DINDING PAPAN, ATAP SENG, BAGIAN DAPUR PERMANEN</x:v>
      </x:c>
      <x:c r="J24" s="315" t="str">
        <x:v>Semipermanen</x:v>
      </x:c>
      <x:c r="K24" s="315" t="str">
        <x:v>Seng</x:v>
      </x:c>
      <x:c r="L24" s="315" t="str">
        <x:v>Belum Dinilai</x:v>
      </x:c>
      <x:c r="M24" s="367" t="str">
        <x:v>Papan/Kayu</x:v>
      </x:c>
      <x:c r="N24" s="315" t="str">
        <x:v>Belum Dinilai</x:v>
      </x:c>
      <x:c r="O24" s="316" t="str">
        <x:v>Belum Diidentifikasi</x:v>
      </x:c>
      <x:c r="P24" s="349" t="str">
        <x:v>Belum Dinilai</x:v>
      </x:c>
      <x:c r="Q24" s="707" t="str">
        <x:v>Belum Dinilai</x:v>
      </x:c>
      <x:c r="R24" s="707" t="str">
        <x:v>Belum Dinilai</x:v>
      </x:c>
      <x:c r="S24" s="708" t="str">
        <x:v>Belum Dinilai</x:v>
      </x:c>
      <x:c r="T24" s="709" t="str">
        <x:v>Belum Dinilai</x:v>
      </x:c>
      <x:c r="U24" s="704" t="str">
        <x:v>Belum Dinilai</x:v>
      </x:c>
      <x:c r="V24" s="704" t="str">
        <x:v>Belum Dinilai</x:v>
      </x:c>
      <x:c r="W24" s="704" t="str"/>
      <x:c r="X24" s="704" t="str">
        <x:f>IF(COUNTIF(R24:V24,"Belum Dinilai")&gt;0,"Belum Dinilai",IF(COUNTIF(R24:V24,"Ya")=0,"Tidak ada faktor rentan",TEXTJOIN(", ",TRUE,IF(R24="Ya","Lansia",""),IF(S24="Ya","Penyandang disabilitas",""),IF(T24="Ya","Kepala keluarga perempuan",""),IF(U24="Ya","Balita",""),IF(V24="Ya","Anggota keluarga dengan ketergantungan tinggi",""))))</x:f>
        <x:v>Belum Dinilai</x:v>
      </x:c>
      <x:c r="Y24" s="704" t="str">
        <x:f>IF(COUNTIF(R24:V24,"Belum Dinilai")&gt;0,"Belum Dinilai",IF(COUNTIF(R24:V24,"Ya")=0,"Tidak Ada Faktor Rentan",IF(COUNTIF(R24:V24,"Ya")=1,"1 Faktor Rentan","2 atau Lebih Faktor Rentan")))</x:f>
        <x:v>Belum Dinilai</x:v>
      </x:c>
      <x:c r="Z24" s="704" t="str">
        <x:f>IF(OR(Q24="",Q24="Belum Dinilai"),"",IF(Q24="Terverifikasi DTKS/P3KE/MBR",10,IF(Q24="Diusulkan, Belum Terverifikasi",5,0)))</x:f>
      </x:c>
      <x:c r="AA24" s="705" t="str">
        <x:f>IF(COUNTIF(R24:V24,"Belum Dinilai")&gt;0,"",IF(COUNTIF(R24:V24,"Ya")=0,0,IF(COUNTIF(R24:V24,"Ya")=1,5,10)))</x:f>
      </x:c>
      <x:c r="AB24" s="706" t="str">
        <x:f>IF(OR(Z24="",AA24=""),"",Z24+AA24)</x:f>
      </x:c>
      <x:c r="AC24" s="713" t="str">
        <x:v>Belum Dinilai</x:v>
      </x:c>
      <x:c r="AD24" s="713" t="str">
        <x:v>Belum Dinilai</x:v>
      </x:c>
      <x:c r="AE24" s="714" t="str">
        <x:v>Belum Dinilai</x:v>
      </x:c>
      <x:c r="AF24" s="713" t="str">
        <x:v>Belum Dinilai</x:v>
      </x:c>
      <x:c r="AG24" s="713" t="str">
        <x:v>Belum Dinilai</x:v>
      </x:c>
      <x:c r="AH24" s="715" t="str">
        <x:v>Belum Dinilai</x:v>
      </x:c>
      <x:c r="AI24" s="714" t="str">
        <x:v>Belum Dinilai</x:v>
      </x:c>
      <x:c r="AJ24" s="713" t="str">
        <x:v>Belum Dinilai</x:v>
      </x:c>
      <x:c r="AK24" s="715" t="str">
        <x:v>Belum Dinilai</x:v>
      </x:c>
      <x:c r="AL24" s="713" t="str"/>
      <x:c r="AM24" s="716" t="str">
        <x:v>Belum Dinilai</x:v>
      </x:c>
      <x:c r="AN24" s="716" t="str">
        <x:f>IF(AND(COUNTIF(AC24:AK24,"Ya")=0,AL24=""),IF(COUNTIF(AC24:AK24,"Belum Dinilai")&gt;0,"Belum Dinilai","Tidak ada risiko khusus"),TEXTJOIN(", ",TRUE,IF(AC24="Ya","Bangunan berpotensi roboh",""),IF(AD24="Ya","Bekas kebakaran dan tidak aman dihuni",""),IF(AE24="Ya","Atap atau dinding utama hampir runtuh",""),IF(AF24="Ya","Genangan yang membahayakan",""),IF(AG24="Ya","Struktur rumah tidak stabil",""),IF(AH24="Ya","Instalasi listrik berbahaya",""),IF(AI24="Ya","Komponen bangunan lepas atau lapuk",""),IF(AJ24="Ya","Akses keluar atau evakuasi terbatas",""),IF(AK24="Ya","Lokasi rawan bencana",""),IF(AL24&lt;&gt;"","Lainnya: "&amp;AL24,"")))</x:f>
        <x:v>Belum Dinilai</x:v>
      </x:c>
      <x:c r="AO24" s="716" t="str">
        <x:f>IF(AR24="","Belum Dinilai",IF(AR24=10,"Risiko Tinggi/Darurat",IF(AR24=5,"Risiko Sedang","Tidak Ada Risiko Khusus")))</x:f>
        <x:v>Belum Dinilai</x:v>
      </x:c>
      <x:c r="AP24" s="716" t="str"/>
      <x:c r="AQ24" s="719" t="str">
        <x:f>IF(OR(J24="",J24="Belum Dapat Ditentukan",L24="",L24="Belum Dinilai",N24="",N24="Belum Dinilai",P24="",P24="Belum Dinilai"),"",IF(J24="Permanen",0,IF(J24="Semipermanen",8,IF(J24="Nonpermanen",15,0)))+IF(L24="Baik",0,IF(L24="Rusak Ringan",5,IF(L24="Rusak Sedang",10,IF(L24="Rusak Berat",15,IF(L24="Tidak Ada/Terbuka",20,0)))))+IF(N24="Baik",0,IF(N24="Rusak Ringan",5,IF(N24="Rusak Sedang",10,IF(N24="Rusak Berat",15,IF(N24="Tidak Ada/Terbuka",20,0)))))+IF(P24="Baik",0,IF(P24="Rusak Ringan",4,IF(P24="Rusak Sedang",8,IF(P24="Rusak Berat",12,IF(P24="Tidak Layak",15,0))))))</x:f>
      </x:c>
      <x:c r="AR24" s="719" t="str">
        <x:f>IF(COUNTIF(AC24:AH24,"Ya")&gt;0,10,IF(COUNTIF(AI24:AK24,"Ya")&gt;=2,10,IF(COUNTIF(AI24:AK24,"Ya")=1,MAX(5,IF(AM24="Risiko Tinggi/Darurat",10,IF(AM24="Risiko Sedang",5,0))),IF(AL24&lt;&gt;"",IF(AM24="Risiko Tinggi/Darurat",10,IF(AM24="Risiko Sedang",5,"")),IF(COUNTIF(AC24:AK24,"Belum Dinilai")&gt;0,"",0)))))</x:f>
      </x:c>
      <x:c r="AS24" s="719" t="str">
        <x:f>IF(OR(AQ24="",AB24="",AR24=""),"",AQ24+AB24+AR24)</x:f>
      </x:c>
      <x:c r="AT24" s="719" t="str">
        <x:f>IF(AS24="","Belum Dapat Ditentukan",IF(AS24&gt;=80,"Sangat Tinggi",IF(OR(AO24="Risiko Tinggi/Darurat",(IF(L24="Rusak Berat",1,0)+IF(L24="Tidak Ada/Terbuka",1,0)+IF(N24="Rusak Berat",1,0)+IF(N24="Tidak Ada/Terbuka",1,0)+IF(P24="Rusak Berat",1,0)+IF(P24="Tidak Layak",1,0))&gt;=2),"Tinggi",IF(AS24&gt;=65,"Tinggi",IF(AS24&gt;=50,"Sedang","Rendah")))))</x:f>
        <x:v>Belum Dapat Ditentukan</x:v>
      </x:c>
      <x:c r="AU24" s="240" t="str">
        <x:v>Belum Lengkap</x:v>
      </x:c>
      <x:c r="AV24" s="240" t="str">
        <x:v>Sudah Diverifikasi</x:v>
      </x:c>
      <x:c r="AW24" s="240" t="str">
        <x:v>Belum Ditangani</x:v>
      </x:c>
      <x:c r="AX24" s="240"/>
      <x:c r="AY24" s="240"/>
      <x:c r="AZ24" s="240" t="str">
        <x:v>Belum Diverifikasi</x:v>
      </x:c>
      <x:c r="BA24" s="240"/>
      <x:c r="BB24" s="240"/>
      <x:c r="BC24" s="240" t="n">
        <x:v>2026</x:v>
      </x:c>
      <x:c r="BD24" s="240" t="str">
        <x:v>Usulan Musrenbang/Pokir DPRD</x:v>
      </x:c>
      <x:c r="BE24" s="240" t="n">
        <x:v>46218</x:v>
      </x:c>
      <x:c r="BF24" s="240" t="str">
        <x:v>Dinas Perkim Kota Pangkalpinang</x:v>
      </x:c>
    </x:row>
    <x:row r="25" ht="32" customHeight="1">
      <x:c r="A25" s="314" t="str">
        <x:v>RTLH-0024</x:v>
      </x:c>
      <x:c r="B25" s="315" t="str">
        <x:v>WIDYA</x:v>
      </x:c>
      <x:c r="C25" s="316"/>
      <x:c r="D25" s="316"/>
      <x:c r="E25" s="315" t="str">
        <x:v>GG. INTAN III RT.006</x:v>
      </x:c>
      <x:c r="F25" s="315" t="str">
        <x:v>BATU INTAN</x:v>
      </x:c>
      <x:c r="G25" s="315" t="str">
        <x:v>GIRIMAYA</x:v>
      </x:c>
      <x:c r="H25" s="315" t="str">
        <x:v>Peningkatan Kualitas</x:v>
      </x:c>
      <x:c r="I25" s="317" t="str">
        <x:v>RUMAH PERMANEN, MINTA REHAB ATAP BAGIAN DAPUR</x:v>
      </x:c>
      <x:c r="J25" s="315" t="str">
        <x:v>Permanen</x:v>
      </x:c>
      <x:c r="K25" s="315" t="str">
        <x:v>Belum Diidentifikasi</x:v>
      </x:c>
      <x:c r="L25" s="315" t="str">
        <x:v>Rusak Ringan</x:v>
      </x:c>
      <x:c r="M25" s="367" t="str">
        <x:v>Dinding Permanen (Material tidak dirinci)</x:v>
      </x:c>
      <x:c r="N25" s="315" t="str">
        <x:v>Belum Dinilai</x:v>
      </x:c>
      <x:c r="O25" s="316" t="str">
        <x:v>Belum Diidentifikasi</x:v>
      </x:c>
      <x:c r="P25" s="349" t="str">
        <x:v>Belum Dinilai</x:v>
      </x:c>
      <x:c r="Q25" s="707" t="str">
        <x:v>Belum Dinilai</x:v>
      </x:c>
      <x:c r="R25" s="707" t="str">
        <x:v>Belum Dinilai</x:v>
      </x:c>
      <x:c r="S25" s="708" t="str">
        <x:v>Belum Dinilai</x:v>
      </x:c>
      <x:c r="T25" s="709" t="str">
        <x:v>Belum Dinilai</x:v>
      </x:c>
      <x:c r="U25" s="704" t="str">
        <x:v>Belum Dinilai</x:v>
      </x:c>
      <x:c r="V25" s="704" t="str">
        <x:v>Belum Dinilai</x:v>
      </x:c>
      <x:c r="W25" s="704" t="str"/>
      <x:c r="X25" s="704" t="str">
        <x:f>IF(COUNTIF(R25:V25,"Belum Dinilai")&gt;0,"Belum Dinilai",IF(COUNTIF(R25:V25,"Ya")=0,"Tidak ada faktor rentan",TEXTJOIN(", ",TRUE,IF(R25="Ya","Lansia",""),IF(S25="Ya","Penyandang disabilitas",""),IF(T25="Ya","Kepala keluarga perempuan",""),IF(U25="Ya","Balita",""),IF(V25="Ya","Anggota keluarga dengan ketergantungan tinggi",""))))</x:f>
        <x:v>Belum Dinilai</x:v>
      </x:c>
      <x:c r="Y25" s="704" t="str">
        <x:f>IF(COUNTIF(R25:V25,"Belum Dinilai")&gt;0,"Belum Dinilai",IF(COUNTIF(R25:V25,"Ya")=0,"Tidak Ada Faktor Rentan",IF(COUNTIF(R25:V25,"Ya")=1,"1 Faktor Rentan","2 atau Lebih Faktor Rentan")))</x:f>
        <x:v>Belum Dinilai</x:v>
      </x:c>
      <x:c r="Z25" s="704" t="str">
        <x:f>IF(OR(Q25="",Q25="Belum Dinilai"),"",IF(Q25="Terverifikasi DTKS/P3KE/MBR",10,IF(Q25="Diusulkan, Belum Terverifikasi",5,0)))</x:f>
      </x:c>
      <x:c r="AA25" s="705" t="str">
        <x:f>IF(COUNTIF(R25:V25,"Belum Dinilai")&gt;0,"",IF(COUNTIF(R25:V25,"Ya")=0,0,IF(COUNTIF(R25:V25,"Ya")=1,5,10)))</x:f>
      </x:c>
      <x:c r="AB25" s="706" t="str">
        <x:f>IF(OR(Z25="",AA25=""),"",Z25+AA25)</x:f>
      </x:c>
      <x:c r="AC25" s="713" t="str">
        <x:v>Belum Dinilai</x:v>
      </x:c>
      <x:c r="AD25" s="713" t="str">
        <x:v>Belum Dinilai</x:v>
      </x:c>
      <x:c r="AE25" s="714" t="str">
        <x:v>Belum Dinilai</x:v>
      </x:c>
      <x:c r="AF25" s="713" t="str">
        <x:v>Belum Dinilai</x:v>
      </x:c>
      <x:c r="AG25" s="713" t="str">
        <x:v>Belum Dinilai</x:v>
      </x:c>
      <x:c r="AH25" s="715" t="str">
        <x:v>Belum Dinilai</x:v>
      </x:c>
      <x:c r="AI25" s="714" t="str">
        <x:v>Belum Dinilai</x:v>
      </x:c>
      <x:c r="AJ25" s="713" t="str">
        <x:v>Belum Dinilai</x:v>
      </x:c>
      <x:c r="AK25" s="715" t="str">
        <x:v>Belum Dinilai</x:v>
      </x:c>
      <x:c r="AL25" s="713" t="str"/>
      <x:c r="AM25" s="716" t="str">
        <x:v>Belum Dinilai</x:v>
      </x:c>
      <x:c r="AN25" s="716" t="str">
        <x:f>IF(AND(COUNTIF(AC25:AK25,"Ya")=0,AL25=""),IF(COUNTIF(AC25:AK25,"Belum Dinilai")&gt;0,"Belum Dinilai","Tidak ada risiko khusus"),TEXTJOIN(", ",TRUE,IF(AC25="Ya","Bangunan berpotensi roboh",""),IF(AD25="Ya","Bekas kebakaran dan tidak aman dihuni",""),IF(AE25="Ya","Atap atau dinding utama hampir runtuh",""),IF(AF25="Ya","Genangan yang membahayakan",""),IF(AG25="Ya","Struktur rumah tidak stabil",""),IF(AH25="Ya","Instalasi listrik berbahaya",""),IF(AI25="Ya","Komponen bangunan lepas atau lapuk",""),IF(AJ25="Ya","Akses keluar atau evakuasi terbatas",""),IF(AK25="Ya","Lokasi rawan bencana",""),IF(AL25&lt;&gt;"","Lainnya: "&amp;AL25,"")))</x:f>
        <x:v>Belum Dinilai</x:v>
      </x:c>
      <x:c r="AO25" s="716" t="str">
        <x:f>IF(AR25="","Belum Dinilai",IF(AR25=10,"Risiko Tinggi/Darurat",IF(AR25=5,"Risiko Sedang","Tidak Ada Risiko Khusus")))</x:f>
        <x:v>Belum Dinilai</x:v>
      </x:c>
      <x:c r="AP25" s="716" t="str"/>
      <x:c r="AQ25" s="719" t="str">
        <x:f>IF(OR(J25="",J25="Belum Dapat Ditentukan",L25="",L25="Belum Dinilai",N25="",N25="Belum Dinilai",P25="",P25="Belum Dinilai"),"",IF(J25="Permanen",0,IF(J25="Semipermanen",8,IF(J25="Nonpermanen",15,0)))+IF(L25="Baik",0,IF(L25="Rusak Ringan",5,IF(L25="Rusak Sedang",10,IF(L25="Rusak Berat",15,IF(L25="Tidak Ada/Terbuka",20,0)))))+IF(N25="Baik",0,IF(N25="Rusak Ringan",5,IF(N25="Rusak Sedang",10,IF(N25="Rusak Berat",15,IF(N25="Tidak Ada/Terbuka",20,0)))))+IF(P25="Baik",0,IF(P25="Rusak Ringan",4,IF(P25="Rusak Sedang",8,IF(P25="Rusak Berat",12,IF(P25="Tidak Layak",15,0))))))</x:f>
      </x:c>
      <x:c r="AR25" s="719" t="str">
        <x:f>IF(COUNTIF(AC25:AH25,"Ya")&gt;0,10,IF(COUNTIF(AI25:AK25,"Ya")&gt;=2,10,IF(COUNTIF(AI25:AK25,"Ya")=1,MAX(5,IF(AM25="Risiko Tinggi/Darurat",10,IF(AM25="Risiko Sedang",5,0))),IF(AL25&lt;&gt;"",IF(AM25="Risiko Tinggi/Darurat",10,IF(AM25="Risiko Sedang",5,"")),IF(COUNTIF(AC25:AK25,"Belum Dinilai")&gt;0,"",0)))))</x:f>
      </x:c>
      <x:c r="AS25" s="719" t="str">
        <x:f>IF(OR(AQ25="",AB25="",AR25=""),"",AQ25+AB25+AR25)</x:f>
      </x:c>
      <x:c r="AT25" s="719" t="str">
        <x:f>IF(AS25="","Belum Dapat Ditentukan",IF(AS25&gt;=80,"Sangat Tinggi",IF(OR(AO25="Risiko Tinggi/Darurat",(IF(L25="Rusak Berat",1,0)+IF(L25="Tidak Ada/Terbuka",1,0)+IF(N25="Rusak Berat",1,0)+IF(N25="Tidak Ada/Terbuka",1,0)+IF(P25="Rusak Berat",1,0)+IF(P25="Tidak Layak",1,0))&gt;=2),"Tinggi",IF(AS25&gt;=65,"Tinggi",IF(AS25&gt;=50,"Sedang","Rendah")))))</x:f>
        <x:v>Belum Dapat Ditentukan</x:v>
      </x:c>
      <x:c r="AU25" s="240" t="str">
        <x:v>Belum Lengkap</x:v>
      </x:c>
      <x:c r="AV25" s="240" t="str">
        <x:v>Sudah Diverifikasi</x:v>
      </x:c>
      <x:c r="AW25" s="240" t="str">
        <x:v>Belum Ditangani</x:v>
      </x:c>
      <x:c r="AX25" s="240"/>
      <x:c r="AY25" s="240"/>
      <x:c r="AZ25" s="240" t="str">
        <x:v>Belum Diverifikasi</x:v>
      </x:c>
      <x:c r="BA25" s="240"/>
      <x:c r="BB25" s="240"/>
      <x:c r="BC25" s="240" t="n">
        <x:v>2026</x:v>
      </x:c>
      <x:c r="BD25" s="240" t="str">
        <x:v>Usulan Musrenbang/Pokir DPRD</x:v>
      </x:c>
      <x:c r="BE25" s="240" t="n">
        <x:v>46218</x:v>
      </x:c>
      <x:c r="BF25" s="240" t="str">
        <x:v>Dinas Perkim Kota Pangkalpinang</x:v>
      </x:c>
    </x:row>
    <x:row r="26" ht="32" customHeight="1">
      <x:c r="A26" s="314" t="str">
        <x:v>RTLH-0025</x:v>
      </x:c>
      <x:c r="B26" s="315" t="str">
        <x:v>MUNG SULLAH / ATET</x:v>
      </x:c>
      <x:c r="C26" s="316"/>
      <x:c r="D26" s="316"/>
      <x:c r="E26" s="315" t="str">
        <x:v>GG. NILAM VI RT.004 RW.001</x:v>
      </x:c>
      <x:c r="F26" s="315" t="str">
        <x:v>BACANG</x:v>
      </x:c>
      <x:c r="G26" s="315" t="str">
        <x:v>BUKIT INTAN</x:v>
      </x:c>
      <x:c r="H26" s="315" t="str">
        <x:v>Peningkatan Kualitas</x:v>
      </x:c>
      <x:c r="I26" s="317" t="str">
        <x:v>RUMAH SEBAGIAN BETON</x:v>
      </x:c>
      <x:c r="J26" s="315" t="str">
        <x:v>Permanen</x:v>
      </x:c>
      <x:c r="K26" s="315" t="str">
        <x:v>Belum Diidentifikasi</x:v>
      </x:c>
      <x:c r="L26" s="315" t="str">
        <x:v>Belum Dinilai</x:v>
      </x:c>
      <x:c r="M26" s="367" t="str">
        <x:v>Beton</x:v>
      </x:c>
      <x:c r="N26" s="315" t="str">
        <x:v>Belum Dinilai</x:v>
      </x:c>
      <x:c r="O26" s="316" t="str">
        <x:v>Belum Diidentifikasi</x:v>
      </x:c>
      <x:c r="P26" s="349" t="str">
        <x:v>Belum Dinilai</x:v>
      </x:c>
      <x:c r="Q26" s="707" t="str">
        <x:v>Belum Dinilai</x:v>
      </x:c>
      <x:c r="R26" s="707" t="str">
        <x:v>Belum Dinilai</x:v>
      </x:c>
      <x:c r="S26" s="708" t="str">
        <x:v>Belum Dinilai</x:v>
      </x:c>
      <x:c r="T26" s="709" t="str">
        <x:v>Belum Dinilai</x:v>
      </x:c>
      <x:c r="U26" s="704" t="str">
        <x:v>Belum Dinilai</x:v>
      </x:c>
      <x:c r="V26" s="704" t="str">
        <x:v>Belum Dinilai</x:v>
      </x:c>
      <x:c r="W26" s="704" t="str"/>
      <x:c r="X26" s="704" t="str">
        <x:f>IF(COUNTIF(R26:V26,"Belum Dinilai")&gt;0,"Belum Dinilai",IF(COUNTIF(R26:V26,"Ya")=0,"Tidak ada faktor rentan",TEXTJOIN(", ",TRUE,IF(R26="Ya","Lansia",""),IF(S26="Ya","Penyandang disabilitas",""),IF(T26="Ya","Kepala keluarga perempuan",""),IF(U26="Ya","Balita",""),IF(V26="Ya","Anggota keluarga dengan ketergantungan tinggi",""))))</x:f>
        <x:v>Belum Dinilai</x:v>
      </x:c>
      <x:c r="Y26" s="704" t="str">
        <x:f>IF(COUNTIF(R26:V26,"Belum Dinilai")&gt;0,"Belum Dinilai",IF(COUNTIF(R26:V26,"Ya")=0,"Tidak Ada Faktor Rentan",IF(COUNTIF(R26:V26,"Ya")=1,"1 Faktor Rentan","2 atau Lebih Faktor Rentan")))</x:f>
        <x:v>Belum Dinilai</x:v>
      </x:c>
      <x:c r="Z26" s="704" t="str">
        <x:f>IF(OR(Q26="",Q26="Belum Dinilai"),"",IF(Q26="Terverifikasi DTKS/P3KE/MBR",10,IF(Q26="Diusulkan, Belum Terverifikasi",5,0)))</x:f>
      </x:c>
      <x:c r="AA26" s="705" t="str">
        <x:f>IF(COUNTIF(R26:V26,"Belum Dinilai")&gt;0,"",IF(COUNTIF(R26:V26,"Ya")=0,0,IF(COUNTIF(R26:V26,"Ya")=1,5,10)))</x:f>
      </x:c>
      <x:c r="AB26" s="706" t="str">
        <x:f>IF(OR(Z26="",AA26=""),"",Z26+AA26)</x:f>
      </x:c>
      <x:c r="AC26" s="713" t="str">
        <x:v>Belum Dinilai</x:v>
      </x:c>
      <x:c r="AD26" s="713" t="str">
        <x:v>Belum Dinilai</x:v>
      </x:c>
      <x:c r="AE26" s="714" t="str">
        <x:v>Belum Dinilai</x:v>
      </x:c>
      <x:c r="AF26" s="713" t="str">
        <x:v>Belum Dinilai</x:v>
      </x:c>
      <x:c r="AG26" s="713" t="str">
        <x:v>Belum Dinilai</x:v>
      </x:c>
      <x:c r="AH26" s="715" t="str">
        <x:v>Belum Dinilai</x:v>
      </x:c>
      <x:c r="AI26" s="714" t="str">
        <x:v>Belum Dinilai</x:v>
      </x:c>
      <x:c r="AJ26" s="713" t="str">
        <x:v>Belum Dinilai</x:v>
      </x:c>
      <x:c r="AK26" s="715" t="str">
        <x:v>Belum Dinilai</x:v>
      </x:c>
      <x:c r="AL26" s="713" t="str"/>
      <x:c r="AM26" s="716" t="str">
        <x:v>Belum Dinilai</x:v>
      </x:c>
      <x:c r="AN26" s="716" t="str">
        <x:f>IF(AND(COUNTIF(AC26:AK26,"Ya")=0,AL26=""),IF(COUNTIF(AC26:AK26,"Belum Dinilai")&gt;0,"Belum Dinilai","Tidak ada risiko khusus"),TEXTJOIN(", ",TRUE,IF(AC26="Ya","Bangunan berpotensi roboh",""),IF(AD26="Ya","Bekas kebakaran dan tidak aman dihuni",""),IF(AE26="Ya","Atap atau dinding utama hampir runtuh",""),IF(AF26="Ya","Genangan yang membahayakan",""),IF(AG26="Ya","Struktur rumah tidak stabil",""),IF(AH26="Ya","Instalasi listrik berbahaya",""),IF(AI26="Ya","Komponen bangunan lepas atau lapuk",""),IF(AJ26="Ya","Akses keluar atau evakuasi terbatas",""),IF(AK26="Ya","Lokasi rawan bencana",""),IF(AL26&lt;&gt;"","Lainnya: "&amp;AL26,"")))</x:f>
        <x:v>Belum Dinilai</x:v>
      </x:c>
      <x:c r="AO26" s="716" t="str">
        <x:f>IF(AR26="","Belum Dinilai",IF(AR26=10,"Risiko Tinggi/Darurat",IF(AR26=5,"Risiko Sedang","Tidak Ada Risiko Khusus")))</x:f>
        <x:v>Belum Dinilai</x:v>
      </x:c>
      <x:c r="AP26" s="716" t="str"/>
      <x:c r="AQ26" s="719" t="str">
        <x:f>IF(OR(J26="",J26="Belum Dapat Ditentukan",L26="",L26="Belum Dinilai",N26="",N26="Belum Dinilai",P26="",P26="Belum Dinilai"),"",IF(J26="Permanen",0,IF(J26="Semipermanen",8,IF(J26="Nonpermanen",15,0)))+IF(L26="Baik",0,IF(L26="Rusak Ringan",5,IF(L26="Rusak Sedang",10,IF(L26="Rusak Berat",15,IF(L26="Tidak Ada/Terbuka",20,0)))))+IF(N26="Baik",0,IF(N26="Rusak Ringan",5,IF(N26="Rusak Sedang",10,IF(N26="Rusak Berat",15,IF(N26="Tidak Ada/Terbuka",20,0)))))+IF(P26="Baik",0,IF(P26="Rusak Ringan",4,IF(P26="Rusak Sedang",8,IF(P26="Rusak Berat",12,IF(P26="Tidak Layak",15,0))))))</x:f>
      </x:c>
      <x:c r="AR26" s="719" t="str">
        <x:f>IF(COUNTIF(AC26:AH26,"Ya")&gt;0,10,IF(COUNTIF(AI26:AK26,"Ya")&gt;=2,10,IF(COUNTIF(AI26:AK26,"Ya")=1,MAX(5,IF(AM26="Risiko Tinggi/Darurat",10,IF(AM26="Risiko Sedang",5,0))),IF(AL26&lt;&gt;"",IF(AM26="Risiko Tinggi/Darurat",10,IF(AM26="Risiko Sedang",5,"")),IF(COUNTIF(AC26:AK26,"Belum Dinilai")&gt;0,"",0)))))</x:f>
      </x:c>
      <x:c r="AS26" s="719" t="str">
        <x:f>IF(OR(AQ26="",AB26="",AR26=""),"",AQ26+AB26+AR26)</x:f>
      </x:c>
      <x:c r="AT26" s="719" t="str">
        <x:f>IF(AS26="","Belum Dapat Ditentukan",IF(AS26&gt;=80,"Sangat Tinggi",IF(OR(AO26="Risiko Tinggi/Darurat",(IF(L26="Rusak Berat",1,0)+IF(L26="Tidak Ada/Terbuka",1,0)+IF(N26="Rusak Berat",1,0)+IF(N26="Tidak Ada/Terbuka",1,0)+IF(P26="Rusak Berat",1,0)+IF(P26="Tidak Layak",1,0))&gt;=2),"Tinggi",IF(AS26&gt;=65,"Tinggi",IF(AS26&gt;=50,"Sedang","Rendah")))))</x:f>
        <x:v>Belum Dapat Ditentukan</x:v>
      </x:c>
      <x:c r="AU26" s="240" t="str">
        <x:v>Lengkap</x:v>
      </x:c>
      <x:c r="AV26" s="240" t="str">
        <x:v>Sudah Diverifikasi</x:v>
      </x:c>
      <x:c r="AW26" s="240" t="str">
        <x:v>Belum Ditangani</x:v>
      </x:c>
      <x:c r="AX26" s="240"/>
      <x:c r="AY26" s="240"/>
      <x:c r="AZ26" s="240" t="str">
        <x:v>Belum Diverifikasi</x:v>
      </x:c>
      <x:c r="BA26" s="240"/>
      <x:c r="BB26" s="240"/>
      <x:c r="BC26" s="240" t="n">
        <x:v>2026</x:v>
      </x:c>
      <x:c r="BD26" s="240" t="str">
        <x:v>Usulan Musrenbang/Pokir DPRD</x:v>
      </x:c>
      <x:c r="BE26" s="240" t="n">
        <x:v>46218</x:v>
      </x:c>
      <x:c r="BF26" s="240" t="str">
        <x:v>Dinas Perkim Kota Pangkalpinang</x:v>
      </x:c>
    </x:row>
    <x:row r="27" ht="32" customHeight="1">
      <x:c r="A27" s="314" t="str">
        <x:v>RTLH-0027</x:v>
      </x:c>
      <x:c r="B27" s="315" t="str">
        <x:v>BONG A THIN</x:v>
      </x:c>
      <x:c r="C27" s="316"/>
      <x:c r="D27" s="316"/>
      <x:c r="E27" s="315" t="str">
        <x:v>JL. TELUK BAYUR RT.009 RW.003</x:v>
      </x:c>
      <x:c r="F27" s="315" t="str">
        <x:v>PASIR PUTIH</x:v>
      </x:c>
      <x:c r="G27" s="315" t="str">
        <x:v>BUKIT INTAN</x:v>
      </x:c>
      <x:c r="H27" s="315" t="str">
        <x:v>Pembangunan Baru</x:v>
      </x:c>
      <x:c r="I27" s="317" t="str">
        <x:v>RUMAH FULL PAPAN, ATAP GENTENG.LANTAI PLASTER.WC DILUAR.</x:v>
      </x:c>
      <x:c r="J27" s="315" t="str">
        <x:v>Nonpermanen</x:v>
      </x:c>
      <x:c r="K27" s="315" t="str">
        <x:v>Genteng</x:v>
      </x:c>
      <x:c r="L27" s="315" t="str">
        <x:v>Belum Dinilai</x:v>
      </x:c>
      <x:c r="M27" s="367" t="str">
        <x:v>Papan/Kayu</x:v>
      </x:c>
      <x:c r="N27" s="315" t="str">
        <x:v>Belum Dinilai</x:v>
      </x:c>
      <x:c r="O27" s="316" t="str">
        <x:v>Semen/Plester</x:v>
      </x:c>
      <x:c r="P27" s="349" t="str">
        <x:v>Belum Dinilai</x:v>
      </x:c>
      <x:c r="Q27" s="707" t="str">
        <x:v>Belum Dinilai</x:v>
      </x:c>
      <x:c r="R27" s="707" t="str">
        <x:v>Belum Dinilai</x:v>
      </x:c>
      <x:c r="S27" s="708" t="str">
        <x:v>Belum Dinilai</x:v>
      </x:c>
      <x:c r="T27" s="709" t="str">
        <x:v>Belum Dinilai</x:v>
      </x:c>
      <x:c r="U27" s="704" t="str">
        <x:v>Belum Dinilai</x:v>
      </x:c>
      <x:c r="V27" s="704" t="str">
        <x:v>Belum Dinilai</x:v>
      </x:c>
      <x:c r="W27" s="704" t="str"/>
      <x:c r="X27" s="704" t="str">
        <x:f>IF(COUNTIF(R27:V27,"Belum Dinilai")&gt;0,"Belum Dinilai",IF(COUNTIF(R27:V27,"Ya")=0,"Tidak ada faktor rentan",TEXTJOIN(", ",TRUE,IF(R27="Ya","Lansia",""),IF(S27="Ya","Penyandang disabilitas",""),IF(T27="Ya","Kepala keluarga perempuan",""),IF(U27="Ya","Balita",""),IF(V27="Ya","Anggota keluarga dengan ketergantungan tinggi",""))))</x:f>
        <x:v>Belum Dinilai</x:v>
      </x:c>
      <x:c r="Y27" s="704" t="str">
        <x:f>IF(COUNTIF(R27:V27,"Belum Dinilai")&gt;0,"Belum Dinilai",IF(COUNTIF(R27:V27,"Ya")=0,"Tidak Ada Faktor Rentan",IF(COUNTIF(R27:V27,"Ya")=1,"1 Faktor Rentan","2 atau Lebih Faktor Rentan")))</x:f>
        <x:v>Belum Dinilai</x:v>
      </x:c>
      <x:c r="Z27" s="704" t="str">
        <x:f>IF(OR(Q27="",Q27="Belum Dinilai"),"",IF(Q27="Terverifikasi DTKS/P3KE/MBR",10,IF(Q27="Diusulkan, Belum Terverifikasi",5,0)))</x:f>
      </x:c>
      <x:c r="AA27" s="705" t="str">
        <x:f>IF(COUNTIF(R27:V27,"Belum Dinilai")&gt;0,"",IF(COUNTIF(R27:V27,"Ya")=0,0,IF(COUNTIF(R27:V27,"Ya")=1,5,10)))</x:f>
      </x:c>
      <x:c r="AB27" s="706" t="str">
        <x:f>IF(OR(Z27="",AA27=""),"",Z27+AA27)</x:f>
      </x:c>
      <x:c r="AC27" s="713" t="str">
        <x:v>Belum Dinilai</x:v>
      </x:c>
      <x:c r="AD27" s="713" t="str">
        <x:v>Belum Dinilai</x:v>
      </x:c>
      <x:c r="AE27" s="714" t="str">
        <x:v>Belum Dinilai</x:v>
      </x:c>
      <x:c r="AF27" s="713" t="str">
        <x:v>Belum Dinilai</x:v>
      </x:c>
      <x:c r="AG27" s="713" t="str">
        <x:v>Belum Dinilai</x:v>
      </x:c>
      <x:c r="AH27" s="715" t="str">
        <x:v>Belum Dinilai</x:v>
      </x:c>
      <x:c r="AI27" s="714" t="str">
        <x:v>Belum Dinilai</x:v>
      </x:c>
      <x:c r="AJ27" s="713" t="str">
        <x:v>Belum Dinilai</x:v>
      </x:c>
      <x:c r="AK27" s="715" t="str">
        <x:v>Belum Dinilai</x:v>
      </x:c>
      <x:c r="AL27" s="713" t="str"/>
      <x:c r="AM27" s="716" t="str">
        <x:v>Belum Dinilai</x:v>
      </x:c>
      <x:c r="AN27" s="716" t="str">
        <x:f>IF(AND(COUNTIF(AC27:AK27,"Ya")=0,AL27=""),IF(COUNTIF(AC27:AK27,"Belum Dinilai")&gt;0,"Belum Dinilai","Tidak ada risiko khusus"),TEXTJOIN(", ",TRUE,IF(AC27="Ya","Bangunan berpotensi roboh",""),IF(AD27="Ya","Bekas kebakaran dan tidak aman dihuni",""),IF(AE27="Ya","Atap atau dinding utama hampir runtuh",""),IF(AF27="Ya","Genangan yang membahayakan",""),IF(AG27="Ya","Struktur rumah tidak stabil",""),IF(AH27="Ya","Instalasi listrik berbahaya",""),IF(AI27="Ya","Komponen bangunan lepas atau lapuk",""),IF(AJ27="Ya","Akses keluar atau evakuasi terbatas",""),IF(AK27="Ya","Lokasi rawan bencana",""),IF(AL27&lt;&gt;"","Lainnya: "&amp;AL27,"")))</x:f>
        <x:v>Belum Dinilai</x:v>
      </x:c>
      <x:c r="AO27" s="716" t="str">
        <x:f>IF(AR27="","Belum Dinilai",IF(AR27=10,"Risiko Tinggi/Darurat",IF(AR27=5,"Risiko Sedang","Tidak Ada Risiko Khusus")))</x:f>
        <x:v>Belum Dinilai</x:v>
      </x:c>
      <x:c r="AP27" s="716" t="str"/>
      <x:c r="AQ27" s="719" t="str">
        <x:f>IF(OR(J27="",J27="Belum Dapat Ditentukan",L27="",L27="Belum Dinilai",N27="",N27="Belum Dinilai",P27="",P27="Belum Dinilai"),"",IF(J27="Permanen",0,IF(J27="Semipermanen",8,IF(J27="Nonpermanen",15,0)))+IF(L27="Baik",0,IF(L27="Rusak Ringan",5,IF(L27="Rusak Sedang",10,IF(L27="Rusak Berat",15,IF(L27="Tidak Ada/Terbuka",20,0)))))+IF(N27="Baik",0,IF(N27="Rusak Ringan",5,IF(N27="Rusak Sedang",10,IF(N27="Rusak Berat",15,IF(N27="Tidak Ada/Terbuka",20,0)))))+IF(P27="Baik",0,IF(P27="Rusak Ringan",4,IF(P27="Rusak Sedang",8,IF(P27="Rusak Berat",12,IF(P27="Tidak Layak",15,0))))))</x:f>
      </x:c>
      <x:c r="AR27" s="719" t="str">
        <x:f>IF(COUNTIF(AC27:AH27,"Ya")&gt;0,10,IF(COUNTIF(AI27:AK27,"Ya")&gt;=2,10,IF(COUNTIF(AI27:AK27,"Ya")=1,MAX(5,IF(AM27="Risiko Tinggi/Darurat",10,IF(AM27="Risiko Sedang",5,0))),IF(AL27&lt;&gt;"",IF(AM27="Risiko Tinggi/Darurat",10,IF(AM27="Risiko Sedang",5,"")),IF(COUNTIF(AC27:AK27,"Belum Dinilai")&gt;0,"",0)))))</x:f>
      </x:c>
      <x:c r="AS27" s="719" t="str">
        <x:f>IF(OR(AQ27="",AB27="",AR27=""),"",AQ27+AB27+AR27)</x:f>
      </x:c>
      <x:c r="AT27" s="719" t="str">
        <x:f>IF(AS27="","Belum Dapat Ditentukan",IF(AS27&gt;=80,"Sangat Tinggi",IF(OR(AO27="Risiko Tinggi/Darurat",(IF(L27="Rusak Berat",1,0)+IF(L27="Tidak Ada/Terbuka",1,0)+IF(N27="Rusak Berat",1,0)+IF(N27="Tidak Ada/Terbuka",1,0)+IF(P27="Rusak Berat",1,0)+IF(P27="Tidak Layak",1,0))&gt;=2),"Tinggi",IF(AS27&gt;=65,"Tinggi",IF(AS27&gt;=50,"Sedang","Rendah")))))</x:f>
        <x:v>Belum Dapat Ditentukan</x:v>
      </x:c>
      <x:c r="AU27" s="240" t="str">
        <x:v>Lengkap</x:v>
      </x:c>
      <x:c r="AV27" s="240" t="str">
        <x:v>Sudah Diverifikasi</x:v>
      </x:c>
      <x:c r="AW27" s="240" t="str">
        <x:v>Belum Ditangani</x:v>
      </x:c>
      <x:c r="AX27" s="240"/>
      <x:c r="AY27" s="240"/>
      <x:c r="AZ27" s="240" t="str">
        <x:v>Belum Diverifikasi</x:v>
      </x:c>
      <x:c r="BA27" s="240"/>
      <x:c r="BB27" s="240"/>
      <x:c r="BC27" s="240" t="n">
        <x:v>2026</x:v>
      </x:c>
      <x:c r="BD27" s="240" t="str">
        <x:v>Usulan Musrenbang/Pokir DPRD</x:v>
      </x:c>
      <x:c r="BE27" s="240" t="n">
        <x:v>46218</x:v>
      </x:c>
      <x:c r="BF27" s="240" t="str">
        <x:v>Dinas Perkim Kota Pangkalpinang</x:v>
      </x:c>
    </x:row>
    <x:row r="28" ht="32" customHeight="1">
      <x:c r="A28" s="314" t="str">
        <x:v>RTLH-0029</x:v>
      </x:c>
      <x:c r="B28" s="315" t="str">
        <x:v>YUHANA HANSI</x:v>
      </x:c>
      <x:c r="C28" s="316"/>
      <x:c r="D28" s="316"/>
      <x:c r="E28" s="315" t="str">
        <x:v>JL. AKASIA DALAM RT.009 RW.003</x:v>
      </x:c>
      <x:c r="F28" s="315" t="str">
        <x:v>BUKIT MERAPIN</x:v>
      </x:c>
      <x:c r="G28" s="315" t="str">
        <x:v>GERUNGGANG</x:v>
      </x:c>
      <x:c r="H28" s="315" t="str">
        <x:v>Pembangunan Baru</x:v>
      </x:c>
      <x:c r="I28" s="317" t="str">
        <x:v>RUMAH FULL PAPAN, ATAP SENG ,DINDING PAPAN RUSAK SEDANG,LANTAI PLASTERAN. RUMAH BOCOR RINGAN.</x:v>
      </x:c>
      <x:c r="J28" s="315" t="str">
        <x:v>Nonpermanen</x:v>
      </x:c>
      <x:c r="K28" s="315" t="str">
        <x:v>Seng</x:v>
      </x:c>
      <x:c r="L28" s="315" t="str">
        <x:v>Rusak Sedang</x:v>
      </x:c>
      <x:c r="M28" s="367" t="str">
        <x:v>Papan/Kayu</x:v>
      </x:c>
      <x:c r="N28" s="315" t="str">
        <x:v>Rusak Sedang</x:v>
      </x:c>
      <x:c r="O28" s="316" t="str">
        <x:v>Semen/Plester</x:v>
      </x:c>
      <x:c r="P28" s="349" t="str">
        <x:v>Rusak Sedang</x:v>
      </x:c>
      <x:c r="Q28" s="707" t="str">
        <x:v>Belum Dinilai</x:v>
      </x:c>
      <x:c r="R28" s="707" t="str">
        <x:v>Belum Dinilai</x:v>
      </x:c>
      <x:c r="S28" s="708" t="str">
        <x:v>Belum Dinilai</x:v>
      </x:c>
      <x:c r="T28" s="709" t="str">
        <x:v>Belum Dinilai</x:v>
      </x:c>
      <x:c r="U28" s="704" t="str">
        <x:v>Belum Dinilai</x:v>
      </x:c>
      <x:c r="V28" s="704" t="str">
        <x:v>Belum Dinilai</x:v>
      </x:c>
      <x:c r="W28" s="704" t="str"/>
      <x:c r="X28" s="704" t="str">
        <x:f>IF(COUNTIF(R28:V28,"Belum Dinilai")&gt;0,"Belum Dinilai",IF(COUNTIF(R28:V28,"Ya")=0,"Tidak ada faktor rentan",TEXTJOIN(", ",TRUE,IF(R28="Ya","Lansia",""),IF(S28="Ya","Penyandang disabilitas",""),IF(T28="Ya","Kepala keluarga perempuan",""),IF(U28="Ya","Balita",""),IF(V28="Ya","Anggota keluarga dengan ketergantungan tinggi",""))))</x:f>
        <x:v>Belum Dinilai</x:v>
      </x:c>
      <x:c r="Y28" s="704" t="str">
        <x:f>IF(COUNTIF(R28:V28,"Belum Dinilai")&gt;0,"Belum Dinilai",IF(COUNTIF(R28:V28,"Ya")=0,"Tidak Ada Faktor Rentan",IF(COUNTIF(R28:V28,"Ya")=1,"1 Faktor Rentan","2 atau Lebih Faktor Rentan")))</x:f>
        <x:v>Belum Dinilai</x:v>
      </x:c>
      <x:c r="Z28" s="704" t="str">
        <x:f>IF(OR(Q28="",Q28="Belum Dinilai"),"",IF(Q28="Terverifikasi DTKS/P3KE/MBR",10,IF(Q28="Diusulkan, Belum Terverifikasi",5,0)))</x:f>
      </x:c>
      <x:c r="AA28" s="705" t="str">
        <x:f>IF(COUNTIF(R28:V28,"Belum Dinilai")&gt;0,"",IF(COUNTIF(R28:V28,"Ya")=0,0,IF(COUNTIF(R28:V28,"Ya")=1,5,10)))</x:f>
      </x:c>
      <x:c r="AB28" s="706" t="str">
        <x:f>IF(OR(Z28="",AA28=""),"",Z28+AA28)</x:f>
      </x:c>
      <x:c r="AC28" s="713" t="str">
        <x:v>Belum Dinilai</x:v>
      </x:c>
      <x:c r="AD28" s="713" t="str">
        <x:v>Belum Dinilai</x:v>
      </x:c>
      <x:c r="AE28" s="714" t="str">
        <x:v>Belum Dinilai</x:v>
      </x:c>
      <x:c r="AF28" s="713" t="str">
        <x:v>Belum Dinilai</x:v>
      </x:c>
      <x:c r="AG28" s="713" t="str">
        <x:v>Belum Dinilai</x:v>
      </x:c>
      <x:c r="AH28" s="715" t="str">
        <x:v>Belum Dinilai</x:v>
      </x:c>
      <x:c r="AI28" s="714" t="str">
        <x:v>Belum Dinilai</x:v>
      </x:c>
      <x:c r="AJ28" s="713" t="str">
        <x:v>Belum Dinilai</x:v>
      </x:c>
      <x:c r="AK28" s="715" t="str">
        <x:v>Belum Dinilai</x:v>
      </x:c>
      <x:c r="AL28" s="713" t="str"/>
      <x:c r="AM28" s="716" t="str">
        <x:v>Belum Dinilai</x:v>
      </x:c>
      <x:c r="AN28" s="716" t="str">
        <x:f>IF(AND(COUNTIF(AC28:AK28,"Ya")=0,AL28=""),IF(COUNTIF(AC28:AK28,"Belum Dinilai")&gt;0,"Belum Dinilai","Tidak ada risiko khusus"),TEXTJOIN(", ",TRUE,IF(AC28="Ya","Bangunan berpotensi roboh",""),IF(AD28="Ya","Bekas kebakaran dan tidak aman dihuni",""),IF(AE28="Ya","Atap atau dinding utama hampir runtuh",""),IF(AF28="Ya","Genangan yang membahayakan",""),IF(AG28="Ya","Struktur rumah tidak stabil",""),IF(AH28="Ya","Instalasi listrik berbahaya",""),IF(AI28="Ya","Komponen bangunan lepas atau lapuk",""),IF(AJ28="Ya","Akses keluar atau evakuasi terbatas",""),IF(AK28="Ya","Lokasi rawan bencana",""),IF(AL28&lt;&gt;"","Lainnya: "&amp;AL28,"")))</x:f>
        <x:v>Belum Dinilai</x:v>
      </x:c>
      <x:c r="AO28" s="716" t="str">
        <x:f>IF(AR28="","Belum Dinilai",IF(AR28=10,"Risiko Tinggi/Darurat",IF(AR28=5,"Risiko Sedang","Tidak Ada Risiko Khusus")))</x:f>
        <x:v>Belum Dinilai</x:v>
      </x:c>
      <x:c r="AP28" s="716" t="str"/>
      <x:c r="AQ28" s="719" t="n">
        <x:f>IF(OR(J28="",J28="Belum Dapat Ditentukan",L28="",L28="Belum Dinilai",N28="",N28="Belum Dinilai",P28="",P28="Belum Dinilai"),"",IF(J28="Permanen",0,IF(J28="Semipermanen",8,IF(J28="Nonpermanen",15,0)))+IF(L28="Baik",0,IF(L28="Rusak Ringan",5,IF(L28="Rusak Sedang",10,IF(L28="Rusak Berat",15,IF(L28="Tidak Ada/Terbuka",20,0)))))+IF(N28="Baik",0,IF(N28="Rusak Ringan",5,IF(N28="Rusak Sedang",10,IF(N28="Rusak Berat",15,IF(N28="Tidak Ada/Terbuka",20,0)))))+IF(P28="Baik",0,IF(P28="Rusak Ringan",4,IF(P28="Rusak Sedang",8,IF(P28="Rusak Berat",12,IF(P28="Tidak Layak",15,0))))))</x:f>
        <x:v>43</x:v>
      </x:c>
      <x:c r="AR28" s="719" t="str">
        <x:f>IF(COUNTIF(AC28:AH28,"Ya")&gt;0,10,IF(COUNTIF(AI28:AK28,"Ya")&gt;=2,10,IF(COUNTIF(AI28:AK28,"Ya")=1,MAX(5,IF(AM28="Risiko Tinggi/Darurat",10,IF(AM28="Risiko Sedang",5,0))),IF(AL28&lt;&gt;"",IF(AM28="Risiko Tinggi/Darurat",10,IF(AM28="Risiko Sedang",5,"")),IF(COUNTIF(AC28:AK28,"Belum Dinilai")&gt;0,"",0)))))</x:f>
      </x:c>
      <x:c r="AS28" s="719" t="str">
        <x:f>IF(OR(AQ28="",AB28="",AR28=""),"",AQ28+AB28+AR28)</x:f>
      </x:c>
      <x:c r="AT28" s="719" t="str">
        <x:f>IF(AS28="","Belum Dapat Ditentukan",IF(AS28&gt;=80,"Sangat Tinggi",IF(OR(AO28="Risiko Tinggi/Darurat",(IF(L28="Rusak Berat",1,0)+IF(L28="Tidak Ada/Terbuka",1,0)+IF(N28="Rusak Berat",1,0)+IF(N28="Tidak Ada/Terbuka",1,0)+IF(P28="Rusak Berat",1,0)+IF(P28="Tidak Layak",1,0))&gt;=2),"Tinggi",IF(AS28&gt;=65,"Tinggi",IF(AS28&gt;=50,"Sedang","Rendah")))))</x:f>
        <x:v>Belum Dapat Ditentukan</x:v>
      </x:c>
      <x:c r="AU28" s="240" t="str">
        <x:v>Lengkap</x:v>
      </x:c>
      <x:c r="AV28" s="240" t="str">
        <x:v>Sudah Diverifikasi</x:v>
      </x:c>
      <x:c r="AW28" s="240" t="str">
        <x:v>Belum Ditangani</x:v>
      </x:c>
      <x:c r="AX28" s="240"/>
      <x:c r="AY28" s="240"/>
      <x:c r="AZ28" s="240" t="str">
        <x:v>Belum Diverifikasi</x:v>
      </x:c>
      <x:c r="BA28" s="240"/>
      <x:c r="BB28" s="240"/>
      <x:c r="BC28" s="240" t="n">
        <x:v>2026</x:v>
      </x:c>
      <x:c r="BD28" s="240" t="str">
        <x:v>Usulan Musrenbang/Pokir DPRD</x:v>
      </x:c>
      <x:c r="BE28" s="240" t="n">
        <x:v>46218</x:v>
      </x:c>
      <x:c r="BF28" s="240" t="str">
        <x:v>Dinas Perkim Kota Pangkalpinang</x:v>
      </x:c>
    </x:row>
    <x:row r="29" ht="32" customHeight="1">
      <x:c r="A29" s="314" t="str">
        <x:v>RTLH-0030</x:v>
      </x:c>
      <x:c r="B29" s="315" t="str">
        <x:v>RUSTAM EFENDI</x:v>
      </x:c>
      <x:c r="C29" s="316"/>
      <x:c r="D29" s="316"/>
      <x:c r="E29" s="315" t="str">
        <x:v>JL. SUMEDANG GG.PIPIT RT.006 RW.002</x:v>
      </x:c>
      <x:c r="F29" s="315" t="str">
        <x:v>KACANG PEDANG</x:v>
      </x:c>
      <x:c r="G29" s="315" t="str">
        <x:v>GERUNGGANG</x:v>
      </x:c>
      <x:c r="H29" s="315" t="str">
        <x:v>Peningkatan Kualitas</x:v>
      </x:c>
      <x:c r="I29" s="317" t="str">
        <x:v>RUMAH PERMANEN, DAPUR RUSAK RINGAN. ATAP RUSAK RINGAN</x:v>
      </x:c>
      <x:c r="J29" s="315" t="str">
        <x:v>Permanen</x:v>
      </x:c>
      <x:c r="K29" s="315" t="str">
        <x:v>Belum Diidentifikasi</x:v>
      </x:c>
      <x:c r="L29" s="315" t="str">
        <x:v>Rusak Ringan</x:v>
      </x:c>
      <x:c r="M29" s="367" t="str">
        <x:v>Dinding Permanen (Material tidak dirinci)</x:v>
      </x:c>
      <x:c r="N29" s="315" t="str">
        <x:v>Belum Dinilai</x:v>
      </x:c>
      <x:c r="O29" s="316" t="str">
        <x:v>Belum Diidentifikasi</x:v>
      </x:c>
      <x:c r="P29" s="349" t="str">
        <x:v>Belum Dinilai</x:v>
      </x:c>
      <x:c r="Q29" s="707" t="str">
        <x:v>Belum Dinilai</x:v>
      </x:c>
      <x:c r="R29" s="707" t="str">
        <x:v>Belum Dinilai</x:v>
      </x:c>
      <x:c r="S29" s="708" t="str">
        <x:v>Belum Dinilai</x:v>
      </x:c>
      <x:c r="T29" s="709" t="str">
        <x:v>Belum Dinilai</x:v>
      </x:c>
      <x:c r="U29" s="704" t="str">
        <x:v>Belum Dinilai</x:v>
      </x:c>
      <x:c r="V29" s="704" t="str">
        <x:v>Belum Dinilai</x:v>
      </x:c>
      <x:c r="W29" s="704" t="str"/>
      <x:c r="X29" s="704" t="str">
        <x:f>IF(COUNTIF(R29:V29,"Belum Dinilai")&gt;0,"Belum Dinilai",IF(COUNTIF(R29:V29,"Ya")=0,"Tidak ada faktor rentan",TEXTJOIN(", ",TRUE,IF(R29="Ya","Lansia",""),IF(S29="Ya","Penyandang disabilitas",""),IF(T29="Ya","Kepala keluarga perempuan",""),IF(U29="Ya","Balita",""),IF(V29="Ya","Anggota keluarga dengan ketergantungan tinggi",""))))</x:f>
        <x:v>Belum Dinilai</x:v>
      </x:c>
      <x:c r="Y29" s="704" t="str">
        <x:f>IF(COUNTIF(R29:V29,"Belum Dinilai")&gt;0,"Belum Dinilai",IF(COUNTIF(R29:V29,"Ya")=0,"Tidak Ada Faktor Rentan",IF(COUNTIF(R29:V29,"Ya")=1,"1 Faktor Rentan","2 atau Lebih Faktor Rentan")))</x:f>
        <x:v>Belum Dinilai</x:v>
      </x:c>
      <x:c r="Z29" s="704" t="str">
        <x:f>IF(OR(Q29="",Q29="Belum Dinilai"),"",IF(Q29="Terverifikasi DTKS/P3KE/MBR",10,IF(Q29="Diusulkan, Belum Terverifikasi",5,0)))</x:f>
      </x:c>
      <x:c r="AA29" s="705" t="str">
        <x:f>IF(COUNTIF(R29:V29,"Belum Dinilai")&gt;0,"",IF(COUNTIF(R29:V29,"Ya")=0,0,IF(COUNTIF(R29:V29,"Ya")=1,5,10)))</x:f>
      </x:c>
      <x:c r="AB29" s="706" t="str">
        <x:f>IF(OR(Z29="",AA29=""),"",Z29+AA29)</x:f>
      </x:c>
      <x:c r="AC29" s="713" t="str">
        <x:v>Belum Dinilai</x:v>
      </x:c>
      <x:c r="AD29" s="713" t="str">
        <x:v>Belum Dinilai</x:v>
      </x:c>
      <x:c r="AE29" s="714" t="str">
        <x:v>Belum Dinilai</x:v>
      </x:c>
      <x:c r="AF29" s="713" t="str">
        <x:v>Belum Dinilai</x:v>
      </x:c>
      <x:c r="AG29" s="713" t="str">
        <x:v>Belum Dinilai</x:v>
      </x:c>
      <x:c r="AH29" s="715" t="str">
        <x:v>Belum Dinilai</x:v>
      </x:c>
      <x:c r="AI29" s="714" t="str">
        <x:v>Belum Dinilai</x:v>
      </x:c>
      <x:c r="AJ29" s="713" t="str">
        <x:v>Belum Dinilai</x:v>
      </x:c>
      <x:c r="AK29" s="715" t="str">
        <x:v>Belum Dinilai</x:v>
      </x:c>
      <x:c r="AL29" s="713" t="str"/>
      <x:c r="AM29" s="716" t="str">
        <x:v>Belum Dinilai</x:v>
      </x:c>
      <x:c r="AN29" s="716" t="str">
        <x:f>IF(AND(COUNTIF(AC29:AK29,"Ya")=0,AL29=""),IF(COUNTIF(AC29:AK29,"Belum Dinilai")&gt;0,"Belum Dinilai","Tidak ada risiko khusus"),TEXTJOIN(", ",TRUE,IF(AC29="Ya","Bangunan berpotensi roboh",""),IF(AD29="Ya","Bekas kebakaran dan tidak aman dihuni",""),IF(AE29="Ya","Atap atau dinding utama hampir runtuh",""),IF(AF29="Ya","Genangan yang membahayakan",""),IF(AG29="Ya","Struktur rumah tidak stabil",""),IF(AH29="Ya","Instalasi listrik berbahaya",""),IF(AI29="Ya","Komponen bangunan lepas atau lapuk",""),IF(AJ29="Ya","Akses keluar atau evakuasi terbatas",""),IF(AK29="Ya","Lokasi rawan bencana",""),IF(AL29&lt;&gt;"","Lainnya: "&amp;AL29,"")))</x:f>
        <x:v>Belum Dinilai</x:v>
      </x:c>
      <x:c r="AO29" s="716" t="str">
        <x:f>IF(AR29="","Belum Dinilai",IF(AR29=10,"Risiko Tinggi/Darurat",IF(AR29=5,"Risiko Sedang","Tidak Ada Risiko Khusus")))</x:f>
        <x:v>Belum Dinilai</x:v>
      </x:c>
      <x:c r="AP29" s="716" t="str"/>
      <x:c r="AQ29" s="719" t="str">
        <x:f>IF(OR(J29="",J29="Belum Dapat Ditentukan",L29="",L29="Belum Dinilai",N29="",N29="Belum Dinilai",P29="",P29="Belum Dinilai"),"",IF(J29="Permanen",0,IF(J29="Semipermanen",8,IF(J29="Nonpermanen",15,0)))+IF(L29="Baik",0,IF(L29="Rusak Ringan",5,IF(L29="Rusak Sedang",10,IF(L29="Rusak Berat",15,IF(L29="Tidak Ada/Terbuka",20,0)))))+IF(N29="Baik",0,IF(N29="Rusak Ringan",5,IF(N29="Rusak Sedang",10,IF(N29="Rusak Berat",15,IF(N29="Tidak Ada/Terbuka",20,0)))))+IF(P29="Baik",0,IF(P29="Rusak Ringan",4,IF(P29="Rusak Sedang",8,IF(P29="Rusak Berat",12,IF(P29="Tidak Layak",15,0))))))</x:f>
      </x:c>
      <x:c r="AR29" s="719" t="str">
        <x:f>IF(COUNTIF(AC29:AH29,"Ya")&gt;0,10,IF(COUNTIF(AI29:AK29,"Ya")&gt;=2,10,IF(COUNTIF(AI29:AK29,"Ya")=1,MAX(5,IF(AM29="Risiko Tinggi/Darurat",10,IF(AM29="Risiko Sedang",5,0))),IF(AL29&lt;&gt;"",IF(AM29="Risiko Tinggi/Darurat",10,IF(AM29="Risiko Sedang",5,"")),IF(COUNTIF(AC29:AK29,"Belum Dinilai")&gt;0,"",0)))))</x:f>
      </x:c>
      <x:c r="AS29" s="719" t="str">
        <x:f>IF(OR(AQ29="",AB29="",AR29=""),"",AQ29+AB29+AR29)</x:f>
      </x:c>
      <x:c r="AT29" s="719" t="str">
        <x:f>IF(AS29="","Belum Dapat Ditentukan",IF(AS29&gt;=80,"Sangat Tinggi",IF(OR(AO29="Risiko Tinggi/Darurat",(IF(L29="Rusak Berat",1,0)+IF(L29="Tidak Ada/Terbuka",1,0)+IF(N29="Rusak Berat",1,0)+IF(N29="Tidak Ada/Terbuka",1,0)+IF(P29="Rusak Berat",1,0)+IF(P29="Tidak Layak",1,0))&gt;=2),"Tinggi",IF(AS29&gt;=65,"Tinggi",IF(AS29&gt;=50,"Sedang","Rendah")))))</x:f>
        <x:v>Belum Dapat Ditentukan</x:v>
      </x:c>
      <x:c r="AU29" s="240" t="str">
        <x:v>Lengkap</x:v>
      </x:c>
      <x:c r="AV29" s="240" t="str">
        <x:v>Sudah Diverifikasi</x:v>
      </x:c>
      <x:c r="AW29" s="240" t="str">
        <x:v>Belum Ditangani</x:v>
      </x:c>
      <x:c r="AX29" s="240"/>
      <x:c r="AY29" s="240"/>
      <x:c r="AZ29" s="240" t="str">
        <x:v>Belum Diverifikasi</x:v>
      </x:c>
      <x:c r="BA29" s="240"/>
      <x:c r="BB29" s="240"/>
      <x:c r="BC29" s="240" t="n">
        <x:v>2026</x:v>
      </x:c>
      <x:c r="BD29" s="240" t="str">
        <x:v>Usulan Musrenbang/Pokir DPRD</x:v>
      </x:c>
      <x:c r="BE29" s="240" t="n">
        <x:v>46218</x:v>
      </x:c>
      <x:c r="BF29" s="240" t="str">
        <x:v>Dinas Perkim Kota Pangkalpinang</x:v>
      </x:c>
    </x:row>
    <x:row r="30" ht="32" customHeight="1">
      <x:c r="A30" s="314" t="str">
        <x:v>RTLH-0031</x:v>
      </x:c>
      <x:c r="B30" s="315" t="str">
        <x:v>LIM JIT SEN</x:v>
      </x:c>
      <x:c r="C30" s="316"/>
      <x:c r="D30" s="316"/>
      <x:c r="E30" s="315" t="str">
        <x:v>JL. MATRI URIP DALAM 1 NO.06 RT.001 RW.001</x:v>
      </x:c>
      <x:c r="F30" s="315" t="str">
        <x:v>TAMAN BUNGA</x:v>
      </x:c>
      <x:c r="G30" s="315" t="str">
        <x:v>GERUNGGANG</x:v>
      </x:c>
      <x:c r="H30" s="315" t="str">
        <x:v>Pembangunan Baru</x:v>
      </x:c>
      <x:c r="I30" s="317" t="str">
        <x:v>RUMAH FULL PAPAN, ATAP SENG ,DINDING PAPAN RUSAK SEDANG,LANTAI PLASTERAN. RUMAH BOCOR RINGAN.</x:v>
      </x:c>
      <x:c r="J30" s="315" t="str">
        <x:v>Nonpermanen</x:v>
      </x:c>
      <x:c r="K30" s="315" t="str">
        <x:v>Seng</x:v>
      </x:c>
      <x:c r="L30" s="315" t="str">
        <x:v>Rusak Sedang</x:v>
      </x:c>
      <x:c r="M30" s="367" t="str">
        <x:v>Papan/Kayu</x:v>
      </x:c>
      <x:c r="N30" s="315" t="str">
        <x:v>Rusak Sedang</x:v>
      </x:c>
      <x:c r="O30" s="316" t="str">
        <x:v>Semen/Plester</x:v>
      </x:c>
      <x:c r="P30" s="349" t="str">
        <x:v>Rusak Sedang</x:v>
      </x:c>
      <x:c r="Q30" s="707" t="str">
        <x:v>Belum Dinilai</x:v>
      </x:c>
      <x:c r="R30" s="707" t="str">
        <x:v>Belum Dinilai</x:v>
      </x:c>
      <x:c r="S30" s="708" t="str">
        <x:v>Belum Dinilai</x:v>
      </x:c>
      <x:c r="T30" s="709" t="str">
        <x:v>Belum Dinilai</x:v>
      </x:c>
      <x:c r="U30" s="704" t="str">
        <x:v>Belum Dinilai</x:v>
      </x:c>
      <x:c r="V30" s="704" t="str">
        <x:v>Belum Dinilai</x:v>
      </x:c>
      <x:c r="W30" s="704" t="str"/>
      <x:c r="X30" s="704" t="str">
        <x:f>IF(COUNTIF(R30:V30,"Belum Dinilai")&gt;0,"Belum Dinilai",IF(COUNTIF(R30:V30,"Ya")=0,"Tidak ada faktor rentan",TEXTJOIN(", ",TRUE,IF(R30="Ya","Lansia",""),IF(S30="Ya","Penyandang disabilitas",""),IF(T30="Ya","Kepala keluarga perempuan",""),IF(U30="Ya","Balita",""),IF(V30="Ya","Anggota keluarga dengan ketergantungan tinggi",""))))</x:f>
        <x:v>Belum Dinilai</x:v>
      </x:c>
      <x:c r="Y30" s="704" t="str">
        <x:f>IF(COUNTIF(R30:V30,"Belum Dinilai")&gt;0,"Belum Dinilai",IF(COUNTIF(R30:V30,"Ya")=0,"Tidak Ada Faktor Rentan",IF(COUNTIF(R30:V30,"Ya")=1,"1 Faktor Rentan","2 atau Lebih Faktor Rentan")))</x:f>
        <x:v>Belum Dinilai</x:v>
      </x:c>
      <x:c r="Z30" s="704" t="str">
        <x:f>IF(OR(Q30="",Q30="Belum Dinilai"),"",IF(Q30="Terverifikasi DTKS/P3KE/MBR",10,IF(Q30="Diusulkan, Belum Terverifikasi",5,0)))</x:f>
      </x:c>
      <x:c r="AA30" s="705" t="str">
        <x:f>IF(COUNTIF(R30:V30,"Belum Dinilai")&gt;0,"",IF(COUNTIF(R30:V30,"Ya")=0,0,IF(COUNTIF(R30:V30,"Ya")=1,5,10)))</x:f>
      </x:c>
      <x:c r="AB30" s="706" t="str">
        <x:f>IF(OR(Z30="",AA30=""),"",Z30+AA30)</x:f>
      </x:c>
      <x:c r="AC30" s="713" t="str">
        <x:v>Belum Dinilai</x:v>
      </x:c>
      <x:c r="AD30" s="713" t="str">
        <x:v>Belum Dinilai</x:v>
      </x:c>
      <x:c r="AE30" s="714" t="str">
        <x:v>Belum Dinilai</x:v>
      </x:c>
      <x:c r="AF30" s="713" t="str">
        <x:v>Belum Dinilai</x:v>
      </x:c>
      <x:c r="AG30" s="713" t="str">
        <x:v>Belum Dinilai</x:v>
      </x:c>
      <x:c r="AH30" s="715" t="str">
        <x:v>Belum Dinilai</x:v>
      </x:c>
      <x:c r="AI30" s="714" t="str">
        <x:v>Belum Dinilai</x:v>
      </x:c>
      <x:c r="AJ30" s="713" t="str">
        <x:v>Belum Dinilai</x:v>
      </x:c>
      <x:c r="AK30" s="715" t="str">
        <x:v>Belum Dinilai</x:v>
      </x:c>
      <x:c r="AL30" s="713" t="str"/>
      <x:c r="AM30" s="716" t="str">
        <x:v>Belum Dinilai</x:v>
      </x:c>
      <x:c r="AN30" s="716" t="str">
        <x:f>IF(AND(COUNTIF(AC30:AK30,"Ya")=0,AL30=""),IF(COUNTIF(AC30:AK30,"Belum Dinilai")&gt;0,"Belum Dinilai","Tidak ada risiko khusus"),TEXTJOIN(", ",TRUE,IF(AC30="Ya","Bangunan berpotensi roboh",""),IF(AD30="Ya","Bekas kebakaran dan tidak aman dihuni",""),IF(AE30="Ya","Atap atau dinding utama hampir runtuh",""),IF(AF30="Ya","Genangan yang membahayakan",""),IF(AG30="Ya","Struktur rumah tidak stabil",""),IF(AH30="Ya","Instalasi listrik berbahaya",""),IF(AI30="Ya","Komponen bangunan lepas atau lapuk",""),IF(AJ30="Ya","Akses keluar atau evakuasi terbatas",""),IF(AK30="Ya","Lokasi rawan bencana",""),IF(AL30&lt;&gt;"","Lainnya: "&amp;AL30,"")))</x:f>
        <x:v>Belum Dinilai</x:v>
      </x:c>
      <x:c r="AO30" s="716" t="str">
        <x:f>IF(AR30="","Belum Dinilai",IF(AR30=10,"Risiko Tinggi/Darurat",IF(AR30=5,"Risiko Sedang","Tidak Ada Risiko Khusus")))</x:f>
        <x:v>Belum Dinilai</x:v>
      </x:c>
      <x:c r="AP30" s="716" t="str"/>
      <x:c r="AQ30" s="719" t="n">
        <x:f>IF(OR(J30="",J30="Belum Dapat Ditentukan",L30="",L30="Belum Dinilai",N30="",N30="Belum Dinilai",P30="",P30="Belum Dinilai"),"",IF(J30="Permanen",0,IF(J30="Semipermanen",8,IF(J30="Nonpermanen",15,0)))+IF(L30="Baik",0,IF(L30="Rusak Ringan",5,IF(L30="Rusak Sedang",10,IF(L30="Rusak Berat",15,IF(L30="Tidak Ada/Terbuka",20,0)))))+IF(N30="Baik",0,IF(N30="Rusak Ringan",5,IF(N30="Rusak Sedang",10,IF(N30="Rusak Berat",15,IF(N30="Tidak Ada/Terbuka",20,0)))))+IF(P30="Baik",0,IF(P30="Rusak Ringan",4,IF(P30="Rusak Sedang",8,IF(P30="Rusak Berat",12,IF(P30="Tidak Layak",15,0))))))</x:f>
        <x:v>43</x:v>
      </x:c>
      <x:c r="AR30" s="719" t="str">
        <x:f>IF(COUNTIF(AC30:AH30,"Ya")&gt;0,10,IF(COUNTIF(AI30:AK30,"Ya")&gt;=2,10,IF(COUNTIF(AI30:AK30,"Ya")=1,MAX(5,IF(AM30="Risiko Tinggi/Darurat",10,IF(AM30="Risiko Sedang",5,0))),IF(AL30&lt;&gt;"",IF(AM30="Risiko Tinggi/Darurat",10,IF(AM30="Risiko Sedang",5,"")),IF(COUNTIF(AC30:AK30,"Belum Dinilai")&gt;0,"",0)))))</x:f>
      </x:c>
      <x:c r="AS30" s="719" t="str">
        <x:f>IF(OR(AQ30="",AB30="",AR30=""),"",AQ30+AB30+AR30)</x:f>
      </x:c>
      <x:c r="AT30" s="719" t="str">
        <x:f>IF(AS30="","Belum Dapat Ditentukan",IF(AS30&gt;=80,"Sangat Tinggi",IF(OR(AO30="Risiko Tinggi/Darurat",(IF(L30="Rusak Berat",1,0)+IF(L30="Tidak Ada/Terbuka",1,0)+IF(N30="Rusak Berat",1,0)+IF(N30="Tidak Ada/Terbuka",1,0)+IF(P30="Rusak Berat",1,0)+IF(P30="Tidak Layak",1,0))&gt;=2),"Tinggi",IF(AS30&gt;=65,"Tinggi",IF(AS30&gt;=50,"Sedang","Rendah")))))</x:f>
        <x:v>Belum Dapat Ditentukan</x:v>
      </x:c>
      <x:c r="AU30" s="240" t="str">
        <x:v>Lengkap</x:v>
      </x:c>
      <x:c r="AV30" s="240" t="str">
        <x:v>Sudah Diverifikasi</x:v>
      </x:c>
      <x:c r="AW30" s="240" t="str">
        <x:v>Belum Ditangani</x:v>
      </x:c>
      <x:c r="AX30" s="240"/>
      <x:c r="AY30" s="240"/>
      <x:c r="AZ30" s="240" t="str">
        <x:v>Belum Diverifikasi</x:v>
      </x:c>
      <x:c r="BA30" s="240"/>
      <x:c r="BB30" s="240"/>
      <x:c r="BC30" s="240" t="n">
        <x:v>2026</x:v>
      </x:c>
      <x:c r="BD30" s="240" t="str">
        <x:v>Usulan Musrenbang/Pokir DPRD</x:v>
      </x:c>
      <x:c r="BE30" s="240" t="n">
        <x:v>46218</x:v>
      </x:c>
      <x:c r="BF30" s="240" t="str">
        <x:v>Dinas Perkim Kota Pangkalpinang</x:v>
      </x:c>
    </x:row>
    <x:row r="31" ht="32" customHeight="1">
      <x:c r="A31" s="314" t="str">
        <x:v>RTLH-0032</x:v>
      </x:c>
      <x:c r="B31" s="315" t="str">
        <x:v>RASIDI</x:v>
      </x:c>
      <x:c r="C31" s="316"/>
      <x:c r="D31" s="316"/>
      <x:c r="E31" s="315" t="str">
        <x:v>JL. DELIMA DALAM RT.004</x:v>
      </x:c>
      <x:c r="F31" s="315" t="str">
        <x:v>TAMAN BUNGA</x:v>
      </x:c>
      <x:c r="G31" s="315" t="str">
        <x:v>GERUNGGANG</x:v>
      </x:c>
      <x:c r="H31" s="315" t="str">
        <x:v>Pembangunan Baru</x:v>
      </x:c>
      <x:c r="I31" s="317" t="str">
        <x:v>RUMAH SEMI PERMANEN,DINGDING PAPAN, RUSAK RINGAN,ATAP ASBES. LANTAI PLASTERAN.</x:v>
      </x:c>
      <x:c r="J31" s="315" t="str">
        <x:v>Semipermanen</x:v>
      </x:c>
      <x:c r="K31" s="315" t="str">
        <x:v>Asbes/Fiber Semen</x:v>
      </x:c>
      <x:c r="L31" s="315" t="str">
        <x:v>Rusak Ringan</x:v>
      </x:c>
      <x:c r="M31" s="367" t="str">
        <x:v>Papan/Kayu</x:v>
      </x:c>
      <x:c r="N31" s="315" t="str">
        <x:v>Rusak Ringan</x:v>
      </x:c>
      <x:c r="O31" s="316" t="str">
        <x:v>Semen/Plester</x:v>
      </x:c>
      <x:c r="P31" s="349" t="str">
        <x:v>Rusak Ringan</x:v>
      </x:c>
      <x:c r="Q31" s="707" t="str">
        <x:v>Belum Dinilai</x:v>
      </x:c>
      <x:c r="R31" s="707" t="str">
        <x:v>Belum Dinilai</x:v>
      </x:c>
      <x:c r="S31" s="708" t="str">
        <x:v>Belum Dinilai</x:v>
      </x:c>
      <x:c r="T31" s="709" t="str">
        <x:v>Belum Dinilai</x:v>
      </x:c>
      <x:c r="U31" s="704" t="str">
        <x:v>Belum Dinilai</x:v>
      </x:c>
      <x:c r="V31" s="704" t="str">
        <x:v>Belum Dinilai</x:v>
      </x:c>
      <x:c r="W31" s="704" t="str"/>
      <x:c r="X31" s="704" t="str">
        <x:f>IF(COUNTIF(R31:V31,"Belum Dinilai")&gt;0,"Belum Dinilai",IF(COUNTIF(R31:V31,"Ya")=0,"Tidak ada faktor rentan",TEXTJOIN(", ",TRUE,IF(R31="Ya","Lansia",""),IF(S31="Ya","Penyandang disabilitas",""),IF(T31="Ya","Kepala keluarga perempuan",""),IF(U31="Ya","Balita",""),IF(V31="Ya","Anggota keluarga dengan ketergantungan tinggi",""))))</x:f>
        <x:v>Belum Dinilai</x:v>
      </x:c>
      <x:c r="Y31" s="704" t="str">
        <x:f>IF(COUNTIF(R31:V31,"Belum Dinilai")&gt;0,"Belum Dinilai",IF(COUNTIF(R31:V31,"Ya")=0,"Tidak Ada Faktor Rentan",IF(COUNTIF(R31:V31,"Ya")=1,"1 Faktor Rentan","2 atau Lebih Faktor Rentan")))</x:f>
        <x:v>Belum Dinilai</x:v>
      </x:c>
      <x:c r="Z31" s="704" t="str">
        <x:f>IF(OR(Q31="",Q31="Belum Dinilai"),"",IF(Q31="Terverifikasi DTKS/P3KE/MBR",10,IF(Q31="Diusulkan, Belum Terverifikasi",5,0)))</x:f>
      </x:c>
      <x:c r="AA31" s="705" t="str">
        <x:f>IF(COUNTIF(R31:V31,"Belum Dinilai")&gt;0,"",IF(COUNTIF(R31:V31,"Ya")=0,0,IF(COUNTIF(R31:V31,"Ya")=1,5,10)))</x:f>
      </x:c>
      <x:c r="AB31" s="706" t="str">
        <x:f>IF(OR(Z31="",AA31=""),"",Z31+AA31)</x:f>
      </x:c>
      <x:c r="AC31" s="713" t="str">
        <x:v>Belum Dinilai</x:v>
      </x:c>
      <x:c r="AD31" s="713" t="str">
        <x:v>Belum Dinilai</x:v>
      </x:c>
      <x:c r="AE31" s="714" t="str">
        <x:v>Belum Dinilai</x:v>
      </x:c>
      <x:c r="AF31" s="713" t="str">
        <x:v>Belum Dinilai</x:v>
      </x:c>
      <x:c r="AG31" s="713" t="str">
        <x:v>Belum Dinilai</x:v>
      </x:c>
      <x:c r="AH31" s="715" t="str">
        <x:v>Belum Dinilai</x:v>
      </x:c>
      <x:c r="AI31" s="714" t="str">
        <x:v>Belum Dinilai</x:v>
      </x:c>
      <x:c r="AJ31" s="713" t="str">
        <x:v>Belum Dinilai</x:v>
      </x:c>
      <x:c r="AK31" s="715" t="str">
        <x:v>Belum Dinilai</x:v>
      </x:c>
      <x:c r="AL31" s="713" t="str"/>
      <x:c r="AM31" s="716" t="str">
        <x:v>Belum Dinilai</x:v>
      </x:c>
      <x:c r="AN31" s="716" t="str">
        <x:f>IF(AND(COUNTIF(AC31:AK31,"Ya")=0,AL31=""),IF(COUNTIF(AC31:AK31,"Belum Dinilai")&gt;0,"Belum Dinilai","Tidak ada risiko khusus"),TEXTJOIN(", ",TRUE,IF(AC31="Ya","Bangunan berpotensi roboh",""),IF(AD31="Ya","Bekas kebakaran dan tidak aman dihuni",""),IF(AE31="Ya","Atap atau dinding utama hampir runtuh",""),IF(AF31="Ya","Genangan yang membahayakan",""),IF(AG31="Ya","Struktur rumah tidak stabil",""),IF(AH31="Ya","Instalasi listrik berbahaya",""),IF(AI31="Ya","Komponen bangunan lepas atau lapuk",""),IF(AJ31="Ya","Akses keluar atau evakuasi terbatas",""),IF(AK31="Ya","Lokasi rawan bencana",""),IF(AL31&lt;&gt;"","Lainnya: "&amp;AL31,"")))</x:f>
        <x:v>Belum Dinilai</x:v>
      </x:c>
      <x:c r="AO31" s="716" t="str">
        <x:f>IF(AR31="","Belum Dinilai",IF(AR31=10,"Risiko Tinggi/Darurat",IF(AR31=5,"Risiko Sedang","Tidak Ada Risiko Khusus")))</x:f>
        <x:v>Belum Dinilai</x:v>
      </x:c>
      <x:c r="AP31" s="716" t="str"/>
      <x:c r="AQ31" s="719" t="n">
        <x:f>IF(OR(J31="",J31="Belum Dapat Ditentukan",L31="",L31="Belum Dinilai",N31="",N31="Belum Dinilai",P31="",P31="Belum Dinilai"),"",IF(J31="Permanen",0,IF(J31="Semipermanen",8,IF(J31="Nonpermanen",15,0)))+IF(L31="Baik",0,IF(L31="Rusak Ringan",5,IF(L31="Rusak Sedang",10,IF(L31="Rusak Berat",15,IF(L31="Tidak Ada/Terbuka",20,0)))))+IF(N31="Baik",0,IF(N31="Rusak Ringan",5,IF(N31="Rusak Sedang",10,IF(N31="Rusak Berat",15,IF(N31="Tidak Ada/Terbuka",20,0)))))+IF(P31="Baik",0,IF(P31="Rusak Ringan",4,IF(P31="Rusak Sedang",8,IF(P31="Rusak Berat",12,IF(P31="Tidak Layak",15,0))))))</x:f>
        <x:v>22</x:v>
      </x:c>
      <x:c r="AR31" s="719" t="str">
        <x:f>IF(COUNTIF(AC31:AH31,"Ya")&gt;0,10,IF(COUNTIF(AI31:AK31,"Ya")&gt;=2,10,IF(COUNTIF(AI31:AK31,"Ya")=1,MAX(5,IF(AM31="Risiko Tinggi/Darurat",10,IF(AM31="Risiko Sedang",5,0))),IF(AL31&lt;&gt;"",IF(AM31="Risiko Tinggi/Darurat",10,IF(AM31="Risiko Sedang",5,"")),IF(COUNTIF(AC31:AK31,"Belum Dinilai")&gt;0,"",0)))))</x:f>
      </x:c>
      <x:c r="AS31" s="719" t="str">
        <x:f>IF(OR(AQ31="",AB31="",AR31=""),"",AQ31+AB31+AR31)</x:f>
      </x:c>
      <x:c r="AT31" s="719" t="str">
        <x:f>IF(AS31="","Belum Dapat Ditentukan",IF(AS31&gt;=80,"Sangat Tinggi",IF(OR(AO31="Risiko Tinggi/Darurat",(IF(L31="Rusak Berat",1,0)+IF(L31="Tidak Ada/Terbuka",1,0)+IF(N31="Rusak Berat",1,0)+IF(N31="Tidak Ada/Terbuka",1,0)+IF(P31="Rusak Berat",1,0)+IF(P31="Tidak Layak",1,0))&gt;=2),"Tinggi",IF(AS31&gt;=65,"Tinggi",IF(AS31&gt;=50,"Sedang","Rendah")))))</x:f>
        <x:v>Belum Dapat Ditentukan</x:v>
      </x:c>
      <x:c r="AU31" s="240" t="str">
        <x:v>Lengkap</x:v>
      </x:c>
      <x:c r="AV31" s="240" t="str">
        <x:v>Sudah Diverifikasi</x:v>
      </x:c>
      <x:c r="AW31" s="240" t="str">
        <x:v>Belum Ditangani</x:v>
      </x:c>
      <x:c r="AX31" s="240"/>
      <x:c r="AY31" s="240"/>
      <x:c r="AZ31" s="240" t="str">
        <x:v>Belum Diverifikasi</x:v>
      </x:c>
      <x:c r="BA31" s="240"/>
      <x:c r="BB31" s="240"/>
      <x:c r="BC31" s="240" t="n">
        <x:v>2026</x:v>
      </x:c>
      <x:c r="BD31" s="240" t="str">
        <x:v>Usulan Musrenbang/Pokir DPRD</x:v>
      </x:c>
      <x:c r="BE31" s="240" t="n">
        <x:v>46218</x:v>
      </x:c>
      <x:c r="BF31" s="240" t="str">
        <x:v>Dinas Perkim Kota Pangkalpinang</x:v>
      </x:c>
    </x:row>
    <x:row r="32" ht="32" customHeight="1">
      <x:c r="A32" s="314" t="str">
        <x:v>RTLH-0034</x:v>
      </x:c>
      <x:c r="B32" s="315" t="str">
        <x:v>BAHARUDIN</x:v>
      </x:c>
      <x:c r="C32" s="316"/>
      <x:c r="D32" s="316"/>
      <x:c r="E32" s="315" t="str">
        <x:v>JL. NYATOH RT.006 RW.002</x:v>
      </x:c>
      <x:c r="F32" s="315" t="str">
        <x:v>BUKIT SARI</x:v>
      </x:c>
      <x:c r="G32" s="315" t="str">
        <x:v>GERUNGGANG</x:v>
      </x:c>
      <x:c r="H32" s="315" t="str">
        <x:v>Peningkatan Kualitas</x:v>
      </x:c>
      <x:c r="I32" s="317" t="str">
        <x:v>RUMAH PERMANEN</x:v>
      </x:c>
      <x:c r="J32" s="315" t="str">
        <x:v>Permanen</x:v>
      </x:c>
      <x:c r="K32" s="315" t="str">
        <x:v>Belum Diidentifikasi</x:v>
      </x:c>
      <x:c r="L32" s="315" t="str">
        <x:v>Belum Dinilai</x:v>
      </x:c>
      <x:c r="M32" s="367" t="str">
        <x:v>Dinding Permanen (Material tidak dirinci)</x:v>
      </x:c>
      <x:c r="N32" s="315" t="str">
        <x:v>Belum Dinilai</x:v>
      </x:c>
      <x:c r="O32" s="316" t="str">
        <x:v>Belum Diidentifikasi</x:v>
      </x:c>
      <x:c r="P32" s="349" t="str">
        <x:v>Belum Dinilai</x:v>
      </x:c>
      <x:c r="Q32" s="707" t="str">
        <x:v>Belum Dinilai</x:v>
      </x:c>
      <x:c r="R32" s="707" t="str">
        <x:v>Belum Dinilai</x:v>
      </x:c>
      <x:c r="S32" s="708" t="str">
        <x:v>Belum Dinilai</x:v>
      </x:c>
      <x:c r="T32" s="709" t="str">
        <x:v>Belum Dinilai</x:v>
      </x:c>
      <x:c r="U32" s="704" t="str">
        <x:v>Belum Dinilai</x:v>
      </x:c>
      <x:c r="V32" s="704" t="str">
        <x:v>Belum Dinilai</x:v>
      </x:c>
      <x:c r="W32" s="704" t="str"/>
      <x:c r="X32" s="704" t="str">
        <x:f>IF(COUNTIF(R32:V32,"Belum Dinilai")&gt;0,"Belum Dinilai",IF(COUNTIF(R32:V32,"Ya")=0,"Tidak ada faktor rentan",TEXTJOIN(", ",TRUE,IF(R32="Ya","Lansia",""),IF(S32="Ya","Penyandang disabilitas",""),IF(T32="Ya","Kepala keluarga perempuan",""),IF(U32="Ya","Balita",""),IF(V32="Ya","Anggota keluarga dengan ketergantungan tinggi",""))))</x:f>
        <x:v>Belum Dinilai</x:v>
      </x:c>
      <x:c r="Y32" s="704" t="str">
        <x:f>IF(COUNTIF(R32:V32,"Belum Dinilai")&gt;0,"Belum Dinilai",IF(COUNTIF(R32:V32,"Ya")=0,"Tidak Ada Faktor Rentan",IF(COUNTIF(R32:V32,"Ya")=1,"1 Faktor Rentan","2 atau Lebih Faktor Rentan")))</x:f>
        <x:v>Belum Dinilai</x:v>
      </x:c>
      <x:c r="Z32" s="704" t="str">
        <x:f>IF(OR(Q32="",Q32="Belum Dinilai"),"",IF(Q32="Terverifikasi DTKS/P3KE/MBR",10,IF(Q32="Diusulkan, Belum Terverifikasi",5,0)))</x:f>
      </x:c>
      <x:c r="AA32" s="705" t="str">
        <x:f>IF(COUNTIF(R32:V32,"Belum Dinilai")&gt;0,"",IF(COUNTIF(R32:V32,"Ya")=0,0,IF(COUNTIF(R32:V32,"Ya")=1,5,10)))</x:f>
      </x:c>
      <x:c r="AB32" s="706" t="str">
        <x:f>IF(OR(Z32="",AA32=""),"",Z32+AA32)</x:f>
      </x:c>
      <x:c r="AC32" s="713" t="str">
        <x:v>Belum Dinilai</x:v>
      </x:c>
      <x:c r="AD32" s="713" t="str">
        <x:v>Belum Dinilai</x:v>
      </x:c>
      <x:c r="AE32" s="714" t="str">
        <x:v>Belum Dinilai</x:v>
      </x:c>
      <x:c r="AF32" s="713" t="str">
        <x:v>Belum Dinilai</x:v>
      </x:c>
      <x:c r="AG32" s="713" t="str">
        <x:v>Belum Dinilai</x:v>
      </x:c>
      <x:c r="AH32" s="715" t="str">
        <x:v>Belum Dinilai</x:v>
      </x:c>
      <x:c r="AI32" s="714" t="str">
        <x:v>Belum Dinilai</x:v>
      </x:c>
      <x:c r="AJ32" s="713" t="str">
        <x:v>Belum Dinilai</x:v>
      </x:c>
      <x:c r="AK32" s="715" t="str">
        <x:v>Belum Dinilai</x:v>
      </x:c>
      <x:c r="AL32" s="713" t="str"/>
      <x:c r="AM32" s="716" t="str">
        <x:v>Belum Dinilai</x:v>
      </x:c>
      <x:c r="AN32" s="716" t="str">
        <x:f>IF(AND(COUNTIF(AC32:AK32,"Ya")=0,AL32=""),IF(COUNTIF(AC32:AK32,"Belum Dinilai")&gt;0,"Belum Dinilai","Tidak ada risiko khusus"),TEXTJOIN(", ",TRUE,IF(AC32="Ya","Bangunan berpotensi roboh",""),IF(AD32="Ya","Bekas kebakaran dan tidak aman dihuni",""),IF(AE32="Ya","Atap atau dinding utama hampir runtuh",""),IF(AF32="Ya","Genangan yang membahayakan",""),IF(AG32="Ya","Struktur rumah tidak stabil",""),IF(AH32="Ya","Instalasi listrik berbahaya",""),IF(AI32="Ya","Komponen bangunan lepas atau lapuk",""),IF(AJ32="Ya","Akses keluar atau evakuasi terbatas",""),IF(AK32="Ya","Lokasi rawan bencana",""),IF(AL32&lt;&gt;"","Lainnya: "&amp;AL32,"")))</x:f>
        <x:v>Belum Dinilai</x:v>
      </x:c>
      <x:c r="AO32" s="716" t="str">
        <x:f>IF(AR32="","Belum Dinilai",IF(AR32=10,"Risiko Tinggi/Darurat",IF(AR32=5,"Risiko Sedang","Tidak Ada Risiko Khusus")))</x:f>
        <x:v>Belum Dinilai</x:v>
      </x:c>
      <x:c r="AP32" s="716" t="str"/>
      <x:c r="AQ32" s="719" t="str">
        <x:f>IF(OR(J32="",J32="Belum Dapat Ditentukan",L32="",L32="Belum Dinilai",N32="",N32="Belum Dinilai",P32="",P32="Belum Dinilai"),"",IF(J32="Permanen",0,IF(J32="Semipermanen",8,IF(J32="Nonpermanen",15,0)))+IF(L32="Baik",0,IF(L32="Rusak Ringan",5,IF(L32="Rusak Sedang",10,IF(L32="Rusak Berat",15,IF(L32="Tidak Ada/Terbuka",20,0)))))+IF(N32="Baik",0,IF(N32="Rusak Ringan",5,IF(N32="Rusak Sedang",10,IF(N32="Rusak Berat",15,IF(N32="Tidak Ada/Terbuka",20,0)))))+IF(P32="Baik",0,IF(P32="Rusak Ringan",4,IF(P32="Rusak Sedang",8,IF(P32="Rusak Berat",12,IF(P32="Tidak Layak",15,0))))))</x:f>
      </x:c>
      <x:c r="AR32" s="719" t="str">
        <x:f>IF(COUNTIF(AC32:AH32,"Ya")&gt;0,10,IF(COUNTIF(AI32:AK32,"Ya")&gt;=2,10,IF(COUNTIF(AI32:AK32,"Ya")=1,MAX(5,IF(AM32="Risiko Tinggi/Darurat",10,IF(AM32="Risiko Sedang",5,0))),IF(AL32&lt;&gt;"",IF(AM32="Risiko Tinggi/Darurat",10,IF(AM32="Risiko Sedang",5,"")),IF(COUNTIF(AC32:AK32,"Belum Dinilai")&gt;0,"",0)))))</x:f>
      </x:c>
      <x:c r="AS32" s="719" t="str">
        <x:f>IF(OR(AQ32="",AB32="",AR32=""),"",AQ32+AB32+AR32)</x:f>
      </x:c>
      <x:c r="AT32" s="719" t="str">
        <x:f>IF(AS32="","Belum Dapat Ditentukan",IF(AS32&gt;=80,"Sangat Tinggi",IF(OR(AO32="Risiko Tinggi/Darurat",(IF(L32="Rusak Berat",1,0)+IF(L32="Tidak Ada/Terbuka",1,0)+IF(N32="Rusak Berat",1,0)+IF(N32="Tidak Ada/Terbuka",1,0)+IF(P32="Rusak Berat",1,0)+IF(P32="Tidak Layak",1,0))&gt;=2),"Tinggi",IF(AS32&gt;=65,"Tinggi",IF(AS32&gt;=50,"Sedang","Rendah")))))</x:f>
        <x:v>Belum Dapat Ditentukan</x:v>
      </x:c>
      <x:c r="AU32" s="240" t="str">
        <x:v>Belum Lengkap</x:v>
      </x:c>
      <x:c r="AV32" s="240" t="str">
        <x:v>Sudah Diverifikasi</x:v>
      </x:c>
      <x:c r="AW32" s="240" t="str">
        <x:v>Belum Ditangani</x:v>
      </x:c>
      <x:c r="AX32" s="240"/>
      <x:c r="AY32" s="240"/>
      <x:c r="AZ32" s="240" t="str">
        <x:v>Belum Diverifikasi</x:v>
      </x:c>
      <x:c r="BA32" s="240"/>
      <x:c r="BB32" s="240"/>
      <x:c r="BC32" s="240" t="n">
        <x:v>2026</x:v>
      </x:c>
      <x:c r="BD32" s="240" t="str">
        <x:v>Usulan Musrenbang/Pokir DPRD</x:v>
      </x:c>
      <x:c r="BE32" s="240" t="n">
        <x:v>46218</x:v>
      </x:c>
      <x:c r="BF32" s="240" t="str">
        <x:v>Dinas Perkim Kota Pangkalpinang</x:v>
      </x:c>
    </x:row>
    <x:row r="33" ht="32" customHeight="1">
      <x:c r="A33" s="314" t="str">
        <x:v>RTLH-0035</x:v>
      </x:c>
      <x:c r="B33" s="315" t="str">
        <x:v>MARSIDA</x:v>
      </x:c>
      <x:c r="C33" s="316"/>
      <x:c r="D33" s="316"/>
      <x:c r="E33" s="315" t="str">
        <x:v>JL. H JUMAT YAHYA DALAM RT.006 RW.002</x:v>
      </x:c>
      <x:c r="F33" s="315" t="str">
        <x:v>BUKIT SARI</x:v>
      </x:c>
      <x:c r="G33" s="315" t="str">
        <x:v>GERUNGGANG</x:v>
      </x:c>
      <x:c r="H33" s="315" t="str">
        <x:v>Peningkatan Kualitas</x:v>
      </x:c>
      <x:c r="I33" s="317" t="str">
        <x:v>RUMAH PERMANEN</x:v>
      </x:c>
      <x:c r="J33" s="315" t="str">
        <x:v>Permanen</x:v>
      </x:c>
      <x:c r="K33" s="315" t="str">
        <x:v>Belum Diidentifikasi</x:v>
      </x:c>
      <x:c r="L33" s="315" t="str">
        <x:v>Belum Dinilai</x:v>
      </x:c>
      <x:c r="M33" s="367" t="str">
        <x:v>Dinding Permanen (Material tidak dirinci)</x:v>
      </x:c>
      <x:c r="N33" s="315" t="str">
        <x:v>Belum Dinilai</x:v>
      </x:c>
      <x:c r="O33" s="316" t="str">
        <x:v>Belum Diidentifikasi</x:v>
      </x:c>
      <x:c r="P33" s="349" t="str">
        <x:v>Belum Dinilai</x:v>
      </x:c>
      <x:c r="Q33" s="707" t="str">
        <x:v>Belum Dinilai</x:v>
      </x:c>
      <x:c r="R33" s="707" t="str">
        <x:v>Belum Dinilai</x:v>
      </x:c>
      <x:c r="S33" s="708" t="str">
        <x:v>Belum Dinilai</x:v>
      </x:c>
      <x:c r="T33" s="709" t="str">
        <x:v>Belum Dinilai</x:v>
      </x:c>
      <x:c r="U33" s="704" t="str">
        <x:v>Belum Dinilai</x:v>
      </x:c>
      <x:c r="V33" s="704" t="str">
        <x:v>Belum Dinilai</x:v>
      </x:c>
      <x:c r="W33" s="704" t="str"/>
      <x:c r="X33" s="704" t="str">
        <x:f>IF(COUNTIF(R33:V33,"Belum Dinilai")&gt;0,"Belum Dinilai",IF(COUNTIF(R33:V33,"Ya")=0,"Tidak ada faktor rentan",TEXTJOIN(", ",TRUE,IF(R33="Ya","Lansia",""),IF(S33="Ya","Penyandang disabilitas",""),IF(T33="Ya","Kepala keluarga perempuan",""),IF(U33="Ya","Balita",""),IF(V33="Ya","Anggota keluarga dengan ketergantungan tinggi",""))))</x:f>
        <x:v>Belum Dinilai</x:v>
      </x:c>
      <x:c r="Y33" s="704" t="str">
        <x:f>IF(COUNTIF(R33:V33,"Belum Dinilai")&gt;0,"Belum Dinilai",IF(COUNTIF(R33:V33,"Ya")=0,"Tidak Ada Faktor Rentan",IF(COUNTIF(R33:V33,"Ya")=1,"1 Faktor Rentan","2 atau Lebih Faktor Rentan")))</x:f>
        <x:v>Belum Dinilai</x:v>
      </x:c>
      <x:c r="Z33" s="704" t="str">
        <x:f>IF(OR(Q33="",Q33="Belum Dinilai"),"",IF(Q33="Terverifikasi DTKS/P3KE/MBR",10,IF(Q33="Diusulkan, Belum Terverifikasi",5,0)))</x:f>
      </x:c>
      <x:c r="AA33" s="705" t="str">
        <x:f>IF(COUNTIF(R33:V33,"Belum Dinilai")&gt;0,"",IF(COUNTIF(R33:V33,"Ya")=0,0,IF(COUNTIF(R33:V33,"Ya")=1,5,10)))</x:f>
      </x:c>
      <x:c r="AB33" s="706" t="str">
        <x:f>IF(OR(Z33="",AA33=""),"",Z33+AA33)</x:f>
      </x:c>
      <x:c r="AC33" s="713" t="str">
        <x:v>Belum Dinilai</x:v>
      </x:c>
      <x:c r="AD33" s="713" t="str">
        <x:v>Belum Dinilai</x:v>
      </x:c>
      <x:c r="AE33" s="714" t="str">
        <x:v>Belum Dinilai</x:v>
      </x:c>
      <x:c r="AF33" s="713" t="str">
        <x:v>Belum Dinilai</x:v>
      </x:c>
      <x:c r="AG33" s="713" t="str">
        <x:v>Belum Dinilai</x:v>
      </x:c>
      <x:c r="AH33" s="715" t="str">
        <x:v>Belum Dinilai</x:v>
      </x:c>
      <x:c r="AI33" s="714" t="str">
        <x:v>Belum Dinilai</x:v>
      </x:c>
      <x:c r="AJ33" s="713" t="str">
        <x:v>Belum Dinilai</x:v>
      </x:c>
      <x:c r="AK33" s="715" t="str">
        <x:v>Belum Dinilai</x:v>
      </x:c>
      <x:c r="AL33" s="713" t="str"/>
      <x:c r="AM33" s="716" t="str">
        <x:v>Belum Dinilai</x:v>
      </x:c>
      <x:c r="AN33" s="716" t="str">
        <x:f>IF(AND(COUNTIF(AC33:AK33,"Ya")=0,AL33=""),IF(COUNTIF(AC33:AK33,"Belum Dinilai")&gt;0,"Belum Dinilai","Tidak ada risiko khusus"),TEXTJOIN(", ",TRUE,IF(AC33="Ya","Bangunan berpotensi roboh",""),IF(AD33="Ya","Bekas kebakaran dan tidak aman dihuni",""),IF(AE33="Ya","Atap atau dinding utama hampir runtuh",""),IF(AF33="Ya","Genangan yang membahayakan",""),IF(AG33="Ya","Struktur rumah tidak stabil",""),IF(AH33="Ya","Instalasi listrik berbahaya",""),IF(AI33="Ya","Komponen bangunan lepas atau lapuk",""),IF(AJ33="Ya","Akses keluar atau evakuasi terbatas",""),IF(AK33="Ya","Lokasi rawan bencana",""),IF(AL33&lt;&gt;"","Lainnya: "&amp;AL33,"")))</x:f>
        <x:v>Belum Dinilai</x:v>
      </x:c>
      <x:c r="AO33" s="716" t="str">
        <x:f>IF(AR33="","Belum Dinilai",IF(AR33=10,"Risiko Tinggi/Darurat",IF(AR33=5,"Risiko Sedang","Tidak Ada Risiko Khusus")))</x:f>
        <x:v>Belum Dinilai</x:v>
      </x:c>
      <x:c r="AP33" s="716" t="str"/>
      <x:c r="AQ33" s="719" t="str">
        <x:f>IF(OR(J33="",J33="Belum Dapat Ditentukan",L33="",L33="Belum Dinilai",N33="",N33="Belum Dinilai",P33="",P33="Belum Dinilai"),"",IF(J33="Permanen",0,IF(J33="Semipermanen",8,IF(J33="Nonpermanen",15,0)))+IF(L33="Baik",0,IF(L33="Rusak Ringan",5,IF(L33="Rusak Sedang",10,IF(L33="Rusak Berat",15,IF(L33="Tidak Ada/Terbuka",20,0)))))+IF(N33="Baik",0,IF(N33="Rusak Ringan",5,IF(N33="Rusak Sedang",10,IF(N33="Rusak Berat",15,IF(N33="Tidak Ada/Terbuka",20,0)))))+IF(P33="Baik",0,IF(P33="Rusak Ringan",4,IF(P33="Rusak Sedang",8,IF(P33="Rusak Berat",12,IF(P33="Tidak Layak",15,0))))))</x:f>
      </x:c>
      <x:c r="AR33" s="719" t="str">
        <x:f>IF(COUNTIF(AC33:AH33,"Ya")&gt;0,10,IF(COUNTIF(AI33:AK33,"Ya")&gt;=2,10,IF(COUNTIF(AI33:AK33,"Ya")=1,MAX(5,IF(AM33="Risiko Tinggi/Darurat",10,IF(AM33="Risiko Sedang",5,0))),IF(AL33&lt;&gt;"",IF(AM33="Risiko Tinggi/Darurat",10,IF(AM33="Risiko Sedang",5,"")),IF(COUNTIF(AC33:AK33,"Belum Dinilai")&gt;0,"",0)))))</x:f>
      </x:c>
      <x:c r="AS33" s="719" t="str">
        <x:f>IF(OR(AQ33="",AB33="",AR33=""),"",AQ33+AB33+AR33)</x:f>
      </x:c>
      <x:c r="AT33" s="719" t="str">
        <x:f>IF(AS33="","Belum Dapat Ditentukan",IF(AS33&gt;=80,"Sangat Tinggi",IF(OR(AO33="Risiko Tinggi/Darurat",(IF(L33="Rusak Berat",1,0)+IF(L33="Tidak Ada/Terbuka",1,0)+IF(N33="Rusak Berat",1,0)+IF(N33="Tidak Ada/Terbuka",1,0)+IF(P33="Rusak Berat",1,0)+IF(P33="Tidak Layak",1,0))&gt;=2),"Tinggi",IF(AS33&gt;=65,"Tinggi",IF(AS33&gt;=50,"Sedang","Rendah")))))</x:f>
        <x:v>Belum Dapat Ditentukan</x:v>
      </x:c>
      <x:c r="AU33" s="240" t="str">
        <x:v>Lengkap</x:v>
      </x:c>
      <x:c r="AV33" s="240" t="str">
        <x:v>Sudah Diverifikasi</x:v>
      </x:c>
      <x:c r="AW33" s="240" t="str">
        <x:v>Belum Ditangani</x:v>
      </x:c>
      <x:c r="AX33" s="240"/>
      <x:c r="AY33" s="240"/>
      <x:c r="AZ33" s="240" t="str">
        <x:v>Belum Diverifikasi</x:v>
      </x:c>
      <x:c r="BA33" s="240"/>
      <x:c r="BB33" s="240"/>
      <x:c r="BC33" s="240" t="n">
        <x:v>2026</x:v>
      </x:c>
      <x:c r="BD33" s="240" t="str">
        <x:v>Usulan Musrenbang/Pokir DPRD</x:v>
      </x:c>
      <x:c r="BE33" s="240" t="n">
        <x:v>46218</x:v>
      </x:c>
      <x:c r="BF33" s="240" t="str">
        <x:v>Dinas Perkim Kota Pangkalpinang</x:v>
      </x:c>
    </x:row>
    <x:row r="34" ht="32" customHeight="1">
      <x:c r="A34" s="314" t="str">
        <x:v>RTLH-0036</x:v>
      </x:c>
      <x:c r="B34" s="315" t="str">
        <x:v>NURSINAH</x:v>
      </x:c>
      <x:c r="C34" s="316"/>
      <x:c r="D34" s="316"/>
      <x:c r="E34" s="315" t="str">
        <x:v>JL KAMPUNG MELAYU RT.008 RW.003</x:v>
      </x:c>
      <x:c r="F34" s="315" t="str">
        <x:v>BUKIT SARI</x:v>
      </x:c>
      <x:c r="G34" s="315" t="str">
        <x:v>GERUNGGANG</x:v>
      </x:c>
      <x:c r="H34" s="315" t="str">
        <x:v>Pembangunan Baru</x:v>
      </x:c>
      <x:c r="I34" s="317" t="str">
        <x:v>RUMAH FULL PAPAN, ATAP SENG ,DINDING PAPAN RUSAK SEDANG,LANTAI PLASTERAN. RUMAH BOCOR RINGAN.</x:v>
      </x:c>
      <x:c r="J34" s="315" t="str">
        <x:v>Nonpermanen</x:v>
      </x:c>
      <x:c r="K34" s="315" t="str">
        <x:v>Seng</x:v>
      </x:c>
      <x:c r="L34" s="315" t="str">
        <x:v>Rusak Sedang</x:v>
      </x:c>
      <x:c r="M34" s="367" t="str">
        <x:v>Papan/Kayu</x:v>
      </x:c>
      <x:c r="N34" s="315" t="str">
        <x:v>Rusak Sedang</x:v>
      </x:c>
      <x:c r="O34" s="316" t="str">
        <x:v>Semen/Plester</x:v>
      </x:c>
      <x:c r="P34" s="349" t="str">
        <x:v>Rusak Sedang</x:v>
      </x:c>
      <x:c r="Q34" s="707" t="str">
        <x:v>Belum Dinilai</x:v>
      </x:c>
      <x:c r="R34" s="707" t="str">
        <x:v>Belum Dinilai</x:v>
      </x:c>
      <x:c r="S34" s="708" t="str">
        <x:v>Belum Dinilai</x:v>
      </x:c>
      <x:c r="T34" s="709" t="str">
        <x:v>Belum Dinilai</x:v>
      </x:c>
      <x:c r="U34" s="704" t="str">
        <x:v>Belum Dinilai</x:v>
      </x:c>
      <x:c r="V34" s="704" t="str">
        <x:v>Belum Dinilai</x:v>
      </x:c>
      <x:c r="W34" s="704" t="str"/>
      <x:c r="X34" s="704" t="str">
        <x:f>IF(COUNTIF(R34:V34,"Belum Dinilai")&gt;0,"Belum Dinilai",IF(COUNTIF(R34:V34,"Ya")=0,"Tidak ada faktor rentan",TEXTJOIN(", ",TRUE,IF(R34="Ya","Lansia",""),IF(S34="Ya","Penyandang disabilitas",""),IF(T34="Ya","Kepala keluarga perempuan",""),IF(U34="Ya","Balita",""),IF(V34="Ya","Anggota keluarga dengan ketergantungan tinggi",""))))</x:f>
        <x:v>Belum Dinilai</x:v>
      </x:c>
      <x:c r="Y34" s="704" t="str">
        <x:f>IF(COUNTIF(R34:V34,"Belum Dinilai")&gt;0,"Belum Dinilai",IF(COUNTIF(R34:V34,"Ya")=0,"Tidak Ada Faktor Rentan",IF(COUNTIF(R34:V34,"Ya")=1,"1 Faktor Rentan","2 atau Lebih Faktor Rentan")))</x:f>
        <x:v>Belum Dinilai</x:v>
      </x:c>
      <x:c r="Z34" s="704" t="str">
        <x:f>IF(OR(Q34="",Q34="Belum Dinilai"),"",IF(Q34="Terverifikasi DTKS/P3KE/MBR",10,IF(Q34="Diusulkan, Belum Terverifikasi",5,0)))</x:f>
      </x:c>
      <x:c r="AA34" s="705" t="str">
        <x:f>IF(COUNTIF(R34:V34,"Belum Dinilai")&gt;0,"",IF(COUNTIF(R34:V34,"Ya")=0,0,IF(COUNTIF(R34:V34,"Ya")=1,5,10)))</x:f>
      </x:c>
      <x:c r="AB34" s="706" t="str">
        <x:f>IF(OR(Z34="",AA34=""),"",Z34+AA34)</x:f>
      </x:c>
      <x:c r="AC34" s="713" t="str">
        <x:v>Belum Dinilai</x:v>
      </x:c>
      <x:c r="AD34" s="713" t="str">
        <x:v>Belum Dinilai</x:v>
      </x:c>
      <x:c r="AE34" s="714" t="str">
        <x:v>Belum Dinilai</x:v>
      </x:c>
      <x:c r="AF34" s="713" t="str">
        <x:v>Belum Dinilai</x:v>
      </x:c>
      <x:c r="AG34" s="713" t="str">
        <x:v>Belum Dinilai</x:v>
      </x:c>
      <x:c r="AH34" s="715" t="str">
        <x:v>Belum Dinilai</x:v>
      </x:c>
      <x:c r="AI34" s="714" t="str">
        <x:v>Belum Dinilai</x:v>
      </x:c>
      <x:c r="AJ34" s="713" t="str">
        <x:v>Belum Dinilai</x:v>
      </x:c>
      <x:c r="AK34" s="715" t="str">
        <x:v>Belum Dinilai</x:v>
      </x:c>
      <x:c r="AL34" s="713" t="str"/>
      <x:c r="AM34" s="716" t="str">
        <x:v>Belum Dinilai</x:v>
      </x:c>
      <x:c r="AN34" s="716" t="str">
        <x:f>IF(AND(COUNTIF(AC34:AK34,"Ya")=0,AL34=""),IF(COUNTIF(AC34:AK34,"Belum Dinilai")&gt;0,"Belum Dinilai","Tidak ada risiko khusus"),TEXTJOIN(", ",TRUE,IF(AC34="Ya","Bangunan berpotensi roboh",""),IF(AD34="Ya","Bekas kebakaran dan tidak aman dihuni",""),IF(AE34="Ya","Atap atau dinding utama hampir runtuh",""),IF(AF34="Ya","Genangan yang membahayakan",""),IF(AG34="Ya","Struktur rumah tidak stabil",""),IF(AH34="Ya","Instalasi listrik berbahaya",""),IF(AI34="Ya","Komponen bangunan lepas atau lapuk",""),IF(AJ34="Ya","Akses keluar atau evakuasi terbatas",""),IF(AK34="Ya","Lokasi rawan bencana",""),IF(AL34&lt;&gt;"","Lainnya: "&amp;AL34,"")))</x:f>
        <x:v>Belum Dinilai</x:v>
      </x:c>
      <x:c r="AO34" s="716" t="str">
        <x:f>IF(AR34="","Belum Dinilai",IF(AR34=10,"Risiko Tinggi/Darurat",IF(AR34=5,"Risiko Sedang","Tidak Ada Risiko Khusus")))</x:f>
        <x:v>Belum Dinilai</x:v>
      </x:c>
      <x:c r="AP34" s="716" t="str"/>
      <x:c r="AQ34" s="719" t="n">
        <x:f>IF(OR(J34="",J34="Belum Dapat Ditentukan",L34="",L34="Belum Dinilai",N34="",N34="Belum Dinilai",P34="",P34="Belum Dinilai"),"",IF(J34="Permanen",0,IF(J34="Semipermanen",8,IF(J34="Nonpermanen",15,0)))+IF(L34="Baik",0,IF(L34="Rusak Ringan",5,IF(L34="Rusak Sedang",10,IF(L34="Rusak Berat",15,IF(L34="Tidak Ada/Terbuka",20,0)))))+IF(N34="Baik",0,IF(N34="Rusak Ringan",5,IF(N34="Rusak Sedang",10,IF(N34="Rusak Berat",15,IF(N34="Tidak Ada/Terbuka",20,0)))))+IF(P34="Baik",0,IF(P34="Rusak Ringan",4,IF(P34="Rusak Sedang",8,IF(P34="Rusak Berat",12,IF(P34="Tidak Layak",15,0))))))</x:f>
        <x:v>43</x:v>
      </x:c>
      <x:c r="AR34" s="719" t="str">
        <x:f>IF(COUNTIF(AC34:AH34,"Ya")&gt;0,10,IF(COUNTIF(AI34:AK34,"Ya")&gt;=2,10,IF(COUNTIF(AI34:AK34,"Ya")=1,MAX(5,IF(AM34="Risiko Tinggi/Darurat",10,IF(AM34="Risiko Sedang",5,0))),IF(AL34&lt;&gt;"",IF(AM34="Risiko Tinggi/Darurat",10,IF(AM34="Risiko Sedang",5,"")),IF(COUNTIF(AC34:AK34,"Belum Dinilai")&gt;0,"",0)))))</x:f>
      </x:c>
      <x:c r="AS34" s="719" t="str">
        <x:f>IF(OR(AQ34="",AB34="",AR34=""),"",AQ34+AB34+AR34)</x:f>
      </x:c>
      <x:c r="AT34" s="719" t="str">
        <x:f>IF(AS34="","Belum Dapat Ditentukan",IF(AS34&gt;=80,"Sangat Tinggi",IF(OR(AO34="Risiko Tinggi/Darurat",(IF(L34="Rusak Berat",1,0)+IF(L34="Tidak Ada/Terbuka",1,0)+IF(N34="Rusak Berat",1,0)+IF(N34="Tidak Ada/Terbuka",1,0)+IF(P34="Rusak Berat",1,0)+IF(P34="Tidak Layak",1,0))&gt;=2),"Tinggi",IF(AS34&gt;=65,"Tinggi",IF(AS34&gt;=50,"Sedang","Rendah")))))</x:f>
        <x:v>Belum Dapat Ditentukan</x:v>
      </x:c>
      <x:c r="AU34" s="240" t="str">
        <x:v>Lengkap</x:v>
      </x:c>
      <x:c r="AV34" s="240" t="str">
        <x:v>Sudah Diverifikasi</x:v>
      </x:c>
      <x:c r="AW34" s="240" t="str">
        <x:v>Belum Ditangani</x:v>
      </x:c>
      <x:c r="AX34" s="240"/>
      <x:c r="AY34" s="240"/>
      <x:c r="AZ34" s="240" t="str">
        <x:v>Belum Diverifikasi</x:v>
      </x:c>
      <x:c r="BA34" s="240"/>
      <x:c r="BB34" s="240"/>
      <x:c r="BC34" s="240" t="n">
        <x:v>2026</x:v>
      </x:c>
      <x:c r="BD34" s="240" t="str">
        <x:v>Usulan Musrenbang/Pokir DPRD</x:v>
      </x:c>
      <x:c r="BE34" s="240" t="n">
        <x:v>46218</x:v>
      </x:c>
      <x:c r="BF34" s="240" t="str">
        <x:v>Dinas Perkim Kota Pangkalpinang</x:v>
      </x:c>
    </x:row>
    <x:row r="35" ht="32" customHeight="1">
      <x:c r="A35" s="314" t="str">
        <x:v>RTLH-0037</x:v>
      </x:c>
      <x:c r="B35" s="315" t="str">
        <x:v>LIM MUK SUAN</x:v>
      </x:c>
      <x:c r="C35" s="316"/>
      <x:c r="D35" s="316"/>
      <x:c r="E35" s="315" t="str">
        <x:v>Belum tersedia</x:v>
      </x:c>
      <x:c r="F35" s="315" t="str">
        <x:v>Belum tersedia</x:v>
      </x:c>
      <x:c r="G35" s="315" t="str">
        <x:v>Belum tersedia</x:v>
      </x:c>
      <x:c r="H35" s="315" t="str">
        <x:v>Pembangunan Baru</x:v>
      </x:c>
      <x:c r="I35" s="317" t="str">
        <x:v>RUMAH FULL PAPAN, ATAP SENG ,DINDING PAPAN RUSAK SEDANG,LANTAI PLASTERAN. RUMAH BOCOR RINGAN.</x:v>
      </x:c>
      <x:c r="J35" s="315" t="str">
        <x:v>Nonpermanen</x:v>
      </x:c>
      <x:c r="K35" s="315" t="str">
        <x:v>Seng</x:v>
      </x:c>
      <x:c r="L35" s="315" t="str">
        <x:v>Rusak Sedang</x:v>
      </x:c>
      <x:c r="M35" s="367" t="str">
        <x:v>Papan/Kayu</x:v>
      </x:c>
      <x:c r="N35" s="315" t="str">
        <x:v>Rusak Sedang</x:v>
      </x:c>
      <x:c r="O35" s="316" t="str">
        <x:v>Semen/Plester</x:v>
      </x:c>
      <x:c r="P35" s="349" t="str">
        <x:v>Rusak Sedang</x:v>
      </x:c>
      <x:c r="Q35" s="707" t="str">
        <x:v>Belum Dinilai</x:v>
      </x:c>
      <x:c r="R35" s="707" t="str">
        <x:v>Belum Dinilai</x:v>
      </x:c>
      <x:c r="S35" s="708" t="str">
        <x:v>Belum Dinilai</x:v>
      </x:c>
      <x:c r="T35" s="709" t="str">
        <x:v>Belum Dinilai</x:v>
      </x:c>
      <x:c r="U35" s="704" t="str">
        <x:v>Belum Dinilai</x:v>
      </x:c>
      <x:c r="V35" s="704" t="str">
        <x:v>Belum Dinilai</x:v>
      </x:c>
      <x:c r="W35" s="704" t="str"/>
      <x:c r="X35" s="704" t="str">
        <x:f>IF(COUNTIF(R35:V35,"Belum Dinilai")&gt;0,"Belum Dinilai",IF(COUNTIF(R35:V35,"Ya")=0,"Tidak ada faktor rentan",TEXTJOIN(", ",TRUE,IF(R35="Ya","Lansia",""),IF(S35="Ya","Penyandang disabilitas",""),IF(T35="Ya","Kepala keluarga perempuan",""),IF(U35="Ya","Balita",""),IF(V35="Ya","Anggota keluarga dengan ketergantungan tinggi",""))))</x:f>
        <x:v>Belum Dinilai</x:v>
      </x:c>
      <x:c r="Y35" s="704" t="str">
        <x:f>IF(COUNTIF(R35:V35,"Belum Dinilai")&gt;0,"Belum Dinilai",IF(COUNTIF(R35:V35,"Ya")=0,"Tidak Ada Faktor Rentan",IF(COUNTIF(R35:V35,"Ya")=1,"1 Faktor Rentan","2 atau Lebih Faktor Rentan")))</x:f>
        <x:v>Belum Dinilai</x:v>
      </x:c>
      <x:c r="Z35" s="704" t="str">
        <x:f>IF(OR(Q35="",Q35="Belum Dinilai"),"",IF(Q35="Terverifikasi DTKS/P3KE/MBR",10,IF(Q35="Diusulkan, Belum Terverifikasi",5,0)))</x:f>
      </x:c>
      <x:c r="AA35" s="705" t="str">
        <x:f>IF(COUNTIF(R35:V35,"Belum Dinilai")&gt;0,"",IF(COUNTIF(R35:V35,"Ya")=0,0,IF(COUNTIF(R35:V35,"Ya")=1,5,10)))</x:f>
      </x:c>
      <x:c r="AB35" s="706" t="str">
        <x:f>IF(OR(Z35="",AA35=""),"",Z35+AA35)</x:f>
      </x:c>
      <x:c r="AC35" s="713" t="str">
        <x:v>Belum Dinilai</x:v>
      </x:c>
      <x:c r="AD35" s="713" t="str">
        <x:v>Belum Dinilai</x:v>
      </x:c>
      <x:c r="AE35" s="714" t="str">
        <x:v>Belum Dinilai</x:v>
      </x:c>
      <x:c r="AF35" s="713" t="str">
        <x:v>Belum Dinilai</x:v>
      </x:c>
      <x:c r="AG35" s="713" t="str">
        <x:v>Belum Dinilai</x:v>
      </x:c>
      <x:c r="AH35" s="715" t="str">
        <x:v>Belum Dinilai</x:v>
      </x:c>
      <x:c r="AI35" s="714" t="str">
        <x:v>Belum Dinilai</x:v>
      </x:c>
      <x:c r="AJ35" s="713" t="str">
        <x:v>Belum Dinilai</x:v>
      </x:c>
      <x:c r="AK35" s="715" t="str">
        <x:v>Belum Dinilai</x:v>
      </x:c>
      <x:c r="AL35" s="713" t="str"/>
      <x:c r="AM35" s="716" t="str">
        <x:v>Belum Dinilai</x:v>
      </x:c>
      <x:c r="AN35" s="716" t="str">
        <x:f>IF(AND(COUNTIF(AC35:AK35,"Ya")=0,AL35=""),IF(COUNTIF(AC35:AK35,"Belum Dinilai")&gt;0,"Belum Dinilai","Tidak ada risiko khusus"),TEXTJOIN(", ",TRUE,IF(AC35="Ya","Bangunan berpotensi roboh",""),IF(AD35="Ya","Bekas kebakaran dan tidak aman dihuni",""),IF(AE35="Ya","Atap atau dinding utama hampir runtuh",""),IF(AF35="Ya","Genangan yang membahayakan",""),IF(AG35="Ya","Struktur rumah tidak stabil",""),IF(AH35="Ya","Instalasi listrik berbahaya",""),IF(AI35="Ya","Komponen bangunan lepas atau lapuk",""),IF(AJ35="Ya","Akses keluar atau evakuasi terbatas",""),IF(AK35="Ya","Lokasi rawan bencana",""),IF(AL35&lt;&gt;"","Lainnya: "&amp;AL35,"")))</x:f>
        <x:v>Belum Dinilai</x:v>
      </x:c>
      <x:c r="AO35" s="716" t="str">
        <x:f>IF(AR35="","Belum Dinilai",IF(AR35=10,"Risiko Tinggi/Darurat",IF(AR35=5,"Risiko Sedang","Tidak Ada Risiko Khusus")))</x:f>
        <x:v>Belum Dinilai</x:v>
      </x:c>
      <x:c r="AP35" s="716" t="str"/>
      <x:c r="AQ35" s="719" t="n">
        <x:f>IF(OR(J35="",J35="Belum Dapat Ditentukan",L35="",L35="Belum Dinilai",N35="",N35="Belum Dinilai",P35="",P35="Belum Dinilai"),"",IF(J35="Permanen",0,IF(J35="Semipermanen",8,IF(J35="Nonpermanen",15,0)))+IF(L35="Baik",0,IF(L35="Rusak Ringan",5,IF(L35="Rusak Sedang",10,IF(L35="Rusak Berat",15,IF(L35="Tidak Ada/Terbuka",20,0)))))+IF(N35="Baik",0,IF(N35="Rusak Ringan",5,IF(N35="Rusak Sedang",10,IF(N35="Rusak Berat",15,IF(N35="Tidak Ada/Terbuka",20,0)))))+IF(P35="Baik",0,IF(P35="Rusak Ringan",4,IF(P35="Rusak Sedang",8,IF(P35="Rusak Berat",12,IF(P35="Tidak Layak",15,0))))))</x:f>
        <x:v>43</x:v>
      </x:c>
      <x:c r="AR35" s="719" t="str">
        <x:f>IF(COUNTIF(AC35:AH35,"Ya")&gt;0,10,IF(COUNTIF(AI35:AK35,"Ya")&gt;=2,10,IF(COUNTIF(AI35:AK35,"Ya")=1,MAX(5,IF(AM35="Risiko Tinggi/Darurat",10,IF(AM35="Risiko Sedang",5,0))),IF(AL35&lt;&gt;"",IF(AM35="Risiko Tinggi/Darurat",10,IF(AM35="Risiko Sedang",5,"")),IF(COUNTIF(AC35:AK35,"Belum Dinilai")&gt;0,"",0)))))</x:f>
      </x:c>
      <x:c r="AS35" s="719" t="str">
        <x:f>IF(OR(AQ35="",AB35="",AR35=""),"",AQ35+AB35+AR35)</x:f>
      </x:c>
      <x:c r="AT35" s="719" t="str">
        <x:f>IF(AS35="","Belum Dapat Ditentukan",IF(AS35&gt;=80,"Sangat Tinggi",IF(OR(AO35="Risiko Tinggi/Darurat",(IF(L35="Rusak Berat",1,0)+IF(L35="Tidak Ada/Terbuka",1,0)+IF(N35="Rusak Berat",1,0)+IF(N35="Tidak Ada/Terbuka",1,0)+IF(P35="Rusak Berat",1,0)+IF(P35="Tidak Layak",1,0))&gt;=2),"Tinggi",IF(AS35&gt;=65,"Tinggi",IF(AS35&gt;=50,"Sedang","Rendah")))))</x:f>
        <x:v>Belum Dapat Ditentukan</x:v>
      </x:c>
      <x:c r="AU35" s="240" t="str">
        <x:v>Belum Lengkap</x:v>
      </x:c>
      <x:c r="AV35" s="240" t="str">
        <x:v>Sudah Diverifikasi</x:v>
      </x:c>
      <x:c r="AW35" s="240" t="str">
        <x:v>Belum Ditangani</x:v>
      </x:c>
      <x:c r="AX35" s="240"/>
      <x:c r="AY35" s="240"/>
      <x:c r="AZ35" s="240" t="str">
        <x:v>Belum Diverifikasi</x:v>
      </x:c>
      <x:c r="BA35" s="240"/>
      <x:c r="BB35" s="240"/>
      <x:c r="BC35" s="240" t="n">
        <x:v>2026</x:v>
      </x:c>
      <x:c r="BD35" s="240" t="str">
        <x:v>Usulan Musrenbang/Pokir DPRD</x:v>
      </x:c>
      <x:c r="BE35" s="240" t="n">
        <x:v>46218</x:v>
      </x:c>
      <x:c r="BF35" s="240" t="str">
        <x:v>Dinas Perkim Kota Pangkalpinang</x:v>
      </x:c>
    </x:row>
    <x:row r="36" ht="32" customHeight="1">
      <x:c r="A36" s="314" t="str">
        <x:v>RTLH-0038</x:v>
      </x:c>
      <x:c r="B36" s="315" t="str">
        <x:v>SOLMI</x:v>
      </x:c>
      <x:c r="C36" s="316"/>
      <x:c r="D36" s="316"/>
      <x:c r="E36" s="315" t="str">
        <x:v>GG . SEMPAYO 1 RT.003 RW.001</x:v>
      </x:c>
      <x:c r="F36" s="315" t="str">
        <x:v>ASAM</x:v>
      </x:c>
      <x:c r="G36" s="315" t="str">
        <x:v>RANGKUI</x:v>
      </x:c>
      <x:c r="H36" s="315" t="str">
        <x:v>Pembangunan Baru</x:v>
      </x:c>
      <x:c r="I36" s="317" t="str">
        <x:v>RUMAH FULL PAPAN, ATAP SENG ,DINDING PAPAN RUSAK SEDANG,LANTAI PLASTERAN. ATAP BOCOR RINGAN.</x:v>
      </x:c>
      <x:c r="J36" s="315" t="str">
        <x:v>Nonpermanen</x:v>
      </x:c>
      <x:c r="K36" s="315" t="str">
        <x:v>Seng</x:v>
      </x:c>
      <x:c r="L36" s="315" t="str">
        <x:v>Rusak Sedang</x:v>
      </x:c>
      <x:c r="M36" s="367" t="str">
        <x:v>Papan/Kayu</x:v>
      </x:c>
      <x:c r="N36" s="315" t="str">
        <x:v>Rusak Sedang</x:v>
      </x:c>
      <x:c r="O36" s="316" t="str">
        <x:v>Semen/Plester</x:v>
      </x:c>
      <x:c r="P36" s="349" t="str">
        <x:v>Rusak Sedang</x:v>
      </x:c>
      <x:c r="Q36" s="707" t="str">
        <x:v>Belum Dinilai</x:v>
      </x:c>
      <x:c r="R36" s="707" t="str">
        <x:v>Belum Dinilai</x:v>
      </x:c>
      <x:c r="S36" s="708" t="str">
        <x:v>Belum Dinilai</x:v>
      </x:c>
      <x:c r="T36" s="709" t="str">
        <x:v>Belum Dinilai</x:v>
      </x:c>
      <x:c r="U36" s="704" t="str">
        <x:v>Belum Dinilai</x:v>
      </x:c>
      <x:c r="V36" s="704" t="str">
        <x:v>Belum Dinilai</x:v>
      </x:c>
      <x:c r="W36" s="704" t="str"/>
      <x:c r="X36" s="704" t="str">
        <x:f>IF(COUNTIF(R36:V36,"Belum Dinilai")&gt;0,"Belum Dinilai",IF(COUNTIF(R36:V36,"Ya")=0,"Tidak ada faktor rentan",TEXTJOIN(", ",TRUE,IF(R36="Ya","Lansia",""),IF(S36="Ya","Penyandang disabilitas",""),IF(T36="Ya","Kepala keluarga perempuan",""),IF(U36="Ya","Balita",""),IF(V36="Ya","Anggota keluarga dengan ketergantungan tinggi",""))))</x:f>
        <x:v>Belum Dinilai</x:v>
      </x:c>
      <x:c r="Y36" s="704" t="str">
        <x:f>IF(COUNTIF(R36:V36,"Belum Dinilai")&gt;0,"Belum Dinilai",IF(COUNTIF(R36:V36,"Ya")=0,"Tidak Ada Faktor Rentan",IF(COUNTIF(R36:V36,"Ya")=1,"1 Faktor Rentan","2 atau Lebih Faktor Rentan")))</x:f>
        <x:v>Belum Dinilai</x:v>
      </x:c>
      <x:c r="Z36" s="704" t="str">
        <x:f>IF(OR(Q36="",Q36="Belum Dinilai"),"",IF(Q36="Terverifikasi DTKS/P3KE/MBR",10,IF(Q36="Diusulkan, Belum Terverifikasi",5,0)))</x:f>
      </x:c>
      <x:c r="AA36" s="705" t="str">
        <x:f>IF(COUNTIF(R36:V36,"Belum Dinilai")&gt;0,"",IF(COUNTIF(R36:V36,"Ya")=0,0,IF(COUNTIF(R36:V36,"Ya")=1,5,10)))</x:f>
      </x:c>
      <x:c r="AB36" s="706" t="str">
        <x:f>IF(OR(Z36="",AA36=""),"",Z36+AA36)</x:f>
      </x:c>
      <x:c r="AC36" s="713" t="str">
        <x:v>Belum Dinilai</x:v>
      </x:c>
      <x:c r="AD36" s="713" t="str">
        <x:v>Belum Dinilai</x:v>
      </x:c>
      <x:c r="AE36" s="714" t="str">
        <x:v>Belum Dinilai</x:v>
      </x:c>
      <x:c r="AF36" s="713" t="str">
        <x:v>Belum Dinilai</x:v>
      </x:c>
      <x:c r="AG36" s="713" t="str">
        <x:v>Belum Dinilai</x:v>
      </x:c>
      <x:c r="AH36" s="715" t="str">
        <x:v>Belum Dinilai</x:v>
      </x:c>
      <x:c r="AI36" s="714" t="str">
        <x:v>Belum Dinilai</x:v>
      </x:c>
      <x:c r="AJ36" s="713" t="str">
        <x:v>Belum Dinilai</x:v>
      </x:c>
      <x:c r="AK36" s="715" t="str">
        <x:v>Belum Dinilai</x:v>
      </x:c>
      <x:c r="AL36" s="713" t="str"/>
      <x:c r="AM36" s="716" t="str">
        <x:v>Belum Dinilai</x:v>
      </x:c>
      <x:c r="AN36" s="716" t="str">
        <x:f>IF(AND(COUNTIF(AC36:AK36,"Ya")=0,AL36=""),IF(COUNTIF(AC36:AK36,"Belum Dinilai")&gt;0,"Belum Dinilai","Tidak ada risiko khusus"),TEXTJOIN(", ",TRUE,IF(AC36="Ya","Bangunan berpotensi roboh",""),IF(AD36="Ya","Bekas kebakaran dan tidak aman dihuni",""),IF(AE36="Ya","Atap atau dinding utama hampir runtuh",""),IF(AF36="Ya","Genangan yang membahayakan",""),IF(AG36="Ya","Struktur rumah tidak stabil",""),IF(AH36="Ya","Instalasi listrik berbahaya",""),IF(AI36="Ya","Komponen bangunan lepas atau lapuk",""),IF(AJ36="Ya","Akses keluar atau evakuasi terbatas",""),IF(AK36="Ya","Lokasi rawan bencana",""),IF(AL36&lt;&gt;"","Lainnya: "&amp;AL36,"")))</x:f>
        <x:v>Belum Dinilai</x:v>
      </x:c>
      <x:c r="AO36" s="716" t="str">
        <x:f>IF(AR36="","Belum Dinilai",IF(AR36=10,"Risiko Tinggi/Darurat",IF(AR36=5,"Risiko Sedang","Tidak Ada Risiko Khusus")))</x:f>
        <x:v>Belum Dinilai</x:v>
      </x:c>
      <x:c r="AP36" s="716" t="str"/>
      <x:c r="AQ36" s="719" t="n">
        <x:f>IF(OR(J36="",J36="Belum Dapat Ditentukan",L36="",L36="Belum Dinilai",N36="",N36="Belum Dinilai",P36="",P36="Belum Dinilai"),"",IF(J36="Permanen",0,IF(J36="Semipermanen",8,IF(J36="Nonpermanen",15,0)))+IF(L36="Baik",0,IF(L36="Rusak Ringan",5,IF(L36="Rusak Sedang",10,IF(L36="Rusak Berat",15,IF(L36="Tidak Ada/Terbuka",20,0)))))+IF(N36="Baik",0,IF(N36="Rusak Ringan",5,IF(N36="Rusak Sedang",10,IF(N36="Rusak Berat",15,IF(N36="Tidak Ada/Terbuka",20,0)))))+IF(P36="Baik",0,IF(P36="Rusak Ringan",4,IF(P36="Rusak Sedang",8,IF(P36="Rusak Berat",12,IF(P36="Tidak Layak",15,0))))))</x:f>
        <x:v>43</x:v>
      </x:c>
      <x:c r="AR36" s="719" t="str">
        <x:f>IF(COUNTIF(AC36:AH36,"Ya")&gt;0,10,IF(COUNTIF(AI36:AK36,"Ya")&gt;=2,10,IF(COUNTIF(AI36:AK36,"Ya")=1,MAX(5,IF(AM36="Risiko Tinggi/Darurat",10,IF(AM36="Risiko Sedang",5,0))),IF(AL36&lt;&gt;"",IF(AM36="Risiko Tinggi/Darurat",10,IF(AM36="Risiko Sedang",5,"")),IF(COUNTIF(AC36:AK36,"Belum Dinilai")&gt;0,"",0)))))</x:f>
      </x:c>
      <x:c r="AS36" s="719" t="str">
        <x:f>IF(OR(AQ36="",AB36="",AR36=""),"",AQ36+AB36+AR36)</x:f>
      </x:c>
      <x:c r="AT36" s="719" t="str">
        <x:f>IF(AS36="","Belum Dapat Ditentukan",IF(AS36&gt;=80,"Sangat Tinggi",IF(OR(AO36="Risiko Tinggi/Darurat",(IF(L36="Rusak Berat",1,0)+IF(L36="Tidak Ada/Terbuka",1,0)+IF(N36="Rusak Berat",1,0)+IF(N36="Tidak Ada/Terbuka",1,0)+IF(P36="Rusak Berat",1,0)+IF(P36="Tidak Layak",1,0))&gt;=2),"Tinggi",IF(AS36&gt;=65,"Tinggi",IF(AS36&gt;=50,"Sedang","Rendah")))))</x:f>
        <x:v>Belum Dapat Ditentukan</x:v>
      </x:c>
      <x:c r="AU36" s="240" t="str">
        <x:v>Lengkap</x:v>
      </x:c>
      <x:c r="AV36" s="240" t="str">
        <x:v>Sudah Diverifikasi</x:v>
      </x:c>
      <x:c r="AW36" s="240" t="str">
        <x:v>Belum Ditangani</x:v>
      </x:c>
      <x:c r="AX36" s="240"/>
      <x:c r="AY36" s="240"/>
      <x:c r="AZ36" s="240" t="str">
        <x:v>Belum Diverifikasi</x:v>
      </x:c>
      <x:c r="BA36" s="240"/>
      <x:c r="BB36" s="240"/>
      <x:c r="BC36" s="240" t="n">
        <x:v>2026</x:v>
      </x:c>
      <x:c r="BD36" s="240" t="str">
        <x:v>Usulan Musrenbang/Pokir DPRD</x:v>
      </x:c>
      <x:c r="BE36" s="240" t="n">
        <x:v>46218</x:v>
      </x:c>
      <x:c r="BF36" s="240" t="str">
        <x:v>Dinas Perkim Kota Pangkalpinang</x:v>
      </x:c>
    </x:row>
    <x:row r="37" ht="32" customHeight="1">
      <x:c r="A37" s="314" t="str">
        <x:v>RTLH-0041</x:v>
      </x:c>
      <x:c r="B37" s="315" t="str">
        <x:v>SENAH</x:v>
      </x:c>
      <x:c r="C37" s="316"/>
      <x:c r="D37" s="316"/>
      <x:c r="E37" s="315" t="str">
        <x:v>JL. BATIN ISO RT.005 RW.002</x:v>
      </x:c>
      <x:c r="F37" s="315" t="str">
        <x:v>PINTU AIR</x:v>
      </x:c>
      <x:c r="G37" s="315" t="str">
        <x:v>RANGKUI</x:v>
      </x:c>
      <x:c r="H37" s="315" t="str">
        <x:v>Pembangunan Baru</x:v>
      </x:c>
      <x:c r="I37" s="317" t="str">
        <x:v>RUMAH FULL PAPAN RUSAK BERAT, ATAP SENG RUSAK RINGAN, LANTAI PAPAN RUSAK BERAT ( MINTA REHAB KESELURUHAN)</x:v>
      </x:c>
      <x:c r="J37" s="315" t="str">
        <x:v>Nonpermanen</x:v>
      </x:c>
      <x:c r="K37" s="315" t="str">
        <x:v>Seng</x:v>
      </x:c>
      <x:c r="L37" s="315" t="str">
        <x:v>Rusak Berat</x:v>
      </x:c>
      <x:c r="M37" s="367" t="str">
        <x:v>Papan/Kayu</x:v>
      </x:c>
      <x:c r="N37" s="315" t="str">
        <x:v>Rusak Berat</x:v>
      </x:c>
      <x:c r="O37" s="316" t="str">
        <x:v>Papan/Kayu</x:v>
      </x:c>
      <x:c r="P37" s="349" t="str">
        <x:v>Rusak Berat</x:v>
      </x:c>
      <x:c r="Q37" s="707" t="str">
        <x:v>Belum Dinilai</x:v>
      </x:c>
      <x:c r="R37" s="707" t="str">
        <x:v>Belum Dinilai</x:v>
      </x:c>
      <x:c r="S37" s="708" t="str">
        <x:v>Belum Dinilai</x:v>
      </x:c>
      <x:c r="T37" s="709" t="str">
        <x:v>Belum Dinilai</x:v>
      </x:c>
      <x:c r="U37" s="704" t="str">
        <x:v>Belum Dinilai</x:v>
      </x:c>
      <x:c r="V37" s="704" t="str">
        <x:v>Belum Dinilai</x:v>
      </x:c>
      <x:c r="W37" s="704" t="str"/>
      <x:c r="X37" s="704" t="str">
        <x:f>IF(COUNTIF(R37:V37,"Belum Dinilai")&gt;0,"Belum Dinilai",IF(COUNTIF(R37:V37,"Ya")=0,"Tidak ada faktor rentan",TEXTJOIN(", ",TRUE,IF(R37="Ya","Lansia",""),IF(S37="Ya","Penyandang disabilitas",""),IF(T37="Ya","Kepala keluarga perempuan",""),IF(U37="Ya","Balita",""),IF(V37="Ya","Anggota keluarga dengan ketergantungan tinggi",""))))</x:f>
        <x:v>Belum Dinilai</x:v>
      </x:c>
      <x:c r="Y37" s="704" t="str">
        <x:f>IF(COUNTIF(R37:V37,"Belum Dinilai")&gt;0,"Belum Dinilai",IF(COUNTIF(R37:V37,"Ya")=0,"Tidak Ada Faktor Rentan",IF(COUNTIF(R37:V37,"Ya")=1,"1 Faktor Rentan","2 atau Lebih Faktor Rentan")))</x:f>
        <x:v>Belum Dinilai</x:v>
      </x:c>
      <x:c r="Z37" s="704" t="str">
        <x:f>IF(OR(Q37="",Q37="Belum Dinilai"),"",IF(Q37="Terverifikasi DTKS/P3KE/MBR",10,IF(Q37="Diusulkan, Belum Terverifikasi",5,0)))</x:f>
      </x:c>
      <x:c r="AA37" s="705" t="str">
        <x:f>IF(COUNTIF(R37:V37,"Belum Dinilai")&gt;0,"",IF(COUNTIF(R37:V37,"Ya")=0,0,IF(COUNTIF(R37:V37,"Ya")=1,5,10)))</x:f>
      </x:c>
      <x:c r="AB37" s="706" t="str">
        <x:f>IF(OR(Z37="",AA37=""),"",Z37+AA37)</x:f>
      </x:c>
      <x:c r="AC37" s="713" t="str">
        <x:v>Belum Dinilai</x:v>
      </x:c>
      <x:c r="AD37" s="713" t="str">
        <x:v>Belum Dinilai</x:v>
      </x:c>
      <x:c r="AE37" s="714" t="str">
        <x:v>Belum Dinilai</x:v>
      </x:c>
      <x:c r="AF37" s="713" t="str">
        <x:v>Belum Dinilai</x:v>
      </x:c>
      <x:c r="AG37" s="713" t="str">
        <x:v>Belum Dinilai</x:v>
      </x:c>
      <x:c r="AH37" s="715" t="str">
        <x:v>Belum Dinilai</x:v>
      </x:c>
      <x:c r="AI37" s="714" t="str">
        <x:v>Belum Dinilai</x:v>
      </x:c>
      <x:c r="AJ37" s="713" t="str">
        <x:v>Belum Dinilai</x:v>
      </x:c>
      <x:c r="AK37" s="715" t="str">
        <x:v>Belum Dinilai</x:v>
      </x:c>
      <x:c r="AL37" s="713" t="str"/>
      <x:c r="AM37" s="716" t="str">
        <x:v>Belum Dinilai</x:v>
      </x:c>
      <x:c r="AN37" s="716" t="str">
        <x:f>IF(AND(COUNTIF(AC37:AK37,"Ya")=0,AL37=""),IF(COUNTIF(AC37:AK37,"Belum Dinilai")&gt;0,"Belum Dinilai","Tidak ada risiko khusus"),TEXTJOIN(", ",TRUE,IF(AC37="Ya","Bangunan berpotensi roboh",""),IF(AD37="Ya","Bekas kebakaran dan tidak aman dihuni",""),IF(AE37="Ya","Atap atau dinding utama hampir runtuh",""),IF(AF37="Ya","Genangan yang membahayakan",""),IF(AG37="Ya","Struktur rumah tidak stabil",""),IF(AH37="Ya","Instalasi listrik berbahaya",""),IF(AI37="Ya","Komponen bangunan lepas atau lapuk",""),IF(AJ37="Ya","Akses keluar atau evakuasi terbatas",""),IF(AK37="Ya","Lokasi rawan bencana",""),IF(AL37&lt;&gt;"","Lainnya: "&amp;AL37,"")))</x:f>
        <x:v>Belum Dinilai</x:v>
      </x:c>
      <x:c r="AO37" s="716" t="str">
        <x:f>IF(AR37="","Belum Dinilai",IF(AR37=10,"Risiko Tinggi/Darurat",IF(AR37=5,"Risiko Sedang","Tidak Ada Risiko Khusus")))</x:f>
        <x:v>Belum Dinilai</x:v>
      </x:c>
      <x:c r="AP37" s="716" t="str"/>
      <x:c r="AQ37" s="719" t="n">
        <x:f>IF(OR(J37="",J37="Belum Dapat Ditentukan",L37="",L37="Belum Dinilai",N37="",N37="Belum Dinilai",P37="",P37="Belum Dinilai"),"",IF(J37="Permanen",0,IF(J37="Semipermanen",8,IF(J37="Nonpermanen",15,0)))+IF(L37="Baik",0,IF(L37="Rusak Ringan",5,IF(L37="Rusak Sedang",10,IF(L37="Rusak Berat",15,IF(L37="Tidak Ada/Terbuka",20,0)))))+IF(N37="Baik",0,IF(N37="Rusak Ringan",5,IF(N37="Rusak Sedang",10,IF(N37="Rusak Berat",15,IF(N37="Tidak Ada/Terbuka",20,0)))))+IF(P37="Baik",0,IF(P37="Rusak Ringan",4,IF(P37="Rusak Sedang",8,IF(P37="Rusak Berat",12,IF(P37="Tidak Layak",15,0))))))</x:f>
        <x:v>57</x:v>
      </x:c>
      <x:c r="AR37" s="719" t="str">
        <x:f>IF(COUNTIF(AC37:AH37,"Ya")&gt;0,10,IF(COUNTIF(AI37:AK37,"Ya")&gt;=2,10,IF(COUNTIF(AI37:AK37,"Ya")=1,MAX(5,IF(AM37="Risiko Tinggi/Darurat",10,IF(AM37="Risiko Sedang",5,0))),IF(AL37&lt;&gt;"",IF(AM37="Risiko Tinggi/Darurat",10,IF(AM37="Risiko Sedang",5,"")),IF(COUNTIF(AC37:AK37,"Belum Dinilai")&gt;0,"",0)))))</x:f>
      </x:c>
      <x:c r="AS37" s="719" t="str">
        <x:f>IF(OR(AQ37="",AB37="",AR37=""),"",AQ37+AB37+AR37)</x:f>
      </x:c>
      <x:c r="AT37" s="719" t="str">
        <x:f>IF(AS37="","Belum Dapat Ditentukan",IF(AS37&gt;=80,"Sangat Tinggi",IF(OR(AO37="Risiko Tinggi/Darurat",(IF(L37="Rusak Berat",1,0)+IF(L37="Tidak Ada/Terbuka",1,0)+IF(N37="Rusak Berat",1,0)+IF(N37="Tidak Ada/Terbuka",1,0)+IF(P37="Rusak Berat",1,0)+IF(P37="Tidak Layak",1,0))&gt;=2),"Tinggi",IF(AS37&gt;=65,"Tinggi",IF(AS37&gt;=50,"Sedang","Rendah")))))</x:f>
        <x:v>Belum Dapat Ditentukan</x:v>
      </x:c>
      <x:c r="AU37" s="240" t="str">
        <x:v>Lengkap</x:v>
      </x:c>
      <x:c r="AV37" s="240" t="str">
        <x:v>Sudah Diverifikasi</x:v>
      </x:c>
      <x:c r="AW37" s="240" t="str">
        <x:v>Selesai</x:v>
      </x:c>
      <x:c r="AX37" s="240" t="str">
        <x:v>APBD Kota</x:v>
      </x:c>
      <x:c r="AY37" s="240" t="n">
        <x:v>2023</x:v>
      </x:c>
      <x:c r="AZ37" s="240" t="str">
        <x:v>Belum Diverifikasi</x:v>
      </x:c>
      <x:c r="BA37" s="240"/>
      <x:c r="BB37" s="240"/>
      <x:c r="BC37" s="240" t="n">
        <x:v>2026</x:v>
      </x:c>
      <x:c r="BD37" s="240" t="str">
        <x:v>Usulan Musrenbang/Pokir DPRD</x:v>
      </x:c>
      <x:c r="BE37" s="240" t="n">
        <x:v>46218</x:v>
      </x:c>
      <x:c r="BF37" s="240" t="str">
        <x:v>Dinas Perkim Kota Pangkalpinang</x:v>
      </x:c>
    </x:row>
    <x:row r="38" ht="32" customHeight="1">
      <x:c r="A38" s="314" t="str">
        <x:v>RTLH-0042</x:v>
      </x:c>
      <x:c r="B38" s="315" t="str">
        <x:v>AJIJAH</x:v>
      </x:c>
      <x:c r="C38" s="316"/>
      <x:c r="D38" s="316"/>
      <x:c r="E38" s="315" t="str">
        <x:v>JL. JAKFAR YUSUF RT.008 RW.003</x:v>
      </x:c>
      <x:c r="F38" s="315" t="str">
        <x:v>PINTU AIR</x:v>
      </x:c>
      <x:c r="G38" s="315" t="str">
        <x:v>RANGKUI</x:v>
      </x:c>
      <x:c r="H38" s="315" t="str">
        <x:v>Pembangunan Baru</x:v>
      </x:c>
      <x:c r="I38" s="317" t="str">
        <x:v>RUMAH SEMI PERMANEN, ATAP GENTENG RUSAK RINGAN, DINDING PAPAN RUSAK RINGAN, LANTAI FLOOR, ATAP DAPUR RUSAK BERAT,DINDING DAPUR RUSAK BERAT</x:v>
      </x:c>
      <x:c r="J38" s="315" t="str">
        <x:v>Semipermanen</x:v>
      </x:c>
      <x:c r="K38" s="315" t="str">
        <x:v>Genteng</x:v>
      </x:c>
      <x:c r="L38" s="315" t="str">
        <x:v>Rusak Berat</x:v>
      </x:c>
      <x:c r="M38" s="367" t="str">
        <x:v>Papan/Kayu</x:v>
      </x:c>
      <x:c r="N38" s="315" t="str">
        <x:v>Rusak Berat</x:v>
      </x:c>
      <x:c r="O38" s="316" t="str">
        <x:v>Semen/Plester</x:v>
      </x:c>
      <x:c r="P38" s="349" t="str">
        <x:v>Rusak Berat</x:v>
      </x:c>
      <x:c r="Q38" s="707" t="str">
        <x:v>Belum Dinilai</x:v>
      </x:c>
      <x:c r="R38" s="707" t="str">
        <x:v>Belum Dinilai</x:v>
      </x:c>
      <x:c r="S38" s="708" t="str">
        <x:v>Belum Dinilai</x:v>
      </x:c>
      <x:c r="T38" s="709" t="str">
        <x:v>Belum Dinilai</x:v>
      </x:c>
      <x:c r="U38" s="704" t="str">
        <x:v>Belum Dinilai</x:v>
      </x:c>
      <x:c r="V38" s="704" t="str">
        <x:v>Belum Dinilai</x:v>
      </x:c>
      <x:c r="W38" s="704" t="str"/>
      <x:c r="X38" s="704" t="str">
        <x:f>IF(COUNTIF(R38:V38,"Belum Dinilai")&gt;0,"Belum Dinilai",IF(COUNTIF(R38:V38,"Ya")=0,"Tidak ada faktor rentan",TEXTJOIN(", ",TRUE,IF(R38="Ya","Lansia",""),IF(S38="Ya","Penyandang disabilitas",""),IF(T38="Ya","Kepala keluarga perempuan",""),IF(U38="Ya","Balita",""),IF(V38="Ya","Anggota keluarga dengan ketergantungan tinggi",""))))</x:f>
        <x:v>Belum Dinilai</x:v>
      </x:c>
      <x:c r="Y38" s="704" t="str">
        <x:f>IF(COUNTIF(R38:V38,"Belum Dinilai")&gt;0,"Belum Dinilai",IF(COUNTIF(R38:V38,"Ya")=0,"Tidak Ada Faktor Rentan",IF(COUNTIF(R38:V38,"Ya")=1,"1 Faktor Rentan","2 atau Lebih Faktor Rentan")))</x:f>
        <x:v>Belum Dinilai</x:v>
      </x:c>
      <x:c r="Z38" s="704" t="str">
        <x:f>IF(OR(Q38="",Q38="Belum Dinilai"),"",IF(Q38="Terverifikasi DTKS/P3KE/MBR",10,IF(Q38="Diusulkan, Belum Terverifikasi",5,0)))</x:f>
      </x:c>
      <x:c r="AA38" s="705" t="str">
        <x:f>IF(COUNTIF(R38:V38,"Belum Dinilai")&gt;0,"",IF(COUNTIF(R38:V38,"Ya")=0,0,IF(COUNTIF(R38:V38,"Ya")=1,5,10)))</x:f>
      </x:c>
      <x:c r="AB38" s="706" t="str">
        <x:f>IF(OR(Z38="",AA38=""),"",Z38+AA38)</x:f>
      </x:c>
      <x:c r="AC38" s="713" t="str">
        <x:v>Belum Dinilai</x:v>
      </x:c>
      <x:c r="AD38" s="713" t="str">
        <x:v>Belum Dinilai</x:v>
      </x:c>
      <x:c r="AE38" s="714" t="str">
        <x:v>Belum Dinilai</x:v>
      </x:c>
      <x:c r="AF38" s="713" t="str">
        <x:v>Belum Dinilai</x:v>
      </x:c>
      <x:c r="AG38" s="713" t="str">
        <x:v>Belum Dinilai</x:v>
      </x:c>
      <x:c r="AH38" s="715" t="str">
        <x:v>Belum Dinilai</x:v>
      </x:c>
      <x:c r="AI38" s="714" t="str">
        <x:v>Belum Dinilai</x:v>
      </x:c>
      <x:c r="AJ38" s="713" t="str">
        <x:v>Belum Dinilai</x:v>
      </x:c>
      <x:c r="AK38" s="715" t="str">
        <x:v>Belum Dinilai</x:v>
      </x:c>
      <x:c r="AL38" s="713" t="str"/>
      <x:c r="AM38" s="716" t="str">
        <x:v>Belum Dinilai</x:v>
      </x:c>
      <x:c r="AN38" s="716" t="str">
        <x:f>IF(AND(COUNTIF(AC38:AK38,"Ya")=0,AL38=""),IF(COUNTIF(AC38:AK38,"Belum Dinilai")&gt;0,"Belum Dinilai","Tidak ada risiko khusus"),TEXTJOIN(", ",TRUE,IF(AC38="Ya","Bangunan berpotensi roboh",""),IF(AD38="Ya","Bekas kebakaran dan tidak aman dihuni",""),IF(AE38="Ya","Atap atau dinding utama hampir runtuh",""),IF(AF38="Ya","Genangan yang membahayakan",""),IF(AG38="Ya","Struktur rumah tidak stabil",""),IF(AH38="Ya","Instalasi listrik berbahaya",""),IF(AI38="Ya","Komponen bangunan lepas atau lapuk",""),IF(AJ38="Ya","Akses keluar atau evakuasi terbatas",""),IF(AK38="Ya","Lokasi rawan bencana",""),IF(AL38&lt;&gt;"","Lainnya: "&amp;AL38,"")))</x:f>
        <x:v>Belum Dinilai</x:v>
      </x:c>
      <x:c r="AO38" s="716" t="str">
        <x:f>IF(AR38="","Belum Dinilai",IF(AR38=10,"Risiko Tinggi/Darurat",IF(AR38=5,"Risiko Sedang","Tidak Ada Risiko Khusus")))</x:f>
        <x:v>Belum Dinilai</x:v>
      </x:c>
      <x:c r="AP38" s="716" t="str"/>
      <x:c r="AQ38" s="719" t="n">
        <x:f>IF(OR(J38="",J38="Belum Dapat Ditentukan",L38="",L38="Belum Dinilai",N38="",N38="Belum Dinilai",P38="",P38="Belum Dinilai"),"",IF(J38="Permanen",0,IF(J38="Semipermanen",8,IF(J38="Nonpermanen",15,0)))+IF(L38="Baik",0,IF(L38="Rusak Ringan",5,IF(L38="Rusak Sedang",10,IF(L38="Rusak Berat",15,IF(L38="Tidak Ada/Terbuka",20,0)))))+IF(N38="Baik",0,IF(N38="Rusak Ringan",5,IF(N38="Rusak Sedang",10,IF(N38="Rusak Berat",15,IF(N38="Tidak Ada/Terbuka",20,0)))))+IF(P38="Baik",0,IF(P38="Rusak Ringan",4,IF(P38="Rusak Sedang",8,IF(P38="Rusak Berat",12,IF(P38="Tidak Layak",15,0))))))</x:f>
        <x:v>50</x:v>
      </x:c>
      <x:c r="AR38" s="719" t="str">
        <x:f>IF(COUNTIF(AC38:AH38,"Ya")&gt;0,10,IF(COUNTIF(AI38:AK38,"Ya")&gt;=2,10,IF(COUNTIF(AI38:AK38,"Ya")=1,MAX(5,IF(AM38="Risiko Tinggi/Darurat",10,IF(AM38="Risiko Sedang",5,0))),IF(AL38&lt;&gt;"",IF(AM38="Risiko Tinggi/Darurat",10,IF(AM38="Risiko Sedang",5,"")),IF(COUNTIF(AC38:AK38,"Belum Dinilai")&gt;0,"",0)))))</x:f>
      </x:c>
      <x:c r="AS38" s="719" t="str">
        <x:f>IF(OR(AQ38="",AB38="",AR38=""),"",AQ38+AB38+AR38)</x:f>
      </x:c>
      <x:c r="AT38" s="719" t="str">
        <x:f>IF(AS38="","Belum Dapat Ditentukan",IF(AS38&gt;=80,"Sangat Tinggi",IF(OR(AO38="Risiko Tinggi/Darurat",(IF(L38="Rusak Berat",1,0)+IF(L38="Tidak Ada/Terbuka",1,0)+IF(N38="Rusak Berat",1,0)+IF(N38="Tidak Ada/Terbuka",1,0)+IF(P38="Rusak Berat",1,0)+IF(P38="Tidak Layak",1,0))&gt;=2),"Tinggi",IF(AS38&gt;=65,"Tinggi",IF(AS38&gt;=50,"Sedang","Rendah")))))</x:f>
        <x:v>Belum Dapat Ditentukan</x:v>
      </x:c>
      <x:c r="AU38" s="240" t="str">
        <x:v>Belum Lengkap</x:v>
      </x:c>
      <x:c r="AV38" s="240" t="str">
        <x:v>Sudah Diverifikasi</x:v>
      </x:c>
      <x:c r="AW38" s="240" t="str">
        <x:v>Belum Ditangani</x:v>
      </x:c>
      <x:c r="AX38" s="240"/>
      <x:c r="AY38" s="240"/>
      <x:c r="AZ38" s="240" t="str">
        <x:v>Belum Diverifikasi</x:v>
      </x:c>
      <x:c r="BA38" s="240"/>
      <x:c r="BB38" s="240"/>
      <x:c r="BC38" s="240" t="n">
        <x:v>2026</x:v>
      </x:c>
      <x:c r="BD38" s="240" t="str">
        <x:v>Usulan Musrenbang/Pokir DPRD</x:v>
      </x:c>
      <x:c r="BE38" s="240" t="n">
        <x:v>46218</x:v>
      </x:c>
      <x:c r="BF38" s="240" t="str">
        <x:v>Dinas Perkim Kota Pangkalpinang</x:v>
      </x:c>
    </x:row>
    <x:row r="39" ht="32" customHeight="1">
      <x:c r="A39" s="314" t="str">
        <x:v>RTLH-0043</x:v>
      </x:c>
      <x:c r="B39" s="315" t="str">
        <x:v>MUSLIM</x:v>
      </x:c>
      <x:c r="C39" s="316"/>
      <x:c r="D39" s="316"/>
      <x:c r="E39" s="315" t="str">
        <x:v>Belum tersedia</x:v>
      </x:c>
      <x:c r="F39" s="315" t="str">
        <x:v>PINTU AIR</x:v>
      </x:c>
      <x:c r="G39" s="315" t="str">
        <x:v>RANGKUI</x:v>
      </x:c>
      <x:c r="H39" s="315" t="str">
        <x:v>Pembangunan Baru</x:v>
      </x:c>
      <x:c r="I39" s="317" t="str">
        <x:v>RUMAH FULL PAPAN, ATAP ASBES, DINDING PAPAN RUSAK RINGAN, LANTAI FLOOR</x:v>
      </x:c>
      <x:c r="J39" s="315" t="str">
        <x:v>Nonpermanen</x:v>
      </x:c>
      <x:c r="K39" s="315" t="str">
        <x:v>Asbes/Fiber Semen</x:v>
      </x:c>
      <x:c r="L39" s="315" t="str">
        <x:v>Rusak Ringan</x:v>
      </x:c>
      <x:c r="M39" s="367" t="str">
        <x:v>Papan/Kayu</x:v>
      </x:c>
      <x:c r="N39" s="315" t="str">
        <x:v>Rusak Ringan</x:v>
      </x:c>
      <x:c r="O39" s="316" t="str">
        <x:v>Semen/Plester</x:v>
      </x:c>
      <x:c r="P39" s="349" t="str">
        <x:v>Rusak Ringan</x:v>
      </x:c>
      <x:c r="Q39" s="707" t="str">
        <x:v>Belum Dinilai</x:v>
      </x:c>
      <x:c r="R39" s="707" t="str">
        <x:v>Belum Dinilai</x:v>
      </x:c>
      <x:c r="S39" s="708" t="str">
        <x:v>Belum Dinilai</x:v>
      </x:c>
      <x:c r="T39" s="709" t="str">
        <x:v>Belum Dinilai</x:v>
      </x:c>
      <x:c r="U39" s="704" t="str">
        <x:v>Belum Dinilai</x:v>
      </x:c>
      <x:c r="V39" s="704" t="str">
        <x:v>Belum Dinilai</x:v>
      </x:c>
      <x:c r="W39" s="704" t="str"/>
      <x:c r="X39" s="704" t="str">
        <x:f>IF(COUNTIF(R39:V39,"Belum Dinilai")&gt;0,"Belum Dinilai",IF(COUNTIF(R39:V39,"Ya")=0,"Tidak ada faktor rentan",TEXTJOIN(", ",TRUE,IF(R39="Ya","Lansia",""),IF(S39="Ya","Penyandang disabilitas",""),IF(T39="Ya","Kepala keluarga perempuan",""),IF(U39="Ya","Balita",""),IF(V39="Ya","Anggota keluarga dengan ketergantungan tinggi",""))))</x:f>
        <x:v>Belum Dinilai</x:v>
      </x:c>
      <x:c r="Y39" s="704" t="str">
        <x:f>IF(COUNTIF(R39:V39,"Belum Dinilai")&gt;0,"Belum Dinilai",IF(COUNTIF(R39:V39,"Ya")=0,"Tidak Ada Faktor Rentan",IF(COUNTIF(R39:V39,"Ya")=1,"1 Faktor Rentan","2 atau Lebih Faktor Rentan")))</x:f>
        <x:v>Belum Dinilai</x:v>
      </x:c>
      <x:c r="Z39" s="704" t="str">
        <x:f>IF(OR(Q39="",Q39="Belum Dinilai"),"",IF(Q39="Terverifikasi DTKS/P3KE/MBR",10,IF(Q39="Diusulkan, Belum Terverifikasi",5,0)))</x:f>
      </x:c>
      <x:c r="AA39" s="705" t="str">
        <x:f>IF(COUNTIF(R39:V39,"Belum Dinilai")&gt;0,"",IF(COUNTIF(R39:V39,"Ya")=0,0,IF(COUNTIF(R39:V39,"Ya")=1,5,10)))</x:f>
      </x:c>
      <x:c r="AB39" s="706" t="str">
        <x:f>IF(OR(Z39="",AA39=""),"",Z39+AA39)</x:f>
      </x:c>
      <x:c r="AC39" s="713" t="str">
        <x:v>Belum Dinilai</x:v>
      </x:c>
      <x:c r="AD39" s="713" t="str">
        <x:v>Belum Dinilai</x:v>
      </x:c>
      <x:c r="AE39" s="714" t="str">
        <x:v>Belum Dinilai</x:v>
      </x:c>
      <x:c r="AF39" s="713" t="str">
        <x:v>Belum Dinilai</x:v>
      </x:c>
      <x:c r="AG39" s="713" t="str">
        <x:v>Belum Dinilai</x:v>
      </x:c>
      <x:c r="AH39" s="715" t="str">
        <x:v>Belum Dinilai</x:v>
      </x:c>
      <x:c r="AI39" s="714" t="str">
        <x:v>Belum Dinilai</x:v>
      </x:c>
      <x:c r="AJ39" s="713" t="str">
        <x:v>Belum Dinilai</x:v>
      </x:c>
      <x:c r="AK39" s="715" t="str">
        <x:v>Belum Dinilai</x:v>
      </x:c>
      <x:c r="AL39" s="713" t="str"/>
      <x:c r="AM39" s="716" t="str">
        <x:v>Belum Dinilai</x:v>
      </x:c>
      <x:c r="AN39" s="716" t="str">
        <x:f>IF(AND(COUNTIF(AC39:AK39,"Ya")=0,AL39=""),IF(COUNTIF(AC39:AK39,"Belum Dinilai")&gt;0,"Belum Dinilai","Tidak ada risiko khusus"),TEXTJOIN(", ",TRUE,IF(AC39="Ya","Bangunan berpotensi roboh",""),IF(AD39="Ya","Bekas kebakaran dan tidak aman dihuni",""),IF(AE39="Ya","Atap atau dinding utama hampir runtuh",""),IF(AF39="Ya","Genangan yang membahayakan",""),IF(AG39="Ya","Struktur rumah tidak stabil",""),IF(AH39="Ya","Instalasi listrik berbahaya",""),IF(AI39="Ya","Komponen bangunan lepas atau lapuk",""),IF(AJ39="Ya","Akses keluar atau evakuasi terbatas",""),IF(AK39="Ya","Lokasi rawan bencana",""),IF(AL39&lt;&gt;"","Lainnya: "&amp;AL39,"")))</x:f>
        <x:v>Belum Dinilai</x:v>
      </x:c>
      <x:c r="AO39" s="716" t="str">
        <x:f>IF(AR39="","Belum Dinilai",IF(AR39=10,"Risiko Tinggi/Darurat",IF(AR39=5,"Risiko Sedang","Tidak Ada Risiko Khusus")))</x:f>
        <x:v>Belum Dinilai</x:v>
      </x:c>
      <x:c r="AP39" s="716" t="str"/>
      <x:c r="AQ39" s="719" t="n">
        <x:f>IF(OR(J39="",J39="Belum Dapat Ditentukan",L39="",L39="Belum Dinilai",N39="",N39="Belum Dinilai",P39="",P39="Belum Dinilai"),"",IF(J39="Permanen",0,IF(J39="Semipermanen",8,IF(J39="Nonpermanen",15,0)))+IF(L39="Baik",0,IF(L39="Rusak Ringan",5,IF(L39="Rusak Sedang",10,IF(L39="Rusak Berat",15,IF(L39="Tidak Ada/Terbuka",20,0)))))+IF(N39="Baik",0,IF(N39="Rusak Ringan",5,IF(N39="Rusak Sedang",10,IF(N39="Rusak Berat",15,IF(N39="Tidak Ada/Terbuka",20,0)))))+IF(P39="Baik",0,IF(P39="Rusak Ringan",4,IF(P39="Rusak Sedang",8,IF(P39="Rusak Berat",12,IF(P39="Tidak Layak",15,0))))))</x:f>
        <x:v>29</x:v>
      </x:c>
      <x:c r="AR39" s="719" t="str">
        <x:f>IF(COUNTIF(AC39:AH39,"Ya")&gt;0,10,IF(COUNTIF(AI39:AK39,"Ya")&gt;=2,10,IF(COUNTIF(AI39:AK39,"Ya")=1,MAX(5,IF(AM39="Risiko Tinggi/Darurat",10,IF(AM39="Risiko Sedang",5,0))),IF(AL39&lt;&gt;"",IF(AM39="Risiko Tinggi/Darurat",10,IF(AM39="Risiko Sedang",5,"")),IF(COUNTIF(AC39:AK39,"Belum Dinilai")&gt;0,"",0)))))</x:f>
      </x:c>
      <x:c r="AS39" s="719" t="str">
        <x:f>IF(OR(AQ39="",AB39="",AR39=""),"",AQ39+AB39+AR39)</x:f>
      </x:c>
      <x:c r="AT39" s="719" t="str">
        <x:f>IF(AS39="","Belum Dapat Ditentukan",IF(AS39&gt;=80,"Sangat Tinggi",IF(OR(AO39="Risiko Tinggi/Darurat",(IF(L39="Rusak Berat",1,0)+IF(L39="Tidak Ada/Terbuka",1,0)+IF(N39="Rusak Berat",1,0)+IF(N39="Tidak Ada/Terbuka",1,0)+IF(P39="Rusak Berat",1,0)+IF(P39="Tidak Layak",1,0))&gt;=2),"Tinggi",IF(AS39&gt;=65,"Tinggi",IF(AS39&gt;=50,"Sedang","Rendah")))))</x:f>
        <x:v>Belum Dapat Ditentukan</x:v>
      </x:c>
      <x:c r="AU39" s="240" t="str">
        <x:v>Belum Lengkap</x:v>
      </x:c>
      <x:c r="AV39" s="240" t="str">
        <x:v>Sudah Diverifikasi</x:v>
      </x:c>
      <x:c r="AW39" s="240" t="str">
        <x:v>Belum Ditangani</x:v>
      </x:c>
      <x:c r="AX39" s="240"/>
      <x:c r="AY39" s="240"/>
      <x:c r="AZ39" s="240" t="str">
        <x:v>Belum Diverifikasi</x:v>
      </x:c>
      <x:c r="BA39" s="240"/>
      <x:c r="BB39" s="240"/>
      <x:c r="BC39" s="240" t="n">
        <x:v>2026</x:v>
      </x:c>
      <x:c r="BD39" s="240" t="str">
        <x:v>Usulan Musrenbang/Pokir DPRD</x:v>
      </x:c>
      <x:c r="BE39" s="240" t="n">
        <x:v>46218</x:v>
      </x:c>
      <x:c r="BF39" s="240" t="str">
        <x:v>Dinas Perkim Kota Pangkalpinang</x:v>
      </x:c>
    </x:row>
    <x:row r="40" ht="32" customHeight="1">
      <x:c r="A40" s="314" t="str">
        <x:v>RTLH-0044</x:v>
      </x:c>
      <x:c r="B40" s="315" t="str">
        <x:v>UJANG ANDI WIJAYA</x:v>
      </x:c>
      <x:c r="C40" s="316"/>
      <x:c r="D40" s="316"/>
      <x:c r="E40" s="315" t="str">
        <x:v>JL. MARICA RT.008 RW.003</x:v>
      </x:c>
      <x:c r="F40" s="315" t="str">
        <x:v>PINTU AIR</x:v>
      </x:c>
      <x:c r="G40" s="315" t="str">
        <x:v>RANGKUI</x:v>
      </x:c>
      <x:c r="H40" s="315" t="str">
        <x:v>Pembangunan Baru</x:v>
      </x:c>
      <x:c r="I40" s="317" t="str">
        <x:v>RUMAH BAGI DUA DENGAN SAUDARA ( SATU ATAP), DINDING PAPAN,LANTAI FLOOR, ATAP SENG RUSAK RINGAN ( SAUDARA DARI RESKY RANGKUTI)</x:v>
      </x:c>
      <x:c r="J40" s="315" t="str">
        <x:v>Nonpermanen</x:v>
      </x:c>
      <x:c r="K40" s="315" t="str">
        <x:v>Seng</x:v>
      </x:c>
      <x:c r="L40" s="315" t="str">
        <x:v>Rusak Ringan</x:v>
      </x:c>
      <x:c r="M40" s="367" t="str">
        <x:v>Papan/Kayu</x:v>
      </x:c>
      <x:c r="N40" s="315" t="str">
        <x:v>Rusak Ringan</x:v>
      </x:c>
      <x:c r="O40" s="316" t="str">
        <x:v>Semen/Plester</x:v>
      </x:c>
      <x:c r="P40" s="349" t="str">
        <x:v>Rusak Ringan</x:v>
      </x:c>
      <x:c r="Q40" s="707" t="str">
        <x:v>Belum Dinilai</x:v>
      </x:c>
      <x:c r="R40" s="707" t="str">
        <x:v>Belum Dinilai</x:v>
      </x:c>
      <x:c r="S40" s="708" t="str">
        <x:v>Belum Dinilai</x:v>
      </x:c>
      <x:c r="T40" s="709" t="str">
        <x:v>Belum Dinilai</x:v>
      </x:c>
      <x:c r="U40" s="704" t="str">
        <x:v>Belum Dinilai</x:v>
      </x:c>
      <x:c r="V40" s="704" t="str">
        <x:v>Belum Dinilai</x:v>
      </x:c>
      <x:c r="W40" s="704" t="str"/>
      <x:c r="X40" s="704" t="str">
        <x:f>IF(COUNTIF(R40:V40,"Belum Dinilai")&gt;0,"Belum Dinilai",IF(COUNTIF(R40:V40,"Ya")=0,"Tidak ada faktor rentan",TEXTJOIN(", ",TRUE,IF(R40="Ya","Lansia",""),IF(S40="Ya","Penyandang disabilitas",""),IF(T40="Ya","Kepala keluarga perempuan",""),IF(U40="Ya","Balita",""),IF(V40="Ya","Anggota keluarga dengan ketergantungan tinggi",""))))</x:f>
        <x:v>Belum Dinilai</x:v>
      </x:c>
      <x:c r="Y40" s="704" t="str">
        <x:f>IF(COUNTIF(R40:V40,"Belum Dinilai")&gt;0,"Belum Dinilai",IF(COUNTIF(R40:V40,"Ya")=0,"Tidak Ada Faktor Rentan",IF(COUNTIF(R40:V40,"Ya")=1,"1 Faktor Rentan","2 atau Lebih Faktor Rentan")))</x:f>
        <x:v>Belum Dinilai</x:v>
      </x:c>
      <x:c r="Z40" s="704" t="str">
        <x:f>IF(OR(Q40="",Q40="Belum Dinilai"),"",IF(Q40="Terverifikasi DTKS/P3KE/MBR",10,IF(Q40="Diusulkan, Belum Terverifikasi",5,0)))</x:f>
      </x:c>
      <x:c r="AA40" s="705" t="str">
        <x:f>IF(COUNTIF(R40:V40,"Belum Dinilai")&gt;0,"",IF(COUNTIF(R40:V40,"Ya")=0,0,IF(COUNTIF(R40:V40,"Ya")=1,5,10)))</x:f>
      </x:c>
      <x:c r="AB40" s="706" t="str">
        <x:f>IF(OR(Z40="",AA40=""),"",Z40+AA40)</x:f>
      </x:c>
      <x:c r="AC40" s="713" t="str">
        <x:v>Belum Dinilai</x:v>
      </x:c>
      <x:c r="AD40" s="713" t="str">
        <x:v>Belum Dinilai</x:v>
      </x:c>
      <x:c r="AE40" s="714" t="str">
        <x:v>Belum Dinilai</x:v>
      </x:c>
      <x:c r="AF40" s="713" t="str">
        <x:v>Belum Dinilai</x:v>
      </x:c>
      <x:c r="AG40" s="713" t="str">
        <x:v>Belum Dinilai</x:v>
      </x:c>
      <x:c r="AH40" s="715" t="str">
        <x:v>Belum Dinilai</x:v>
      </x:c>
      <x:c r="AI40" s="714" t="str">
        <x:v>Belum Dinilai</x:v>
      </x:c>
      <x:c r="AJ40" s="713" t="str">
        <x:v>Belum Dinilai</x:v>
      </x:c>
      <x:c r="AK40" s="715" t="str">
        <x:v>Belum Dinilai</x:v>
      </x:c>
      <x:c r="AL40" s="713" t="str"/>
      <x:c r="AM40" s="716" t="str">
        <x:v>Belum Dinilai</x:v>
      </x:c>
      <x:c r="AN40" s="716" t="str">
        <x:f>IF(AND(COUNTIF(AC40:AK40,"Ya")=0,AL40=""),IF(COUNTIF(AC40:AK40,"Belum Dinilai")&gt;0,"Belum Dinilai","Tidak ada risiko khusus"),TEXTJOIN(", ",TRUE,IF(AC40="Ya","Bangunan berpotensi roboh",""),IF(AD40="Ya","Bekas kebakaran dan tidak aman dihuni",""),IF(AE40="Ya","Atap atau dinding utama hampir runtuh",""),IF(AF40="Ya","Genangan yang membahayakan",""),IF(AG40="Ya","Struktur rumah tidak stabil",""),IF(AH40="Ya","Instalasi listrik berbahaya",""),IF(AI40="Ya","Komponen bangunan lepas atau lapuk",""),IF(AJ40="Ya","Akses keluar atau evakuasi terbatas",""),IF(AK40="Ya","Lokasi rawan bencana",""),IF(AL40&lt;&gt;"","Lainnya: "&amp;AL40,"")))</x:f>
        <x:v>Belum Dinilai</x:v>
      </x:c>
      <x:c r="AO40" s="716" t="str">
        <x:f>IF(AR40="","Belum Dinilai",IF(AR40=10,"Risiko Tinggi/Darurat",IF(AR40=5,"Risiko Sedang","Tidak Ada Risiko Khusus")))</x:f>
        <x:v>Belum Dinilai</x:v>
      </x:c>
      <x:c r="AP40" s="716" t="str"/>
      <x:c r="AQ40" s="719" t="n">
        <x:f>IF(OR(J40="",J40="Belum Dapat Ditentukan",L40="",L40="Belum Dinilai",N40="",N40="Belum Dinilai",P40="",P40="Belum Dinilai"),"",IF(J40="Permanen",0,IF(J40="Semipermanen",8,IF(J40="Nonpermanen",15,0)))+IF(L40="Baik",0,IF(L40="Rusak Ringan",5,IF(L40="Rusak Sedang",10,IF(L40="Rusak Berat",15,IF(L40="Tidak Ada/Terbuka",20,0)))))+IF(N40="Baik",0,IF(N40="Rusak Ringan",5,IF(N40="Rusak Sedang",10,IF(N40="Rusak Berat",15,IF(N40="Tidak Ada/Terbuka",20,0)))))+IF(P40="Baik",0,IF(P40="Rusak Ringan",4,IF(P40="Rusak Sedang",8,IF(P40="Rusak Berat",12,IF(P40="Tidak Layak",15,0))))))</x:f>
        <x:v>29</x:v>
      </x:c>
      <x:c r="AR40" s="719" t="str">
        <x:f>IF(COUNTIF(AC40:AH40,"Ya")&gt;0,10,IF(COUNTIF(AI40:AK40,"Ya")&gt;=2,10,IF(COUNTIF(AI40:AK40,"Ya")=1,MAX(5,IF(AM40="Risiko Tinggi/Darurat",10,IF(AM40="Risiko Sedang",5,0))),IF(AL40&lt;&gt;"",IF(AM40="Risiko Tinggi/Darurat",10,IF(AM40="Risiko Sedang",5,"")),IF(COUNTIF(AC40:AK40,"Belum Dinilai")&gt;0,"",0)))))</x:f>
      </x:c>
      <x:c r="AS40" s="719" t="str">
        <x:f>IF(OR(AQ40="",AB40="",AR40=""),"",AQ40+AB40+AR40)</x:f>
      </x:c>
      <x:c r="AT40" s="719" t="str">
        <x:f>IF(AS40="","Belum Dapat Ditentukan",IF(AS40&gt;=80,"Sangat Tinggi",IF(OR(AO40="Risiko Tinggi/Darurat",(IF(L40="Rusak Berat",1,0)+IF(L40="Tidak Ada/Terbuka",1,0)+IF(N40="Rusak Berat",1,0)+IF(N40="Tidak Ada/Terbuka",1,0)+IF(P40="Rusak Berat",1,0)+IF(P40="Tidak Layak",1,0))&gt;=2),"Tinggi",IF(AS40&gt;=65,"Tinggi",IF(AS40&gt;=50,"Sedang","Rendah")))))</x:f>
        <x:v>Belum Dapat Ditentukan</x:v>
      </x:c>
      <x:c r="AU40" s="240" t="str">
        <x:v>Lengkap</x:v>
      </x:c>
      <x:c r="AV40" s="240" t="str">
        <x:v>Sudah Diverifikasi</x:v>
      </x:c>
      <x:c r="AW40" s="240" t="str">
        <x:v>Selesai</x:v>
      </x:c>
      <x:c r="AX40" s="240" t="str">
        <x:v>BSPS</x:v>
      </x:c>
      <x:c r="AY40" s="240" t="n">
        <x:v>2023</x:v>
      </x:c>
      <x:c r="AZ40" s="240" t="str">
        <x:v>Kepemilikan Keluarga</x:v>
      </x:c>
      <x:c r="BA40" s="240"/>
      <x:c r="BB40" s="240"/>
      <x:c r="BC40" s="240" t="n">
        <x:v>2026</x:v>
      </x:c>
      <x:c r="BD40" s="240" t="str">
        <x:v>Usulan Musrenbang/Pokir DPRD</x:v>
      </x:c>
      <x:c r="BE40" s="240" t="n">
        <x:v>46218</x:v>
      </x:c>
      <x:c r="BF40" s="240" t="str">
        <x:v>Dinas Perkim Kota Pangkalpinang</x:v>
      </x:c>
    </x:row>
    <x:row r="41" ht="32" customHeight="1">
      <x:c r="A41" s="314" t="str">
        <x:v>RTLH-0045</x:v>
      </x:c>
      <x:c r="B41" s="315" t="str">
        <x:v>RESKY RANGKUTI</x:v>
      </x:c>
      <x:c r="C41" s="316"/>
      <x:c r="D41" s="316"/>
      <x:c r="E41" s="315" t="str">
        <x:v>JL. MARICA RT.008 RW.003</x:v>
      </x:c>
      <x:c r="F41" s="315" t="str">
        <x:v>PINTU AIR</x:v>
      </x:c>
      <x:c r="G41" s="315" t="str">
        <x:v>RANGKUI</x:v>
      </x:c>
      <x:c r="H41" s="315" t="str">
        <x:v>Pembangunan Baru</x:v>
      </x:c>
      <x:c r="I41" s="317" t="str">
        <x:v>RUMAH BAGI DUA DENGAN SAUDARA ( SATU ATAP), DINDING PAPAN,LANTAI FLOOR, ATAP SENG RUSAK RINGAN ( SAUDARA DARI RESKY RANGKUTI)</x:v>
      </x:c>
      <x:c r="J41" s="315" t="str">
        <x:v>Nonpermanen</x:v>
      </x:c>
      <x:c r="K41" s="315" t="str">
        <x:v>Seng</x:v>
      </x:c>
      <x:c r="L41" s="315" t="str">
        <x:v>Rusak Ringan</x:v>
      </x:c>
      <x:c r="M41" s="367" t="str">
        <x:v>Papan/Kayu</x:v>
      </x:c>
      <x:c r="N41" s="315" t="str">
        <x:v>Rusak Ringan</x:v>
      </x:c>
      <x:c r="O41" s="316" t="str">
        <x:v>Semen/Plester</x:v>
      </x:c>
      <x:c r="P41" s="349" t="str">
        <x:v>Rusak Ringan</x:v>
      </x:c>
      <x:c r="Q41" s="707" t="str">
        <x:v>Belum Dinilai</x:v>
      </x:c>
      <x:c r="R41" s="707" t="str">
        <x:v>Belum Dinilai</x:v>
      </x:c>
      <x:c r="S41" s="708" t="str">
        <x:v>Belum Dinilai</x:v>
      </x:c>
      <x:c r="T41" s="709" t="str">
        <x:v>Belum Dinilai</x:v>
      </x:c>
      <x:c r="U41" s="704" t="str">
        <x:v>Belum Dinilai</x:v>
      </x:c>
      <x:c r="V41" s="704" t="str">
        <x:v>Belum Dinilai</x:v>
      </x:c>
      <x:c r="W41" s="704" t="str"/>
      <x:c r="X41" s="704" t="str">
        <x:f>IF(COUNTIF(R41:V41,"Belum Dinilai")&gt;0,"Belum Dinilai",IF(COUNTIF(R41:V41,"Ya")=0,"Tidak ada faktor rentan",TEXTJOIN(", ",TRUE,IF(R41="Ya","Lansia",""),IF(S41="Ya","Penyandang disabilitas",""),IF(T41="Ya","Kepala keluarga perempuan",""),IF(U41="Ya","Balita",""),IF(V41="Ya","Anggota keluarga dengan ketergantungan tinggi",""))))</x:f>
        <x:v>Belum Dinilai</x:v>
      </x:c>
      <x:c r="Y41" s="704" t="str">
        <x:f>IF(COUNTIF(R41:V41,"Belum Dinilai")&gt;0,"Belum Dinilai",IF(COUNTIF(R41:V41,"Ya")=0,"Tidak Ada Faktor Rentan",IF(COUNTIF(R41:V41,"Ya")=1,"1 Faktor Rentan","2 atau Lebih Faktor Rentan")))</x:f>
        <x:v>Belum Dinilai</x:v>
      </x:c>
      <x:c r="Z41" s="704" t="str">
        <x:f>IF(OR(Q41="",Q41="Belum Dinilai"),"",IF(Q41="Terverifikasi DTKS/P3KE/MBR",10,IF(Q41="Diusulkan, Belum Terverifikasi",5,0)))</x:f>
      </x:c>
      <x:c r="AA41" s="705" t="str">
        <x:f>IF(COUNTIF(R41:V41,"Belum Dinilai")&gt;0,"",IF(COUNTIF(R41:V41,"Ya")=0,0,IF(COUNTIF(R41:V41,"Ya")=1,5,10)))</x:f>
      </x:c>
      <x:c r="AB41" s="706" t="str">
        <x:f>IF(OR(Z41="",AA41=""),"",Z41+AA41)</x:f>
      </x:c>
      <x:c r="AC41" s="713" t="str">
        <x:v>Belum Dinilai</x:v>
      </x:c>
      <x:c r="AD41" s="713" t="str">
        <x:v>Belum Dinilai</x:v>
      </x:c>
      <x:c r="AE41" s="714" t="str">
        <x:v>Belum Dinilai</x:v>
      </x:c>
      <x:c r="AF41" s="713" t="str">
        <x:v>Belum Dinilai</x:v>
      </x:c>
      <x:c r="AG41" s="713" t="str">
        <x:v>Belum Dinilai</x:v>
      </x:c>
      <x:c r="AH41" s="715" t="str">
        <x:v>Belum Dinilai</x:v>
      </x:c>
      <x:c r="AI41" s="714" t="str">
        <x:v>Belum Dinilai</x:v>
      </x:c>
      <x:c r="AJ41" s="713" t="str">
        <x:v>Belum Dinilai</x:v>
      </x:c>
      <x:c r="AK41" s="715" t="str">
        <x:v>Belum Dinilai</x:v>
      </x:c>
      <x:c r="AL41" s="713" t="str"/>
      <x:c r="AM41" s="716" t="str">
        <x:v>Belum Dinilai</x:v>
      </x:c>
      <x:c r="AN41" s="716" t="str">
        <x:f>IF(AND(COUNTIF(AC41:AK41,"Ya")=0,AL41=""),IF(COUNTIF(AC41:AK41,"Belum Dinilai")&gt;0,"Belum Dinilai","Tidak ada risiko khusus"),TEXTJOIN(", ",TRUE,IF(AC41="Ya","Bangunan berpotensi roboh",""),IF(AD41="Ya","Bekas kebakaran dan tidak aman dihuni",""),IF(AE41="Ya","Atap atau dinding utama hampir runtuh",""),IF(AF41="Ya","Genangan yang membahayakan",""),IF(AG41="Ya","Struktur rumah tidak stabil",""),IF(AH41="Ya","Instalasi listrik berbahaya",""),IF(AI41="Ya","Komponen bangunan lepas atau lapuk",""),IF(AJ41="Ya","Akses keluar atau evakuasi terbatas",""),IF(AK41="Ya","Lokasi rawan bencana",""),IF(AL41&lt;&gt;"","Lainnya: "&amp;AL41,"")))</x:f>
        <x:v>Belum Dinilai</x:v>
      </x:c>
      <x:c r="AO41" s="716" t="str">
        <x:f>IF(AR41="","Belum Dinilai",IF(AR41=10,"Risiko Tinggi/Darurat",IF(AR41=5,"Risiko Sedang","Tidak Ada Risiko Khusus")))</x:f>
        <x:v>Belum Dinilai</x:v>
      </x:c>
      <x:c r="AP41" s="716" t="str"/>
      <x:c r="AQ41" s="719" t="n">
        <x:f>IF(OR(J41="",J41="Belum Dapat Ditentukan",L41="",L41="Belum Dinilai",N41="",N41="Belum Dinilai",P41="",P41="Belum Dinilai"),"",IF(J41="Permanen",0,IF(J41="Semipermanen",8,IF(J41="Nonpermanen",15,0)))+IF(L41="Baik",0,IF(L41="Rusak Ringan",5,IF(L41="Rusak Sedang",10,IF(L41="Rusak Berat",15,IF(L41="Tidak Ada/Terbuka",20,0)))))+IF(N41="Baik",0,IF(N41="Rusak Ringan",5,IF(N41="Rusak Sedang",10,IF(N41="Rusak Berat",15,IF(N41="Tidak Ada/Terbuka",20,0)))))+IF(P41="Baik",0,IF(P41="Rusak Ringan",4,IF(P41="Rusak Sedang",8,IF(P41="Rusak Berat",12,IF(P41="Tidak Layak",15,0))))))</x:f>
        <x:v>29</x:v>
      </x:c>
      <x:c r="AR41" s="719" t="str">
        <x:f>IF(COUNTIF(AC41:AH41,"Ya")&gt;0,10,IF(COUNTIF(AI41:AK41,"Ya")&gt;=2,10,IF(COUNTIF(AI41:AK41,"Ya")=1,MAX(5,IF(AM41="Risiko Tinggi/Darurat",10,IF(AM41="Risiko Sedang",5,0))),IF(AL41&lt;&gt;"",IF(AM41="Risiko Tinggi/Darurat",10,IF(AM41="Risiko Sedang",5,"")),IF(COUNTIF(AC41:AK41,"Belum Dinilai")&gt;0,"",0)))))</x:f>
      </x:c>
      <x:c r="AS41" s="719" t="str">
        <x:f>IF(OR(AQ41="",AB41="",AR41=""),"",AQ41+AB41+AR41)</x:f>
      </x:c>
      <x:c r="AT41" s="719" t="str">
        <x:f>IF(AS41="","Belum Dapat Ditentukan",IF(AS41&gt;=80,"Sangat Tinggi",IF(OR(AO41="Risiko Tinggi/Darurat",(IF(L41="Rusak Berat",1,0)+IF(L41="Tidak Ada/Terbuka",1,0)+IF(N41="Rusak Berat",1,0)+IF(N41="Tidak Ada/Terbuka",1,0)+IF(P41="Rusak Berat",1,0)+IF(P41="Tidak Layak",1,0))&gt;=2),"Tinggi",IF(AS41&gt;=65,"Tinggi",IF(AS41&gt;=50,"Sedang","Rendah")))))</x:f>
        <x:v>Belum Dapat Ditentukan</x:v>
      </x:c>
      <x:c r="AU41" s="240" t="str">
        <x:v>Lengkap</x:v>
      </x:c>
      <x:c r="AV41" s="240" t="str">
        <x:v>Sudah Diverifikasi</x:v>
      </x:c>
      <x:c r="AW41" s="240" t="str">
        <x:v>Selesai</x:v>
      </x:c>
      <x:c r="AX41" s="240" t="str">
        <x:v>APBD Kota</x:v>
      </x:c>
      <x:c r="AY41" s="240" t="n">
        <x:v>2024</x:v>
      </x:c>
      <x:c r="AZ41" s="240" t="str">
        <x:v>Kepemilikan Keluarga</x:v>
      </x:c>
      <x:c r="BA41" s="240"/>
      <x:c r="BB41" s="240"/>
      <x:c r="BC41" s="240" t="n">
        <x:v>2026</x:v>
      </x:c>
      <x:c r="BD41" s="240" t="str">
        <x:v>Usulan Musrenbang/Pokir DPRD</x:v>
      </x:c>
      <x:c r="BE41" s="240" t="n">
        <x:v>46218</x:v>
      </x:c>
      <x:c r="BF41" s="240" t="str">
        <x:v>Dinas Perkim Kota Pangkalpinang</x:v>
      </x:c>
    </x:row>
    <x:row r="42" ht="32" customHeight="1">
      <x:c r="A42" s="314" t="str">
        <x:v>RTLH-0046</x:v>
      </x:c>
      <x:c r="B42" s="315" t="str">
        <x:v>BUIKA M.AA</x:v>
      </x:c>
      <x:c r="C42" s="316"/>
      <x:c r="D42" s="316"/>
      <x:c r="E42" s="315" t="str">
        <x:v>JL. ABDURRACHMAN NO.58 RT.003 RW.001</x:v>
      </x:c>
      <x:c r="F42" s="315" t="str">
        <x:v>PINTU AIR</x:v>
      </x:c>
      <x:c r="G42" s="315" t="str">
        <x:v>RANGKUI</x:v>
      </x:c>
      <x:c r="H42" s="315" t="str">
        <x:v>Peningkatan Kualitas</x:v>
      </x:c>
      <x:c r="I42" s="317" t="str">
        <x:v>RUMAH,SEMI PERMANEN, LANTAI KERAMIK, ATAP SENG RUSAK SEDANG, DINDING RUSAK RINGAN</x:v>
      </x:c>
      <x:c r="J42" s="315" t="str">
        <x:v>Semipermanen</x:v>
      </x:c>
      <x:c r="K42" s="315" t="str">
        <x:v>Seng</x:v>
      </x:c>
      <x:c r="L42" s="315" t="str">
        <x:v>Rusak Sedang</x:v>
      </x:c>
      <x:c r="M42" s="367" t="str">
        <x:v>Campuran Permanen dan Papan</x:v>
      </x:c>
      <x:c r="N42" s="315" t="str">
        <x:v>Rusak Sedang</x:v>
      </x:c>
      <x:c r="O42" s="316" t="str">
        <x:v>Keramik</x:v>
      </x:c>
      <x:c r="P42" s="349" t="str">
        <x:v>Rusak Sedang</x:v>
      </x:c>
      <x:c r="Q42" s="707" t="str">
        <x:v>Belum Dinilai</x:v>
      </x:c>
      <x:c r="R42" s="707" t="str">
        <x:v>Belum Dinilai</x:v>
      </x:c>
      <x:c r="S42" s="708" t="str">
        <x:v>Belum Dinilai</x:v>
      </x:c>
      <x:c r="T42" s="709" t="str">
        <x:v>Belum Dinilai</x:v>
      </x:c>
      <x:c r="U42" s="704" t="str">
        <x:v>Belum Dinilai</x:v>
      </x:c>
      <x:c r="V42" s="704" t="str">
        <x:v>Belum Dinilai</x:v>
      </x:c>
      <x:c r="W42" s="704" t="str"/>
      <x:c r="X42" s="704" t="str">
        <x:f>IF(COUNTIF(R42:V42,"Belum Dinilai")&gt;0,"Belum Dinilai",IF(COUNTIF(R42:V42,"Ya")=0,"Tidak ada faktor rentan",TEXTJOIN(", ",TRUE,IF(R42="Ya","Lansia",""),IF(S42="Ya","Penyandang disabilitas",""),IF(T42="Ya","Kepala keluarga perempuan",""),IF(U42="Ya","Balita",""),IF(V42="Ya","Anggota keluarga dengan ketergantungan tinggi",""))))</x:f>
        <x:v>Belum Dinilai</x:v>
      </x:c>
      <x:c r="Y42" s="704" t="str">
        <x:f>IF(COUNTIF(R42:V42,"Belum Dinilai")&gt;0,"Belum Dinilai",IF(COUNTIF(R42:V42,"Ya")=0,"Tidak Ada Faktor Rentan",IF(COUNTIF(R42:V42,"Ya")=1,"1 Faktor Rentan","2 atau Lebih Faktor Rentan")))</x:f>
        <x:v>Belum Dinilai</x:v>
      </x:c>
      <x:c r="Z42" s="704" t="str">
        <x:f>IF(OR(Q42="",Q42="Belum Dinilai"),"",IF(Q42="Terverifikasi DTKS/P3KE/MBR",10,IF(Q42="Diusulkan, Belum Terverifikasi",5,0)))</x:f>
      </x:c>
      <x:c r="AA42" s="705" t="str">
        <x:f>IF(COUNTIF(R42:V42,"Belum Dinilai")&gt;0,"",IF(COUNTIF(R42:V42,"Ya")=0,0,IF(COUNTIF(R42:V42,"Ya")=1,5,10)))</x:f>
      </x:c>
      <x:c r="AB42" s="706" t="str">
        <x:f>IF(OR(Z42="",AA42=""),"",Z42+AA42)</x:f>
      </x:c>
      <x:c r="AC42" s="713" t="str">
        <x:v>Belum Dinilai</x:v>
      </x:c>
      <x:c r="AD42" s="713" t="str">
        <x:v>Belum Dinilai</x:v>
      </x:c>
      <x:c r="AE42" s="714" t="str">
        <x:v>Belum Dinilai</x:v>
      </x:c>
      <x:c r="AF42" s="713" t="str">
        <x:v>Belum Dinilai</x:v>
      </x:c>
      <x:c r="AG42" s="713" t="str">
        <x:v>Belum Dinilai</x:v>
      </x:c>
      <x:c r="AH42" s="715" t="str">
        <x:v>Belum Dinilai</x:v>
      </x:c>
      <x:c r="AI42" s="714" t="str">
        <x:v>Belum Dinilai</x:v>
      </x:c>
      <x:c r="AJ42" s="713" t="str">
        <x:v>Belum Dinilai</x:v>
      </x:c>
      <x:c r="AK42" s="715" t="str">
        <x:v>Belum Dinilai</x:v>
      </x:c>
      <x:c r="AL42" s="713" t="str"/>
      <x:c r="AM42" s="716" t="str">
        <x:v>Belum Dinilai</x:v>
      </x:c>
      <x:c r="AN42" s="716" t="str">
        <x:f>IF(AND(COUNTIF(AC42:AK42,"Ya")=0,AL42=""),IF(COUNTIF(AC42:AK42,"Belum Dinilai")&gt;0,"Belum Dinilai","Tidak ada risiko khusus"),TEXTJOIN(", ",TRUE,IF(AC42="Ya","Bangunan berpotensi roboh",""),IF(AD42="Ya","Bekas kebakaran dan tidak aman dihuni",""),IF(AE42="Ya","Atap atau dinding utama hampir runtuh",""),IF(AF42="Ya","Genangan yang membahayakan",""),IF(AG42="Ya","Struktur rumah tidak stabil",""),IF(AH42="Ya","Instalasi listrik berbahaya",""),IF(AI42="Ya","Komponen bangunan lepas atau lapuk",""),IF(AJ42="Ya","Akses keluar atau evakuasi terbatas",""),IF(AK42="Ya","Lokasi rawan bencana",""),IF(AL42&lt;&gt;"","Lainnya: "&amp;AL42,"")))</x:f>
        <x:v>Belum Dinilai</x:v>
      </x:c>
      <x:c r="AO42" s="716" t="str">
        <x:f>IF(AR42="","Belum Dinilai",IF(AR42=10,"Risiko Tinggi/Darurat",IF(AR42=5,"Risiko Sedang","Tidak Ada Risiko Khusus")))</x:f>
        <x:v>Belum Dinilai</x:v>
      </x:c>
      <x:c r="AP42" s="716" t="str"/>
      <x:c r="AQ42" s="719" t="n">
        <x:f>IF(OR(J42="",J42="Belum Dapat Ditentukan",L42="",L42="Belum Dinilai",N42="",N42="Belum Dinilai",P42="",P42="Belum Dinilai"),"",IF(J42="Permanen",0,IF(J42="Semipermanen",8,IF(J42="Nonpermanen",15,0)))+IF(L42="Baik",0,IF(L42="Rusak Ringan",5,IF(L42="Rusak Sedang",10,IF(L42="Rusak Berat",15,IF(L42="Tidak Ada/Terbuka",20,0)))))+IF(N42="Baik",0,IF(N42="Rusak Ringan",5,IF(N42="Rusak Sedang",10,IF(N42="Rusak Berat",15,IF(N42="Tidak Ada/Terbuka",20,0)))))+IF(P42="Baik",0,IF(P42="Rusak Ringan",4,IF(P42="Rusak Sedang",8,IF(P42="Rusak Berat",12,IF(P42="Tidak Layak",15,0))))))</x:f>
        <x:v>36</x:v>
      </x:c>
      <x:c r="AR42" s="719" t="str">
        <x:f>IF(COUNTIF(AC42:AH42,"Ya")&gt;0,10,IF(COUNTIF(AI42:AK42,"Ya")&gt;=2,10,IF(COUNTIF(AI42:AK42,"Ya")=1,MAX(5,IF(AM42="Risiko Tinggi/Darurat",10,IF(AM42="Risiko Sedang",5,0))),IF(AL42&lt;&gt;"",IF(AM42="Risiko Tinggi/Darurat",10,IF(AM42="Risiko Sedang",5,"")),IF(COUNTIF(AC42:AK42,"Belum Dinilai")&gt;0,"",0)))))</x:f>
      </x:c>
      <x:c r="AS42" s="719" t="str">
        <x:f>IF(OR(AQ42="",AB42="",AR42=""),"",AQ42+AB42+AR42)</x:f>
      </x:c>
      <x:c r="AT42" s="719" t="str">
        <x:f>IF(AS42="","Belum Dapat Ditentukan",IF(AS42&gt;=80,"Sangat Tinggi",IF(OR(AO42="Risiko Tinggi/Darurat",(IF(L42="Rusak Berat",1,0)+IF(L42="Tidak Ada/Terbuka",1,0)+IF(N42="Rusak Berat",1,0)+IF(N42="Tidak Ada/Terbuka",1,0)+IF(P42="Rusak Berat",1,0)+IF(P42="Tidak Layak",1,0))&gt;=2),"Tinggi",IF(AS42&gt;=65,"Tinggi",IF(AS42&gt;=50,"Sedang","Rendah")))))</x:f>
        <x:v>Belum Dapat Ditentukan</x:v>
      </x:c>
      <x:c r="AU42" s="240" t="str">
        <x:v>Belum Lengkap</x:v>
      </x:c>
      <x:c r="AV42" s="240" t="str">
        <x:v>Sudah Diverifikasi</x:v>
      </x:c>
      <x:c r="AW42" s="240" t="str">
        <x:v>Selesai</x:v>
      </x:c>
      <x:c r="AX42" s="240" t="str">
        <x:v>BSPS</x:v>
      </x:c>
      <x:c r="AY42" s="240" t="n">
        <x:v>2023</x:v>
      </x:c>
      <x:c r="AZ42" s="240" t="str">
        <x:v>Belum Diverifikasi</x:v>
      </x:c>
      <x:c r="BA42" s="240"/>
      <x:c r="BB42" s="240"/>
      <x:c r="BC42" s="240" t="n">
        <x:v>2026</x:v>
      </x:c>
      <x:c r="BD42" s="240" t="str">
        <x:v>Usulan Musrenbang/Pokir DPRD</x:v>
      </x:c>
      <x:c r="BE42" s="240" t="n">
        <x:v>46218</x:v>
      </x:c>
      <x:c r="BF42" s="240" t="str">
        <x:v>Dinas Perkim Kota Pangkalpinang</x:v>
      </x:c>
    </x:row>
    <x:row r="43" ht="32" customHeight="1">
      <x:c r="A43" s="314" t="str">
        <x:v>RTLH-0047</x:v>
      </x:c>
      <x:c r="B43" s="315" t="str">
        <x:v>IRWAN RIZALI</x:v>
      </x:c>
      <x:c r="C43" s="316"/>
      <x:c r="D43" s="316"/>
      <x:c r="E43" s="315" t="str">
        <x:v>JL. KH MOESLIMIN MANAB NO.04 RT.006 RW.002</x:v>
      </x:c>
      <x:c r="F43" s="315" t="str">
        <x:v>PINTU AIR</x:v>
      </x:c>
      <x:c r="G43" s="315" t="str">
        <x:v>RANGKUI</x:v>
      </x:c>
      <x:c r="H43" s="315" t="str">
        <x:v>Pembangunan Baru</x:v>
      </x:c>
      <x:c r="I43" s="317" t="str">
        <x:v>RUMAH SEMI PERMANEN, ATAP GENTENG RUSAK BERAT, LANTAI FLOOR RUSAK RINGAN, DINDING PAPAN RUSAK SEDANG,</x:v>
      </x:c>
      <x:c r="J43" s="315" t="str">
        <x:v>Semipermanen</x:v>
      </x:c>
      <x:c r="K43" s="315" t="str">
        <x:v>Genteng</x:v>
      </x:c>
      <x:c r="L43" s="315" t="str">
        <x:v>Rusak Berat</x:v>
      </x:c>
      <x:c r="M43" s="367" t="str">
        <x:v>Papan/Kayu</x:v>
      </x:c>
      <x:c r="N43" s="315" t="str">
        <x:v>Rusak Berat</x:v>
      </x:c>
      <x:c r="O43" s="316" t="str">
        <x:v>Semen/Plester</x:v>
      </x:c>
      <x:c r="P43" s="349" t="str">
        <x:v>Rusak Berat</x:v>
      </x:c>
      <x:c r="Q43" s="707" t="str">
        <x:v>Belum Dinilai</x:v>
      </x:c>
      <x:c r="R43" s="707" t="str">
        <x:v>Belum Dinilai</x:v>
      </x:c>
      <x:c r="S43" s="708" t="str">
        <x:v>Belum Dinilai</x:v>
      </x:c>
      <x:c r="T43" s="709" t="str">
        <x:v>Belum Dinilai</x:v>
      </x:c>
      <x:c r="U43" s="704" t="str">
        <x:v>Belum Dinilai</x:v>
      </x:c>
      <x:c r="V43" s="704" t="str">
        <x:v>Belum Dinilai</x:v>
      </x:c>
      <x:c r="W43" s="704" t="str"/>
      <x:c r="X43" s="704" t="str">
        <x:f>IF(COUNTIF(R43:V43,"Belum Dinilai")&gt;0,"Belum Dinilai",IF(COUNTIF(R43:V43,"Ya")=0,"Tidak ada faktor rentan",TEXTJOIN(", ",TRUE,IF(R43="Ya","Lansia",""),IF(S43="Ya","Penyandang disabilitas",""),IF(T43="Ya","Kepala keluarga perempuan",""),IF(U43="Ya","Balita",""),IF(V43="Ya","Anggota keluarga dengan ketergantungan tinggi",""))))</x:f>
        <x:v>Belum Dinilai</x:v>
      </x:c>
      <x:c r="Y43" s="704" t="str">
        <x:f>IF(COUNTIF(R43:V43,"Belum Dinilai")&gt;0,"Belum Dinilai",IF(COUNTIF(R43:V43,"Ya")=0,"Tidak Ada Faktor Rentan",IF(COUNTIF(R43:V43,"Ya")=1,"1 Faktor Rentan","2 atau Lebih Faktor Rentan")))</x:f>
        <x:v>Belum Dinilai</x:v>
      </x:c>
      <x:c r="Z43" s="704" t="str">
        <x:f>IF(OR(Q43="",Q43="Belum Dinilai"),"",IF(Q43="Terverifikasi DTKS/P3KE/MBR",10,IF(Q43="Diusulkan, Belum Terverifikasi",5,0)))</x:f>
      </x:c>
      <x:c r="AA43" s="705" t="str">
        <x:f>IF(COUNTIF(R43:V43,"Belum Dinilai")&gt;0,"",IF(COUNTIF(R43:V43,"Ya")=0,0,IF(COUNTIF(R43:V43,"Ya")=1,5,10)))</x:f>
      </x:c>
      <x:c r="AB43" s="706" t="str">
        <x:f>IF(OR(Z43="",AA43=""),"",Z43+AA43)</x:f>
      </x:c>
      <x:c r="AC43" s="713" t="str">
        <x:v>Belum Dinilai</x:v>
      </x:c>
      <x:c r="AD43" s="713" t="str">
        <x:v>Belum Dinilai</x:v>
      </x:c>
      <x:c r="AE43" s="714" t="str">
        <x:v>Belum Dinilai</x:v>
      </x:c>
      <x:c r="AF43" s="713" t="str">
        <x:v>Belum Dinilai</x:v>
      </x:c>
      <x:c r="AG43" s="713" t="str">
        <x:v>Belum Dinilai</x:v>
      </x:c>
      <x:c r="AH43" s="715" t="str">
        <x:v>Belum Dinilai</x:v>
      </x:c>
      <x:c r="AI43" s="714" t="str">
        <x:v>Belum Dinilai</x:v>
      </x:c>
      <x:c r="AJ43" s="713" t="str">
        <x:v>Belum Dinilai</x:v>
      </x:c>
      <x:c r="AK43" s="715" t="str">
        <x:v>Belum Dinilai</x:v>
      </x:c>
      <x:c r="AL43" s="713" t="str"/>
      <x:c r="AM43" s="716" t="str">
        <x:v>Belum Dinilai</x:v>
      </x:c>
      <x:c r="AN43" s="716" t="str">
        <x:f>IF(AND(COUNTIF(AC43:AK43,"Ya")=0,AL43=""),IF(COUNTIF(AC43:AK43,"Belum Dinilai")&gt;0,"Belum Dinilai","Tidak ada risiko khusus"),TEXTJOIN(", ",TRUE,IF(AC43="Ya","Bangunan berpotensi roboh",""),IF(AD43="Ya","Bekas kebakaran dan tidak aman dihuni",""),IF(AE43="Ya","Atap atau dinding utama hampir runtuh",""),IF(AF43="Ya","Genangan yang membahayakan",""),IF(AG43="Ya","Struktur rumah tidak stabil",""),IF(AH43="Ya","Instalasi listrik berbahaya",""),IF(AI43="Ya","Komponen bangunan lepas atau lapuk",""),IF(AJ43="Ya","Akses keluar atau evakuasi terbatas",""),IF(AK43="Ya","Lokasi rawan bencana",""),IF(AL43&lt;&gt;"","Lainnya: "&amp;AL43,"")))</x:f>
        <x:v>Belum Dinilai</x:v>
      </x:c>
      <x:c r="AO43" s="716" t="str">
        <x:f>IF(AR43="","Belum Dinilai",IF(AR43=10,"Risiko Tinggi/Darurat",IF(AR43=5,"Risiko Sedang","Tidak Ada Risiko Khusus")))</x:f>
        <x:v>Belum Dinilai</x:v>
      </x:c>
      <x:c r="AP43" s="716" t="str"/>
      <x:c r="AQ43" s="719" t="n">
        <x:f>IF(OR(J43="",J43="Belum Dapat Ditentukan",L43="",L43="Belum Dinilai",N43="",N43="Belum Dinilai",P43="",P43="Belum Dinilai"),"",IF(J43="Permanen",0,IF(J43="Semipermanen",8,IF(J43="Nonpermanen",15,0)))+IF(L43="Baik",0,IF(L43="Rusak Ringan",5,IF(L43="Rusak Sedang",10,IF(L43="Rusak Berat",15,IF(L43="Tidak Ada/Terbuka",20,0)))))+IF(N43="Baik",0,IF(N43="Rusak Ringan",5,IF(N43="Rusak Sedang",10,IF(N43="Rusak Berat",15,IF(N43="Tidak Ada/Terbuka",20,0)))))+IF(P43="Baik",0,IF(P43="Rusak Ringan",4,IF(P43="Rusak Sedang",8,IF(P43="Rusak Berat",12,IF(P43="Tidak Layak",15,0))))))</x:f>
        <x:v>50</x:v>
      </x:c>
      <x:c r="AR43" s="719" t="str">
        <x:f>IF(COUNTIF(AC43:AH43,"Ya")&gt;0,10,IF(COUNTIF(AI43:AK43,"Ya")&gt;=2,10,IF(COUNTIF(AI43:AK43,"Ya")=1,MAX(5,IF(AM43="Risiko Tinggi/Darurat",10,IF(AM43="Risiko Sedang",5,0))),IF(AL43&lt;&gt;"",IF(AM43="Risiko Tinggi/Darurat",10,IF(AM43="Risiko Sedang",5,"")),IF(COUNTIF(AC43:AK43,"Belum Dinilai")&gt;0,"",0)))))</x:f>
      </x:c>
      <x:c r="AS43" s="719" t="str">
        <x:f>IF(OR(AQ43="",AB43="",AR43=""),"",AQ43+AB43+AR43)</x:f>
      </x:c>
      <x:c r="AT43" s="719" t="str">
        <x:f>IF(AS43="","Belum Dapat Ditentukan",IF(AS43&gt;=80,"Sangat Tinggi",IF(OR(AO43="Risiko Tinggi/Darurat",(IF(L43="Rusak Berat",1,0)+IF(L43="Tidak Ada/Terbuka",1,0)+IF(N43="Rusak Berat",1,0)+IF(N43="Tidak Ada/Terbuka",1,0)+IF(P43="Rusak Berat",1,0)+IF(P43="Tidak Layak",1,0))&gt;=2),"Tinggi",IF(AS43&gt;=65,"Tinggi",IF(AS43&gt;=50,"Sedang","Rendah")))))</x:f>
        <x:v>Belum Dapat Ditentukan</x:v>
      </x:c>
      <x:c r="AU43" s="240" t="str">
        <x:v>Belum Lengkap</x:v>
      </x:c>
      <x:c r="AV43" s="240" t="str">
        <x:v>Sudah Diverifikasi</x:v>
      </x:c>
      <x:c r="AW43" s="240" t="str">
        <x:v>Selesai</x:v>
      </x:c>
      <x:c r="AX43" s="240" t="str">
        <x:v>BSPS</x:v>
      </x:c>
      <x:c r="AY43" s="240" t="n">
        <x:v>2023</x:v>
      </x:c>
      <x:c r="AZ43" s="240" t="str">
        <x:v>Belum Diverifikasi</x:v>
      </x:c>
      <x:c r="BA43" s="240"/>
      <x:c r="BB43" s="240"/>
      <x:c r="BC43" s="240" t="n">
        <x:v>2026</x:v>
      </x:c>
      <x:c r="BD43" s="240" t="str">
        <x:v>Usulan Musrenbang/Pokir DPRD</x:v>
      </x:c>
      <x:c r="BE43" s="240" t="n">
        <x:v>46218</x:v>
      </x:c>
      <x:c r="BF43" s="240" t="str">
        <x:v>Dinas Perkim Kota Pangkalpinang</x:v>
      </x:c>
    </x:row>
    <x:row r="44" ht="32" customHeight="1">
      <x:c r="A44" s="314" t="str">
        <x:v>RTLH-0048</x:v>
      </x:c>
      <x:c r="B44" s="315" t="str">
        <x:v>AGUS CIK</x:v>
      </x:c>
      <x:c r="C44" s="316"/>
      <x:c r="D44" s="316"/>
      <x:c r="E44" s="315" t="str">
        <x:v>GG. RUKAM IV NO.166 RT.005 RW.002</x:v>
      </x:c>
      <x:c r="F44" s="315" t="str">
        <x:v>ASAM</x:v>
      </x:c>
      <x:c r="G44" s="315" t="str">
        <x:v>RANGKUI</x:v>
      </x:c>
      <x:c r="H44" s="315" t="str">
        <x:v>Peningkatan Kualitas</x:v>
      </x:c>
      <x:c r="I44" s="317" t="str">
        <x:v>RUMAH PERMANEN, LANTAI FLOOR, ATAP SENG, KELAYAKAN 80% MINTA REHAB BAGIAN ATAP</x:v>
      </x:c>
      <x:c r="J44" s="315" t="str">
        <x:v>Permanen</x:v>
      </x:c>
      <x:c r="K44" s="315" t="str">
        <x:v>Seng</x:v>
      </x:c>
      <x:c r="L44" s="315" t="str">
        <x:v>Belum Dinilai</x:v>
      </x:c>
      <x:c r="M44" s="367" t="str">
        <x:v>Dinding Permanen (Material tidak dirinci)</x:v>
      </x:c>
      <x:c r="N44" s="315" t="str">
        <x:v>Belum Dinilai</x:v>
      </x:c>
      <x:c r="O44" s="316" t="str">
        <x:v>Semen/Plester</x:v>
      </x:c>
      <x:c r="P44" s="349" t="str">
        <x:v>Belum Dinilai</x:v>
      </x:c>
      <x:c r="Q44" s="707" t="str">
        <x:v>Belum Dinilai</x:v>
      </x:c>
      <x:c r="R44" s="707" t="str">
        <x:v>Belum Dinilai</x:v>
      </x:c>
      <x:c r="S44" s="708" t="str">
        <x:v>Belum Dinilai</x:v>
      </x:c>
      <x:c r="T44" s="709" t="str">
        <x:v>Belum Dinilai</x:v>
      </x:c>
      <x:c r="U44" s="704" t="str">
        <x:v>Belum Dinilai</x:v>
      </x:c>
      <x:c r="V44" s="704" t="str">
        <x:v>Belum Dinilai</x:v>
      </x:c>
      <x:c r="W44" s="704" t="str"/>
      <x:c r="X44" s="704" t="str">
        <x:f>IF(COUNTIF(R44:V44,"Belum Dinilai")&gt;0,"Belum Dinilai",IF(COUNTIF(R44:V44,"Ya")=0,"Tidak ada faktor rentan",TEXTJOIN(", ",TRUE,IF(R44="Ya","Lansia",""),IF(S44="Ya","Penyandang disabilitas",""),IF(T44="Ya","Kepala keluarga perempuan",""),IF(U44="Ya","Balita",""),IF(V44="Ya","Anggota keluarga dengan ketergantungan tinggi",""))))</x:f>
        <x:v>Belum Dinilai</x:v>
      </x:c>
      <x:c r="Y44" s="704" t="str">
        <x:f>IF(COUNTIF(R44:V44,"Belum Dinilai")&gt;0,"Belum Dinilai",IF(COUNTIF(R44:V44,"Ya")=0,"Tidak Ada Faktor Rentan",IF(COUNTIF(R44:V44,"Ya")=1,"1 Faktor Rentan","2 atau Lebih Faktor Rentan")))</x:f>
        <x:v>Belum Dinilai</x:v>
      </x:c>
      <x:c r="Z44" s="704" t="str">
        <x:f>IF(OR(Q44="",Q44="Belum Dinilai"),"",IF(Q44="Terverifikasi DTKS/P3KE/MBR",10,IF(Q44="Diusulkan, Belum Terverifikasi",5,0)))</x:f>
      </x:c>
      <x:c r="AA44" s="705" t="str">
        <x:f>IF(COUNTIF(R44:V44,"Belum Dinilai")&gt;0,"",IF(COUNTIF(R44:V44,"Ya")=0,0,IF(COUNTIF(R44:V44,"Ya")=1,5,10)))</x:f>
      </x:c>
      <x:c r="AB44" s="706" t="str">
        <x:f>IF(OR(Z44="",AA44=""),"",Z44+AA44)</x:f>
      </x:c>
      <x:c r="AC44" s="713" t="str">
        <x:v>Belum Dinilai</x:v>
      </x:c>
      <x:c r="AD44" s="713" t="str">
        <x:v>Belum Dinilai</x:v>
      </x:c>
      <x:c r="AE44" s="714" t="str">
        <x:v>Belum Dinilai</x:v>
      </x:c>
      <x:c r="AF44" s="713" t="str">
        <x:v>Belum Dinilai</x:v>
      </x:c>
      <x:c r="AG44" s="713" t="str">
        <x:v>Belum Dinilai</x:v>
      </x:c>
      <x:c r="AH44" s="715" t="str">
        <x:v>Belum Dinilai</x:v>
      </x:c>
      <x:c r="AI44" s="714" t="str">
        <x:v>Belum Dinilai</x:v>
      </x:c>
      <x:c r="AJ44" s="713" t="str">
        <x:v>Belum Dinilai</x:v>
      </x:c>
      <x:c r="AK44" s="715" t="str">
        <x:v>Belum Dinilai</x:v>
      </x:c>
      <x:c r="AL44" s="713" t="str"/>
      <x:c r="AM44" s="716" t="str">
        <x:v>Belum Dinilai</x:v>
      </x:c>
      <x:c r="AN44" s="716" t="str">
        <x:f>IF(AND(COUNTIF(AC44:AK44,"Ya")=0,AL44=""),IF(COUNTIF(AC44:AK44,"Belum Dinilai")&gt;0,"Belum Dinilai","Tidak ada risiko khusus"),TEXTJOIN(", ",TRUE,IF(AC44="Ya","Bangunan berpotensi roboh",""),IF(AD44="Ya","Bekas kebakaran dan tidak aman dihuni",""),IF(AE44="Ya","Atap atau dinding utama hampir runtuh",""),IF(AF44="Ya","Genangan yang membahayakan",""),IF(AG44="Ya","Struktur rumah tidak stabil",""),IF(AH44="Ya","Instalasi listrik berbahaya",""),IF(AI44="Ya","Komponen bangunan lepas atau lapuk",""),IF(AJ44="Ya","Akses keluar atau evakuasi terbatas",""),IF(AK44="Ya","Lokasi rawan bencana",""),IF(AL44&lt;&gt;"","Lainnya: "&amp;AL44,"")))</x:f>
        <x:v>Belum Dinilai</x:v>
      </x:c>
      <x:c r="AO44" s="716" t="str">
        <x:f>IF(AR44="","Belum Dinilai",IF(AR44=10,"Risiko Tinggi/Darurat",IF(AR44=5,"Risiko Sedang","Tidak Ada Risiko Khusus")))</x:f>
        <x:v>Belum Dinilai</x:v>
      </x:c>
      <x:c r="AP44" s="716" t="str"/>
      <x:c r="AQ44" s="719" t="str">
        <x:f>IF(OR(J44="",J44="Belum Dapat Ditentukan",L44="",L44="Belum Dinilai",N44="",N44="Belum Dinilai",P44="",P44="Belum Dinilai"),"",IF(J44="Permanen",0,IF(J44="Semipermanen",8,IF(J44="Nonpermanen",15,0)))+IF(L44="Baik",0,IF(L44="Rusak Ringan",5,IF(L44="Rusak Sedang",10,IF(L44="Rusak Berat",15,IF(L44="Tidak Ada/Terbuka",20,0)))))+IF(N44="Baik",0,IF(N44="Rusak Ringan",5,IF(N44="Rusak Sedang",10,IF(N44="Rusak Berat",15,IF(N44="Tidak Ada/Terbuka",20,0)))))+IF(P44="Baik",0,IF(P44="Rusak Ringan",4,IF(P44="Rusak Sedang",8,IF(P44="Rusak Berat",12,IF(P44="Tidak Layak",15,0))))))</x:f>
      </x:c>
      <x:c r="AR44" s="719" t="str">
        <x:f>IF(COUNTIF(AC44:AH44,"Ya")&gt;0,10,IF(COUNTIF(AI44:AK44,"Ya")&gt;=2,10,IF(COUNTIF(AI44:AK44,"Ya")=1,MAX(5,IF(AM44="Risiko Tinggi/Darurat",10,IF(AM44="Risiko Sedang",5,0))),IF(AL44&lt;&gt;"",IF(AM44="Risiko Tinggi/Darurat",10,IF(AM44="Risiko Sedang",5,"")),IF(COUNTIF(AC44:AK44,"Belum Dinilai")&gt;0,"",0)))))</x:f>
      </x:c>
      <x:c r="AS44" s="719" t="str">
        <x:f>IF(OR(AQ44="",AB44="",AR44=""),"",AQ44+AB44+AR44)</x:f>
      </x:c>
      <x:c r="AT44" s="719" t="str">
        <x:f>IF(AS44="","Belum Dapat Ditentukan",IF(AS44&gt;=80,"Sangat Tinggi",IF(OR(AO44="Risiko Tinggi/Darurat",(IF(L44="Rusak Berat",1,0)+IF(L44="Tidak Ada/Terbuka",1,0)+IF(N44="Rusak Berat",1,0)+IF(N44="Tidak Ada/Terbuka",1,0)+IF(P44="Rusak Berat",1,0)+IF(P44="Tidak Layak",1,0))&gt;=2),"Tinggi",IF(AS44&gt;=65,"Tinggi",IF(AS44&gt;=50,"Sedang","Rendah")))))</x:f>
        <x:v>Belum Dapat Ditentukan</x:v>
      </x:c>
      <x:c r="AU44" s="240" t="str">
        <x:v>Lengkap</x:v>
      </x:c>
      <x:c r="AV44" s="240" t="str">
        <x:v>Sudah Diverifikasi</x:v>
      </x:c>
      <x:c r="AW44" s="240" t="str">
        <x:v>Selesai</x:v>
      </x:c>
      <x:c r="AX44" s="240" t="str">
        <x:v>BSPS</x:v>
      </x:c>
      <x:c r="AY44" s="240" t="n">
        <x:v>2024</x:v>
      </x:c>
      <x:c r="AZ44" s="240" t="str">
        <x:v>Belum Diverifikasi</x:v>
      </x:c>
      <x:c r="BA44" s="240"/>
      <x:c r="BB44" s="240"/>
      <x:c r="BC44" s="240" t="n">
        <x:v>2026</x:v>
      </x:c>
      <x:c r="BD44" s="240" t="str">
        <x:v>Usulan Musrenbang/Pokir DPRD</x:v>
      </x:c>
      <x:c r="BE44" s="240" t="n">
        <x:v>46218</x:v>
      </x:c>
      <x:c r="BF44" s="240" t="str">
        <x:v>Dinas Perkim Kota Pangkalpinang</x:v>
      </x:c>
    </x:row>
    <x:row r="45" ht="32" customHeight="1">
      <x:c r="A45" s="314" t="str">
        <x:v>RTLH-0050</x:v>
      </x:c>
      <x:c r="B45" s="315" t="str">
        <x:v>RIMA</x:v>
      </x:c>
      <x:c r="C45" s="316"/>
      <x:c r="D45" s="316"/>
      <x:c r="E45" s="315" t="str">
        <x:v>JL. BANGKALAN NO.25 RT.009 RW.003</x:v>
      </x:c>
      <x:c r="F45" s="315" t="str">
        <x:v>MELINTANG</x:v>
      </x:c>
      <x:c r="G45" s="315" t="str">
        <x:v>RANGKUI</x:v>
      </x:c>
      <x:c r="H45" s="315" t="str">
        <x:v>Pembangunan Baru</x:v>
      </x:c>
      <x:c r="I45" s="317" t="str">
        <x:v>RUMAH FULL PAPAN, ATAP GENTENG,DINDING PAPAN, ATAP RUSAK SEDANG,DINDING RUSAK RINGAN,</x:v>
      </x:c>
      <x:c r="J45" s="315" t="str">
        <x:v>Nonpermanen</x:v>
      </x:c>
      <x:c r="K45" s="315" t="str">
        <x:v>Genteng</x:v>
      </x:c>
      <x:c r="L45" s="315" t="str">
        <x:v>Rusak Sedang</x:v>
      </x:c>
      <x:c r="M45" s="367" t="str">
        <x:v>Papan/Kayu</x:v>
      </x:c>
      <x:c r="N45" s="315" t="str">
        <x:v>Rusak Sedang</x:v>
      </x:c>
      <x:c r="O45" s="316" t="str">
        <x:v>Belum Diidentifikasi</x:v>
      </x:c>
      <x:c r="P45" s="349" t="str">
        <x:v>Belum Dinilai</x:v>
      </x:c>
      <x:c r="Q45" s="707" t="str">
        <x:v>Belum Dinilai</x:v>
      </x:c>
      <x:c r="R45" s="707" t="str">
        <x:v>Belum Dinilai</x:v>
      </x:c>
      <x:c r="S45" s="708" t="str">
        <x:v>Belum Dinilai</x:v>
      </x:c>
      <x:c r="T45" s="709" t="str">
        <x:v>Belum Dinilai</x:v>
      </x:c>
      <x:c r="U45" s="704" t="str">
        <x:v>Belum Dinilai</x:v>
      </x:c>
      <x:c r="V45" s="704" t="str">
        <x:v>Belum Dinilai</x:v>
      </x:c>
      <x:c r="W45" s="704" t="str"/>
      <x:c r="X45" s="704" t="str">
        <x:f>IF(COUNTIF(R45:V45,"Belum Dinilai")&gt;0,"Belum Dinilai",IF(COUNTIF(R45:V45,"Ya")=0,"Tidak ada faktor rentan",TEXTJOIN(", ",TRUE,IF(R45="Ya","Lansia",""),IF(S45="Ya","Penyandang disabilitas",""),IF(T45="Ya","Kepala keluarga perempuan",""),IF(U45="Ya","Balita",""),IF(V45="Ya","Anggota keluarga dengan ketergantungan tinggi",""))))</x:f>
        <x:v>Belum Dinilai</x:v>
      </x:c>
      <x:c r="Y45" s="704" t="str">
        <x:f>IF(COUNTIF(R45:V45,"Belum Dinilai")&gt;0,"Belum Dinilai",IF(COUNTIF(R45:V45,"Ya")=0,"Tidak Ada Faktor Rentan",IF(COUNTIF(R45:V45,"Ya")=1,"1 Faktor Rentan","2 atau Lebih Faktor Rentan")))</x:f>
        <x:v>Belum Dinilai</x:v>
      </x:c>
      <x:c r="Z45" s="704" t="str">
        <x:f>IF(OR(Q45="",Q45="Belum Dinilai"),"",IF(Q45="Terverifikasi DTKS/P3KE/MBR",10,IF(Q45="Diusulkan, Belum Terverifikasi",5,0)))</x:f>
      </x:c>
      <x:c r="AA45" s="705" t="str">
        <x:f>IF(COUNTIF(R45:V45,"Belum Dinilai")&gt;0,"",IF(COUNTIF(R45:V45,"Ya")=0,0,IF(COUNTIF(R45:V45,"Ya")=1,5,10)))</x:f>
      </x:c>
      <x:c r="AB45" s="706" t="str">
        <x:f>IF(OR(Z45="",AA45=""),"",Z45+AA45)</x:f>
      </x:c>
      <x:c r="AC45" s="713" t="str">
        <x:v>Belum Dinilai</x:v>
      </x:c>
      <x:c r="AD45" s="713" t="str">
        <x:v>Belum Dinilai</x:v>
      </x:c>
      <x:c r="AE45" s="714" t="str">
        <x:v>Belum Dinilai</x:v>
      </x:c>
      <x:c r="AF45" s="713" t="str">
        <x:v>Belum Dinilai</x:v>
      </x:c>
      <x:c r="AG45" s="713" t="str">
        <x:v>Belum Dinilai</x:v>
      </x:c>
      <x:c r="AH45" s="715" t="str">
        <x:v>Belum Dinilai</x:v>
      </x:c>
      <x:c r="AI45" s="714" t="str">
        <x:v>Belum Dinilai</x:v>
      </x:c>
      <x:c r="AJ45" s="713" t="str">
        <x:v>Belum Dinilai</x:v>
      </x:c>
      <x:c r="AK45" s="715" t="str">
        <x:v>Belum Dinilai</x:v>
      </x:c>
      <x:c r="AL45" s="713" t="str"/>
      <x:c r="AM45" s="716" t="str">
        <x:v>Belum Dinilai</x:v>
      </x:c>
      <x:c r="AN45" s="716" t="str">
        <x:f>IF(AND(COUNTIF(AC45:AK45,"Ya")=0,AL45=""),IF(COUNTIF(AC45:AK45,"Belum Dinilai")&gt;0,"Belum Dinilai","Tidak ada risiko khusus"),TEXTJOIN(", ",TRUE,IF(AC45="Ya","Bangunan berpotensi roboh",""),IF(AD45="Ya","Bekas kebakaran dan tidak aman dihuni",""),IF(AE45="Ya","Atap atau dinding utama hampir runtuh",""),IF(AF45="Ya","Genangan yang membahayakan",""),IF(AG45="Ya","Struktur rumah tidak stabil",""),IF(AH45="Ya","Instalasi listrik berbahaya",""),IF(AI45="Ya","Komponen bangunan lepas atau lapuk",""),IF(AJ45="Ya","Akses keluar atau evakuasi terbatas",""),IF(AK45="Ya","Lokasi rawan bencana",""),IF(AL45&lt;&gt;"","Lainnya: "&amp;AL45,"")))</x:f>
        <x:v>Belum Dinilai</x:v>
      </x:c>
      <x:c r="AO45" s="716" t="str">
        <x:f>IF(AR45="","Belum Dinilai",IF(AR45=10,"Risiko Tinggi/Darurat",IF(AR45=5,"Risiko Sedang","Tidak Ada Risiko Khusus")))</x:f>
        <x:v>Belum Dinilai</x:v>
      </x:c>
      <x:c r="AP45" s="716" t="str"/>
      <x:c r="AQ45" s="719" t="str">
        <x:f>IF(OR(J45="",J45="Belum Dapat Ditentukan",L45="",L45="Belum Dinilai",N45="",N45="Belum Dinilai",P45="",P45="Belum Dinilai"),"",IF(J45="Permanen",0,IF(J45="Semipermanen",8,IF(J45="Nonpermanen",15,0)))+IF(L45="Baik",0,IF(L45="Rusak Ringan",5,IF(L45="Rusak Sedang",10,IF(L45="Rusak Berat",15,IF(L45="Tidak Ada/Terbuka",20,0)))))+IF(N45="Baik",0,IF(N45="Rusak Ringan",5,IF(N45="Rusak Sedang",10,IF(N45="Rusak Berat",15,IF(N45="Tidak Ada/Terbuka",20,0)))))+IF(P45="Baik",0,IF(P45="Rusak Ringan",4,IF(P45="Rusak Sedang",8,IF(P45="Rusak Berat",12,IF(P45="Tidak Layak",15,0))))))</x:f>
      </x:c>
      <x:c r="AR45" s="719" t="str">
        <x:f>IF(COUNTIF(AC45:AH45,"Ya")&gt;0,10,IF(COUNTIF(AI45:AK45,"Ya")&gt;=2,10,IF(COUNTIF(AI45:AK45,"Ya")=1,MAX(5,IF(AM45="Risiko Tinggi/Darurat",10,IF(AM45="Risiko Sedang",5,0))),IF(AL45&lt;&gt;"",IF(AM45="Risiko Tinggi/Darurat",10,IF(AM45="Risiko Sedang",5,"")),IF(COUNTIF(AC45:AK45,"Belum Dinilai")&gt;0,"",0)))))</x:f>
      </x:c>
      <x:c r="AS45" s="719" t="str">
        <x:f>IF(OR(AQ45="",AB45="",AR45=""),"",AQ45+AB45+AR45)</x:f>
      </x:c>
      <x:c r="AT45" s="719" t="str">
        <x:f>IF(AS45="","Belum Dapat Ditentukan",IF(AS45&gt;=80,"Sangat Tinggi",IF(OR(AO45="Risiko Tinggi/Darurat",(IF(L45="Rusak Berat",1,0)+IF(L45="Tidak Ada/Terbuka",1,0)+IF(N45="Rusak Berat",1,0)+IF(N45="Tidak Ada/Terbuka",1,0)+IF(P45="Rusak Berat",1,0)+IF(P45="Tidak Layak",1,0))&gt;=2),"Tinggi",IF(AS45&gt;=65,"Tinggi",IF(AS45&gt;=50,"Sedang","Rendah")))))</x:f>
        <x:v>Belum Dapat Ditentukan</x:v>
      </x:c>
      <x:c r="AU45" s="240" t="str">
        <x:v>Lengkap</x:v>
      </x:c>
      <x:c r="AV45" s="240" t="str">
        <x:v>Sudah Diverifikasi</x:v>
      </x:c>
      <x:c r="AW45" s="240" t="str">
        <x:v>Selesai</x:v>
      </x:c>
      <x:c r="AX45" s="240" t="str">
        <x:v>APBD Kota</x:v>
      </x:c>
      <x:c r="AY45" s="240" t="n">
        <x:v>2023</x:v>
      </x:c>
      <x:c r="AZ45" s="240" t="str">
        <x:v>Belum Diverifikasi</x:v>
      </x:c>
      <x:c r="BA45" s="240"/>
      <x:c r="BB45" s="240"/>
      <x:c r="BC45" s="240" t="n">
        <x:v>2026</x:v>
      </x:c>
      <x:c r="BD45" s="240" t="str">
        <x:v>Usulan Musrenbang/Pokir DPRD</x:v>
      </x:c>
      <x:c r="BE45" s="240" t="n">
        <x:v>46218</x:v>
      </x:c>
      <x:c r="BF45" s="240" t="str">
        <x:v>Dinas Perkim Kota Pangkalpinang</x:v>
      </x:c>
    </x:row>
    <x:row r="46" ht="32" customHeight="1">
      <x:c r="A46" s="314" t="str">
        <x:v>RTLH-0051</x:v>
      </x:c>
      <x:c r="B46" s="315" t="str">
        <x:v>SANKA</x:v>
      </x:c>
      <x:c r="C46" s="316"/>
      <x:c r="D46" s="316"/>
      <x:c r="E46" s="315" t="str">
        <x:v>JL. SRIWIJAYA RT.005 RW.002</x:v>
      </x:c>
      <x:c r="F46" s="315" t="str">
        <x:v>ASAM</x:v>
      </x:c>
      <x:c r="G46" s="315" t="str">
        <x:v>RANGKUI</x:v>
      </x:c>
      <x:c r="H46" s="315" t="str">
        <x:v>BELUM PRIORITAS</x:v>
      </x:c>
      <x:c r="I46" s="317" t="str">
        <x:v>RUMAH SEMI PERMANEN, ATAP SENG RUSAK RINGAN,DIDING PAPAN RUSAK RINGAN, LANTAI KERAMIK</x:v>
      </x:c>
      <x:c r="J46" s="315" t="str">
        <x:v>Semipermanen</x:v>
      </x:c>
      <x:c r="K46" s="315" t="str">
        <x:v>Seng</x:v>
      </x:c>
      <x:c r="L46" s="315" t="str">
        <x:v>Rusak Ringan</x:v>
      </x:c>
      <x:c r="M46" s="367" t="str">
        <x:v>Papan/Kayu</x:v>
      </x:c>
      <x:c r="N46" s="315" t="str">
        <x:v>Rusak Ringan</x:v>
      </x:c>
      <x:c r="O46" s="316" t="str">
        <x:v>Keramik</x:v>
      </x:c>
      <x:c r="P46" s="349" t="str">
        <x:v>Rusak Ringan</x:v>
      </x:c>
      <x:c r="Q46" s="707" t="str">
        <x:v>Belum Dinilai</x:v>
      </x:c>
      <x:c r="R46" s="707" t="str">
        <x:v>Belum Dinilai</x:v>
      </x:c>
      <x:c r="S46" s="708" t="str">
        <x:v>Belum Dinilai</x:v>
      </x:c>
      <x:c r="T46" s="709" t="str">
        <x:v>Belum Dinilai</x:v>
      </x:c>
      <x:c r="U46" s="704" t="str">
        <x:v>Belum Dinilai</x:v>
      </x:c>
      <x:c r="V46" s="704" t="str">
        <x:v>Belum Dinilai</x:v>
      </x:c>
      <x:c r="W46" s="704" t="str"/>
      <x:c r="X46" s="704" t="str">
        <x:f>IF(COUNTIF(R46:V46,"Belum Dinilai")&gt;0,"Belum Dinilai",IF(COUNTIF(R46:V46,"Ya")=0,"Tidak ada faktor rentan",TEXTJOIN(", ",TRUE,IF(R46="Ya","Lansia",""),IF(S46="Ya","Penyandang disabilitas",""),IF(T46="Ya","Kepala keluarga perempuan",""),IF(U46="Ya","Balita",""),IF(V46="Ya","Anggota keluarga dengan ketergantungan tinggi",""))))</x:f>
        <x:v>Belum Dinilai</x:v>
      </x:c>
      <x:c r="Y46" s="704" t="str">
        <x:f>IF(COUNTIF(R46:V46,"Belum Dinilai")&gt;0,"Belum Dinilai",IF(COUNTIF(R46:V46,"Ya")=0,"Tidak Ada Faktor Rentan",IF(COUNTIF(R46:V46,"Ya")=1,"1 Faktor Rentan","2 atau Lebih Faktor Rentan")))</x:f>
        <x:v>Belum Dinilai</x:v>
      </x:c>
      <x:c r="Z46" s="704" t="str">
        <x:f>IF(OR(Q46="",Q46="Belum Dinilai"),"",IF(Q46="Terverifikasi DTKS/P3KE/MBR",10,IF(Q46="Diusulkan, Belum Terverifikasi",5,0)))</x:f>
      </x:c>
      <x:c r="AA46" s="705" t="str">
        <x:f>IF(COUNTIF(R46:V46,"Belum Dinilai")&gt;0,"",IF(COUNTIF(R46:V46,"Ya")=0,0,IF(COUNTIF(R46:V46,"Ya")=1,5,10)))</x:f>
      </x:c>
      <x:c r="AB46" s="706" t="str">
        <x:f>IF(OR(Z46="",AA46=""),"",Z46+AA46)</x:f>
      </x:c>
      <x:c r="AC46" s="713" t="str">
        <x:v>Belum Dinilai</x:v>
      </x:c>
      <x:c r="AD46" s="713" t="str">
        <x:v>Belum Dinilai</x:v>
      </x:c>
      <x:c r="AE46" s="714" t="str">
        <x:v>Belum Dinilai</x:v>
      </x:c>
      <x:c r="AF46" s="713" t="str">
        <x:v>Belum Dinilai</x:v>
      </x:c>
      <x:c r="AG46" s="713" t="str">
        <x:v>Belum Dinilai</x:v>
      </x:c>
      <x:c r="AH46" s="715" t="str">
        <x:v>Belum Dinilai</x:v>
      </x:c>
      <x:c r="AI46" s="714" t="str">
        <x:v>Belum Dinilai</x:v>
      </x:c>
      <x:c r="AJ46" s="713" t="str">
        <x:v>Belum Dinilai</x:v>
      </x:c>
      <x:c r="AK46" s="715" t="str">
        <x:v>Belum Dinilai</x:v>
      </x:c>
      <x:c r="AL46" s="713" t="str"/>
      <x:c r="AM46" s="716" t="str">
        <x:v>Belum Dinilai</x:v>
      </x:c>
      <x:c r="AN46" s="716" t="str">
        <x:f>IF(AND(COUNTIF(AC46:AK46,"Ya")=0,AL46=""),IF(COUNTIF(AC46:AK46,"Belum Dinilai")&gt;0,"Belum Dinilai","Tidak ada risiko khusus"),TEXTJOIN(", ",TRUE,IF(AC46="Ya","Bangunan berpotensi roboh",""),IF(AD46="Ya","Bekas kebakaran dan tidak aman dihuni",""),IF(AE46="Ya","Atap atau dinding utama hampir runtuh",""),IF(AF46="Ya","Genangan yang membahayakan",""),IF(AG46="Ya","Struktur rumah tidak stabil",""),IF(AH46="Ya","Instalasi listrik berbahaya",""),IF(AI46="Ya","Komponen bangunan lepas atau lapuk",""),IF(AJ46="Ya","Akses keluar atau evakuasi terbatas",""),IF(AK46="Ya","Lokasi rawan bencana",""),IF(AL46&lt;&gt;"","Lainnya: "&amp;AL46,"")))</x:f>
        <x:v>Belum Dinilai</x:v>
      </x:c>
      <x:c r="AO46" s="716" t="str">
        <x:f>IF(AR46="","Belum Dinilai",IF(AR46=10,"Risiko Tinggi/Darurat",IF(AR46=5,"Risiko Sedang","Tidak Ada Risiko Khusus")))</x:f>
        <x:v>Belum Dinilai</x:v>
      </x:c>
      <x:c r="AP46" s="716" t="str"/>
      <x:c r="AQ46" s="719" t="n">
        <x:f>IF(OR(J46="",J46="Belum Dapat Ditentukan",L46="",L46="Belum Dinilai",N46="",N46="Belum Dinilai",P46="",P46="Belum Dinilai"),"",IF(J46="Permanen",0,IF(J46="Semipermanen",8,IF(J46="Nonpermanen",15,0)))+IF(L46="Baik",0,IF(L46="Rusak Ringan",5,IF(L46="Rusak Sedang",10,IF(L46="Rusak Berat",15,IF(L46="Tidak Ada/Terbuka",20,0)))))+IF(N46="Baik",0,IF(N46="Rusak Ringan",5,IF(N46="Rusak Sedang",10,IF(N46="Rusak Berat",15,IF(N46="Tidak Ada/Terbuka",20,0)))))+IF(P46="Baik",0,IF(P46="Rusak Ringan",4,IF(P46="Rusak Sedang",8,IF(P46="Rusak Berat",12,IF(P46="Tidak Layak",15,0))))))</x:f>
        <x:v>22</x:v>
      </x:c>
      <x:c r="AR46" s="719" t="str">
        <x:f>IF(COUNTIF(AC46:AH46,"Ya")&gt;0,10,IF(COUNTIF(AI46:AK46,"Ya")&gt;=2,10,IF(COUNTIF(AI46:AK46,"Ya")=1,MAX(5,IF(AM46="Risiko Tinggi/Darurat",10,IF(AM46="Risiko Sedang",5,0))),IF(AL46&lt;&gt;"",IF(AM46="Risiko Tinggi/Darurat",10,IF(AM46="Risiko Sedang",5,"")),IF(COUNTIF(AC46:AK46,"Belum Dinilai")&gt;0,"",0)))))</x:f>
      </x:c>
      <x:c r="AS46" s="719" t="str">
        <x:f>IF(OR(AQ46="",AB46="",AR46=""),"",AQ46+AB46+AR46)</x:f>
      </x:c>
      <x:c r="AT46" s="719" t="str">
        <x:f>IF(AS46="","Belum Dapat Ditentukan",IF(AS46&gt;=80,"Sangat Tinggi",IF(OR(AO46="Risiko Tinggi/Darurat",(IF(L46="Rusak Berat",1,0)+IF(L46="Tidak Ada/Terbuka",1,0)+IF(N46="Rusak Berat",1,0)+IF(N46="Tidak Ada/Terbuka",1,0)+IF(P46="Rusak Berat",1,0)+IF(P46="Tidak Layak",1,0))&gt;=2),"Tinggi",IF(AS46&gt;=65,"Tinggi",IF(AS46&gt;=50,"Sedang","Rendah")))))</x:f>
        <x:v>Belum Dapat Ditentukan</x:v>
      </x:c>
      <x:c r="AU46" s="240" t="str">
        <x:v>Lengkap</x:v>
      </x:c>
      <x:c r="AV46" s="240" t="str">
        <x:v>Sudah Diverifikasi</x:v>
      </x:c>
      <x:c r="AW46" s="240" t="str">
        <x:v>Selesai</x:v>
      </x:c>
      <x:c r="AX46" s="240" t="str">
        <x:v>BSPS</x:v>
      </x:c>
      <x:c r="AY46" s="240" t="n">
        <x:v>2024</x:v>
      </x:c>
      <x:c r="AZ46" s="240" t="str">
        <x:v>Belum Diverifikasi</x:v>
      </x:c>
      <x:c r="BA46" s="240"/>
      <x:c r="BB46" s="240"/>
      <x:c r="BC46" s="240" t="n">
        <x:v>2026</x:v>
      </x:c>
      <x:c r="BD46" s="240" t="str">
        <x:v>Usulan Musrenbang/Pokir DPRD</x:v>
      </x:c>
      <x:c r="BE46" s="240" t="n">
        <x:v>46218</x:v>
      </x:c>
      <x:c r="BF46" s="240" t="str">
        <x:v>Dinas Perkim Kota Pangkalpinang</x:v>
      </x:c>
    </x:row>
    <x:row r="47" ht="32" customHeight="1">
      <x:c r="A47" s="314" t="str">
        <x:v>RTLH-0052</x:v>
      </x:c>
      <x:c r="B47" s="315" t="str">
        <x:v>SITANIA</x:v>
      </x:c>
      <x:c r="C47" s="316"/>
      <x:c r="D47" s="316"/>
      <x:c r="E47" s="315" t="str">
        <x:v>JL. SRIWIJAYA RT.005 RW.002</x:v>
      </x:c>
      <x:c r="F47" s="315" t="str">
        <x:v>ASAM</x:v>
      </x:c>
      <x:c r="G47" s="315" t="str">
        <x:v>RANGKUI</x:v>
      </x:c>
      <x:c r="H47" s="315" t="str">
        <x:v>BELUM PRIORITAS</x:v>
      </x:c>
      <x:c r="I47" s="317" t="str">
        <x:v>DINDING PERMANEN, LANTAI FLOOR,ATAP SENG, ( MINTA REHAB BAGIAN ATAP)</x:v>
      </x:c>
      <x:c r="J47" s="315" t="str">
        <x:v>Permanen</x:v>
      </x:c>
      <x:c r="K47" s="315" t="str">
        <x:v>Seng</x:v>
      </x:c>
      <x:c r="L47" s="315" t="str">
        <x:v>Belum Dinilai</x:v>
      </x:c>
      <x:c r="M47" s="367" t="str">
        <x:v>Dinding Permanen (Material tidak dirinci)</x:v>
      </x:c>
      <x:c r="N47" s="315" t="str">
        <x:v>Belum Dinilai</x:v>
      </x:c>
      <x:c r="O47" s="316" t="str">
        <x:v>Semen/Plester</x:v>
      </x:c>
      <x:c r="P47" s="349" t="str">
        <x:v>Belum Dinilai</x:v>
      </x:c>
      <x:c r="Q47" s="707" t="str">
        <x:v>Belum Dinilai</x:v>
      </x:c>
      <x:c r="R47" s="707" t="str">
        <x:v>Belum Dinilai</x:v>
      </x:c>
      <x:c r="S47" s="708" t="str">
        <x:v>Belum Dinilai</x:v>
      </x:c>
      <x:c r="T47" s="709" t="str">
        <x:v>Belum Dinilai</x:v>
      </x:c>
      <x:c r="U47" s="704" t="str">
        <x:v>Belum Dinilai</x:v>
      </x:c>
      <x:c r="V47" s="704" t="str">
        <x:v>Belum Dinilai</x:v>
      </x:c>
      <x:c r="W47" s="704" t="str"/>
      <x:c r="X47" s="704" t="str">
        <x:f>IF(COUNTIF(R47:V47,"Belum Dinilai")&gt;0,"Belum Dinilai",IF(COUNTIF(R47:V47,"Ya")=0,"Tidak ada faktor rentan",TEXTJOIN(", ",TRUE,IF(R47="Ya","Lansia",""),IF(S47="Ya","Penyandang disabilitas",""),IF(T47="Ya","Kepala keluarga perempuan",""),IF(U47="Ya","Balita",""),IF(V47="Ya","Anggota keluarga dengan ketergantungan tinggi",""))))</x:f>
        <x:v>Belum Dinilai</x:v>
      </x:c>
      <x:c r="Y47" s="704" t="str">
        <x:f>IF(COUNTIF(R47:V47,"Belum Dinilai")&gt;0,"Belum Dinilai",IF(COUNTIF(R47:V47,"Ya")=0,"Tidak Ada Faktor Rentan",IF(COUNTIF(R47:V47,"Ya")=1,"1 Faktor Rentan","2 atau Lebih Faktor Rentan")))</x:f>
        <x:v>Belum Dinilai</x:v>
      </x:c>
      <x:c r="Z47" s="704" t="str">
        <x:f>IF(OR(Q47="",Q47="Belum Dinilai"),"",IF(Q47="Terverifikasi DTKS/P3KE/MBR",10,IF(Q47="Diusulkan, Belum Terverifikasi",5,0)))</x:f>
      </x:c>
      <x:c r="AA47" s="705" t="str">
        <x:f>IF(COUNTIF(R47:V47,"Belum Dinilai")&gt;0,"",IF(COUNTIF(R47:V47,"Ya")=0,0,IF(COUNTIF(R47:V47,"Ya")=1,5,10)))</x:f>
      </x:c>
      <x:c r="AB47" s="706" t="str">
        <x:f>IF(OR(Z47="",AA47=""),"",Z47+AA47)</x:f>
      </x:c>
      <x:c r="AC47" s="713" t="str">
        <x:v>Belum Dinilai</x:v>
      </x:c>
      <x:c r="AD47" s="713" t="str">
        <x:v>Belum Dinilai</x:v>
      </x:c>
      <x:c r="AE47" s="714" t="str">
        <x:v>Belum Dinilai</x:v>
      </x:c>
      <x:c r="AF47" s="713" t="str">
        <x:v>Belum Dinilai</x:v>
      </x:c>
      <x:c r="AG47" s="713" t="str">
        <x:v>Belum Dinilai</x:v>
      </x:c>
      <x:c r="AH47" s="715" t="str">
        <x:v>Belum Dinilai</x:v>
      </x:c>
      <x:c r="AI47" s="714" t="str">
        <x:v>Belum Dinilai</x:v>
      </x:c>
      <x:c r="AJ47" s="713" t="str">
        <x:v>Belum Dinilai</x:v>
      </x:c>
      <x:c r="AK47" s="715" t="str">
        <x:v>Belum Dinilai</x:v>
      </x:c>
      <x:c r="AL47" s="713" t="str"/>
      <x:c r="AM47" s="716" t="str">
        <x:v>Belum Dinilai</x:v>
      </x:c>
      <x:c r="AN47" s="716" t="str">
        <x:f>IF(AND(COUNTIF(AC47:AK47,"Ya")=0,AL47=""),IF(COUNTIF(AC47:AK47,"Belum Dinilai")&gt;0,"Belum Dinilai","Tidak ada risiko khusus"),TEXTJOIN(", ",TRUE,IF(AC47="Ya","Bangunan berpotensi roboh",""),IF(AD47="Ya","Bekas kebakaran dan tidak aman dihuni",""),IF(AE47="Ya","Atap atau dinding utama hampir runtuh",""),IF(AF47="Ya","Genangan yang membahayakan",""),IF(AG47="Ya","Struktur rumah tidak stabil",""),IF(AH47="Ya","Instalasi listrik berbahaya",""),IF(AI47="Ya","Komponen bangunan lepas atau lapuk",""),IF(AJ47="Ya","Akses keluar atau evakuasi terbatas",""),IF(AK47="Ya","Lokasi rawan bencana",""),IF(AL47&lt;&gt;"","Lainnya: "&amp;AL47,"")))</x:f>
        <x:v>Belum Dinilai</x:v>
      </x:c>
      <x:c r="AO47" s="716" t="str">
        <x:f>IF(AR47="","Belum Dinilai",IF(AR47=10,"Risiko Tinggi/Darurat",IF(AR47=5,"Risiko Sedang","Tidak Ada Risiko Khusus")))</x:f>
        <x:v>Belum Dinilai</x:v>
      </x:c>
      <x:c r="AP47" s="716" t="str"/>
      <x:c r="AQ47" s="719" t="str">
        <x:f>IF(OR(J47="",J47="Belum Dapat Ditentukan",L47="",L47="Belum Dinilai",N47="",N47="Belum Dinilai",P47="",P47="Belum Dinilai"),"",IF(J47="Permanen",0,IF(J47="Semipermanen",8,IF(J47="Nonpermanen",15,0)))+IF(L47="Baik",0,IF(L47="Rusak Ringan",5,IF(L47="Rusak Sedang",10,IF(L47="Rusak Berat",15,IF(L47="Tidak Ada/Terbuka",20,0)))))+IF(N47="Baik",0,IF(N47="Rusak Ringan",5,IF(N47="Rusak Sedang",10,IF(N47="Rusak Berat",15,IF(N47="Tidak Ada/Terbuka",20,0)))))+IF(P47="Baik",0,IF(P47="Rusak Ringan",4,IF(P47="Rusak Sedang",8,IF(P47="Rusak Berat",12,IF(P47="Tidak Layak",15,0))))))</x:f>
      </x:c>
      <x:c r="AR47" s="719" t="str">
        <x:f>IF(COUNTIF(AC47:AH47,"Ya")&gt;0,10,IF(COUNTIF(AI47:AK47,"Ya")&gt;=2,10,IF(COUNTIF(AI47:AK47,"Ya")=1,MAX(5,IF(AM47="Risiko Tinggi/Darurat",10,IF(AM47="Risiko Sedang",5,0))),IF(AL47&lt;&gt;"",IF(AM47="Risiko Tinggi/Darurat",10,IF(AM47="Risiko Sedang",5,"")),IF(COUNTIF(AC47:AK47,"Belum Dinilai")&gt;0,"",0)))))</x:f>
      </x:c>
      <x:c r="AS47" s="719" t="str">
        <x:f>IF(OR(AQ47="",AB47="",AR47=""),"",AQ47+AB47+AR47)</x:f>
      </x:c>
      <x:c r="AT47" s="719" t="str">
        <x:f>IF(AS47="","Belum Dapat Ditentukan",IF(AS47&gt;=80,"Sangat Tinggi",IF(OR(AO47="Risiko Tinggi/Darurat",(IF(L47="Rusak Berat",1,0)+IF(L47="Tidak Ada/Terbuka",1,0)+IF(N47="Rusak Berat",1,0)+IF(N47="Tidak Ada/Terbuka",1,0)+IF(P47="Rusak Berat",1,0)+IF(P47="Tidak Layak",1,0))&gt;=2),"Tinggi",IF(AS47&gt;=65,"Tinggi",IF(AS47&gt;=50,"Sedang","Rendah")))))</x:f>
        <x:v>Belum Dapat Ditentukan</x:v>
      </x:c>
      <x:c r="AU47" s="240" t="str">
        <x:v>Lengkap</x:v>
      </x:c>
      <x:c r="AV47" s="240" t="str">
        <x:v>Sudah Diverifikasi</x:v>
      </x:c>
      <x:c r="AW47" s="240" t="str">
        <x:v>Belum Ditangani</x:v>
      </x:c>
      <x:c r="AX47" s="240"/>
      <x:c r="AY47" s="240"/>
      <x:c r="AZ47" s="240" t="str">
        <x:v>Belum Diverifikasi</x:v>
      </x:c>
      <x:c r="BA47" s="240"/>
      <x:c r="BB47" s="240"/>
      <x:c r="BC47" s="240" t="n">
        <x:v>2026</x:v>
      </x:c>
      <x:c r="BD47" s="240" t="str">
        <x:v>Usulan Musrenbang/Pokir DPRD</x:v>
      </x:c>
      <x:c r="BE47" s="240" t="n">
        <x:v>46218</x:v>
      </x:c>
      <x:c r="BF47" s="240" t="str">
        <x:v>Dinas Perkim Kota Pangkalpinang</x:v>
      </x:c>
    </x:row>
    <x:row r="48" ht="32" customHeight="1">
      <x:c r="A48" s="314" t="str">
        <x:v>RTLH-0053</x:v>
      </x:c>
      <x:c r="B48" s="315" t="str">
        <x:v>SRIWATI</x:v>
      </x:c>
      <x:c r="C48" s="316"/>
      <x:c r="D48" s="316"/>
      <x:c r="E48" s="315" t="str">
        <x:v>Belum tersedia</x:v>
      </x:c>
      <x:c r="F48" s="315" t="str">
        <x:v>ASAM</x:v>
      </x:c>
      <x:c r="G48" s="315" t="str">
        <x:v>RANGKUI</x:v>
      </x:c>
      <x:c r="H48" s="315" t="str">
        <x:v>Pembangunan Baru</x:v>
      </x:c>
      <x:c r="I48" s="317" t="str">
        <x:v>RUMAH FULL PAPAN</x:v>
      </x:c>
      <x:c r="J48" s="315" t="str">
        <x:v>Nonpermanen</x:v>
      </x:c>
      <x:c r="K48" s="315" t="str">
        <x:v>Belum Diidentifikasi</x:v>
      </x:c>
      <x:c r="L48" s="315" t="str">
        <x:v>Belum Dinilai</x:v>
      </x:c>
      <x:c r="M48" s="367" t="str">
        <x:v>Papan/Kayu</x:v>
      </x:c>
      <x:c r="N48" s="315" t="str">
        <x:v>Belum Dinilai</x:v>
      </x:c>
      <x:c r="O48" s="316" t="str">
        <x:v>Belum Diidentifikasi</x:v>
      </x:c>
      <x:c r="P48" s="349" t="str">
        <x:v>Belum Dinilai</x:v>
      </x:c>
      <x:c r="Q48" s="707" t="str">
        <x:v>Belum Dinilai</x:v>
      </x:c>
      <x:c r="R48" s="707" t="str">
        <x:v>Belum Dinilai</x:v>
      </x:c>
      <x:c r="S48" s="708" t="str">
        <x:v>Belum Dinilai</x:v>
      </x:c>
      <x:c r="T48" s="709" t="str">
        <x:v>Belum Dinilai</x:v>
      </x:c>
      <x:c r="U48" s="704" t="str">
        <x:v>Belum Dinilai</x:v>
      </x:c>
      <x:c r="V48" s="704" t="str">
        <x:v>Belum Dinilai</x:v>
      </x:c>
      <x:c r="W48" s="704" t="str"/>
      <x:c r="X48" s="704" t="str">
        <x:f>IF(COUNTIF(R48:V48,"Belum Dinilai")&gt;0,"Belum Dinilai",IF(COUNTIF(R48:V48,"Ya")=0,"Tidak ada faktor rentan",TEXTJOIN(", ",TRUE,IF(R48="Ya","Lansia",""),IF(S48="Ya","Penyandang disabilitas",""),IF(T48="Ya","Kepala keluarga perempuan",""),IF(U48="Ya","Balita",""),IF(V48="Ya","Anggota keluarga dengan ketergantungan tinggi",""))))</x:f>
        <x:v>Belum Dinilai</x:v>
      </x:c>
      <x:c r="Y48" s="704" t="str">
        <x:f>IF(COUNTIF(R48:V48,"Belum Dinilai")&gt;0,"Belum Dinilai",IF(COUNTIF(R48:V48,"Ya")=0,"Tidak Ada Faktor Rentan",IF(COUNTIF(R48:V48,"Ya")=1,"1 Faktor Rentan","2 atau Lebih Faktor Rentan")))</x:f>
        <x:v>Belum Dinilai</x:v>
      </x:c>
      <x:c r="Z48" s="704" t="str">
        <x:f>IF(OR(Q48="",Q48="Belum Dinilai"),"",IF(Q48="Terverifikasi DTKS/P3KE/MBR",10,IF(Q48="Diusulkan, Belum Terverifikasi",5,0)))</x:f>
      </x:c>
      <x:c r="AA48" s="705" t="str">
        <x:f>IF(COUNTIF(R48:V48,"Belum Dinilai")&gt;0,"",IF(COUNTIF(R48:V48,"Ya")=0,0,IF(COUNTIF(R48:V48,"Ya")=1,5,10)))</x:f>
      </x:c>
      <x:c r="AB48" s="706" t="str">
        <x:f>IF(OR(Z48="",AA48=""),"",Z48+AA48)</x:f>
      </x:c>
      <x:c r="AC48" s="713" t="str">
        <x:v>Belum Dinilai</x:v>
      </x:c>
      <x:c r="AD48" s="713" t="str">
        <x:v>Belum Dinilai</x:v>
      </x:c>
      <x:c r="AE48" s="714" t="str">
        <x:v>Belum Dinilai</x:v>
      </x:c>
      <x:c r="AF48" s="713" t="str">
        <x:v>Belum Dinilai</x:v>
      </x:c>
      <x:c r="AG48" s="713" t="str">
        <x:v>Belum Dinilai</x:v>
      </x:c>
      <x:c r="AH48" s="715" t="str">
        <x:v>Belum Dinilai</x:v>
      </x:c>
      <x:c r="AI48" s="714" t="str">
        <x:v>Belum Dinilai</x:v>
      </x:c>
      <x:c r="AJ48" s="713" t="str">
        <x:v>Belum Dinilai</x:v>
      </x:c>
      <x:c r="AK48" s="715" t="str">
        <x:v>Belum Dinilai</x:v>
      </x:c>
      <x:c r="AL48" s="713" t="str"/>
      <x:c r="AM48" s="716" t="str">
        <x:v>Belum Dinilai</x:v>
      </x:c>
      <x:c r="AN48" s="716" t="str">
        <x:f>IF(AND(COUNTIF(AC48:AK48,"Ya")=0,AL48=""),IF(COUNTIF(AC48:AK48,"Belum Dinilai")&gt;0,"Belum Dinilai","Tidak ada risiko khusus"),TEXTJOIN(", ",TRUE,IF(AC48="Ya","Bangunan berpotensi roboh",""),IF(AD48="Ya","Bekas kebakaran dan tidak aman dihuni",""),IF(AE48="Ya","Atap atau dinding utama hampir runtuh",""),IF(AF48="Ya","Genangan yang membahayakan",""),IF(AG48="Ya","Struktur rumah tidak stabil",""),IF(AH48="Ya","Instalasi listrik berbahaya",""),IF(AI48="Ya","Komponen bangunan lepas atau lapuk",""),IF(AJ48="Ya","Akses keluar atau evakuasi terbatas",""),IF(AK48="Ya","Lokasi rawan bencana",""),IF(AL48&lt;&gt;"","Lainnya: "&amp;AL48,"")))</x:f>
        <x:v>Belum Dinilai</x:v>
      </x:c>
      <x:c r="AO48" s="716" t="str">
        <x:f>IF(AR48="","Belum Dinilai",IF(AR48=10,"Risiko Tinggi/Darurat",IF(AR48=5,"Risiko Sedang","Tidak Ada Risiko Khusus")))</x:f>
        <x:v>Belum Dinilai</x:v>
      </x:c>
      <x:c r="AP48" s="716" t="str"/>
      <x:c r="AQ48" s="719" t="str">
        <x:f>IF(OR(J48="",J48="Belum Dapat Ditentukan",L48="",L48="Belum Dinilai",N48="",N48="Belum Dinilai",P48="",P48="Belum Dinilai"),"",IF(J48="Permanen",0,IF(J48="Semipermanen",8,IF(J48="Nonpermanen",15,0)))+IF(L48="Baik",0,IF(L48="Rusak Ringan",5,IF(L48="Rusak Sedang",10,IF(L48="Rusak Berat",15,IF(L48="Tidak Ada/Terbuka",20,0)))))+IF(N48="Baik",0,IF(N48="Rusak Ringan",5,IF(N48="Rusak Sedang",10,IF(N48="Rusak Berat",15,IF(N48="Tidak Ada/Terbuka",20,0)))))+IF(P48="Baik",0,IF(P48="Rusak Ringan",4,IF(P48="Rusak Sedang",8,IF(P48="Rusak Berat",12,IF(P48="Tidak Layak",15,0))))))</x:f>
      </x:c>
      <x:c r="AR48" s="719" t="str">
        <x:f>IF(COUNTIF(AC48:AH48,"Ya")&gt;0,10,IF(COUNTIF(AI48:AK48,"Ya")&gt;=2,10,IF(COUNTIF(AI48:AK48,"Ya")=1,MAX(5,IF(AM48="Risiko Tinggi/Darurat",10,IF(AM48="Risiko Sedang",5,0))),IF(AL48&lt;&gt;"",IF(AM48="Risiko Tinggi/Darurat",10,IF(AM48="Risiko Sedang",5,"")),IF(COUNTIF(AC48:AK48,"Belum Dinilai")&gt;0,"",0)))))</x:f>
      </x:c>
      <x:c r="AS48" s="719" t="str">
        <x:f>IF(OR(AQ48="",AB48="",AR48=""),"",AQ48+AB48+AR48)</x:f>
      </x:c>
      <x:c r="AT48" s="719" t="str">
        <x:f>IF(AS48="","Belum Dapat Ditentukan",IF(AS48&gt;=80,"Sangat Tinggi",IF(OR(AO48="Risiko Tinggi/Darurat",(IF(L48="Rusak Berat",1,0)+IF(L48="Tidak Ada/Terbuka",1,0)+IF(N48="Rusak Berat",1,0)+IF(N48="Tidak Ada/Terbuka",1,0)+IF(P48="Rusak Berat",1,0)+IF(P48="Tidak Layak",1,0))&gt;=2),"Tinggi",IF(AS48&gt;=65,"Tinggi",IF(AS48&gt;=50,"Sedang","Rendah")))))</x:f>
        <x:v>Belum Dapat Ditentukan</x:v>
      </x:c>
      <x:c r="AU48" s="240" t="str">
        <x:v>Lengkap</x:v>
      </x:c>
      <x:c r="AV48" s="240" t="str">
        <x:v>Sudah Diverifikasi</x:v>
      </x:c>
      <x:c r="AW48" s="240" t="str">
        <x:v>Selesai</x:v>
      </x:c>
      <x:c r="AX48" s="240" t="str">
        <x:v>BSPS</x:v>
      </x:c>
      <x:c r="AY48" s="240" t="n">
        <x:v>2024</x:v>
      </x:c>
      <x:c r="AZ48" s="240" t="str">
        <x:v>Belum Diverifikasi</x:v>
      </x:c>
      <x:c r="BA48" s="240"/>
      <x:c r="BB48" s="240"/>
      <x:c r="BC48" s="240" t="n">
        <x:v>2026</x:v>
      </x:c>
      <x:c r="BD48" s="240" t="str">
        <x:v>Usulan Musrenbang/Pokir DPRD</x:v>
      </x:c>
      <x:c r="BE48" s="240" t="n">
        <x:v>46218</x:v>
      </x:c>
      <x:c r="BF48" s="240" t="str">
        <x:v>Dinas Perkim Kota Pangkalpinang</x:v>
      </x:c>
    </x:row>
    <x:row r="49" ht="32" customHeight="1">
      <x:c r="A49" s="314" t="str">
        <x:v>RTLH-0054</x:v>
      </x:c>
      <x:c r="B49" s="315" t="str">
        <x:v>ROSMAH</x:v>
      </x:c>
      <x:c r="C49" s="316"/>
      <x:c r="D49" s="316"/>
      <x:c r="E49" s="315" t="str">
        <x:v>Belum tersedia</x:v>
      </x:c>
      <x:c r="F49" s="315" t="str">
        <x:v>ASAM</x:v>
      </x:c>
      <x:c r="G49" s="315" t="str">
        <x:v>RANGKUI</x:v>
      </x:c>
      <x:c r="H49" s="315" t="str">
        <x:v>Peningkatan Kualitas</x:v>
      </x:c>
      <x:c r="I49" s="317" t="str">
        <x:v>RUMAH PERMANEN, ( MINTA REHAB BAGIAN ATAP)</x:v>
      </x:c>
      <x:c r="J49" s="315" t="str">
        <x:v>Permanen</x:v>
      </x:c>
      <x:c r="K49" s="315" t="str">
        <x:v>Belum Diidentifikasi</x:v>
      </x:c>
      <x:c r="L49" s="315" t="str">
        <x:v>Belum Dinilai</x:v>
      </x:c>
      <x:c r="M49" s="367" t="str">
        <x:v>Dinding Permanen (Material tidak dirinci)</x:v>
      </x:c>
      <x:c r="N49" s="315" t="str">
        <x:v>Belum Dinilai</x:v>
      </x:c>
      <x:c r="O49" s="316" t="str">
        <x:v>Belum Diidentifikasi</x:v>
      </x:c>
      <x:c r="P49" s="349" t="str">
        <x:v>Belum Dinilai</x:v>
      </x:c>
      <x:c r="Q49" s="707" t="str">
        <x:v>Belum Dinilai</x:v>
      </x:c>
      <x:c r="R49" s="707" t="str">
        <x:v>Belum Dinilai</x:v>
      </x:c>
      <x:c r="S49" s="708" t="str">
        <x:v>Belum Dinilai</x:v>
      </x:c>
      <x:c r="T49" s="709" t="str">
        <x:v>Belum Dinilai</x:v>
      </x:c>
      <x:c r="U49" s="704" t="str">
        <x:v>Belum Dinilai</x:v>
      </x:c>
      <x:c r="V49" s="704" t="str">
        <x:v>Belum Dinilai</x:v>
      </x:c>
      <x:c r="W49" s="704" t="str"/>
      <x:c r="X49" s="704" t="str">
        <x:f>IF(COUNTIF(R49:V49,"Belum Dinilai")&gt;0,"Belum Dinilai",IF(COUNTIF(R49:V49,"Ya")=0,"Tidak ada faktor rentan",TEXTJOIN(", ",TRUE,IF(R49="Ya","Lansia",""),IF(S49="Ya","Penyandang disabilitas",""),IF(T49="Ya","Kepala keluarga perempuan",""),IF(U49="Ya","Balita",""),IF(V49="Ya","Anggota keluarga dengan ketergantungan tinggi",""))))</x:f>
        <x:v>Belum Dinilai</x:v>
      </x:c>
      <x:c r="Y49" s="704" t="str">
        <x:f>IF(COUNTIF(R49:V49,"Belum Dinilai")&gt;0,"Belum Dinilai",IF(COUNTIF(R49:V49,"Ya")=0,"Tidak Ada Faktor Rentan",IF(COUNTIF(R49:V49,"Ya")=1,"1 Faktor Rentan","2 atau Lebih Faktor Rentan")))</x:f>
        <x:v>Belum Dinilai</x:v>
      </x:c>
      <x:c r="Z49" s="704" t="str">
        <x:f>IF(OR(Q49="",Q49="Belum Dinilai"),"",IF(Q49="Terverifikasi DTKS/P3KE/MBR",10,IF(Q49="Diusulkan, Belum Terverifikasi",5,0)))</x:f>
      </x:c>
      <x:c r="AA49" s="705" t="str">
        <x:f>IF(COUNTIF(R49:V49,"Belum Dinilai")&gt;0,"",IF(COUNTIF(R49:V49,"Ya")=0,0,IF(COUNTIF(R49:V49,"Ya")=1,5,10)))</x:f>
      </x:c>
      <x:c r="AB49" s="706" t="str">
        <x:f>IF(OR(Z49="",AA49=""),"",Z49+AA49)</x:f>
      </x:c>
      <x:c r="AC49" s="713" t="str">
        <x:v>Belum Dinilai</x:v>
      </x:c>
      <x:c r="AD49" s="713" t="str">
        <x:v>Belum Dinilai</x:v>
      </x:c>
      <x:c r="AE49" s="714" t="str">
        <x:v>Belum Dinilai</x:v>
      </x:c>
      <x:c r="AF49" s="713" t="str">
        <x:v>Belum Dinilai</x:v>
      </x:c>
      <x:c r="AG49" s="713" t="str">
        <x:v>Belum Dinilai</x:v>
      </x:c>
      <x:c r="AH49" s="715" t="str">
        <x:v>Belum Dinilai</x:v>
      </x:c>
      <x:c r="AI49" s="714" t="str">
        <x:v>Belum Dinilai</x:v>
      </x:c>
      <x:c r="AJ49" s="713" t="str">
        <x:v>Belum Dinilai</x:v>
      </x:c>
      <x:c r="AK49" s="715" t="str">
        <x:v>Belum Dinilai</x:v>
      </x:c>
      <x:c r="AL49" s="713" t="str"/>
      <x:c r="AM49" s="716" t="str">
        <x:v>Belum Dinilai</x:v>
      </x:c>
      <x:c r="AN49" s="716" t="str">
        <x:f>IF(AND(COUNTIF(AC49:AK49,"Ya")=0,AL49=""),IF(COUNTIF(AC49:AK49,"Belum Dinilai")&gt;0,"Belum Dinilai","Tidak ada risiko khusus"),TEXTJOIN(", ",TRUE,IF(AC49="Ya","Bangunan berpotensi roboh",""),IF(AD49="Ya","Bekas kebakaran dan tidak aman dihuni",""),IF(AE49="Ya","Atap atau dinding utama hampir runtuh",""),IF(AF49="Ya","Genangan yang membahayakan",""),IF(AG49="Ya","Struktur rumah tidak stabil",""),IF(AH49="Ya","Instalasi listrik berbahaya",""),IF(AI49="Ya","Komponen bangunan lepas atau lapuk",""),IF(AJ49="Ya","Akses keluar atau evakuasi terbatas",""),IF(AK49="Ya","Lokasi rawan bencana",""),IF(AL49&lt;&gt;"","Lainnya: "&amp;AL49,"")))</x:f>
        <x:v>Belum Dinilai</x:v>
      </x:c>
      <x:c r="AO49" s="716" t="str">
        <x:f>IF(AR49="","Belum Dinilai",IF(AR49=10,"Risiko Tinggi/Darurat",IF(AR49=5,"Risiko Sedang","Tidak Ada Risiko Khusus")))</x:f>
        <x:v>Belum Dinilai</x:v>
      </x:c>
      <x:c r="AP49" s="716" t="str"/>
      <x:c r="AQ49" s="719" t="str">
        <x:f>IF(OR(J49="",J49="Belum Dapat Ditentukan",L49="",L49="Belum Dinilai",N49="",N49="Belum Dinilai",P49="",P49="Belum Dinilai"),"",IF(J49="Permanen",0,IF(J49="Semipermanen",8,IF(J49="Nonpermanen",15,0)))+IF(L49="Baik",0,IF(L49="Rusak Ringan",5,IF(L49="Rusak Sedang",10,IF(L49="Rusak Berat",15,IF(L49="Tidak Ada/Terbuka",20,0)))))+IF(N49="Baik",0,IF(N49="Rusak Ringan",5,IF(N49="Rusak Sedang",10,IF(N49="Rusak Berat",15,IF(N49="Tidak Ada/Terbuka",20,0)))))+IF(P49="Baik",0,IF(P49="Rusak Ringan",4,IF(P49="Rusak Sedang",8,IF(P49="Rusak Berat",12,IF(P49="Tidak Layak",15,0))))))</x:f>
      </x:c>
      <x:c r="AR49" s="719" t="str">
        <x:f>IF(COUNTIF(AC49:AH49,"Ya")&gt;0,10,IF(COUNTIF(AI49:AK49,"Ya")&gt;=2,10,IF(COUNTIF(AI49:AK49,"Ya")=1,MAX(5,IF(AM49="Risiko Tinggi/Darurat",10,IF(AM49="Risiko Sedang",5,0))),IF(AL49&lt;&gt;"",IF(AM49="Risiko Tinggi/Darurat",10,IF(AM49="Risiko Sedang",5,"")),IF(COUNTIF(AC49:AK49,"Belum Dinilai")&gt;0,"",0)))))</x:f>
      </x:c>
      <x:c r="AS49" s="719" t="str">
        <x:f>IF(OR(AQ49="",AB49="",AR49=""),"",AQ49+AB49+AR49)</x:f>
      </x:c>
      <x:c r="AT49" s="719" t="str">
        <x:f>IF(AS49="","Belum Dapat Ditentukan",IF(AS49&gt;=80,"Sangat Tinggi",IF(OR(AO49="Risiko Tinggi/Darurat",(IF(L49="Rusak Berat",1,0)+IF(L49="Tidak Ada/Terbuka",1,0)+IF(N49="Rusak Berat",1,0)+IF(N49="Tidak Ada/Terbuka",1,0)+IF(P49="Rusak Berat",1,0)+IF(P49="Tidak Layak",1,0))&gt;=2),"Tinggi",IF(AS49&gt;=65,"Tinggi",IF(AS49&gt;=50,"Sedang","Rendah")))))</x:f>
        <x:v>Belum Dapat Ditentukan</x:v>
      </x:c>
      <x:c r="AU49" s="240" t="str">
        <x:v>Lengkap</x:v>
      </x:c>
      <x:c r="AV49" s="240" t="str">
        <x:v>Sudah Diverifikasi</x:v>
      </x:c>
      <x:c r="AW49" s="240" t="str">
        <x:v>Selesai</x:v>
      </x:c>
      <x:c r="AX49" s="240" t="str">
        <x:v>BSPS</x:v>
      </x:c>
      <x:c r="AY49" s="240" t="n">
        <x:v>2024</x:v>
      </x:c>
      <x:c r="AZ49" s="240" t="str">
        <x:v>Belum Diverifikasi</x:v>
      </x:c>
      <x:c r="BA49" s="240"/>
      <x:c r="BB49" s="240"/>
      <x:c r="BC49" s="240" t="n">
        <x:v>2026</x:v>
      </x:c>
      <x:c r="BD49" s="240" t="str">
        <x:v>Usulan Musrenbang/Pokir DPRD</x:v>
      </x:c>
      <x:c r="BE49" s="240" t="n">
        <x:v>46218</x:v>
      </x:c>
      <x:c r="BF49" s="240" t="str">
        <x:v>Dinas Perkim Kota Pangkalpinang</x:v>
      </x:c>
    </x:row>
    <x:row r="50" ht="32" customHeight="1">
      <x:c r="A50" s="314" t="str">
        <x:v>RTLH-0055</x:v>
      </x:c>
      <x:c r="B50" s="315" t="str">
        <x:v>BASTIAR</x:v>
      </x:c>
      <x:c r="C50" s="316"/>
      <x:c r="D50" s="316"/>
      <x:c r="E50" s="315" t="str">
        <x:v>Belum tersedia</x:v>
      </x:c>
      <x:c r="F50" s="315" t="str">
        <x:v>PARITLALANG</x:v>
      </x:c>
      <x:c r="G50" s="315" t="str">
        <x:v>RANGKUI</x:v>
      </x:c>
      <x:c r="H50" s="315" t="str">
        <x:v>Pembangunan Baru</x:v>
      </x:c>
      <x:c r="I50" s="317" t="str">
        <x:v>RUMAH FULL PAPAN,LANTAI FLOOR, ATAP SENG, DINDING RUSAK BERAT, LANTAI RUSAK SEDANG, ATAP RUSAK SEDANG.</x:v>
      </x:c>
      <x:c r="J50" s="315" t="str">
        <x:v>Nonpermanen</x:v>
      </x:c>
      <x:c r="K50" s="315" t="str">
        <x:v>Seng</x:v>
      </x:c>
      <x:c r="L50" s="315" t="str">
        <x:v>Rusak Berat</x:v>
      </x:c>
      <x:c r="M50" s="367" t="str">
        <x:v>Papan/Kayu</x:v>
      </x:c>
      <x:c r="N50" s="315" t="str">
        <x:v>Rusak Berat</x:v>
      </x:c>
      <x:c r="O50" s="316" t="str">
        <x:v>Semen/Plester</x:v>
      </x:c>
      <x:c r="P50" s="349" t="str">
        <x:v>Rusak Berat</x:v>
      </x:c>
      <x:c r="Q50" s="707" t="str">
        <x:v>Belum Dinilai</x:v>
      </x:c>
      <x:c r="R50" s="707" t="str">
        <x:v>Belum Dinilai</x:v>
      </x:c>
      <x:c r="S50" s="708" t="str">
        <x:v>Belum Dinilai</x:v>
      </x:c>
      <x:c r="T50" s="709" t="str">
        <x:v>Belum Dinilai</x:v>
      </x:c>
      <x:c r="U50" s="704" t="str">
        <x:v>Belum Dinilai</x:v>
      </x:c>
      <x:c r="V50" s="704" t="str">
        <x:v>Belum Dinilai</x:v>
      </x:c>
      <x:c r="W50" s="704" t="str"/>
      <x:c r="X50" s="704" t="str">
        <x:f>IF(COUNTIF(R50:V50,"Belum Dinilai")&gt;0,"Belum Dinilai",IF(COUNTIF(R50:V50,"Ya")=0,"Tidak ada faktor rentan",TEXTJOIN(", ",TRUE,IF(R50="Ya","Lansia",""),IF(S50="Ya","Penyandang disabilitas",""),IF(T50="Ya","Kepala keluarga perempuan",""),IF(U50="Ya","Balita",""),IF(V50="Ya","Anggota keluarga dengan ketergantungan tinggi",""))))</x:f>
        <x:v>Belum Dinilai</x:v>
      </x:c>
      <x:c r="Y50" s="704" t="str">
        <x:f>IF(COUNTIF(R50:V50,"Belum Dinilai")&gt;0,"Belum Dinilai",IF(COUNTIF(R50:V50,"Ya")=0,"Tidak Ada Faktor Rentan",IF(COUNTIF(R50:V50,"Ya")=1,"1 Faktor Rentan","2 atau Lebih Faktor Rentan")))</x:f>
        <x:v>Belum Dinilai</x:v>
      </x:c>
      <x:c r="Z50" s="704" t="str">
        <x:f>IF(OR(Q50="",Q50="Belum Dinilai"),"",IF(Q50="Terverifikasi DTKS/P3KE/MBR",10,IF(Q50="Diusulkan, Belum Terverifikasi",5,0)))</x:f>
      </x:c>
      <x:c r="AA50" s="705" t="str">
        <x:f>IF(COUNTIF(R50:V50,"Belum Dinilai")&gt;0,"",IF(COUNTIF(R50:V50,"Ya")=0,0,IF(COUNTIF(R50:V50,"Ya")=1,5,10)))</x:f>
      </x:c>
      <x:c r="AB50" s="706" t="str">
        <x:f>IF(OR(Z50="",AA50=""),"",Z50+AA50)</x:f>
      </x:c>
      <x:c r="AC50" s="713" t="str">
        <x:v>Belum Dinilai</x:v>
      </x:c>
      <x:c r="AD50" s="713" t="str">
        <x:v>Belum Dinilai</x:v>
      </x:c>
      <x:c r="AE50" s="714" t="str">
        <x:v>Belum Dinilai</x:v>
      </x:c>
      <x:c r="AF50" s="713" t="str">
        <x:v>Belum Dinilai</x:v>
      </x:c>
      <x:c r="AG50" s="713" t="str">
        <x:v>Belum Dinilai</x:v>
      </x:c>
      <x:c r="AH50" s="715" t="str">
        <x:v>Belum Dinilai</x:v>
      </x:c>
      <x:c r="AI50" s="714" t="str">
        <x:v>Belum Dinilai</x:v>
      </x:c>
      <x:c r="AJ50" s="713" t="str">
        <x:v>Belum Dinilai</x:v>
      </x:c>
      <x:c r="AK50" s="715" t="str">
        <x:v>Belum Dinilai</x:v>
      </x:c>
      <x:c r="AL50" s="713" t="str"/>
      <x:c r="AM50" s="716" t="str">
        <x:v>Belum Dinilai</x:v>
      </x:c>
      <x:c r="AN50" s="716" t="str">
        <x:f>IF(AND(COUNTIF(AC50:AK50,"Ya")=0,AL50=""),IF(COUNTIF(AC50:AK50,"Belum Dinilai")&gt;0,"Belum Dinilai","Tidak ada risiko khusus"),TEXTJOIN(", ",TRUE,IF(AC50="Ya","Bangunan berpotensi roboh",""),IF(AD50="Ya","Bekas kebakaran dan tidak aman dihuni",""),IF(AE50="Ya","Atap atau dinding utama hampir runtuh",""),IF(AF50="Ya","Genangan yang membahayakan",""),IF(AG50="Ya","Struktur rumah tidak stabil",""),IF(AH50="Ya","Instalasi listrik berbahaya",""),IF(AI50="Ya","Komponen bangunan lepas atau lapuk",""),IF(AJ50="Ya","Akses keluar atau evakuasi terbatas",""),IF(AK50="Ya","Lokasi rawan bencana",""),IF(AL50&lt;&gt;"","Lainnya: "&amp;AL50,"")))</x:f>
        <x:v>Belum Dinilai</x:v>
      </x:c>
      <x:c r="AO50" s="716" t="str">
        <x:f>IF(AR50="","Belum Dinilai",IF(AR50=10,"Risiko Tinggi/Darurat",IF(AR50=5,"Risiko Sedang","Tidak Ada Risiko Khusus")))</x:f>
        <x:v>Belum Dinilai</x:v>
      </x:c>
      <x:c r="AP50" s="716" t="str"/>
      <x:c r="AQ50" s="719" t="n">
        <x:f>IF(OR(J50="",J50="Belum Dapat Ditentukan",L50="",L50="Belum Dinilai",N50="",N50="Belum Dinilai",P50="",P50="Belum Dinilai"),"",IF(J50="Permanen",0,IF(J50="Semipermanen",8,IF(J50="Nonpermanen",15,0)))+IF(L50="Baik",0,IF(L50="Rusak Ringan",5,IF(L50="Rusak Sedang",10,IF(L50="Rusak Berat",15,IF(L50="Tidak Ada/Terbuka",20,0)))))+IF(N50="Baik",0,IF(N50="Rusak Ringan",5,IF(N50="Rusak Sedang",10,IF(N50="Rusak Berat",15,IF(N50="Tidak Ada/Terbuka",20,0)))))+IF(P50="Baik",0,IF(P50="Rusak Ringan",4,IF(P50="Rusak Sedang",8,IF(P50="Rusak Berat",12,IF(P50="Tidak Layak",15,0))))))</x:f>
        <x:v>57</x:v>
      </x:c>
      <x:c r="AR50" s="719" t="str">
        <x:f>IF(COUNTIF(AC50:AH50,"Ya")&gt;0,10,IF(COUNTIF(AI50:AK50,"Ya")&gt;=2,10,IF(COUNTIF(AI50:AK50,"Ya")=1,MAX(5,IF(AM50="Risiko Tinggi/Darurat",10,IF(AM50="Risiko Sedang",5,0))),IF(AL50&lt;&gt;"",IF(AM50="Risiko Tinggi/Darurat",10,IF(AM50="Risiko Sedang",5,"")),IF(COUNTIF(AC50:AK50,"Belum Dinilai")&gt;0,"",0)))))</x:f>
      </x:c>
      <x:c r="AS50" s="719" t="str">
        <x:f>IF(OR(AQ50="",AB50="",AR50=""),"",AQ50+AB50+AR50)</x:f>
      </x:c>
      <x:c r="AT50" s="719" t="str">
        <x:f>IF(AS50="","Belum Dapat Ditentukan",IF(AS50&gt;=80,"Sangat Tinggi",IF(OR(AO50="Risiko Tinggi/Darurat",(IF(L50="Rusak Berat",1,0)+IF(L50="Tidak Ada/Terbuka",1,0)+IF(N50="Rusak Berat",1,0)+IF(N50="Tidak Ada/Terbuka",1,0)+IF(P50="Rusak Berat",1,0)+IF(P50="Tidak Layak",1,0))&gt;=2),"Tinggi",IF(AS50&gt;=65,"Tinggi",IF(AS50&gt;=50,"Sedang","Rendah")))))</x:f>
        <x:v>Belum Dapat Ditentukan</x:v>
      </x:c>
      <x:c r="AU50" s="240" t="str">
        <x:v>Lengkap</x:v>
      </x:c>
      <x:c r="AV50" s="240" t="str">
        <x:v>Sudah Diverifikasi</x:v>
      </x:c>
      <x:c r="AW50" s="240" t="str">
        <x:v>Selesai</x:v>
      </x:c>
      <x:c r="AX50" s="240" t="str">
        <x:v>BSPS</x:v>
      </x:c>
      <x:c r="AY50" s="240" t="n">
        <x:v>2023</x:v>
      </x:c>
      <x:c r="AZ50" s="240" t="str">
        <x:v>Belum Diverifikasi</x:v>
      </x:c>
      <x:c r="BA50" s="240"/>
      <x:c r="BB50" s="240"/>
      <x:c r="BC50" s="240" t="n">
        <x:v>2026</x:v>
      </x:c>
      <x:c r="BD50" s="240" t="str">
        <x:v>Usulan Musrenbang/Pokir DPRD</x:v>
      </x:c>
      <x:c r="BE50" s="240" t="n">
        <x:v>46218</x:v>
      </x:c>
      <x:c r="BF50" s="240" t="str">
        <x:v>Dinas Perkim Kota Pangkalpinang</x:v>
      </x:c>
    </x:row>
    <x:row r="51" ht="32" customHeight="1">
      <x:c r="A51" s="314" t="str">
        <x:v>RTLH-0056</x:v>
      </x:c>
      <x:c r="B51" s="315" t="str">
        <x:v>HATIMAH</x:v>
      </x:c>
      <x:c r="C51" s="316"/>
      <x:c r="D51" s="316"/>
      <x:c r="E51" s="315" t="str">
        <x:v>JL. PAMEKASAN RT.002 RW.002</x:v>
      </x:c>
      <x:c r="F51" s="315" t="str">
        <x:v>PARITLALANG</x:v>
      </x:c>
      <x:c r="G51" s="315" t="str">
        <x:v>RANGKUI</x:v>
      </x:c>
      <x:c r="H51" s="315" t="str">
        <x:v>BELUM PRIORITAS</x:v>
      </x:c>
      <x:c r="I51" s="317" t="str">
        <x:v>RUMAH SEMI PERMANEN, BAGIAN BELAKANG PERMANEN, ATAP GENTENG,LANTAI FLOOR ( PERNAH MENDAPATKAN BANTUAN SWADAYA )</x:v>
      </x:c>
      <x:c r="J51" s="315" t="str">
        <x:v>Semipermanen</x:v>
      </x:c>
      <x:c r="K51" s="315" t="str">
        <x:v>Genteng</x:v>
      </x:c>
      <x:c r="L51" s="315" t="str">
        <x:v>Belum Dinilai</x:v>
      </x:c>
      <x:c r="M51" s="367" t="str">
        <x:v>Campuran Permanen dan Papan</x:v>
      </x:c>
      <x:c r="N51" s="315" t="str">
        <x:v>Belum Dinilai</x:v>
      </x:c>
      <x:c r="O51" s="316" t="str">
        <x:v>Semen/Plester</x:v>
      </x:c>
      <x:c r="P51" s="349" t="str">
        <x:v>Belum Dinilai</x:v>
      </x:c>
      <x:c r="Q51" s="707" t="str">
        <x:v>Belum Dinilai</x:v>
      </x:c>
      <x:c r="R51" s="707" t="str">
        <x:v>Belum Dinilai</x:v>
      </x:c>
      <x:c r="S51" s="708" t="str">
        <x:v>Belum Dinilai</x:v>
      </x:c>
      <x:c r="T51" s="709" t="str">
        <x:v>Belum Dinilai</x:v>
      </x:c>
      <x:c r="U51" s="704" t="str">
        <x:v>Belum Dinilai</x:v>
      </x:c>
      <x:c r="V51" s="704" t="str">
        <x:v>Belum Dinilai</x:v>
      </x:c>
      <x:c r="W51" s="704" t="str"/>
      <x:c r="X51" s="704" t="str">
        <x:f>IF(COUNTIF(R51:V51,"Belum Dinilai")&gt;0,"Belum Dinilai",IF(COUNTIF(R51:V51,"Ya")=0,"Tidak ada faktor rentan",TEXTJOIN(", ",TRUE,IF(R51="Ya","Lansia",""),IF(S51="Ya","Penyandang disabilitas",""),IF(T51="Ya","Kepala keluarga perempuan",""),IF(U51="Ya","Balita",""),IF(V51="Ya","Anggota keluarga dengan ketergantungan tinggi",""))))</x:f>
        <x:v>Belum Dinilai</x:v>
      </x:c>
      <x:c r="Y51" s="704" t="str">
        <x:f>IF(COUNTIF(R51:V51,"Belum Dinilai")&gt;0,"Belum Dinilai",IF(COUNTIF(R51:V51,"Ya")=0,"Tidak Ada Faktor Rentan",IF(COUNTIF(R51:V51,"Ya")=1,"1 Faktor Rentan","2 atau Lebih Faktor Rentan")))</x:f>
        <x:v>Belum Dinilai</x:v>
      </x:c>
      <x:c r="Z51" s="704" t="str">
        <x:f>IF(OR(Q51="",Q51="Belum Dinilai"),"",IF(Q51="Terverifikasi DTKS/P3KE/MBR",10,IF(Q51="Diusulkan, Belum Terverifikasi",5,0)))</x:f>
      </x:c>
      <x:c r="AA51" s="705" t="str">
        <x:f>IF(COUNTIF(R51:V51,"Belum Dinilai")&gt;0,"",IF(COUNTIF(R51:V51,"Ya")=0,0,IF(COUNTIF(R51:V51,"Ya")=1,5,10)))</x:f>
      </x:c>
      <x:c r="AB51" s="706" t="str">
        <x:f>IF(OR(Z51="",AA51=""),"",Z51+AA51)</x:f>
      </x:c>
      <x:c r="AC51" s="713" t="str">
        <x:v>Belum Dinilai</x:v>
      </x:c>
      <x:c r="AD51" s="713" t="str">
        <x:v>Belum Dinilai</x:v>
      </x:c>
      <x:c r="AE51" s="714" t="str">
        <x:v>Belum Dinilai</x:v>
      </x:c>
      <x:c r="AF51" s="713" t="str">
        <x:v>Belum Dinilai</x:v>
      </x:c>
      <x:c r="AG51" s="713" t="str">
        <x:v>Belum Dinilai</x:v>
      </x:c>
      <x:c r="AH51" s="715" t="str">
        <x:v>Belum Dinilai</x:v>
      </x:c>
      <x:c r="AI51" s="714" t="str">
        <x:v>Belum Dinilai</x:v>
      </x:c>
      <x:c r="AJ51" s="713" t="str">
        <x:v>Belum Dinilai</x:v>
      </x:c>
      <x:c r="AK51" s="715" t="str">
        <x:v>Belum Dinilai</x:v>
      </x:c>
      <x:c r="AL51" s="713" t="str"/>
      <x:c r="AM51" s="716" t="str">
        <x:v>Belum Dinilai</x:v>
      </x:c>
      <x:c r="AN51" s="716" t="str">
        <x:f>IF(AND(COUNTIF(AC51:AK51,"Ya")=0,AL51=""),IF(COUNTIF(AC51:AK51,"Belum Dinilai")&gt;0,"Belum Dinilai","Tidak ada risiko khusus"),TEXTJOIN(", ",TRUE,IF(AC51="Ya","Bangunan berpotensi roboh",""),IF(AD51="Ya","Bekas kebakaran dan tidak aman dihuni",""),IF(AE51="Ya","Atap atau dinding utama hampir runtuh",""),IF(AF51="Ya","Genangan yang membahayakan",""),IF(AG51="Ya","Struktur rumah tidak stabil",""),IF(AH51="Ya","Instalasi listrik berbahaya",""),IF(AI51="Ya","Komponen bangunan lepas atau lapuk",""),IF(AJ51="Ya","Akses keluar atau evakuasi terbatas",""),IF(AK51="Ya","Lokasi rawan bencana",""),IF(AL51&lt;&gt;"","Lainnya: "&amp;AL51,"")))</x:f>
        <x:v>Belum Dinilai</x:v>
      </x:c>
      <x:c r="AO51" s="716" t="str">
        <x:f>IF(AR51="","Belum Dinilai",IF(AR51=10,"Risiko Tinggi/Darurat",IF(AR51=5,"Risiko Sedang","Tidak Ada Risiko Khusus")))</x:f>
        <x:v>Belum Dinilai</x:v>
      </x:c>
      <x:c r="AP51" s="716" t="str"/>
      <x:c r="AQ51" s="719" t="str">
        <x:f>IF(OR(J51="",J51="Belum Dapat Ditentukan",L51="",L51="Belum Dinilai",N51="",N51="Belum Dinilai",P51="",P51="Belum Dinilai"),"",IF(J51="Permanen",0,IF(J51="Semipermanen",8,IF(J51="Nonpermanen",15,0)))+IF(L51="Baik",0,IF(L51="Rusak Ringan",5,IF(L51="Rusak Sedang",10,IF(L51="Rusak Berat",15,IF(L51="Tidak Ada/Terbuka",20,0)))))+IF(N51="Baik",0,IF(N51="Rusak Ringan",5,IF(N51="Rusak Sedang",10,IF(N51="Rusak Berat",15,IF(N51="Tidak Ada/Terbuka",20,0)))))+IF(P51="Baik",0,IF(P51="Rusak Ringan",4,IF(P51="Rusak Sedang",8,IF(P51="Rusak Berat",12,IF(P51="Tidak Layak",15,0))))))</x:f>
      </x:c>
      <x:c r="AR51" s="719" t="str">
        <x:f>IF(COUNTIF(AC51:AH51,"Ya")&gt;0,10,IF(COUNTIF(AI51:AK51,"Ya")&gt;=2,10,IF(COUNTIF(AI51:AK51,"Ya")=1,MAX(5,IF(AM51="Risiko Tinggi/Darurat",10,IF(AM51="Risiko Sedang",5,0))),IF(AL51&lt;&gt;"",IF(AM51="Risiko Tinggi/Darurat",10,IF(AM51="Risiko Sedang",5,"")),IF(COUNTIF(AC51:AK51,"Belum Dinilai")&gt;0,"",0)))))</x:f>
      </x:c>
      <x:c r="AS51" s="719" t="str">
        <x:f>IF(OR(AQ51="",AB51="",AR51=""),"",AQ51+AB51+AR51)</x:f>
      </x:c>
      <x:c r="AT51" s="719" t="str">
        <x:f>IF(AS51="","Belum Dapat Ditentukan",IF(AS51&gt;=80,"Sangat Tinggi",IF(OR(AO51="Risiko Tinggi/Darurat",(IF(L51="Rusak Berat",1,0)+IF(L51="Tidak Ada/Terbuka",1,0)+IF(N51="Rusak Berat",1,0)+IF(N51="Tidak Ada/Terbuka",1,0)+IF(P51="Rusak Berat",1,0)+IF(P51="Tidak Layak",1,0))&gt;=2),"Tinggi",IF(AS51&gt;=65,"Tinggi",IF(AS51&gt;=50,"Sedang","Rendah")))))</x:f>
        <x:v>Belum Dapat Ditentukan</x:v>
      </x:c>
      <x:c r="AU51" s="240" t="str">
        <x:v>Lengkap</x:v>
      </x:c>
      <x:c r="AV51" s="240" t="str">
        <x:v>Sudah Diverifikasi</x:v>
      </x:c>
      <x:c r="AW51" s="240" t="str">
        <x:v>Selesai</x:v>
      </x:c>
      <x:c r="AX51" s="240" t="str">
        <x:v>APBD Provinsi</x:v>
      </x:c>
      <x:c r="AY51" s="240" t="n">
        <x:v>2023</x:v>
      </x:c>
      <x:c r="AZ51" s="240" t="str">
        <x:v>Belum Diverifikasi</x:v>
      </x:c>
      <x:c r="BA51" s="240"/>
      <x:c r="BB51" s="240"/>
      <x:c r="BC51" s="240" t="n">
        <x:v>2026</x:v>
      </x:c>
      <x:c r="BD51" s="240" t="str">
        <x:v>Usulan Musrenbang/Pokir DPRD</x:v>
      </x:c>
      <x:c r="BE51" s="240" t="n">
        <x:v>46218</x:v>
      </x:c>
      <x:c r="BF51" s="240" t="str">
        <x:v>Dinas Perkim Kota Pangkalpinang</x:v>
      </x:c>
    </x:row>
    <x:row r="52" ht="32" customHeight="1">
      <x:c r="A52" s="314" t="str">
        <x:v>RTLH-0057</x:v>
      </x:c>
      <x:c r="B52" s="315" t="str">
        <x:v>YULIA ANJANI</x:v>
      </x:c>
      <x:c r="C52" s="316"/>
      <x:c r="D52" s="316"/>
      <x:c r="E52" s="315" t="str">
        <x:v>JL. VETERAN NO.8 RT.002 RW.001</x:v>
      </x:c>
      <x:c r="F52" s="315" t="str">
        <x:v>PARITLALANG</x:v>
      </x:c>
      <x:c r="G52" s="315" t="str">
        <x:v>RANGKUI</x:v>
      </x:c>
      <x:c r="H52" s="315" t="str">
        <x:v>Pembangunan Baru</x:v>
      </x:c>
      <x:c r="I52" s="317" t="str">
        <x:v>RUMAH SEMI PERMANEN, BAGIAN DAPUR PERMANEN, BAGIAN UTAMA FULL PAPAN, ATAP ASBES, DINDING PAPAN RUSAK RINGAN, LANTAI FLOOR</x:v>
      </x:c>
      <x:c r="J52" s="315" t="str">
        <x:v>Semipermanen</x:v>
      </x:c>
      <x:c r="K52" s="315" t="str">
        <x:v>Asbes/Fiber Semen</x:v>
      </x:c>
      <x:c r="L52" s="315" t="str">
        <x:v>Rusak Ringan</x:v>
      </x:c>
      <x:c r="M52" s="367" t="str">
        <x:v>Papan/Kayu</x:v>
      </x:c>
      <x:c r="N52" s="315" t="str">
        <x:v>Rusak Ringan</x:v>
      </x:c>
      <x:c r="O52" s="316" t="str">
        <x:v>Semen/Plester</x:v>
      </x:c>
      <x:c r="P52" s="349" t="str">
        <x:v>Rusak Ringan</x:v>
      </x:c>
      <x:c r="Q52" s="707" t="str">
        <x:v>Belum Dinilai</x:v>
      </x:c>
      <x:c r="R52" s="707" t="str">
        <x:v>Belum Dinilai</x:v>
      </x:c>
      <x:c r="S52" s="708" t="str">
        <x:v>Belum Dinilai</x:v>
      </x:c>
      <x:c r="T52" s="709" t="str">
        <x:v>Belum Dinilai</x:v>
      </x:c>
      <x:c r="U52" s="704" t="str">
        <x:v>Belum Dinilai</x:v>
      </x:c>
      <x:c r="V52" s="704" t="str">
        <x:v>Belum Dinilai</x:v>
      </x:c>
      <x:c r="W52" s="704" t="str"/>
      <x:c r="X52" s="704" t="str">
        <x:f>IF(COUNTIF(R52:V52,"Belum Dinilai")&gt;0,"Belum Dinilai",IF(COUNTIF(R52:V52,"Ya")=0,"Tidak ada faktor rentan",TEXTJOIN(", ",TRUE,IF(R52="Ya","Lansia",""),IF(S52="Ya","Penyandang disabilitas",""),IF(T52="Ya","Kepala keluarga perempuan",""),IF(U52="Ya","Balita",""),IF(V52="Ya","Anggota keluarga dengan ketergantungan tinggi",""))))</x:f>
        <x:v>Belum Dinilai</x:v>
      </x:c>
      <x:c r="Y52" s="704" t="str">
        <x:f>IF(COUNTIF(R52:V52,"Belum Dinilai")&gt;0,"Belum Dinilai",IF(COUNTIF(R52:V52,"Ya")=0,"Tidak Ada Faktor Rentan",IF(COUNTIF(R52:V52,"Ya")=1,"1 Faktor Rentan","2 atau Lebih Faktor Rentan")))</x:f>
        <x:v>Belum Dinilai</x:v>
      </x:c>
      <x:c r="Z52" s="704" t="str">
        <x:f>IF(OR(Q52="",Q52="Belum Dinilai"),"",IF(Q52="Terverifikasi DTKS/P3KE/MBR",10,IF(Q52="Diusulkan, Belum Terverifikasi",5,0)))</x:f>
      </x:c>
      <x:c r="AA52" s="705" t="str">
        <x:f>IF(COUNTIF(R52:V52,"Belum Dinilai")&gt;0,"",IF(COUNTIF(R52:V52,"Ya")=0,0,IF(COUNTIF(R52:V52,"Ya")=1,5,10)))</x:f>
      </x:c>
      <x:c r="AB52" s="706" t="str">
        <x:f>IF(OR(Z52="",AA52=""),"",Z52+AA52)</x:f>
      </x:c>
      <x:c r="AC52" s="713" t="str">
        <x:v>Belum Dinilai</x:v>
      </x:c>
      <x:c r="AD52" s="713" t="str">
        <x:v>Belum Dinilai</x:v>
      </x:c>
      <x:c r="AE52" s="714" t="str">
        <x:v>Belum Dinilai</x:v>
      </x:c>
      <x:c r="AF52" s="713" t="str">
        <x:v>Belum Dinilai</x:v>
      </x:c>
      <x:c r="AG52" s="713" t="str">
        <x:v>Belum Dinilai</x:v>
      </x:c>
      <x:c r="AH52" s="715" t="str">
        <x:v>Belum Dinilai</x:v>
      </x:c>
      <x:c r="AI52" s="714" t="str">
        <x:v>Belum Dinilai</x:v>
      </x:c>
      <x:c r="AJ52" s="713" t="str">
        <x:v>Belum Dinilai</x:v>
      </x:c>
      <x:c r="AK52" s="715" t="str">
        <x:v>Belum Dinilai</x:v>
      </x:c>
      <x:c r="AL52" s="713" t="str"/>
      <x:c r="AM52" s="716" t="str">
        <x:v>Belum Dinilai</x:v>
      </x:c>
      <x:c r="AN52" s="716" t="str">
        <x:f>IF(AND(COUNTIF(AC52:AK52,"Ya")=0,AL52=""),IF(COUNTIF(AC52:AK52,"Belum Dinilai")&gt;0,"Belum Dinilai","Tidak ada risiko khusus"),TEXTJOIN(", ",TRUE,IF(AC52="Ya","Bangunan berpotensi roboh",""),IF(AD52="Ya","Bekas kebakaran dan tidak aman dihuni",""),IF(AE52="Ya","Atap atau dinding utama hampir runtuh",""),IF(AF52="Ya","Genangan yang membahayakan",""),IF(AG52="Ya","Struktur rumah tidak stabil",""),IF(AH52="Ya","Instalasi listrik berbahaya",""),IF(AI52="Ya","Komponen bangunan lepas atau lapuk",""),IF(AJ52="Ya","Akses keluar atau evakuasi terbatas",""),IF(AK52="Ya","Lokasi rawan bencana",""),IF(AL52&lt;&gt;"","Lainnya: "&amp;AL52,"")))</x:f>
        <x:v>Belum Dinilai</x:v>
      </x:c>
      <x:c r="AO52" s="716" t="str">
        <x:f>IF(AR52="","Belum Dinilai",IF(AR52=10,"Risiko Tinggi/Darurat",IF(AR52=5,"Risiko Sedang","Tidak Ada Risiko Khusus")))</x:f>
        <x:v>Belum Dinilai</x:v>
      </x:c>
      <x:c r="AP52" s="716" t="str"/>
      <x:c r="AQ52" s="719" t="n">
        <x:f>IF(OR(J52="",J52="Belum Dapat Ditentukan",L52="",L52="Belum Dinilai",N52="",N52="Belum Dinilai",P52="",P52="Belum Dinilai"),"",IF(J52="Permanen",0,IF(J52="Semipermanen",8,IF(J52="Nonpermanen",15,0)))+IF(L52="Baik",0,IF(L52="Rusak Ringan",5,IF(L52="Rusak Sedang",10,IF(L52="Rusak Berat",15,IF(L52="Tidak Ada/Terbuka",20,0)))))+IF(N52="Baik",0,IF(N52="Rusak Ringan",5,IF(N52="Rusak Sedang",10,IF(N52="Rusak Berat",15,IF(N52="Tidak Ada/Terbuka",20,0)))))+IF(P52="Baik",0,IF(P52="Rusak Ringan",4,IF(P52="Rusak Sedang",8,IF(P52="Rusak Berat",12,IF(P52="Tidak Layak",15,0))))))</x:f>
        <x:v>22</x:v>
      </x:c>
      <x:c r="AR52" s="719" t="str">
        <x:f>IF(COUNTIF(AC52:AH52,"Ya")&gt;0,10,IF(COUNTIF(AI52:AK52,"Ya")&gt;=2,10,IF(COUNTIF(AI52:AK52,"Ya")=1,MAX(5,IF(AM52="Risiko Tinggi/Darurat",10,IF(AM52="Risiko Sedang",5,0))),IF(AL52&lt;&gt;"",IF(AM52="Risiko Tinggi/Darurat",10,IF(AM52="Risiko Sedang",5,"")),IF(COUNTIF(AC52:AK52,"Belum Dinilai")&gt;0,"",0)))))</x:f>
      </x:c>
      <x:c r="AS52" s="719" t="str">
        <x:f>IF(OR(AQ52="",AB52="",AR52=""),"",AQ52+AB52+AR52)</x:f>
      </x:c>
      <x:c r="AT52" s="719" t="str">
        <x:f>IF(AS52="","Belum Dapat Ditentukan",IF(AS52&gt;=80,"Sangat Tinggi",IF(OR(AO52="Risiko Tinggi/Darurat",(IF(L52="Rusak Berat",1,0)+IF(L52="Tidak Ada/Terbuka",1,0)+IF(N52="Rusak Berat",1,0)+IF(N52="Tidak Ada/Terbuka",1,0)+IF(P52="Rusak Berat",1,0)+IF(P52="Tidak Layak",1,0))&gt;=2),"Tinggi",IF(AS52&gt;=65,"Tinggi",IF(AS52&gt;=50,"Sedang","Rendah")))))</x:f>
        <x:v>Belum Dapat Ditentukan</x:v>
      </x:c>
      <x:c r="AU52" s="240" t="str">
        <x:v>Lengkap</x:v>
      </x:c>
      <x:c r="AV52" s="240" t="str">
        <x:v>Sudah Diverifikasi</x:v>
      </x:c>
      <x:c r="AW52" s="240" t="str">
        <x:v>Selesai</x:v>
      </x:c>
      <x:c r="AX52" s="240" t="str">
        <x:v>APBD Kota</x:v>
      </x:c>
      <x:c r="AY52" s="240" t="n">
        <x:v>2023</x:v>
      </x:c>
      <x:c r="AZ52" s="240" t="str">
        <x:v>Belum Diverifikasi</x:v>
      </x:c>
      <x:c r="BA52" s="240"/>
      <x:c r="BB52" s="240"/>
      <x:c r="BC52" s="240" t="n">
        <x:v>2026</x:v>
      </x:c>
      <x:c r="BD52" s="240" t="str">
        <x:v>Usulan Musrenbang/Pokir DPRD</x:v>
      </x:c>
      <x:c r="BE52" s="240" t="n">
        <x:v>46218</x:v>
      </x:c>
      <x:c r="BF52" s="240" t="str">
        <x:v>Dinas Perkim Kota Pangkalpinang</x:v>
      </x:c>
    </x:row>
    <x:row r="53" ht="32" customHeight="1">
      <x:c r="A53" s="314" t="str">
        <x:v>RTLH-0060</x:v>
      </x:c>
      <x:c r="B53" s="315" t="str">
        <x:v>LIONG NGIAT FUN</x:v>
      </x:c>
      <x:c r="C53" s="316"/>
      <x:c r="D53" s="316"/>
      <x:c r="E53" s="315" t="str">
        <x:v>JL.BATU KADERA RT.011 RW.003</x:v>
      </x:c>
      <x:c r="F53" s="315" t="str">
        <x:v>SEMABUNG LAMA</x:v>
      </x:c>
      <x:c r="G53" s="315" t="str">
        <x:v>BUKIT INTAN</x:v>
      </x:c>
      <x:c r="H53" s="315" t="str">
        <x:v>Pembangunan Baru</x:v>
      </x:c>
      <x:c r="I53" s="317" t="str">
        <x:v>RUMAH FULL PAPAN, DINDING RUSAK BERAT,ATAP GENTENG RUSAK BERAT,LANTAI FLOOR RUSAK RINGAN</x:v>
      </x:c>
      <x:c r="J53" s="315" t="str">
        <x:v>Nonpermanen</x:v>
      </x:c>
      <x:c r="K53" s="315" t="str">
        <x:v>Genteng</x:v>
      </x:c>
      <x:c r="L53" s="315" t="str">
        <x:v>Rusak Berat</x:v>
      </x:c>
      <x:c r="M53" s="367" t="str">
        <x:v>Papan/Kayu</x:v>
      </x:c>
      <x:c r="N53" s="315" t="str">
        <x:v>Rusak Berat</x:v>
      </x:c>
      <x:c r="O53" s="316" t="str">
        <x:v>Semen/Plester</x:v>
      </x:c>
      <x:c r="P53" s="349" t="str">
        <x:v>Rusak Berat</x:v>
      </x:c>
      <x:c r="Q53" s="707" t="str">
        <x:v>Belum Dinilai</x:v>
      </x:c>
      <x:c r="R53" s="707" t="str">
        <x:v>Belum Dinilai</x:v>
      </x:c>
      <x:c r="S53" s="708" t="str">
        <x:v>Belum Dinilai</x:v>
      </x:c>
      <x:c r="T53" s="709" t="str">
        <x:v>Belum Dinilai</x:v>
      </x:c>
      <x:c r="U53" s="704" t="str">
        <x:v>Belum Dinilai</x:v>
      </x:c>
      <x:c r="V53" s="704" t="str">
        <x:v>Belum Dinilai</x:v>
      </x:c>
      <x:c r="W53" s="704" t="str"/>
      <x:c r="X53" s="704" t="str">
        <x:f>IF(COUNTIF(R53:V53,"Belum Dinilai")&gt;0,"Belum Dinilai",IF(COUNTIF(R53:V53,"Ya")=0,"Tidak ada faktor rentan",TEXTJOIN(", ",TRUE,IF(R53="Ya","Lansia",""),IF(S53="Ya","Penyandang disabilitas",""),IF(T53="Ya","Kepala keluarga perempuan",""),IF(U53="Ya","Balita",""),IF(V53="Ya","Anggota keluarga dengan ketergantungan tinggi",""))))</x:f>
        <x:v>Belum Dinilai</x:v>
      </x:c>
      <x:c r="Y53" s="704" t="str">
        <x:f>IF(COUNTIF(R53:V53,"Belum Dinilai")&gt;0,"Belum Dinilai",IF(COUNTIF(R53:V53,"Ya")=0,"Tidak Ada Faktor Rentan",IF(COUNTIF(R53:V53,"Ya")=1,"1 Faktor Rentan","2 atau Lebih Faktor Rentan")))</x:f>
        <x:v>Belum Dinilai</x:v>
      </x:c>
      <x:c r="Z53" s="704" t="str">
        <x:f>IF(OR(Q53="",Q53="Belum Dinilai"),"",IF(Q53="Terverifikasi DTKS/P3KE/MBR",10,IF(Q53="Diusulkan, Belum Terverifikasi",5,0)))</x:f>
      </x:c>
      <x:c r="AA53" s="705" t="str">
        <x:f>IF(COUNTIF(R53:V53,"Belum Dinilai")&gt;0,"",IF(COUNTIF(R53:V53,"Ya")=0,0,IF(COUNTIF(R53:V53,"Ya")=1,5,10)))</x:f>
      </x:c>
      <x:c r="AB53" s="706" t="str">
        <x:f>IF(OR(Z53="",AA53=""),"",Z53+AA53)</x:f>
      </x:c>
      <x:c r="AC53" s="713" t="str">
        <x:v>Belum Dinilai</x:v>
      </x:c>
      <x:c r="AD53" s="713" t="str">
        <x:v>Belum Dinilai</x:v>
      </x:c>
      <x:c r="AE53" s="714" t="str">
        <x:v>Belum Dinilai</x:v>
      </x:c>
      <x:c r="AF53" s="713" t="str">
        <x:v>Belum Dinilai</x:v>
      </x:c>
      <x:c r="AG53" s="713" t="str">
        <x:v>Belum Dinilai</x:v>
      </x:c>
      <x:c r="AH53" s="715" t="str">
        <x:v>Belum Dinilai</x:v>
      </x:c>
      <x:c r="AI53" s="714" t="str">
        <x:v>Belum Dinilai</x:v>
      </x:c>
      <x:c r="AJ53" s="713" t="str">
        <x:v>Belum Dinilai</x:v>
      </x:c>
      <x:c r="AK53" s="715" t="str">
        <x:v>Belum Dinilai</x:v>
      </x:c>
      <x:c r="AL53" s="713" t="str"/>
      <x:c r="AM53" s="716" t="str">
        <x:v>Belum Dinilai</x:v>
      </x:c>
      <x:c r="AN53" s="716" t="str">
        <x:f>IF(AND(COUNTIF(AC53:AK53,"Ya")=0,AL53=""),IF(COUNTIF(AC53:AK53,"Belum Dinilai")&gt;0,"Belum Dinilai","Tidak ada risiko khusus"),TEXTJOIN(", ",TRUE,IF(AC53="Ya","Bangunan berpotensi roboh",""),IF(AD53="Ya","Bekas kebakaran dan tidak aman dihuni",""),IF(AE53="Ya","Atap atau dinding utama hampir runtuh",""),IF(AF53="Ya","Genangan yang membahayakan",""),IF(AG53="Ya","Struktur rumah tidak stabil",""),IF(AH53="Ya","Instalasi listrik berbahaya",""),IF(AI53="Ya","Komponen bangunan lepas atau lapuk",""),IF(AJ53="Ya","Akses keluar atau evakuasi terbatas",""),IF(AK53="Ya","Lokasi rawan bencana",""),IF(AL53&lt;&gt;"","Lainnya: "&amp;AL53,"")))</x:f>
        <x:v>Belum Dinilai</x:v>
      </x:c>
      <x:c r="AO53" s="716" t="str">
        <x:f>IF(AR53="","Belum Dinilai",IF(AR53=10,"Risiko Tinggi/Darurat",IF(AR53=5,"Risiko Sedang","Tidak Ada Risiko Khusus")))</x:f>
        <x:v>Belum Dinilai</x:v>
      </x:c>
      <x:c r="AP53" s="716" t="str"/>
      <x:c r="AQ53" s="719" t="n">
        <x:f>IF(OR(J53="",J53="Belum Dapat Ditentukan",L53="",L53="Belum Dinilai",N53="",N53="Belum Dinilai",P53="",P53="Belum Dinilai"),"",IF(J53="Permanen",0,IF(J53="Semipermanen",8,IF(J53="Nonpermanen",15,0)))+IF(L53="Baik",0,IF(L53="Rusak Ringan",5,IF(L53="Rusak Sedang",10,IF(L53="Rusak Berat",15,IF(L53="Tidak Ada/Terbuka",20,0)))))+IF(N53="Baik",0,IF(N53="Rusak Ringan",5,IF(N53="Rusak Sedang",10,IF(N53="Rusak Berat",15,IF(N53="Tidak Ada/Terbuka",20,0)))))+IF(P53="Baik",0,IF(P53="Rusak Ringan",4,IF(P53="Rusak Sedang",8,IF(P53="Rusak Berat",12,IF(P53="Tidak Layak",15,0))))))</x:f>
        <x:v>57</x:v>
      </x:c>
      <x:c r="AR53" s="719" t="str">
        <x:f>IF(COUNTIF(AC53:AH53,"Ya")&gt;0,10,IF(COUNTIF(AI53:AK53,"Ya")&gt;=2,10,IF(COUNTIF(AI53:AK53,"Ya")=1,MAX(5,IF(AM53="Risiko Tinggi/Darurat",10,IF(AM53="Risiko Sedang",5,0))),IF(AL53&lt;&gt;"",IF(AM53="Risiko Tinggi/Darurat",10,IF(AM53="Risiko Sedang",5,"")),IF(COUNTIF(AC53:AK53,"Belum Dinilai")&gt;0,"",0)))))</x:f>
      </x:c>
      <x:c r="AS53" s="719" t="str">
        <x:f>IF(OR(AQ53="",AB53="",AR53=""),"",AQ53+AB53+AR53)</x:f>
      </x:c>
      <x:c r="AT53" s="719" t="str">
        <x:f>IF(AS53="","Belum Dapat Ditentukan",IF(AS53&gt;=80,"Sangat Tinggi",IF(OR(AO53="Risiko Tinggi/Darurat",(IF(L53="Rusak Berat",1,0)+IF(L53="Tidak Ada/Terbuka",1,0)+IF(N53="Rusak Berat",1,0)+IF(N53="Tidak Ada/Terbuka",1,0)+IF(P53="Rusak Berat",1,0)+IF(P53="Tidak Layak",1,0))&gt;=2),"Tinggi",IF(AS53&gt;=65,"Tinggi",IF(AS53&gt;=50,"Sedang","Rendah")))))</x:f>
        <x:v>Belum Dapat Ditentukan</x:v>
      </x:c>
      <x:c r="AU53" s="240" t="str">
        <x:v>Lengkap</x:v>
      </x:c>
      <x:c r="AV53" s="240" t="str">
        <x:v>Sudah Diverifikasi</x:v>
      </x:c>
      <x:c r="AW53" s="240" t="str">
        <x:v>Selesai</x:v>
      </x:c>
      <x:c r="AX53" s="240" t="str">
        <x:v>APBD Provinsi</x:v>
      </x:c>
      <x:c r="AY53" s="240"/>
      <x:c r="AZ53" s="240" t="str">
        <x:v>Belum Diverifikasi</x:v>
      </x:c>
      <x:c r="BA53" s="240"/>
      <x:c r="BB53" s="240"/>
      <x:c r="BC53" s="240" t="n">
        <x:v>2026</x:v>
      </x:c>
      <x:c r="BD53" s="240" t="str">
        <x:v>Usulan Musrenbang/Pokir DPRD</x:v>
      </x:c>
      <x:c r="BE53" s="240" t="n">
        <x:v>46218</x:v>
      </x:c>
      <x:c r="BF53" s="240" t="str">
        <x:v>Dinas Perkim Kota Pangkalpinang</x:v>
      </x:c>
    </x:row>
    <x:row r="54" ht="32" customHeight="1">
      <x:c r="A54" s="314" t="str">
        <x:v>RTLH-0063</x:v>
      </x:c>
      <x:c r="B54" s="315" t="str">
        <x:v>RIRIN</x:v>
      </x:c>
      <x:c r="C54" s="316"/>
      <x:c r="D54" s="316"/>
      <x:c r="E54" s="315" t="str">
        <x:v>JL. AIR MAWAR DALAM RT.002 RW.001</x:v>
      </x:c>
      <x:c r="F54" s="315" t="str">
        <x:v>AIR MAWAR</x:v>
      </x:c>
      <x:c r="G54" s="315" t="str">
        <x:v>BUKIT INTAN</x:v>
      </x:c>
      <x:c r="H54" s="315" t="str">
        <x:v>Pembangunan Baru</x:v>
      </x:c>
      <x:c r="I54" s="317" t="str">
        <x:v>RUMAH FULL PAPAN</x:v>
      </x:c>
      <x:c r="J54" s="315" t="str">
        <x:v>Nonpermanen</x:v>
      </x:c>
      <x:c r="K54" s="315" t="str">
        <x:v>Belum Diidentifikasi</x:v>
      </x:c>
      <x:c r="L54" s="315" t="str">
        <x:v>Belum Dinilai</x:v>
      </x:c>
      <x:c r="M54" s="367" t="str">
        <x:v>Papan/Kayu</x:v>
      </x:c>
      <x:c r="N54" s="315" t="str">
        <x:v>Belum Dinilai</x:v>
      </x:c>
      <x:c r="O54" s="316" t="str">
        <x:v>Belum Diidentifikasi</x:v>
      </x:c>
      <x:c r="P54" s="349" t="str">
        <x:v>Belum Dinilai</x:v>
      </x:c>
      <x:c r="Q54" s="707" t="str">
        <x:v>Belum Dinilai</x:v>
      </x:c>
      <x:c r="R54" s="707" t="str">
        <x:v>Belum Dinilai</x:v>
      </x:c>
      <x:c r="S54" s="708" t="str">
        <x:v>Belum Dinilai</x:v>
      </x:c>
      <x:c r="T54" s="709" t="str">
        <x:v>Belum Dinilai</x:v>
      </x:c>
      <x:c r="U54" s="704" t="str">
        <x:v>Belum Dinilai</x:v>
      </x:c>
      <x:c r="V54" s="704" t="str">
        <x:v>Belum Dinilai</x:v>
      </x:c>
      <x:c r="W54" s="704" t="str"/>
      <x:c r="X54" s="704" t="str">
        <x:f>IF(COUNTIF(R54:V54,"Belum Dinilai")&gt;0,"Belum Dinilai",IF(COUNTIF(R54:V54,"Ya")=0,"Tidak ada faktor rentan",TEXTJOIN(", ",TRUE,IF(R54="Ya","Lansia",""),IF(S54="Ya","Penyandang disabilitas",""),IF(T54="Ya","Kepala keluarga perempuan",""),IF(U54="Ya","Balita",""),IF(V54="Ya","Anggota keluarga dengan ketergantungan tinggi",""))))</x:f>
        <x:v>Belum Dinilai</x:v>
      </x:c>
      <x:c r="Y54" s="704" t="str">
        <x:f>IF(COUNTIF(R54:V54,"Belum Dinilai")&gt;0,"Belum Dinilai",IF(COUNTIF(R54:V54,"Ya")=0,"Tidak Ada Faktor Rentan",IF(COUNTIF(R54:V54,"Ya")=1,"1 Faktor Rentan","2 atau Lebih Faktor Rentan")))</x:f>
        <x:v>Belum Dinilai</x:v>
      </x:c>
      <x:c r="Z54" s="704" t="str">
        <x:f>IF(OR(Q54="",Q54="Belum Dinilai"),"",IF(Q54="Terverifikasi DTKS/P3KE/MBR",10,IF(Q54="Diusulkan, Belum Terverifikasi",5,0)))</x:f>
      </x:c>
      <x:c r="AA54" s="705" t="str">
        <x:f>IF(COUNTIF(R54:V54,"Belum Dinilai")&gt;0,"",IF(COUNTIF(R54:V54,"Ya")=0,0,IF(COUNTIF(R54:V54,"Ya")=1,5,10)))</x:f>
      </x:c>
      <x:c r="AB54" s="706" t="str">
        <x:f>IF(OR(Z54="",AA54=""),"",Z54+AA54)</x:f>
      </x:c>
      <x:c r="AC54" s="713" t="str">
        <x:v>Belum Dinilai</x:v>
      </x:c>
      <x:c r="AD54" s="713" t="str">
        <x:v>Belum Dinilai</x:v>
      </x:c>
      <x:c r="AE54" s="714" t="str">
        <x:v>Belum Dinilai</x:v>
      </x:c>
      <x:c r="AF54" s="713" t="str">
        <x:v>Belum Dinilai</x:v>
      </x:c>
      <x:c r="AG54" s="713" t="str">
        <x:v>Belum Dinilai</x:v>
      </x:c>
      <x:c r="AH54" s="715" t="str">
        <x:v>Belum Dinilai</x:v>
      </x:c>
      <x:c r="AI54" s="714" t="str">
        <x:v>Belum Dinilai</x:v>
      </x:c>
      <x:c r="AJ54" s="713" t="str">
        <x:v>Belum Dinilai</x:v>
      </x:c>
      <x:c r="AK54" s="715" t="str">
        <x:v>Belum Dinilai</x:v>
      </x:c>
      <x:c r="AL54" s="713" t="str"/>
      <x:c r="AM54" s="716" t="str">
        <x:v>Belum Dinilai</x:v>
      </x:c>
      <x:c r="AN54" s="716" t="str">
        <x:f>IF(AND(COUNTIF(AC54:AK54,"Ya")=0,AL54=""),IF(COUNTIF(AC54:AK54,"Belum Dinilai")&gt;0,"Belum Dinilai","Tidak ada risiko khusus"),TEXTJOIN(", ",TRUE,IF(AC54="Ya","Bangunan berpotensi roboh",""),IF(AD54="Ya","Bekas kebakaran dan tidak aman dihuni",""),IF(AE54="Ya","Atap atau dinding utama hampir runtuh",""),IF(AF54="Ya","Genangan yang membahayakan",""),IF(AG54="Ya","Struktur rumah tidak stabil",""),IF(AH54="Ya","Instalasi listrik berbahaya",""),IF(AI54="Ya","Komponen bangunan lepas atau lapuk",""),IF(AJ54="Ya","Akses keluar atau evakuasi terbatas",""),IF(AK54="Ya","Lokasi rawan bencana",""),IF(AL54&lt;&gt;"","Lainnya: "&amp;AL54,"")))</x:f>
        <x:v>Belum Dinilai</x:v>
      </x:c>
      <x:c r="AO54" s="716" t="str">
        <x:f>IF(AR54="","Belum Dinilai",IF(AR54=10,"Risiko Tinggi/Darurat",IF(AR54=5,"Risiko Sedang","Tidak Ada Risiko Khusus")))</x:f>
        <x:v>Belum Dinilai</x:v>
      </x:c>
      <x:c r="AP54" s="716" t="str"/>
      <x:c r="AQ54" s="719" t="str">
        <x:f>IF(OR(J54="",J54="Belum Dapat Ditentukan",L54="",L54="Belum Dinilai",N54="",N54="Belum Dinilai",P54="",P54="Belum Dinilai"),"",IF(J54="Permanen",0,IF(J54="Semipermanen",8,IF(J54="Nonpermanen",15,0)))+IF(L54="Baik",0,IF(L54="Rusak Ringan",5,IF(L54="Rusak Sedang",10,IF(L54="Rusak Berat",15,IF(L54="Tidak Ada/Terbuka",20,0)))))+IF(N54="Baik",0,IF(N54="Rusak Ringan",5,IF(N54="Rusak Sedang",10,IF(N54="Rusak Berat",15,IF(N54="Tidak Ada/Terbuka",20,0)))))+IF(P54="Baik",0,IF(P54="Rusak Ringan",4,IF(P54="Rusak Sedang",8,IF(P54="Rusak Berat",12,IF(P54="Tidak Layak",15,0))))))</x:f>
      </x:c>
      <x:c r="AR54" s="719" t="str">
        <x:f>IF(COUNTIF(AC54:AH54,"Ya")&gt;0,10,IF(COUNTIF(AI54:AK54,"Ya")&gt;=2,10,IF(COUNTIF(AI54:AK54,"Ya")=1,MAX(5,IF(AM54="Risiko Tinggi/Darurat",10,IF(AM54="Risiko Sedang",5,0))),IF(AL54&lt;&gt;"",IF(AM54="Risiko Tinggi/Darurat",10,IF(AM54="Risiko Sedang",5,"")),IF(COUNTIF(AC54:AK54,"Belum Dinilai")&gt;0,"",0)))))</x:f>
      </x:c>
      <x:c r="AS54" s="719" t="str">
        <x:f>IF(OR(AQ54="",AB54="",AR54=""),"",AQ54+AB54+AR54)</x:f>
      </x:c>
      <x:c r="AT54" s="719" t="str">
        <x:f>IF(AS54="","Belum Dapat Ditentukan",IF(AS54&gt;=80,"Sangat Tinggi",IF(OR(AO54="Risiko Tinggi/Darurat",(IF(L54="Rusak Berat",1,0)+IF(L54="Tidak Ada/Terbuka",1,0)+IF(N54="Rusak Berat",1,0)+IF(N54="Tidak Ada/Terbuka",1,0)+IF(P54="Rusak Berat",1,0)+IF(P54="Tidak Layak",1,0))&gt;=2),"Tinggi",IF(AS54&gt;=65,"Tinggi",IF(AS54&gt;=50,"Sedang","Rendah")))))</x:f>
        <x:v>Belum Dapat Ditentukan</x:v>
      </x:c>
      <x:c r="AU54" s="240" t="str">
        <x:v>Lengkap</x:v>
      </x:c>
      <x:c r="AV54" s="240" t="str">
        <x:v>Sudah Diverifikasi</x:v>
      </x:c>
      <x:c r="AW54" s="240" t="str">
        <x:v>Selesai</x:v>
      </x:c>
      <x:c r="AX54" s="240" t="str">
        <x:v>APBD Kota</x:v>
      </x:c>
      <x:c r="AY54" s="240" t="n">
        <x:v>2023</x:v>
      </x:c>
      <x:c r="AZ54" s="240" t="str">
        <x:v>Belum Diverifikasi</x:v>
      </x:c>
      <x:c r="BA54" s="240"/>
      <x:c r="BB54" s="240"/>
      <x:c r="BC54" s="240" t="n">
        <x:v>2026</x:v>
      </x:c>
      <x:c r="BD54" s="240" t="str">
        <x:v>Usulan Musrenbang/Pokir DPRD</x:v>
      </x:c>
      <x:c r="BE54" s="240" t="n">
        <x:v>46218</x:v>
      </x:c>
      <x:c r="BF54" s="240" t="str">
        <x:v>Dinas Perkim Kota Pangkalpinang</x:v>
      </x:c>
    </x:row>
    <x:row r="55" ht="32" customHeight="1">
      <x:c r="A55" s="314" t="str">
        <x:v>RTLH-0064</x:v>
      </x:c>
      <x:c r="B55" s="315" t="str">
        <x:v>UYAN SOPIANDI</x:v>
      </x:c>
      <x:c r="C55" s="316"/>
      <x:c r="D55" s="316"/>
      <x:c r="E55" s="315" t="str">
        <x:v>GG. HAJI LAUT RT.006 RW.002</x:v>
      </x:c>
      <x:c r="F55" s="315" t="str">
        <x:v>AIR ITAM</x:v>
      </x:c>
      <x:c r="G55" s="315" t="str">
        <x:v>BUKIT INTAN</x:v>
      </x:c>
      <x:c r="H55" s="315" t="str">
        <x:v>Pembangunan Baru</x:v>
      </x:c>
      <x:c r="I55" s="317" t="str">
        <x:v>RUMAH SEMI PERMANEN TANPA PONDASI, DINDING PAPAN, ATAP ASBES, LANTAI FLOOR</x:v>
      </x:c>
      <x:c r="J55" s="315" t="str">
        <x:v>Semipermanen</x:v>
      </x:c>
      <x:c r="K55" s="315" t="str">
        <x:v>Asbes/Fiber Semen</x:v>
      </x:c>
      <x:c r="L55" s="315" t="str">
        <x:v>Belum Dinilai</x:v>
      </x:c>
      <x:c r="M55" s="367" t="str">
        <x:v>Papan/Kayu</x:v>
      </x:c>
      <x:c r="N55" s="315" t="str">
        <x:v>Belum Dinilai</x:v>
      </x:c>
      <x:c r="O55" s="316" t="str">
        <x:v>Semen/Plester</x:v>
      </x:c>
      <x:c r="P55" s="349" t="str">
        <x:v>Belum Dinilai</x:v>
      </x:c>
      <x:c r="Q55" s="707" t="str">
        <x:v>Belum Dinilai</x:v>
      </x:c>
      <x:c r="R55" s="707" t="str">
        <x:v>Belum Dinilai</x:v>
      </x:c>
      <x:c r="S55" s="708" t="str">
        <x:v>Belum Dinilai</x:v>
      </x:c>
      <x:c r="T55" s="709" t="str">
        <x:v>Belum Dinilai</x:v>
      </x:c>
      <x:c r="U55" s="704" t="str">
        <x:v>Belum Dinilai</x:v>
      </x:c>
      <x:c r="V55" s="704" t="str">
        <x:v>Belum Dinilai</x:v>
      </x:c>
      <x:c r="W55" s="704" t="str"/>
      <x:c r="X55" s="704" t="str">
        <x:f>IF(COUNTIF(R55:V55,"Belum Dinilai")&gt;0,"Belum Dinilai",IF(COUNTIF(R55:V55,"Ya")=0,"Tidak ada faktor rentan",TEXTJOIN(", ",TRUE,IF(R55="Ya","Lansia",""),IF(S55="Ya","Penyandang disabilitas",""),IF(T55="Ya","Kepala keluarga perempuan",""),IF(U55="Ya","Balita",""),IF(V55="Ya","Anggota keluarga dengan ketergantungan tinggi",""))))</x:f>
        <x:v>Belum Dinilai</x:v>
      </x:c>
      <x:c r="Y55" s="704" t="str">
        <x:f>IF(COUNTIF(R55:V55,"Belum Dinilai")&gt;0,"Belum Dinilai",IF(COUNTIF(R55:V55,"Ya")=0,"Tidak Ada Faktor Rentan",IF(COUNTIF(R55:V55,"Ya")=1,"1 Faktor Rentan","2 atau Lebih Faktor Rentan")))</x:f>
        <x:v>Belum Dinilai</x:v>
      </x:c>
      <x:c r="Z55" s="704" t="str">
        <x:f>IF(OR(Q55="",Q55="Belum Dinilai"),"",IF(Q55="Terverifikasi DTKS/P3KE/MBR",10,IF(Q55="Diusulkan, Belum Terverifikasi",5,0)))</x:f>
      </x:c>
      <x:c r="AA55" s="705" t="str">
        <x:f>IF(COUNTIF(R55:V55,"Belum Dinilai")&gt;0,"",IF(COUNTIF(R55:V55,"Ya")=0,0,IF(COUNTIF(R55:V55,"Ya")=1,5,10)))</x:f>
      </x:c>
      <x:c r="AB55" s="706" t="str">
        <x:f>IF(OR(Z55="",AA55=""),"",Z55+AA55)</x:f>
      </x:c>
      <x:c r="AC55" s="713" t="str">
        <x:v>Belum Dinilai</x:v>
      </x:c>
      <x:c r="AD55" s="713" t="str">
        <x:v>Belum Dinilai</x:v>
      </x:c>
      <x:c r="AE55" s="714" t="str">
        <x:v>Belum Dinilai</x:v>
      </x:c>
      <x:c r="AF55" s="713" t="str">
        <x:v>Belum Dinilai</x:v>
      </x:c>
      <x:c r="AG55" s="713" t="str">
        <x:v>Belum Dinilai</x:v>
      </x:c>
      <x:c r="AH55" s="715" t="str">
        <x:v>Belum Dinilai</x:v>
      </x:c>
      <x:c r="AI55" s="714" t="str">
        <x:v>Belum Dinilai</x:v>
      </x:c>
      <x:c r="AJ55" s="713" t="str">
        <x:v>Belum Dinilai</x:v>
      </x:c>
      <x:c r="AK55" s="715" t="str">
        <x:v>Belum Dinilai</x:v>
      </x:c>
      <x:c r="AL55" s="713" t="str"/>
      <x:c r="AM55" s="716" t="str">
        <x:v>Belum Dinilai</x:v>
      </x:c>
      <x:c r="AN55" s="716" t="str">
        <x:f>IF(AND(COUNTIF(AC55:AK55,"Ya")=0,AL55=""),IF(COUNTIF(AC55:AK55,"Belum Dinilai")&gt;0,"Belum Dinilai","Tidak ada risiko khusus"),TEXTJOIN(", ",TRUE,IF(AC55="Ya","Bangunan berpotensi roboh",""),IF(AD55="Ya","Bekas kebakaran dan tidak aman dihuni",""),IF(AE55="Ya","Atap atau dinding utama hampir runtuh",""),IF(AF55="Ya","Genangan yang membahayakan",""),IF(AG55="Ya","Struktur rumah tidak stabil",""),IF(AH55="Ya","Instalasi listrik berbahaya",""),IF(AI55="Ya","Komponen bangunan lepas atau lapuk",""),IF(AJ55="Ya","Akses keluar atau evakuasi terbatas",""),IF(AK55="Ya","Lokasi rawan bencana",""),IF(AL55&lt;&gt;"","Lainnya: "&amp;AL55,"")))</x:f>
        <x:v>Belum Dinilai</x:v>
      </x:c>
      <x:c r="AO55" s="716" t="str">
        <x:f>IF(AR55="","Belum Dinilai",IF(AR55=10,"Risiko Tinggi/Darurat",IF(AR55=5,"Risiko Sedang","Tidak Ada Risiko Khusus")))</x:f>
        <x:v>Belum Dinilai</x:v>
      </x:c>
      <x:c r="AP55" s="716" t="str"/>
      <x:c r="AQ55" s="719" t="str">
        <x:f>IF(OR(J55="",J55="Belum Dapat Ditentukan",L55="",L55="Belum Dinilai",N55="",N55="Belum Dinilai",P55="",P55="Belum Dinilai"),"",IF(J55="Permanen",0,IF(J55="Semipermanen",8,IF(J55="Nonpermanen",15,0)))+IF(L55="Baik",0,IF(L55="Rusak Ringan",5,IF(L55="Rusak Sedang",10,IF(L55="Rusak Berat",15,IF(L55="Tidak Ada/Terbuka",20,0)))))+IF(N55="Baik",0,IF(N55="Rusak Ringan",5,IF(N55="Rusak Sedang",10,IF(N55="Rusak Berat",15,IF(N55="Tidak Ada/Terbuka",20,0)))))+IF(P55="Baik",0,IF(P55="Rusak Ringan",4,IF(P55="Rusak Sedang",8,IF(P55="Rusak Berat",12,IF(P55="Tidak Layak",15,0))))))</x:f>
      </x:c>
      <x:c r="AR55" s="719" t="str">
        <x:f>IF(COUNTIF(AC55:AH55,"Ya")&gt;0,10,IF(COUNTIF(AI55:AK55,"Ya")&gt;=2,10,IF(COUNTIF(AI55:AK55,"Ya")=1,MAX(5,IF(AM55="Risiko Tinggi/Darurat",10,IF(AM55="Risiko Sedang",5,0))),IF(AL55&lt;&gt;"",IF(AM55="Risiko Tinggi/Darurat",10,IF(AM55="Risiko Sedang",5,"")),IF(COUNTIF(AC55:AK55,"Belum Dinilai")&gt;0,"",0)))))</x:f>
      </x:c>
      <x:c r="AS55" s="719" t="str">
        <x:f>IF(OR(AQ55="",AB55="",AR55=""),"",AQ55+AB55+AR55)</x:f>
      </x:c>
      <x:c r="AT55" s="719" t="str">
        <x:f>IF(AS55="","Belum Dapat Ditentukan",IF(AS55&gt;=80,"Sangat Tinggi",IF(OR(AO55="Risiko Tinggi/Darurat",(IF(L55="Rusak Berat",1,0)+IF(L55="Tidak Ada/Terbuka",1,0)+IF(N55="Rusak Berat",1,0)+IF(N55="Tidak Ada/Terbuka",1,0)+IF(P55="Rusak Berat",1,0)+IF(P55="Tidak Layak",1,0))&gt;=2),"Tinggi",IF(AS55&gt;=65,"Tinggi",IF(AS55&gt;=50,"Sedang","Rendah")))))</x:f>
        <x:v>Belum Dapat Ditentukan</x:v>
      </x:c>
      <x:c r="AU55" s="240" t="str">
        <x:v>Belum Lengkap</x:v>
      </x:c>
      <x:c r="AV55" s="240" t="str">
        <x:v>Sudah Diverifikasi</x:v>
      </x:c>
      <x:c r="AW55" s="240" t="str">
        <x:v>Belum Ditangani</x:v>
      </x:c>
      <x:c r="AX55" s="240"/>
      <x:c r="AY55" s="240"/>
      <x:c r="AZ55" s="240" t="str">
        <x:v>Belum Diverifikasi</x:v>
      </x:c>
      <x:c r="BA55" s="240"/>
      <x:c r="BB55" s="240"/>
      <x:c r="BC55" s="240" t="n">
        <x:v>2026</x:v>
      </x:c>
      <x:c r="BD55" s="240" t="str">
        <x:v>Usulan Musrenbang/Pokir DPRD</x:v>
      </x:c>
      <x:c r="BE55" s="240" t="n">
        <x:v>46218</x:v>
      </x:c>
      <x:c r="BF55" s="240" t="str">
        <x:v>Dinas Perkim Kota Pangkalpinang</x:v>
      </x:c>
    </x:row>
    <x:row r="56" ht="32" customHeight="1">
      <x:c r="A56" s="314" t="str">
        <x:v>RTLH-0065</x:v>
      </x:c>
      <x:c r="B56" s="315" t="str">
        <x:v>KUSLINA</x:v>
      </x:c>
      <x:c r="C56" s="316"/>
      <x:c r="D56" s="316"/>
      <x:c r="E56" s="315" t="str">
        <x:v>GG. H.SALEH RT.003 RW.001</x:v>
      </x:c>
      <x:c r="F56" s="315" t="str">
        <x:v>AIR ITAM</x:v>
      </x:c>
      <x:c r="G56" s="315" t="str">
        <x:v>BUKIT INTAN</x:v>
      </x:c>
      <x:c r="H56" s="315" t="str">
        <x:v>Peningkatan Kualitas</x:v>
      </x:c>
      <x:c r="I56" s="317" t="str">
        <x:v>RUMAH KEBAKARAN</x:v>
      </x:c>
      <x:c r="J56" s="315" t="str">
        <x:v>Belum Dapat Ditentukan</x:v>
      </x:c>
      <x:c r="K56" s="315" t="str">
        <x:v>Belum Diidentifikasi</x:v>
      </x:c>
      <x:c r="L56" s="315" t="str">
        <x:v>Belum Dinilai</x:v>
      </x:c>
      <x:c r="M56" s="367" t="str">
        <x:v>Belum Diidentifikasi</x:v>
      </x:c>
      <x:c r="N56" s="315" t="str">
        <x:v>Belum Dinilai</x:v>
      </x:c>
      <x:c r="O56" s="316" t="str">
        <x:v>Belum Diidentifikasi</x:v>
      </x:c>
      <x:c r="P56" s="349" t="str">
        <x:v>Belum Dinilai</x:v>
      </x:c>
      <x:c r="Q56" s="707" t="str">
        <x:v>Belum Dinilai</x:v>
      </x:c>
      <x:c r="R56" s="707" t="str">
        <x:v>Belum Dinilai</x:v>
      </x:c>
      <x:c r="S56" s="708" t="str">
        <x:v>Belum Dinilai</x:v>
      </x:c>
      <x:c r="T56" s="709" t="str">
        <x:v>Belum Dinilai</x:v>
      </x:c>
      <x:c r="U56" s="704" t="str">
        <x:v>Belum Dinilai</x:v>
      </x:c>
      <x:c r="V56" s="704" t="str">
        <x:v>Belum Dinilai</x:v>
      </x:c>
      <x:c r="W56" s="704" t="str"/>
      <x:c r="X56" s="704" t="str">
        <x:f>IF(COUNTIF(R56:V56,"Belum Dinilai")&gt;0,"Belum Dinilai",IF(COUNTIF(R56:V56,"Ya")=0,"Tidak ada faktor rentan",TEXTJOIN(", ",TRUE,IF(R56="Ya","Lansia",""),IF(S56="Ya","Penyandang disabilitas",""),IF(T56="Ya","Kepala keluarga perempuan",""),IF(U56="Ya","Balita",""),IF(V56="Ya","Anggota keluarga dengan ketergantungan tinggi",""))))</x:f>
        <x:v>Belum Dinilai</x:v>
      </x:c>
      <x:c r="Y56" s="704" t="str">
        <x:f>IF(COUNTIF(R56:V56,"Belum Dinilai")&gt;0,"Belum Dinilai",IF(COUNTIF(R56:V56,"Ya")=0,"Tidak Ada Faktor Rentan",IF(COUNTIF(R56:V56,"Ya")=1,"1 Faktor Rentan","2 atau Lebih Faktor Rentan")))</x:f>
        <x:v>Belum Dinilai</x:v>
      </x:c>
      <x:c r="Z56" s="704" t="str">
        <x:f>IF(OR(Q56="",Q56="Belum Dinilai"),"",IF(Q56="Terverifikasi DTKS/P3KE/MBR",10,IF(Q56="Diusulkan, Belum Terverifikasi",5,0)))</x:f>
      </x:c>
      <x:c r="AA56" s="705" t="str">
        <x:f>IF(COUNTIF(R56:V56,"Belum Dinilai")&gt;0,"",IF(COUNTIF(R56:V56,"Ya")=0,0,IF(COUNTIF(R56:V56,"Ya")=1,5,10)))</x:f>
      </x:c>
      <x:c r="AB56" s="706" t="str">
        <x:f>IF(OR(Z56="",AA56=""),"",Z56+AA56)</x:f>
      </x:c>
      <x:c r="AC56" s="713" t="str">
        <x:v>Belum Dinilai</x:v>
      </x:c>
      <x:c r="AD56" s="713" t="str">
        <x:v>Belum Dinilai</x:v>
      </x:c>
      <x:c r="AE56" s="714" t="str">
        <x:v>Belum Dinilai</x:v>
      </x:c>
      <x:c r="AF56" s="713" t="str">
        <x:v>Belum Dinilai</x:v>
      </x:c>
      <x:c r="AG56" s="713" t="str">
        <x:v>Belum Dinilai</x:v>
      </x:c>
      <x:c r="AH56" s="715" t="str">
        <x:v>Belum Dinilai</x:v>
      </x:c>
      <x:c r="AI56" s="714" t="str">
        <x:v>Belum Dinilai</x:v>
      </x:c>
      <x:c r="AJ56" s="713" t="str">
        <x:v>Belum Dinilai</x:v>
      </x:c>
      <x:c r="AK56" s="715" t="str">
        <x:v>Belum Dinilai</x:v>
      </x:c>
      <x:c r="AL56" s="713" t="str"/>
      <x:c r="AM56" s="716" t="str">
        <x:v>Belum Dinilai</x:v>
      </x:c>
      <x:c r="AN56" s="716" t="str">
        <x:f>IF(AND(COUNTIF(AC56:AK56,"Ya")=0,AL56=""),IF(COUNTIF(AC56:AK56,"Belum Dinilai")&gt;0,"Belum Dinilai","Tidak ada risiko khusus"),TEXTJOIN(", ",TRUE,IF(AC56="Ya","Bangunan berpotensi roboh",""),IF(AD56="Ya","Bekas kebakaran dan tidak aman dihuni",""),IF(AE56="Ya","Atap atau dinding utama hampir runtuh",""),IF(AF56="Ya","Genangan yang membahayakan",""),IF(AG56="Ya","Struktur rumah tidak stabil",""),IF(AH56="Ya","Instalasi listrik berbahaya",""),IF(AI56="Ya","Komponen bangunan lepas atau lapuk",""),IF(AJ56="Ya","Akses keluar atau evakuasi terbatas",""),IF(AK56="Ya","Lokasi rawan bencana",""),IF(AL56&lt;&gt;"","Lainnya: "&amp;AL56,"")))</x:f>
        <x:v>Belum Dinilai</x:v>
      </x:c>
      <x:c r="AO56" s="716" t="str">
        <x:f>IF(AR56="","Belum Dinilai",IF(AR56=10,"Risiko Tinggi/Darurat",IF(AR56=5,"Risiko Sedang","Tidak Ada Risiko Khusus")))</x:f>
        <x:v>Belum Dinilai</x:v>
      </x:c>
      <x:c r="AP56" s="716" t="str"/>
      <x:c r="AQ56" s="719" t="str">
        <x:f>IF(OR(J56="",J56="Belum Dapat Ditentukan",L56="",L56="Belum Dinilai",N56="",N56="Belum Dinilai",P56="",P56="Belum Dinilai"),"",IF(J56="Permanen",0,IF(J56="Semipermanen",8,IF(J56="Nonpermanen",15,0)))+IF(L56="Baik",0,IF(L56="Rusak Ringan",5,IF(L56="Rusak Sedang",10,IF(L56="Rusak Berat",15,IF(L56="Tidak Ada/Terbuka",20,0)))))+IF(N56="Baik",0,IF(N56="Rusak Ringan",5,IF(N56="Rusak Sedang",10,IF(N56="Rusak Berat",15,IF(N56="Tidak Ada/Terbuka",20,0)))))+IF(P56="Baik",0,IF(P56="Rusak Ringan",4,IF(P56="Rusak Sedang",8,IF(P56="Rusak Berat",12,IF(P56="Tidak Layak",15,0))))))</x:f>
      </x:c>
      <x:c r="AR56" s="719" t="str">
        <x:f>IF(COUNTIF(AC56:AH56,"Ya")&gt;0,10,IF(COUNTIF(AI56:AK56,"Ya")&gt;=2,10,IF(COUNTIF(AI56:AK56,"Ya")=1,MAX(5,IF(AM56="Risiko Tinggi/Darurat",10,IF(AM56="Risiko Sedang",5,0))),IF(AL56&lt;&gt;"",IF(AM56="Risiko Tinggi/Darurat",10,IF(AM56="Risiko Sedang",5,"")),IF(COUNTIF(AC56:AK56,"Belum Dinilai")&gt;0,"",0)))))</x:f>
      </x:c>
      <x:c r="AS56" s="719" t="str">
        <x:f>IF(OR(AQ56="",AB56="",AR56=""),"",AQ56+AB56+AR56)</x:f>
      </x:c>
      <x:c r="AT56" s="719" t="str">
        <x:f>IF(AS56="","Belum Dapat Ditentukan",IF(AS56&gt;=80,"Sangat Tinggi",IF(OR(AO56="Risiko Tinggi/Darurat",(IF(L56="Rusak Berat",1,0)+IF(L56="Tidak Ada/Terbuka",1,0)+IF(N56="Rusak Berat",1,0)+IF(N56="Tidak Ada/Terbuka",1,0)+IF(P56="Rusak Berat",1,0)+IF(P56="Tidak Layak",1,0))&gt;=2),"Tinggi",IF(AS56&gt;=65,"Tinggi",IF(AS56&gt;=50,"Sedang","Rendah")))))</x:f>
        <x:v>Belum Dapat Ditentukan</x:v>
      </x:c>
      <x:c r="AU56" s="240" t="str">
        <x:v>Belum Lengkap</x:v>
      </x:c>
      <x:c r="AV56" s="240" t="str">
        <x:v>Sudah Diverifikasi</x:v>
      </x:c>
      <x:c r="AW56" s="240" t="str">
        <x:v>Belum Ditangani</x:v>
      </x:c>
      <x:c r="AX56" s="240"/>
      <x:c r="AY56" s="240"/>
      <x:c r="AZ56" s="240" t="str">
        <x:v>Belum Diverifikasi</x:v>
      </x:c>
      <x:c r="BA56" s="240"/>
      <x:c r="BB56" s="240"/>
      <x:c r="BC56" s="240" t="n">
        <x:v>2026</x:v>
      </x:c>
      <x:c r="BD56" s="240" t="str">
        <x:v>Usulan Musrenbang/Pokir DPRD</x:v>
      </x:c>
      <x:c r="BE56" s="240" t="n">
        <x:v>46218</x:v>
      </x:c>
      <x:c r="BF56" s="240" t="str">
        <x:v>Dinas Perkim Kota Pangkalpinang</x:v>
      </x:c>
    </x:row>
    <x:row r="57" ht="32" customHeight="1">
      <x:c r="A57" s="314" t="str">
        <x:v>RTLH-0066</x:v>
      </x:c>
      <x:c r="B57" s="315" t="str">
        <x:v>AHMAD YANTO</x:v>
      </x:c>
      <x:c r="C57" s="316"/>
      <x:c r="D57" s="316"/>
      <x:c r="E57" s="315" t="str">
        <x:v>JL. TANJUNG GUNUNG II RT.001 RW.001</x:v>
      </x:c>
      <x:c r="F57" s="315" t="str">
        <x:v>TEMBERAN</x:v>
      </x:c>
      <x:c r="G57" s="315" t="str">
        <x:v>BUKIT INTAN</x:v>
      </x:c>
      <x:c r="H57" s="315" t="str">
        <x:v>Pembangunan Baru</x:v>
      </x:c>
      <x:c r="I57" s="317" t="str">
        <x:v>DINDING ASBES, LANTAI FLOOR, ATAP SENG, WC TIDAK ADA</x:v>
      </x:c>
      <x:c r="J57" s="315" t="str">
        <x:v>Belum Dapat Ditentukan</x:v>
      </x:c>
      <x:c r="K57" s="315" t="str">
        <x:v>Campuran</x:v>
      </x:c>
      <x:c r="L57" s="315" t="str">
        <x:v>Belum Dinilai</x:v>
      </x:c>
      <x:c r="M57" s="367" t="str">
        <x:v>Belum Diidentifikasi</x:v>
      </x:c>
      <x:c r="N57" s="315" t="str">
        <x:v>Belum Dinilai</x:v>
      </x:c>
      <x:c r="O57" s="316" t="str">
        <x:v>Semen/Plester</x:v>
      </x:c>
      <x:c r="P57" s="349" t="str">
        <x:v>Belum Dinilai</x:v>
      </x:c>
      <x:c r="Q57" s="707" t="str">
        <x:v>Belum Dinilai</x:v>
      </x:c>
      <x:c r="R57" s="707" t="str">
        <x:v>Belum Dinilai</x:v>
      </x:c>
      <x:c r="S57" s="708" t="str">
        <x:v>Belum Dinilai</x:v>
      </x:c>
      <x:c r="T57" s="709" t="str">
        <x:v>Belum Dinilai</x:v>
      </x:c>
      <x:c r="U57" s="704" t="str">
        <x:v>Belum Dinilai</x:v>
      </x:c>
      <x:c r="V57" s="704" t="str">
        <x:v>Belum Dinilai</x:v>
      </x:c>
      <x:c r="W57" s="704" t="str"/>
      <x:c r="X57" s="704" t="str">
        <x:f>IF(COUNTIF(R57:V57,"Belum Dinilai")&gt;0,"Belum Dinilai",IF(COUNTIF(R57:V57,"Ya")=0,"Tidak ada faktor rentan",TEXTJOIN(", ",TRUE,IF(R57="Ya","Lansia",""),IF(S57="Ya","Penyandang disabilitas",""),IF(T57="Ya","Kepala keluarga perempuan",""),IF(U57="Ya","Balita",""),IF(V57="Ya","Anggota keluarga dengan ketergantungan tinggi",""))))</x:f>
        <x:v>Belum Dinilai</x:v>
      </x:c>
      <x:c r="Y57" s="704" t="str">
        <x:f>IF(COUNTIF(R57:V57,"Belum Dinilai")&gt;0,"Belum Dinilai",IF(COUNTIF(R57:V57,"Ya")=0,"Tidak Ada Faktor Rentan",IF(COUNTIF(R57:V57,"Ya")=1,"1 Faktor Rentan","2 atau Lebih Faktor Rentan")))</x:f>
        <x:v>Belum Dinilai</x:v>
      </x:c>
      <x:c r="Z57" s="704" t="str">
        <x:f>IF(OR(Q57="",Q57="Belum Dinilai"),"",IF(Q57="Terverifikasi DTKS/P3KE/MBR",10,IF(Q57="Diusulkan, Belum Terverifikasi",5,0)))</x:f>
      </x:c>
      <x:c r="AA57" s="705" t="str">
        <x:f>IF(COUNTIF(R57:V57,"Belum Dinilai")&gt;0,"",IF(COUNTIF(R57:V57,"Ya")=0,0,IF(COUNTIF(R57:V57,"Ya")=1,5,10)))</x:f>
      </x:c>
      <x:c r="AB57" s="706" t="str">
        <x:f>IF(OR(Z57="",AA57=""),"",Z57+AA57)</x:f>
      </x:c>
      <x:c r="AC57" s="713" t="str">
        <x:v>Belum Dinilai</x:v>
      </x:c>
      <x:c r="AD57" s="713" t="str">
        <x:v>Belum Dinilai</x:v>
      </x:c>
      <x:c r="AE57" s="714" t="str">
        <x:v>Belum Dinilai</x:v>
      </x:c>
      <x:c r="AF57" s="713" t="str">
        <x:v>Belum Dinilai</x:v>
      </x:c>
      <x:c r="AG57" s="713" t="str">
        <x:v>Belum Dinilai</x:v>
      </x:c>
      <x:c r="AH57" s="715" t="str">
        <x:v>Belum Dinilai</x:v>
      </x:c>
      <x:c r="AI57" s="714" t="str">
        <x:v>Belum Dinilai</x:v>
      </x:c>
      <x:c r="AJ57" s="713" t="str">
        <x:v>Belum Dinilai</x:v>
      </x:c>
      <x:c r="AK57" s="715" t="str">
        <x:v>Belum Dinilai</x:v>
      </x:c>
      <x:c r="AL57" s="713" t="str"/>
      <x:c r="AM57" s="716" t="str">
        <x:v>Belum Dinilai</x:v>
      </x:c>
      <x:c r="AN57" s="716" t="str">
        <x:f>IF(AND(COUNTIF(AC57:AK57,"Ya")=0,AL57=""),IF(COUNTIF(AC57:AK57,"Belum Dinilai")&gt;0,"Belum Dinilai","Tidak ada risiko khusus"),TEXTJOIN(", ",TRUE,IF(AC57="Ya","Bangunan berpotensi roboh",""),IF(AD57="Ya","Bekas kebakaran dan tidak aman dihuni",""),IF(AE57="Ya","Atap atau dinding utama hampir runtuh",""),IF(AF57="Ya","Genangan yang membahayakan",""),IF(AG57="Ya","Struktur rumah tidak stabil",""),IF(AH57="Ya","Instalasi listrik berbahaya",""),IF(AI57="Ya","Komponen bangunan lepas atau lapuk",""),IF(AJ57="Ya","Akses keluar atau evakuasi terbatas",""),IF(AK57="Ya","Lokasi rawan bencana",""),IF(AL57&lt;&gt;"","Lainnya: "&amp;AL57,"")))</x:f>
        <x:v>Belum Dinilai</x:v>
      </x:c>
      <x:c r="AO57" s="716" t="str">
        <x:f>IF(AR57="","Belum Dinilai",IF(AR57=10,"Risiko Tinggi/Darurat",IF(AR57=5,"Risiko Sedang","Tidak Ada Risiko Khusus")))</x:f>
        <x:v>Belum Dinilai</x:v>
      </x:c>
      <x:c r="AP57" s="716" t="str"/>
      <x:c r="AQ57" s="719" t="str">
        <x:f>IF(OR(J57="",J57="Belum Dapat Ditentukan",L57="",L57="Belum Dinilai",N57="",N57="Belum Dinilai",P57="",P57="Belum Dinilai"),"",IF(J57="Permanen",0,IF(J57="Semipermanen",8,IF(J57="Nonpermanen",15,0)))+IF(L57="Baik",0,IF(L57="Rusak Ringan",5,IF(L57="Rusak Sedang",10,IF(L57="Rusak Berat",15,IF(L57="Tidak Ada/Terbuka",20,0)))))+IF(N57="Baik",0,IF(N57="Rusak Ringan",5,IF(N57="Rusak Sedang",10,IF(N57="Rusak Berat",15,IF(N57="Tidak Ada/Terbuka",20,0)))))+IF(P57="Baik",0,IF(P57="Rusak Ringan",4,IF(P57="Rusak Sedang",8,IF(P57="Rusak Berat",12,IF(P57="Tidak Layak",15,0))))))</x:f>
      </x:c>
      <x:c r="AR57" s="719" t="str">
        <x:f>IF(COUNTIF(AC57:AH57,"Ya")&gt;0,10,IF(COUNTIF(AI57:AK57,"Ya")&gt;=2,10,IF(COUNTIF(AI57:AK57,"Ya")=1,MAX(5,IF(AM57="Risiko Tinggi/Darurat",10,IF(AM57="Risiko Sedang",5,0))),IF(AL57&lt;&gt;"",IF(AM57="Risiko Tinggi/Darurat",10,IF(AM57="Risiko Sedang",5,"")),IF(COUNTIF(AC57:AK57,"Belum Dinilai")&gt;0,"",0)))))</x:f>
      </x:c>
      <x:c r="AS57" s="719" t="str">
        <x:f>IF(OR(AQ57="",AB57="",AR57=""),"",AQ57+AB57+AR57)</x:f>
      </x:c>
      <x:c r="AT57" s="719" t="str">
        <x:f>IF(AS57="","Belum Dapat Ditentukan",IF(AS57&gt;=80,"Sangat Tinggi",IF(OR(AO57="Risiko Tinggi/Darurat",(IF(L57="Rusak Berat",1,0)+IF(L57="Tidak Ada/Terbuka",1,0)+IF(N57="Rusak Berat",1,0)+IF(N57="Tidak Ada/Terbuka",1,0)+IF(P57="Rusak Berat",1,0)+IF(P57="Tidak Layak",1,0))&gt;=2),"Tinggi",IF(AS57&gt;=65,"Tinggi",IF(AS57&gt;=50,"Sedang","Rendah")))))</x:f>
        <x:v>Belum Dapat Ditentukan</x:v>
      </x:c>
      <x:c r="AU57" s="240" t="str">
        <x:v>Belum Lengkap</x:v>
      </x:c>
      <x:c r="AV57" s="240" t="str">
        <x:v>Sudah Diverifikasi</x:v>
      </x:c>
      <x:c r="AW57" s="240" t="str">
        <x:v>Belum Ditangani</x:v>
      </x:c>
      <x:c r="AX57" s="240"/>
      <x:c r="AY57" s="240"/>
      <x:c r="AZ57" s="240" t="str">
        <x:v>Belum Diverifikasi</x:v>
      </x:c>
      <x:c r="BA57" s="240"/>
      <x:c r="BB57" s="240"/>
      <x:c r="BC57" s="240" t="n">
        <x:v>2026</x:v>
      </x:c>
      <x:c r="BD57" s="240" t="str">
        <x:v>Usulan Musrenbang/Pokir DPRD</x:v>
      </x:c>
      <x:c r="BE57" s="240" t="n">
        <x:v>46218</x:v>
      </x:c>
      <x:c r="BF57" s="240" t="str">
        <x:v>Dinas Perkim Kota Pangkalpinang</x:v>
      </x:c>
    </x:row>
    <x:row r="58" ht="32" customHeight="1">
      <x:c r="A58" s="314" t="str">
        <x:v>RTLH-0067</x:v>
      </x:c>
      <x:c r="B58" s="315" t="str">
        <x:v>ROYADI</x:v>
      </x:c>
      <x:c r="C58" s="316"/>
      <x:c r="D58" s="316"/>
      <x:c r="E58" s="315" t="str">
        <x:v>JL. KASIR RT.009 RW.003</x:v>
      </x:c>
      <x:c r="F58" s="315" t="str">
        <x:v>SINAR BULAN</x:v>
      </x:c>
      <x:c r="G58" s="315" t="str">
        <x:v>BUKIT INTAN</x:v>
      </x:c>
      <x:c r="H58" s="315" t="str">
        <x:v>Peningkatan Kualitas</x:v>
      </x:c>
      <x:c r="I58" s="317" t="str">
        <x:v>RUMAH PERMANEN, (MINTA REHAB BAGIAN DEPAN )</x:v>
      </x:c>
      <x:c r="J58" s="315" t="str">
        <x:v>Permanen</x:v>
      </x:c>
      <x:c r="K58" s="315" t="str">
        <x:v>Belum Diidentifikasi</x:v>
      </x:c>
      <x:c r="L58" s="315" t="str">
        <x:v>Belum Dinilai</x:v>
      </x:c>
      <x:c r="M58" s="367" t="str">
        <x:v>Dinding Permanen (Material tidak dirinci)</x:v>
      </x:c>
      <x:c r="N58" s="315" t="str">
        <x:v>Belum Dinilai</x:v>
      </x:c>
      <x:c r="O58" s="316" t="str">
        <x:v>Belum Diidentifikasi</x:v>
      </x:c>
      <x:c r="P58" s="349" t="str">
        <x:v>Belum Dinilai</x:v>
      </x:c>
      <x:c r="Q58" s="707" t="str">
        <x:v>Belum Dinilai</x:v>
      </x:c>
      <x:c r="R58" s="707" t="str">
        <x:v>Belum Dinilai</x:v>
      </x:c>
      <x:c r="S58" s="708" t="str">
        <x:v>Belum Dinilai</x:v>
      </x:c>
      <x:c r="T58" s="709" t="str">
        <x:v>Belum Dinilai</x:v>
      </x:c>
      <x:c r="U58" s="704" t="str">
        <x:v>Belum Dinilai</x:v>
      </x:c>
      <x:c r="V58" s="704" t="str">
        <x:v>Belum Dinilai</x:v>
      </x:c>
      <x:c r="W58" s="704" t="str"/>
      <x:c r="X58" s="704" t="str">
        <x:f>IF(COUNTIF(R58:V58,"Belum Dinilai")&gt;0,"Belum Dinilai",IF(COUNTIF(R58:V58,"Ya")=0,"Tidak ada faktor rentan",TEXTJOIN(", ",TRUE,IF(R58="Ya","Lansia",""),IF(S58="Ya","Penyandang disabilitas",""),IF(T58="Ya","Kepala keluarga perempuan",""),IF(U58="Ya","Balita",""),IF(V58="Ya","Anggota keluarga dengan ketergantungan tinggi",""))))</x:f>
        <x:v>Belum Dinilai</x:v>
      </x:c>
      <x:c r="Y58" s="704" t="str">
        <x:f>IF(COUNTIF(R58:V58,"Belum Dinilai")&gt;0,"Belum Dinilai",IF(COUNTIF(R58:V58,"Ya")=0,"Tidak Ada Faktor Rentan",IF(COUNTIF(R58:V58,"Ya")=1,"1 Faktor Rentan","2 atau Lebih Faktor Rentan")))</x:f>
        <x:v>Belum Dinilai</x:v>
      </x:c>
      <x:c r="Z58" s="704" t="str">
        <x:f>IF(OR(Q58="",Q58="Belum Dinilai"),"",IF(Q58="Terverifikasi DTKS/P3KE/MBR",10,IF(Q58="Diusulkan, Belum Terverifikasi",5,0)))</x:f>
      </x:c>
      <x:c r="AA58" s="705" t="str">
        <x:f>IF(COUNTIF(R58:V58,"Belum Dinilai")&gt;0,"",IF(COUNTIF(R58:V58,"Ya")=0,0,IF(COUNTIF(R58:V58,"Ya")=1,5,10)))</x:f>
      </x:c>
      <x:c r="AB58" s="706" t="str">
        <x:f>IF(OR(Z58="",AA58=""),"",Z58+AA58)</x:f>
      </x:c>
      <x:c r="AC58" s="713" t="str">
        <x:v>Belum Dinilai</x:v>
      </x:c>
      <x:c r="AD58" s="713" t="str">
        <x:v>Belum Dinilai</x:v>
      </x:c>
      <x:c r="AE58" s="714" t="str">
        <x:v>Belum Dinilai</x:v>
      </x:c>
      <x:c r="AF58" s="713" t="str">
        <x:v>Belum Dinilai</x:v>
      </x:c>
      <x:c r="AG58" s="713" t="str">
        <x:v>Belum Dinilai</x:v>
      </x:c>
      <x:c r="AH58" s="715" t="str">
        <x:v>Belum Dinilai</x:v>
      </x:c>
      <x:c r="AI58" s="714" t="str">
        <x:v>Belum Dinilai</x:v>
      </x:c>
      <x:c r="AJ58" s="713" t="str">
        <x:v>Belum Dinilai</x:v>
      </x:c>
      <x:c r="AK58" s="715" t="str">
        <x:v>Belum Dinilai</x:v>
      </x:c>
      <x:c r="AL58" s="713" t="str"/>
      <x:c r="AM58" s="716" t="str">
        <x:v>Belum Dinilai</x:v>
      </x:c>
      <x:c r="AN58" s="716" t="str">
        <x:f>IF(AND(COUNTIF(AC58:AK58,"Ya")=0,AL58=""),IF(COUNTIF(AC58:AK58,"Belum Dinilai")&gt;0,"Belum Dinilai","Tidak ada risiko khusus"),TEXTJOIN(", ",TRUE,IF(AC58="Ya","Bangunan berpotensi roboh",""),IF(AD58="Ya","Bekas kebakaran dan tidak aman dihuni",""),IF(AE58="Ya","Atap atau dinding utama hampir runtuh",""),IF(AF58="Ya","Genangan yang membahayakan",""),IF(AG58="Ya","Struktur rumah tidak stabil",""),IF(AH58="Ya","Instalasi listrik berbahaya",""),IF(AI58="Ya","Komponen bangunan lepas atau lapuk",""),IF(AJ58="Ya","Akses keluar atau evakuasi terbatas",""),IF(AK58="Ya","Lokasi rawan bencana",""),IF(AL58&lt;&gt;"","Lainnya: "&amp;AL58,"")))</x:f>
        <x:v>Belum Dinilai</x:v>
      </x:c>
      <x:c r="AO58" s="716" t="str">
        <x:f>IF(AR58="","Belum Dinilai",IF(AR58=10,"Risiko Tinggi/Darurat",IF(AR58=5,"Risiko Sedang","Tidak Ada Risiko Khusus")))</x:f>
        <x:v>Belum Dinilai</x:v>
      </x:c>
      <x:c r="AP58" s="716" t="str"/>
      <x:c r="AQ58" s="719" t="str">
        <x:f>IF(OR(J58="",J58="Belum Dapat Ditentukan",L58="",L58="Belum Dinilai",N58="",N58="Belum Dinilai",P58="",P58="Belum Dinilai"),"",IF(J58="Permanen",0,IF(J58="Semipermanen",8,IF(J58="Nonpermanen",15,0)))+IF(L58="Baik",0,IF(L58="Rusak Ringan",5,IF(L58="Rusak Sedang",10,IF(L58="Rusak Berat",15,IF(L58="Tidak Ada/Terbuka",20,0)))))+IF(N58="Baik",0,IF(N58="Rusak Ringan",5,IF(N58="Rusak Sedang",10,IF(N58="Rusak Berat",15,IF(N58="Tidak Ada/Terbuka",20,0)))))+IF(P58="Baik",0,IF(P58="Rusak Ringan",4,IF(P58="Rusak Sedang",8,IF(P58="Rusak Berat",12,IF(P58="Tidak Layak",15,0))))))</x:f>
      </x:c>
      <x:c r="AR58" s="719" t="str">
        <x:f>IF(COUNTIF(AC58:AH58,"Ya")&gt;0,10,IF(COUNTIF(AI58:AK58,"Ya")&gt;=2,10,IF(COUNTIF(AI58:AK58,"Ya")=1,MAX(5,IF(AM58="Risiko Tinggi/Darurat",10,IF(AM58="Risiko Sedang",5,0))),IF(AL58&lt;&gt;"",IF(AM58="Risiko Tinggi/Darurat",10,IF(AM58="Risiko Sedang",5,"")),IF(COUNTIF(AC58:AK58,"Belum Dinilai")&gt;0,"",0)))))</x:f>
      </x:c>
      <x:c r="AS58" s="719" t="str">
        <x:f>IF(OR(AQ58="",AB58="",AR58=""),"",AQ58+AB58+AR58)</x:f>
      </x:c>
      <x:c r="AT58" s="719" t="str">
        <x:f>IF(AS58="","Belum Dapat Ditentukan",IF(AS58&gt;=80,"Sangat Tinggi",IF(OR(AO58="Risiko Tinggi/Darurat",(IF(L58="Rusak Berat",1,0)+IF(L58="Tidak Ada/Terbuka",1,0)+IF(N58="Rusak Berat",1,0)+IF(N58="Tidak Ada/Terbuka",1,0)+IF(P58="Rusak Berat",1,0)+IF(P58="Tidak Layak",1,0))&gt;=2),"Tinggi",IF(AS58&gt;=65,"Tinggi",IF(AS58&gt;=50,"Sedang","Rendah")))))</x:f>
        <x:v>Belum Dapat Ditentukan</x:v>
      </x:c>
      <x:c r="AU58" s="240" t="str">
        <x:v>Belum Lengkap</x:v>
      </x:c>
      <x:c r="AV58" s="240" t="str">
        <x:v>Sudah Diverifikasi</x:v>
      </x:c>
      <x:c r="AW58" s="240" t="str">
        <x:v>Belum Ditangani</x:v>
      </x:c>
      <x:c r="AX58" s="240"/>
      <x:c r="AY58" s="240"/>
      <x:c r="AZ58" s="240" t="str">
        <x:v>Belum Diverifikasi</x:v>
      </x:c>
      <x:c r="BA58" s="240"/>
      <x:c r="BB58" s="240"/>
      <x:c r="BC58" s="240" t="n">
        <x:v>2026</x:v>
      </x:c>
      <x:c r="BD58" s="240" t="str">
        <x:v>Usulan Musrenbang/Pokir DPRD</x:v>
      </x:c>
      <x:c r="BE58" s="240" t="n">
        <x:v>46218</x:v>
      </x:c>
      <x:c r="BF58" s="240" t="str">
        <x:v>Dinas Perkim Kota Pangkalpinang</x:v>
      </x:c>
    </x:row>
    <x:row r="59" ht="32" customHeight="1">
      <x:c r="A59" s="314" t="str">
        <x:v>RTLH-0069</x:v>
      </x:c>
      <x:c r="B59" s="315" t="str">
        <x:v>ASNI</x:v>
      </x:c>
      <x:c r="C59" s="316"/>
      <x:c r="D59" s="316"/>
      <x:c r="E59" s="315" t="str">
        <x:v>JL. SINAR BULAN RT.005 RW.003</x:v>
      </x:c>
      <x:c r="F59" s="315" t="str">
        <x:v>SINAR BULAN</x:v>
      </x:c>
      <x:c r="G59" s="315" t="str">
        <x:v>BUKIT INTAN</x:v>
      </x:c>
      <x:c r="H59" s="315" t="str">
        <x:v>Peningkatan Kualitas</x:v>
      </x:c>
      <x:c r="I59" s="317" t="str">
        <x:v>RUMAH SEMI PERMANEN , LANTAI FLOOR, DINDING PAPAN RUSAK RINGAN, ATAP GENTENG RUSAK SEDANG )</x:v>
      </x:c>
      <x:c r="J59" s="315" t="str">
        <x:v>Semipermanen</x:v>
      </x:c>
      <x:c r="K59" s="315" t="str">
        <x:v>Genteng</x:v>
      </x:c>
      <x:c r="L59" s="315" t="str">
        <x:v>Rusak Sedang</x:v>
      </x:c>
      <x:c r="M59" s="367" t="str">
        <x:v>Papan/Kayu</x:v>
      </x:c>
      <x:c r="N59" s="315" t="str">
        <x:v>Rusak Sedang</x:v>
      </x:c>
      <x:c r="O59" s="316" t="str">
        <x:v>Semen/Plester</x:v>
      </x:c>
      <x:c r="P59" s="349" t="str">
        <x:v>Rusak Ringan</x:v>
      </x:c>
      <x:c r="Q59" s="707" t="str">
        <x:v>Belum Dinilai</x:v>
      </x:c>
      <x:c r="R59" s="707" t="str">
        <x:v>Belum Dinilai</x:v>
      </x:c>
      <x:c r="S59" s="708" t="str">
        <x:v>Belum Dinilai</x:v>
      </x:c>
      <x:c r="T59" s="709" t="str">
        <x:v>Belum Dinilai</x:v>
      </x:c>
      <x:c r="U59" s="704" t="str">
        <x:v>Belum Dinilai</x:v>
      </x:c>
      <x:c r="V59" s="704" t="str">
        <x:v>Belum Dinilai</x:v>
      </x:c>
      <x:c r="W59" s="704" t="str"/>
      <x:c r="X59" s="704" t="str">
        <x:f>IF(COUNTIF(R59:V59,"Belum Dinilai")&gt;0,"Belum Dinilai",IF(COUNTIF(R59:V59,"Ya")=0,"Tidak ada faktor rentan",TEXTJOIN(", ",TRUE,IF(R59="Ya","Lansia",""),IF(S59="Ya","Penyandang disabilitas",""),IF(T59="Ya","Kepala keluarga perempuan",""),IF(U59="Ya","Balita",""),IF(V59="Ya","Anggota keluarga dengan ketergantungan tinggi",""))))</x:f>
        <x:v>Belum Dinilai</x:v>
      </x:c>
      <x:c r="Y59" s="704" t="str">
        <x:f>IF(COUNTIF(R59:V59,"Belum Dinilai")&gt;0,"Belum Dinilai",IF(COUNTIF(R59:V59,"Ya")=0,"Tidak Ada Faktor Rentan",IF(COUNTIF(R59:V59,"Ya")=1,"1 Faktor Rentan","2 atau Lebih Faktor Rentan")))</x:f>
        <x:v>Belum Dinilai</x:v>
      </x:c>
      <x:c r="Z59" s="704" t="str">
        <x:f>IF(OR(Q59="",Q59="Belum Dinilai"),"",IF(Q59="Terverifikasi DTKS/P3KE/MBR",10,IF(Q59="Diusulkan, Belum Terverifikasi",5,0)))</x:f>
      </x:c>
      <x:c r="AA59" s="705" t="str">
        <x:f>IF(COUNTIF(R59:V59,"Belum Dinilai")&gt;0,"",IF(COUNTIF(R59:V59,"Ya")=0,0,IF(COUNTIF(R59:V59,"Ya")=1,5,10)))</x:f>
      </x:c>
      <x:c r="AB59" s="706" t="str">
        <x:f>IF(OR(Z59="",AA59=""),"",Z59+AA59)</x:f>
      </x:c>
      <x:c r="AC59" s="713" t="str">
        <x:v>Belum Dinilai</x:v>
      </x:c>
      <x:c r="AD59" s="713" t="str">
        <x:v>Belum Dinilai</x:v>
      </x:c>
      <x:c r="AE59" s="714" t="str">
        <x:v>Belum Dinilai</x:v>
      </x:c>
      <x:c r="AF59" s="713" t="str">
        <x:v>Belum Dinilai</x:v>
      </x:c>
      <x:c r="AG59" s="713" t="str">
        <x:v>Belum Dinilai</x:v>
      </x:c>
      <x:c r="AH59" s="715" t="str">
        <x:v>Belum Dinilai</x:v>
      </x:c>
      <x:c r="AI59" s="714" t="str">
        <x:v>Belum Dinilai</x:v>
      </x:c>
      <x:c r="AJ59" s="713" t="str">
        <x:v>Belum Dinilai</x:v>
      </x:c>
      <x:c r="AK59" s="715" t="str">
        <x:v>Belum Dinilai</x:v>
      </x:c>
      <x:c r="AL59" s="713" t="str"/>
      <x:c r="AM59" s="716" t="str">
        <x:v>Belum Dinilai</x:v>
      </x:c>
      <x:c r="AN59" s="716" t="str">
        <x:f>IF(AND(COUNTIF(AC59:AK59,"Ya")=0,AL59=""),IF(COUNTIF(AC59:AK59,"Belum Dinilai")&gt;0,"Belum Dinilai","Tidak ada risiko khusus"),TEXTJOIN(", ",TRUE,IF(AC59="Ya","Bangunan berpotensi roboh",""),IF(AD59="Ya","Bekas kebakaran dan tidak aman dihuni",""),IF(AE59="Ya","Atap atau dinding utama hampir runtuh",""),IF(AF59="Ya","Genangan yang membahayakan",""),IF(AG59="Ya","Struktur rumah tidak stabil",""),IF(AH59="Ya","Instalasi listrik berbahaya",""),IF(AI59="Ya","Komponen bangunan lepas atau lapuk",""),IF(AJ59="Ya","Akses keluar atau evakuasi terbatas",""),IF(AK59="Ya","Lokasi rawan bencana",""),IF(AL59&lt;&gt;"","Lainnya: "&amp;AL59,"")))</x:f>
        <x:v>Belum Dinilai</x:v>
      </x:c>
      <x:c r="AO59" s="716" t="str">
        <x:f>IF(AR59="","Belum Dinilai",IF(AR59=10,"Risiko Tinggi/Darurat",IF(AR59=5,"Risiko Sedang","Tidak Ada Risiko Khusus")))</x:f>
        <x:v>Belum Dinilai</x:v>
      </x:c>
      <x:c r="AP59" s="716" t="str"/>
      <x:c r="AQ59" s="719" t="n">
        <x:f>IF(OR(J59="",J59="Belum Dapat Ditentukan",L59="",L59="Belum Dinilai",N59="",N59="Belum Dinilai",P59="",P59="Belum Dinilai"),"",IF(J59="Permanen",0,IF(J59="Semipermanen",8,IF(J59="Nonpermanen",15,0)))+IF(L59="Baik",0,IF(L59="Rusak Ringan",5,IF(L59="Rusak Sedang",10,IF(L59="Rusak Berat",15,IF(L59="Tidak Ada/Terbuka",20,0)))))+IF(N59="Baik",0,IF(N59="Rusak Ringan",5,IF(N59="Rusak Sedang",10,IF(N59="Rusak Berat",15,IF(N59="Tidak Ada/Terbuka",20,0)))))+IF(P59="Baik",0,IF(P59="Rusak Ringan",4,IF(P59="Rusak Sedang",8,IF(P59="Rusak Berat",12,IF(P59="Tidak Layak",15,0))))))</x:f>
        <x:v>32</x:v>
      </x:c>
      <x:c r="AR59" s="719" t="str">
        <x:f>IF(COUNTIF(AC59:AH59,"Ya")&gt;0,10,IF(COUNTIF(AI59:AK59,"Ya")&gt;=2,10,IF(COUNTIF(AI59:AK59,"Ya")=1,MAX(5,IF(AM59="Risiko Tinggi/Darurat",10,IF(AM59="Risiko Sedang",5,0))),IF(AL59&lt;&gt;"",IF(AM59="Risiko Tinggi/Darurat",10,IF(AM59="Risiko Sedang",5,"")),IF(COUNTIF(AC59:AK59,"Belum Dinilai")&gt;0,"",0)))))</x:f>
      </x:c>
      <x:c r="AS59" s="719" t="str">
        <x:f>IF(OR(AQ59="",AB59="",AR59=""),"",AQ59+AB59+AR59)</x:f>
      </x:c>
      <x:c r="AT59" s="719" t="str">
        <x:f>IF(AS59="","Belum Dapat Ditentukan",IF(AS59&gt;=80,"Sangat Tinggi",IF(OR(AO59="Risiko Tinggi/Darurat",(IF(L59="Rusak Berat",1,0)+IF(L59="Tidak Ada/Terbuka",1,0)+IF(N59="Rusak Berat",1,0)+IF(N59="Tidak Ada/Terbuka",1,0)+IF(P59="Rusak Berat",1,0)+IF(P59="Tidak Layak",1,0))&gt;=2),"Tinggi",IF(AS59&gt;=65,"Tinggi",IF(AS59&gt;=50,"Sedang","Rendah")))))</x:f>
        <x:v>Belum Dapat Ditentukan</x:v>
      </x:c>
      <x:c r="AU59" s="240" t="str">
        <x:v>Lengkap</x:v>
      </x:c>
      <x:c r="AV59" s="240" t="str">
        <x:v>Sudah Diverifikasi</x:v>
      </x:c>
      <x:c r="AW59" s="240" t="str">
        <x:v>Belum Ditangani</x:v>
      </x:c>
      <x:c r="AX59" s="240"/>
      <x:c r="AY59" s="240"/>
      <x:c r="AZ59" s="240" t="str">
        <x:v>Belum Diverifikasi</x:v>
      </x:c>
      <x:c r="BA59" s="240"/>
      <x:c r="BB59" s="240"/>
      <x:c r="BC59" s="240" t="n">
        <x:v>2026</x:v>
      </x:c>
      <x:c r="BD59" s="240" t="str">
        <x:v>Usulan Musrenbang/Pokir DPRD</x:v>
      </x:c>
      <x:c r="BE59" s="240" t="n">
        <x:v>46218</x:v>
      </x:c>
      <x:c r="BF59" s="240" t="str">
        <x:v>Dinas Perkim Kota Pangkalpinang</x:v>
      </x:c>
    </x:row>
    <x:row r="60" ht="32" customHeight="1">
      <x:c r="A60" s="314" t="str">
        <x:v>RTLH-0070</x:v>
      </x:c>
      <x:c r="B60" s="315" t="str">
        <x:v>RIZKA</x:v>
      </x:c>
      <x:c r="C60" s="316"/>
      <x:c r="D60" s="316"/>
      <x:c r="E60" s="315" t="str">
        <x:v>JL. KASIR RT.009 RW.003</x:v>
      </x:c>
      <x:c r="F60" s="315" t="str">
        <x:v>SINAR BULAN</x:v>
      </x:c>
      <x:c r="G60" s="315" t="str">
        <x:v>BUKIT INTAN</x:v>
      </x:c>
      <x:c r="H60" s="315" t="str">
        <x:v>Pembangunan Baru</x:v>
      </x:c>
      <x:c r="I60" s="317" t="str">
        <x:v>RUMAH SEMI PERMANEN, LANTAI FLOOR, BAGIAN DAPUR PERMANEN LANTAI KERAMIK, DINDING PAPAN, ATAP SENG RUSAK SEDANG )\</x:v>
      </x:c>
      <x:c r="J60" s="315" t="str">
        <x:v>Semipermanen</x:v>
      </x:c>
      <x:c r="K60" s="315" t="str">
        <x:v>Seng</x:v>
      </x:c>
      <x:c r="L60" s="315" t="str">
        <x:v>Rusak Sedang</x:v>
      </x:c>
      <x:c r="M60" s="367" t="str">
        <x:v>Papan/Kayu</x:v>
      </x:c>
      <x:c r="N60" s="315" t="str">
        <x:v>Rusak Sedang</x:v>
      </x:c>
      <x:c r="O60" s="316" t="str">
        <x:v>Campuran</x:v>
      </x:c>
      <x:c r="P60" s="349" t="str">
        <x:v>Rusak Sedang</x:v>
      </x:c>
      <x:c r="Q60" s="707" t="str">
        <x:v>Belum Dinilai</x:v>
      </x:c>
      <x:c r="R60" s="707" t="str">
        <x:v>Belum Dinilai</x:v>
      </x:c>
      <x:c r="S60" s="708" t="str">
        <x:v>Belum Dinilai</x:v>
      </x:c>
      <x:c r="T60" s="709" t="str">
        <x:v>Belum Dinilai</x:v>
      </x:c>
      <x:c r="U60" s="704" t="str">
        <x:v>Belum Dinilai</x:v>
      </x:c>
      <x:c r="V60" s="704" t="str">
        <x:v>Belum Dinilai</x:v>
      </x:c>
      <x:c r="W60" s="704" t="str"/>
      <x:c r="X60" s="704" t="str">
        <x:f>IF(COUNTIF(R60:V60,"Belum Dinilai")&gt;0,"Belum Dinilai",IF(COUNTIF(R60:V60,"Ya")=0,"Tidak ada faktor rentan",TEXTJOIN(", ",TRUE,IF(R60="Ya","Lansia",""),IF(S60="Ya","Penyandang disabilitas",""),IF(T60="Ya","Kepala keluarga perempuan",""),IF(U60="Ya","Balita",""),IF(V60="Ya","Anggota keluarga dengan ketergantungan tinggi",""))))</x:f>
        <x:v>Belum Dinilai</x:v>
      </x:c>
      <x:c r="Y60" s="704" t="str">
        <x:f>IF(COUNTIF(R60:V60,"Belum Dinilai")&gt;0,"Belum Dinilai",IF(COUNTIF(R60:V60,"Ya")=0,"Tidak Ada Faktor Rentan",IF(COUNTIF(R60:V60,"Ya")=1,"1 Faktor Rentan","2 atau Lebih Faktor Rentan")))</x:f>
        <x:v>Belum Dinilai</x:v>
      </x:c>
      <x:c r="Z60" s="704" t="str">
        <x:f>IF(OR(Q60="",Q60="Belum Dinilai"),"",IF(Q60="Terverifikasi DTKS/P3KE/MBR",10,IF(Q60="Diusulkan, Belum Terverifikasi",5,0)))</x:f>
      </x:c>
      <x:c r="AA60" s="705" t="str">
        <x:f>IF(COUNTIF(R60:V60,"Belum Dinilai")&gt;0,"",IF(COUNTIF(R60:V60,"Ya")=0,0,IF(COUNTIF(R60:V60,"Ya")=1,5,10)))</x:f>
      </x:c>
      <x:c r="AB60" s="706" t="str">
        <x:f>IF(OR(Z60="",AA60=""),"",Z60+AA60)</x:f>
      </x:c>
      <x:c r="AC60" s="713" t="str">
        <x:v>Belum Dinilai</x:v>
      </x:c>
      <x:c r="AD60" s="713" t="str">
        <x:v>Belum Dinilai</x:v>
      </x:c>
      <x:c r="AE60" s="714" t="str">
        <x:v>Belum Dinilai</x:v>
      </x:c>
      <x:c r="AF60" s="713" t="str">
        <x:v>Belum Dinilai</x:v>
      </x:c>
      <x:c r="AG60" s="713" t="str">
        <x:v>Belum Dinilai</x:v>
      </x:c>
      <x:c r="AH60" s="715" t="str">
        <x:v>Belum Dinilai</x:v>
      </x:c>
      <x:c r="AI60" s="714" t="str">
        <x:v>Belum Dinilai</x:v>
      </x:c>
      <x:c r="AJ60" s="713" t="str">
        <x:v>Belum Dinilai</x:v>
      </x:c>
      <x:c r="AK60" s="715" t="str">
        <x:v>Belum Dinilai</x:v>
      </x:c>
      <x:c r="AL60" s="713" t="str"/>
      <x:c r="AM60" s="716" t="str">
        <x:v>Belum Dinilai</x:v>
      </x:c>
      <x:c r="AN60" s="716" t="str">
        <x:f>IF(AND(COUNTIF(AC60:AK60,"Ya")=0,AL60=""),IF(COUNTIF(AC60:AK60,"Belum Dinilai")&gt;0,"Belum Dinilai","Tidak ada risiko khusus"),TEXTJOIN(", ",TRUE,IF(AC60="Ya","Bangunan berpotensi roboh",""),IF(AD60="Ya","Bekas kebakaran dan tidak aman dihuni",""),IF(AE60="Ya","Atap atau dinding utama hampir runtuh",""),IF(AF60="Ya","Genangan yang membahayakan",""),IF(AG60="Ya","Struktur rumah tidak stabil",""),IF(AH60="Ya","Instalasi listrik berbahaya",""),IF(AI60="Ya","Komponen bangunan lepas atau lapuk",""),IF(AJ60="Ya","Akses keluar atau evakuasi terbatas",""),IF(AK60="Ya","Lokasi rawan bencana",""),IF(AL60&lt;&gt;"","Lainnya: "&amp;AL60,"")))</x:f>
        <x:v>Belum Dinilai</x:v>
      </x:c>
      <x:c r="AO60" s="716" t="str">
        <x:f>IF(AR60="","Belum Dinilai",IF(AR60=10,"Risiko Tinggi/Darurat",IF(AR60=5,"Risiko Sedang","Tidak Ada Risiko Khusus")))</x:f>
        <x:v>Belum Dinilai</x:v>
      </x:c>
      <x:c r="AP60" s="716" t="str"/>
      <x:c r="AQ60" s="719" t="n">
        <x:f>IF(OR(J60="",J60="Belum Dapat Ditentukan",L60="",L60="Belum Dinilai",N60="",N60="Belum Dinilai",P60="",P60="Belum Dinilai"),"",IF(J60="Permanen",0,IF(J60="Semipermanen",8,IF(J60="Nonpermanen",15,0)))+IF(L60="Baik",0,IF(L60="Rusak Ringan",5,IF(L60="Rusak Sedang",10,IF(L60="Rusak Berat",15,IF(L60="Tidak Ada/Terbuka",20,0)))))+IF(N60="Baik",0,IF(N60="Rusak Ringan",5,IF(N60="Rusak Sedang",10,IF(N60="Rusak Berat",15,IF(N60="Tidak Ada/Terbuka",20,0)))))+IF(P60="Baik",0,IF(P60="Rusak Ringan",4,IF(P60="Rusak Sedang",8,IF(P60="Rusak Berat",12,IF(P60="Tidak Layak",15,0))))))</x:f>
        <x:v>36</x:v>
      </x:c>
      <x:c r="AR60" s="719" t="str">
        <x:f>IF(COUNTIF(AC60:AH60,"Ya")&gt;0,10,IF(COUNTIF(AI60:AK60,"Ya")&gt;=2,10,IF(COUNTIF(AI60:AK60,"Ya")=1,MAX(5,IF(AM60="Risiko Tinggi/Darurat",10,IF(AM60="Risiko Sedang",5,0))),IF(AL60&lt;&gt;"",IF(AM60="Risiko Tinggi/Darurat",10,IF(AM60="Risiko Sedang",5,"")),IF(COUNTIF(AC60:AK60,"Belum Dinilai")&gt;0,"",0)))))</x:f>
      </x:c>
      <x:c r="AS60" s="719" t="str">
        <x:f>IF(OR(AQ60="",AB60="",AR60=""),"",AQ60+AB60+AR60)</x:f>
      </x:c>
      <x:c r="AT60" s="719" t="str">
        <x:f>IF(AS60="","Belum Dapat Ditentukan",IF(AS60&gt;=80,"Sangat Tinggi",IF(OR(AO60="Risiko Tinggi/Darurat",(IF(L60="Rusak Berat",1,0)+IF(L60="Tidak Ada/Terbuka",1,0)+IF(N60="Rusak Berat",1,0)+IF(N60="Tidak Ada/Terbuka",1,0)+IF(P60="Rusak Berat",1,0)+IF(P60="Tidak Layak",1,0))&gt;=2),"Tinggi",IF(AS60&gt;=65,"Tinggi",IF(AS60&gt;=50,"Sedang","Rendah")))))</x:f>
        <x:v>Belum Dapat Ditentukan</x:v>
      </x:c>
      <x:c r="AU60" s="240" t="str">
        <x:v>Belum Lengkap</x:v>
      </x:c>
      <x:c r="AV60" s="240" t="str">
        <x:v>Sudah Diverifikasi</x:v>
      </x:c>
      <x:c r="AW60" s="240" t="str">
        <x:v>Belum Ditangani</x:v>
      </x:c>
      <x:c r="AX60" s="240"/>
      <x:c r="AY60" s="240"/>
      <x:c r="AZ60" s="240" t="str">
        <x:v>Belum Diverifikasi</x:v>
      </x:c>
      <x:c r="BA60" s="240"/>
      <x:c r="BB60" s="240"/>
      <x:c r="BC60" s="240" t="n">
        <x:v>2026</x:v>
      </x:c>
      <x:c r="BD60" s="240" t="str">
        <x:v>Usulan Musrenbang/Pokir DPRD</x:v>
      </x:c>
      <x:c r="BE60" s="240" t="n">
        <x:v>46218</x:v>
      </x:c>
      <x:c r="BF60" s="240" t="str">
        <x:v>Dinas Perkim Kota Pangkalpinang</x:v>
      </x:c>
    </x:row>
    <x:row r="61" ht="32" customHeight="1">
      <x:c r="A61" s="314" t="str">
        <x:v>RTLH-0071</x:v>
      </x:c>
      <x:c r="B61" s="315" t="str">
        <x:v>NOVITA SARI</x:v>
      </x:c>
      <x:c r="C61" s="316"/>
      <x:c r="D61" s="316"/>
      <x:c r="E61" s="315" t="str">
        <x:v>Belum tersedia</x:v>
      </x:c>
      <x:c r="F61" s="315" t="str">
        <x:v>SINAR BULAN</x:v>
      </x:c>
      <x:c r="G61" s="315" t="str">
        <x:v>BUKIT INTAN</x:v>
      </x:c>
      <x:c r="H61" s="315" t="str">
        <x:v>Pembangunan Baru</x:v>
      </x:c>
      <x:c r="I61" s="317" t="str">
        <x:v>RUMAH SEMI PERMANEN, TANPA PONDASI, DINDING PAPAN RUSAK SEDANG, ATAP ASBES</x:v>
      </x:c>
      <x:c r="J61" s="315" t="str">
        <x:v>Semipermanen</x:v>
      </x:c>
      <x:c r="K61" s="315" t="str">
        <x:v>Asbes/Fiber Semen</x:v>
      </x:c>
      <x:c r="L61" s="315" t="str">
        <x:v>Rusak Sedang</x:v>
      </x:c>
      <x:c r="M61" s="367" t="str">
        <x:v>Papan/Kayu</x:v>
      </x:c>
      <x:c r="N61" s="315" t="str">
        <x:v>Rusak Sedang</x:v>
      </x:c>
      <x:c r="O61" s="316" t="str">
        <x:v>Belum Diidentifikasi</x:v>
      </x:c>
      <x:c r="P61" s="349" t="str">
        <x:v>Belum Dinilai</x:v>
      </x:c>
      <x:c r="Q61" s="707" t="str">
        <x:v>Belum Dinilai</x:v>
      </x:c>
      <x:c r="R61" s="707" t="str">
        <x:v>Belum Dinilai</x:v>
      </x:c>
      <x:c r="S61" s="708" t="str">
        <x:v>Belum Dinilai</x:v>
      </x:c>
      <x:c r="T61" s="709" t="str">
        <x:v>Belum Dinilai</x:v>
      </x:c>
      <x:c r="U61" s="704" t="str">
        <x:v>Belum Dinilai</x:v>
      </x:c>
      <x:c r="V61" s="704" t="str">
        <x:v>Belum Dinilai</x:v>
      </x:c>
      <x:c r="W61" s="704" t="str"/>
      <x:c r="X61" s="704" t="str">
        <x:f>IF(COUNTIF(R61:V61,"Belum Dinilai")&gt;0,"Belum Dinilai",IF(COUNTIF(R61:V61,"Ya")=0,"Tidak ada faktor rentan",TEXTJOIN(", ",TRUE,IF(R61="Ya","Lansia",""),IF(S61="Ya","Penyandang disabilitas",""),IF(T61="Ya","Kepala keluarga perempuan",""),IF(U61="Ya","Balita",""),IF(V61="Ya","Anggota keluarga dengan ketergantungan tinggi",""))))</x:f>
        <x:v>Belum Dinilai</x:v>
      </x:c>
      <x:c r="Y61" s="704" t="str">
        <x:f>IF(COUNTIF(R61:V61,"Belum Dinilai")&gt;0,"Belum Dinilai",IF(COUNTIF(R61:V61,"Ya")=0,"Tidak Ada Faktor Rentan",IF(COUNTIF(R61:V61,"Ya")=1,"1 Faktor Rentan","2 atau Lebih Faktor Rentan")))</x:f>
        <x:v>Belum Dinilai</x:v>
      </x:c>
      <x:c r="Z61" s="704" t="str">
        <x:f>IF(OR(Q61="",Q61="Belum Dinilai"),"",IF(Q61="Terverifikasi DTKS/P3KE/MBR",10,IF(Q61="Diusulkan, Belum Terverifikasi",5,0)))</x:f>
      </x:c>
      <x:c r="AA61" s="705" t="str">
        <x:f>IF(COUNTIF(R61:V61,"Belum Dinilai")&gt;0,"",IF(COUNTIF(R61:V61,"Ya")=0,0,IF(COUNTIF(R61:V61,"Ya")=1,5,10)))</x:f>
      </x:c>
      <x:c r="AB61" s="706" t="str">
        <x:f>IF(OR(Z61="",AA61=""),"",Z61+AA61)</x:f>
      </x:c>
      <x:c r="AC61" s="713" t="str">
        <x:v>Belum Dinilai</x:v>
      </x:c>
      <x:c r="AD61" s="713" t="str">
        <x:v>Belum Dinilai</x:v>
      </x:c>
      <x:c r="AE61" s="714" t="str">
        <x:v>Belum Dinilai</x:v>
      </x:c>
      <x:c r="AF61" s="713" t="str">
        <x:v>Belum Dinilai</x:v>
      </x:c>
      <x:c r="AG61" s="713" t="str">
        <x:v>Belum Dinilai</x:v>
      </x:c>
      <x:c r="AH61" s="715" t="str">
        <x:v>Belum Dinilai</x:v>
      </x:c>
      <x:c r="AI61" s="714" t="str">
        <x:v>Belum Dinilai</x:v>
      </x:c>
      <x:c r="AJ61" s="713" t="str">
        <x:v>Belum Dinilai</x:v>
      </x:c>
      <x:c r="AK61" s="715" t="str">
        <x:v>Belum Dinilai</x:v>
      </x:c>
      <x:c r="AL61" s="713" t="str"/>
      <x:c r="AM61" s="716" t="str">
        <x:v>Belum Dinilai</x:v>
      </x:c>
      <x:c r="AN61" s="716" t="str">
        <x:f>IF(AND(COUNTIF(AC61:AK61,"Ya")=0,AL61=""),IF(COUNTIF(AC61:AK61,"Belum Dinilai")&gt;0,"Belum Dinilai","Tidak ada risiko khusus"),TEXTJOIN(", ",TRUE,IF(AC61="Ya","Bangunan berpotensi roboh",""),IF(AD61="Ya","Bekas kebakaran dan tidak aman dihuni",""),IF(AE61="Ya","Atap atau dinding utama hampir runtuh",""),IF(AF61="Ya","Genangan yang membahayakan",""),IF(AG61="Ya","Struktur rumah tidak stabil",""),IF(AH61="Ya","Instalasi listrik berbahaya",""),IF(AI61="Ya","Komponen bangunan lepas atau lapuk",""),IF(AJ61="Ya","Akses keluar atau evakuasi terbatas",""),IF(AK61="Ya","Lokasi rawan bencana",""),IF(AL61&lt;&gt;"","Lainnya: "&amp;AL61,"")))</x:f>
        <x:v>Belum Dinilai</x:v>
      </x:c>
      <x:c r="AO61" s="716" t="str">
        <x:f>IF(AR61="","Belum Dinilai",IF(AR61=10,"Risiko Tinggi/Darurat",IF(AR61=5,"Risiko Sedang","Tidak Ada Risiko Khusus")))</x:f>
        <x:v>Belum Dinilai</x:v>
      </x:c>
      <x:c r="AP61" s="716" t="str"/>
      <x:c r="AQ61" s="719" t="str">
        <x:f>IF(OR(J61="",J61="Belum Dapat Ditentukan",L61="",L61="Belum Dinilai",N61="",N61="Belum Dinilai",P61="",P61="Belum Dinilai"),"",IF(J61="Permanen",0,IF(J61="Semipermanen",8,IF(J61="Nonpermanen",15,0)))+IF(L61="Baik",0,IF(L61="Rusak Ringan",5,IF(L61="Rusak Sedang",10,IF(L61="Rusak Berat",15,IF(L61="Tidak Ada/Terbuka",20,0)))))+IF(N61="Baik",0,IF(N61="Rusak Ringan",5,IF(N61="Rusak Sedang",10,IF(N61="Rusak Berat",15,IF(N61="Tidak Ada/Terbuka",20,0)))))+IF(P61="Baik",0,IF(P61="Rusak Ringan",4,IF(P61="Rusak Sedang",8,IF(P61="Rusak Berat",12,IF(P61="Tidak Layak",15,0))))))</x:f>
      </x:c>
      <x:c r="AR61" s="719" t="str">
        <x:f>IF(COUNTIF(AC61:AH61,"Ya")&gt;0,10,IF(COUNTIF(AI61:AK61,"Ya")&gt;=2,10,IF(COUNTIF(AI61:AK61,"Ya")=1,MAX(5,IF(AM61="Risiko Tinggi/Darurat",10,IF(AM61="Risiko Sedang",5,0))),IF(AL61&lt;&gt;"",IF(AM61="Risiko Tinggi/Darurat",10,IF(AM61="Risiko Sedang",5,"")),IF(COUNTIF(AC61:AK61,"Belum Dinilai")&gt;0,"",0)))))</x:f>
      </x:c>
      <x:c r="AS61" s="719" t="str">
        <x:f>IF(OR(AQ61="",AB61="",AR61=""),"",AQ61+AB61+AR61)</x:f>
      </x:c>
      <x:c r="AT61" s="719" t="str">
        <x:f>IF(AS61="","Belum Dapat Ditentukan",IF(AS61&gt;=80,"Sangat Tinggi",IF(OR(AO61="Risiko Tinggi/Darurat",(IF(L61="Rusak Berat",1,0)+IF(L61="Tidak Ada/Terbuka",1,0)+IF(N61="Rusak Berat",1,0)+IF(N61="Tidak Ada/Terbuka",1,0)+IF(P61="Rusak Berat",1,0)+IF(P61="Tidak Layak",1,0))&gt;=2),"Tinggi",IF(AS61&gt;=65,"Tinggi",IF(AS61&gt;=50,"Sedang","Rendah")))))</x:f>
        <x:v>Belum Dapat Ditentukan</x:v>
      </x:c>
      <x:c r="AU61" s="240" t="str">
        <x:v>Belum Lengkap</x:v>
      </x:c>
      <x:c r="AV61" s="240" t="str">
        <x:v>Sudah Diverifikasi</x:v>
      </x:c>
      <x:c r="AW61" s="240" t="str">
        <x:v>Belum Ditangani</x:v>
      </x:c>
      <x:c r="AX61" s="240"/>
      <x:c r="AY61" s="240"/>
      <x:c r="AZ61" s="240" t="str">
        <x:v>Belum Diverifikasi</x:v>
      </x:c>
      <x:c r="BA61" s="240"/>
      <x:c r="BB61" s="240"/>
      <x:c r="BC61" s="240" t="n">
        <x:v>2026</x:v>
      </x:c>
      <x:c r="BD61" s="240" t="str">
        <x:v>Usulan Musrenbang/Pokir DPRD</x:v>
      </x:c>
      <x:c r="BE61" s="240" t="n">
        <x:v>46218</x:v>
      </x:c>
      <x:c r="BF61" s="240" t="str">
        <x:v>Dinas Perkim Kota Pangkalpinang</x:v>
      </x:c>
    </x:row>
    <x:row r="62" ht="32" customHeight="1">
      <x:c r="A62" s="314" t="str">
        <x:v>RTLH-0072</x:v>
      </x:c>
      <x:c r="B62" s="315" t="str">
        <x:v>EKO</x:v>
      </x:c>
      <x:c r="C62" s="316"/>
      <x:c r="D62" s="316"/>
      <x:c r="E62" s="315" t="str">
        <x:v>GG.MAJID AL IHSAN RT/RW 003/001</x:v>
      </x:c>
      <x:c r="F62" s="315" t="str">
        <x:v>LONTONG PANCUR</x:v>
      </x:c>
      <x:c r="G62" s="315" t="str">
        <x:v>PANGKAL BALAM</x:v>
      </x:c>
      <x:c r="H62" s="315" t="str">
        <x:v>Peningkatan Kualitas</x:v>
      </x:c>
      <x:c r="I62" s="317" t="str">
        <x:v>RUMAH FULL DINDING, ATAS ASBES DAN TIDAK AD KAMAR MANDI</x:v>
      </x:c>
      <x:c r="J62" s="315" t="str">
        <x:v>Belum Dapat Ditentukan</x:v>
      </x:c>
      <x:c r="K62" s="315" t="str">
        <x:v>Asbes/Fiber Semen</x:v>
      </x:c>
      <x:c r="L62" s="315" t="str">
        <x:v>Belum Dinilai</x:v>
      </x:c>
      <x:c r="M62" s="367" t="str">
        <x:v>Belum Diidentifikasi</x:v>
      </x:c>
      <x:c r="N62" s="315" t="str">
        <x:v>Belum Dinilai</x:v>
      </x:c>
      <x:c r="O62" s="316" t="str">
        <x:v>Belum Diidentifikasi</x:v>
      </x:c>
      <x:c r="P62" s="349" t="str">
        <x:v>Belum Dinilai</x:v>
      </x:c>
      <x:c r="Q62" s="707" t="str">
        <x:v>Belum Dinilai</x:v>
      </x:c>
      <x:c r="R62" s="707" t="str">
        <x:v>Belum Dinilai</x:v>
      </x:c>
      <x:c r="S62" s="708" t="str">
        <x:v>Belum Dinilai</x:v>
      </x:c>
      <x:c r="T62" s="709" t="str">
        <x:v>Belum Dinilai</x:v>
      </x:c>
      <x:c r="U62" s="704" t="str">
        <x:v>Belum Dinilai</x:v>
      </x:c>
      <x:c r="V62" s="704" t="str">
        <x:v>Belum Dinilai</x:v>
      </x:c>
      <x:c r="W62" s="704" t="str"/>
      <x:c r="X62" s="704" t="str">
        <x:f>IF(COUNTIF(R62:V62,"Belum Dinilai")&gt;0,"Belum Dinilai",IF(COUNTIF(R62:V62,"Ya")=0,"Tidak ada faktor rentan",TEXTJOIN(", ",TRUE,IF(R62="Ya","Lansia",""),IF(S62="Ya","Penyandang disabilitas",""),IF(T62="Ya","Kepala keluarga perempuan",""),IF(U62="Ya","Balita",""),IF(V62="Ya","Anggota keluarga dengan ketergantungan tinggi",""))))</x:f>
        <x:v>Belum Dinilai</x:v>
      </x:c>
      <x:c r="Y62" s="704" t="str">
        <x:f>IF(COUNTIF(R62:V62,"Belum Dinilai")&gt;0,"Belum Dinilai",IF(COUNTIF(R62:V62,"Ya")=0,"Tidak Ada Faktor Rentan",IF(COUNTIF(R62:V62,"Ya")=1,"1 Faktor Rentan","2 atau Lebih Faktor Rentan")))</x:f>
        <x:v>Belum Dinilai</x:v>
      </x:c>
      <x:c r="Z62" s="704" t="str">
        <x:f>IF(OR(Q62="",Q62="Belum Dinilai"),"",IF(Q62="Terverifikasi DTKS/P3KE/MBR",10,IF(Q62="Diusulkan, Belum Terverifikasi",5,0)))</x:f>
      </x:c>
      <x:c r="AA62" s="705" t="str">
        <x:f>IF(COUNTIF(R62:V62,"Belum Dinilai")&gt;0,"",IF(COUNTIF(R62:V62,"Ya")=0,0,IF(COUNTIF(R62:V62,"Ya")=1,5,10)))</x:f>
      </x:c>
      <x:c r="AB62" s="706" t="str">
        <x:f>IF(OR(Z62="",AA62=""),"",Z62+AA62)</x:f>
      </x:c>
      <x:c r="AC62" s="713" t="str">
        <x:v>Belum Dinilai</x:v>
      </x:c>
      <x:c r="AD62" s="713" t="str">
        <x:v>Belum Dinilai</x:v>
      </x:c>
      <x:c r="AE62" s="714" t="str">
        <x:v>Belum Dinilai</x:v>
      </x:c>
      <x:c r="AF62" s="713" t="str">
        <x:v>Belum Dinilai</x:v>
      </x:c>
      <x:c r="AG62" s="713" t="str">
        <x:v>Belum Dinilai</x:v>
      </x:c>
      <x:c r="AH62" s="715" t="str">
        <x:v>Belum Dinilai</x:v>
      </x:c>
      <x:c r="AI62" s="714" t="str">
        <x:v>Belum Dinilai</x:v>
      </x:c>
      <x:c r="AJ62" s="713" t="str">
        <x:v>Belum Dinilai</x:v>
      </x:c>
      <x:c r="AK62" s="715" t="str">
        <x:v>Belum Dinilai</x:v>
      </x:c>
      <x:c r="AL62" s="713" t="str"/>
      <x:c r="AM62" s="716" t="str">
        <x:v>Belum Dinilai</x:v>
      </x:c>
      <x:c r="AN62" s="716" t="str">
        <x:f>IF(AND(COUNTIF(AC62:AK62,"Ya")=0,AL62=""),IF(COUNTIF(AC62:AK62,"Belum Dinilai")&gt;0,"Belum Dinilai","Tidak ada risiko khusus"),TEXTJOIN(", ",TRUE,IF(AC62="Ya","Bangunan berpotensi roboh",""),IF(AD62="Ya","Bekas kebakaran dan tidak aman dihuni",""),IF(AE62="Ya","Atap atau dinding utama hampir runtuh",""),IF(AF62="Ya","Genangan yang membahayakan",""),IF(AG62="Ya","Struktur rumah tidak stabil",""),IF(AH62="Ya","Instalasi listrik berbahaya",""),IF(AI62="Ya","Komponen bangunan lepas atau lapuk",""),IF(AJ62="Ya","Akses keluar atau evakuasi terbatas",""),IF(AK62="Ya","Lokasi rawan bencana",""),IF(AL62&lt;&gt;"","Lainnya: "&amp;AL62,"")))</x:f>
        <x:v>Belum Dinilai</x:v>
      </x:c>
      <x:c r="AO62" s="716" t="str">
        <x:f>IF(AR62="","Belum Dinilai",IF(AR62=10,"Risiko Tinggi/Darurat",IF(AR62=5,"Risiko Sedang","Tidak Ada Risiko Khusus")))</x:f>
        <x:v>Belum Dinilai</x:v>
      </x:c>
      <x:c r="AP62" s="716" t="str"/>
      <x:c r="AQ62" s="719" t="str">
        <x:f>IF(OR(J62="",J62="Belum Dapat Ditentukan",L62="",L62="Belum Dinilai",N62="",N62="Belum Dinilai",P62="",P62="Belum Dinilai"),"",IF(J62="Permanen",0,IF(J62="Semipermanen",8,IF(J62="Nonpermanen",15,0)))+IF(L62="Baik",0,IF(L62="Rusak Ringan",5,IF(L62="Rusak Sedang",10,IF(L62="Rusak Berat",15,IF(L62="Tidak Ada/Terbuka",20,0)))))+IF(N62="Baik",0,IF(N62="Rusak Ringan",5,IF(N62="Rusak Sedang",10,IF(N62="Rusak Berat",15,IF(N62="Tidak Ada/Terbuka",20,0)))))+IF(P62="Baik",0,IF(P62="Rusak Ringan",4,IF(P62="Rusak Sedang",8,IF(P62="Rusak Berat",12,IF(P62="Tidak Layak",15,0))))))</x:f>
      </x:c>
      <x:c r="AR62" s="719" t="str">
        <x:f>IF(COUNTIF(AC62:AH62,"Ya")&gt;0,10,IF(COUNTIF(AI62:AK62,"Ya")&gt;=2,10,IF(COUNTIF(AI62:AK62,"Ya")=1,MAX(5,IF(AM62="Risiko Tinggi/Darurat",10,IF(AM62="Risiko Sedang",5,0))),IF(AL62&lt;&gt;"",IF(AM62="Risiko Tinggi/Darurat",10,IF(AM62="Risiko Sedang",5,"")),IF(COUNTIF(AC62:AK62,"Belum Dinilai")&gt;0,"",0)))))</x:f>
      </x:c>
      <x:c r="AS62" s="719" t="str">
        <x:f>IF(OR(AQ62="",AB62="",AR62=""),"",AQ62+AB62+AR62)</x:f>
      </x:c>
      <x:c r="AT62" s="719" t="str">
        <x:f>IF(AS62="","Belum Dapat Ditentukan",IF(AS62&gt;=80,"Sangat Tinggi",IF(OR(AO62="Risiko Tinggi/Darurat",(IF(L62="Rusak Berat",1,0)+IF(L62="Tidak Ada/Terbuka",1,0)+IF(N62="Rusak Berat",1,0)+IF(N62="Tidak Ada/Terbuka",1,0)+IF(P62="Rusak Berat",1,0)+IF(P62="Tidak Layak",1,0))&gt;=2),"Tinggi",IF(AS62&gt;=65,"Tinggi",IF(AS62&gt;=50,"Sedang","Rendah")))))</x:f>
        <x:v>Belum Dapat Ditentukan</x:v>
      </x:c>
      <x:c r="AU62" s="240" t="str">
        <x:v>Belum Lengkap</x:v>
      </x:c>
      <x:c r="AV62" s="240" t="str">
        <x:v>Sudah Diverifikasi</x:v>
      </x:c>
      <x:c r="AW62" s="240" t="str">
        <x:v>Belum Ditangani</x:v>
      </x:c>
      <x:c r="AX62" s="240"/>
      <x:c r="AY62" s="240"/>
      <x:c r="AZ62" s="240" t="str">
        <x:v>Belum Diverifikasi</x:v>
      </x:c>
      <x:c r="BA62" s="240"/>
      <x:c r="BB62" s="240"/>
      <x:c r="BC62" s="240" t="n">
        <x:v>2026</x:v>
      </x:c>
      <x:c r="BD62" s="240" t="str">
        <x:v>Usulan Musrenbang/Pokir DPRD</x:v>
      </x:c>
      <x:c r="BE62" s="240" t="n">
        <x:v>46218</x:v>
      </x:c>
      <x:c r="BF62" s="240" t="str">
        <x:v>Dinas Perkim Kota Pangkalpinang</x:v>
      </x:c>
    </x:row>
    <x:row r="63" ht="32" customHeight="1">
      <x:c r="A63" s="314" t="str">
        <x:v>RTLH-0073</x:v>
      </x:c>
      <x:c r="B63" s="315" t="str">
        <x:v>YUNI RETNO WATI</x:v>
      </x:c>
      <x:c r="C63" s="316"/>
      <x:c r="D63" s="316"/>
      <x:c r="E63" s="315" t="str">
        <x:v>JL.KAYU PUTIH.RT/RW. 002/001</x:v>
      </x:c>
      <x:c r="F63" s="315" t="str">
        <x:v>BUKIT SARI</x:v>
      </x:c>
      <x:c r="G63" s="315" t="str">
        <x:v>GERUNGGANG</x:v>
      </x:c>
      <x:c r="H63" s="315" t="str">
        <x:v>Peningkatan Kualitas</x:v>
      </x:c>
      <x:c r="I63" s="317" t="str">
        <x:v>RUMAH FULL DINDING , ATAP ASBES RUSAK BERAT (BOCOR)</x:v>
      </x:c>
      <x:c r="J63" s="315" t="str">
        <x:v>Belum Dapat Ditentukan</x:v>
      </x:c>
      <x:c r="K63" s="315" t="str">
        <x:v>Asbes/Fiber Semen</x:v>
      </x:c>
      <x:c r="L63" s="315" t="str">
        <x:v>Rusak Berat</x:v>
      </x:c>
      <x:c r="M63" s="367" t="str">
        <x:v>Belum Diidentifikasi</x:v>
      </x:c>
      <x:c r="N63" s="315" t="str">
        <x:v>Rusak Berat</x:v>
      </x:c>
      <x:c r="O63" s="316" t="str">
        <x:v>Belum Diidentifikasi</x:v>
      </x:c>
      <x:c r="P63" s="349" t="str">
        <x:v>Belum Dinilai</x:v>
      </x:c>
      <x:c r="Q63" s="707" t="str">
        <x:v>Belum Dinilai</x:v>
      </x:c>
      <x:c r="R63" s="707" t="str">
        <x:v>Belum Dinilai</x:v>
      </x:c>
      <x:c r="S63" s="708" t="str">
        <x:v>Belum Dinilai</x:v>
      </x:c>
      <x:c r="T63" s="709" t="str">
        <x:v>Belum Dinilai</x:v>
      </x:c>
      <x:c r="U63" s="704" t="str">
        <x:v>Belum Dinilai</x:v>
      </x:c>
      <x:c r="V63" s="704" t="str">
        <x:v>Belum Dinilai</x:v>
      </x:c>
      <x:c r="W63" s="704" t="str"/>
      <x:c r="X63" s="704" t="str">
        <x:f>IF(COUNTIF(R63:V63,"Belum Dinilai")&gt;0,"Belum Dinilai",IF(COUNTIF(R63:V63,"Ya")=0,"Tidak ada faktor rentan",TEXTJOIN(", ",TRUE,IF(R63="Ya","Lansia",""),IF(S63="Ya","Penyandang disabilitas",""),IF(T63="Ya","Kepala keluarga perempuan",""),IF(U63="Ya","Balita",""),IF(V63="Ya","Anggota keluarga dengan ketergantungan tinggi",""))))</x:f>
        <x:v>Belum Dinilai</x:v>
      </x:c>
      <x:c r="Y63" s="704" t="str">
        <x:f>IF(COUNTIF(R63:V63,"Belum Dinilai")&gt;0,"Belum Dinilai",IF(COUNTIF(R63:V63,"Ya")=0,"Tidak Ada Faktor Rentan",IF(COUNTIF(R63:V63,"Ya")=1,"1 Faktor Rentan","2 atau Lebih Faktor Rentan")))</x:f>
        <x:v>Belum Dinilai</x:v>
      </x:c>
      <x:c r="Z63" s="704" t="str">
        <x:f>IF(OR(Q63="",Q63="Belum Dinilai"),"",IF(Q63="Terverifikasi DTKS/P3KE/MBR",10,IF(Q63="Diusulkan, Belum Terverifikasi",5,0)))</x:f>
      </x:c>
      <x:c r="AA63" s="705" t="str">
        <x:f>IF(COUNTIF(R63:V63,"Belum Dinilai")&gt;0,"",IF(COUNTIF(R63:V63,"Ya")=0,0,IF(COUNTIF(R63:V63,"Ya")=1,5,10)))</x:f>
      </x:c>
      <x:c r="AB63" s="706" t="str">
        <x:f>IF(OR(Z63="",AA63=""),"",Z63+AA63)</x:f>
      </x:c>
      <x:c r="AC63" s="713" t="str">
        <x:v>Belum Dinilai</x:v>
      </x:c>
      <x:c r="AD63" s="713" t="str">
        <x:v>Belum Dinilai</x:v>
      </x:c>
      <x:c r="AE63" s="714" t="str">
        <x:v>Belum Dinilai</x:v>
      </x:c>
      <x:c r="AF63" s="713" t="str">
        <x:v>Belum Dinilai</x:v>
      </x:c>
      <x:c r="AG63" s="713" t="str">
        <x:v>Belum Dinilai</x:v>
      </x:c>
      <x:c r="AH63" s="715" t="str">
        <x:v>Belum Dinilai</x:v>
      </x:c>
      <x:c r="AI63" s="714" t="str">
        <x:v>Belum Dinilai</x:v>
      </x:c>
      <x:c r="AJ63" s="713" t="str">
        <x:v>Belum Dinilai</x:v>
      </x:c>
      <x:c r="AK63" s="715" t="str">
        <x:v>Belum Dinilai</x:v>
      </x:c>
      <x:c r="AL63" s="713" t="str"/>
      <x:c r="AM63" s="716" t="str">
        <x:v>Belum Dinilai</x:v>
      </x:c>
      <x:c r="AN63" s="716" t="str">
        <x:f>IF(AND(COUNTIF(AC63:AK63,"Ya")=0,AL63=""),IF(COUNTIF(AC63:AK63,"Belum Dinilai")&gt;0,"Belum Dinilai","Tidak ada risiko khusus"),TEXTJOIN(", ",TRUE,IF(AC63="Ya","Bangunan berpotensi roboh",""),IF(AD63="Ya","Bekas kebakaran dan tidak aman dihuni",""),IF(AE63="Ya","Atap atau dinding utama hampir runtuh",""),IF(AF63="Ya","Genangan yang membahayakan",""),IF(AG63="Ya","Struktur rumah tidak stabil",""),IF(AH63="Ya","Instalasi listrik berbahaya",""),IF(AI63="Ya","Komponen bangunan lepas atau lapuk",""),IF(AJ63="Ya","Akses keluar atau evakuasi terbatas",""),IF(AK63="Ya","Lokasi rawan bencana",""),IF(AL63&lt;&gt;"","Lainnya: "&amp;AL63,"")))</x:f>
        <x:v>Belum Dinilai</x:v>
      </x:c>
      <x:c r="AO63" s="716" t="str">
        <x:f>IF(AR63="","Belum Dinilai",IF(AR63=10,"Risiko Tinggi/Darurat",IF(AR63=5,"Risiko Sedang","Tidak Ada Risiko Khusus")))</x:f>
        <x:v>Belum Dinilai</x:v>
      </x:c>
      <x:c r="AP63" s="716" t="str"/>
      <x:c r="AQ63" s="719" t="str">
        <x:f>IF(OR(J63="",J63="Belum Dapat Ditentukan",L63="",L63="Belum Dinilai",N63="",N63="Belum Dinilai",P63="",P63="Belum Dinilai"),"",IF(J63="Permanen",0,IF(J63="Semipermanen",8,IF(J63="Nonpermanen",15,0)))+IF(L63="Baik",0,IF(L63="Rusak Ringan",5,IF(L63="Rusak Sedang",10,IF(L63="Rusak Berat",15,IF(L63="Tidak Ada/Terbuka",20,0)))))+IF(N63="Baik",0,IF(N63="Rusak Ringan",5,IF(N63="Rusak Sedang",10,IF(N63="Rusak Berat",15,IF(N63="Tidak Ada/Terbuka",20,0)))))+IF(P63="Baik",0,IF(P63="Rusak Ringan",4,IF(P63="Rusak Sedang",8,IF(P63="Rusak Berat",12,IF(P63="Tidak Layak",15,0))))))</x:f>
      </x:c>
      <x:c r="AR63" s="719" t="str">
        <x:f>IF(COUNTIF(AC63:AH63,"Ya")&gt;0,10,IF(COUNTIF(AI63:AK63,"Ya")&gt;=2,10,IF(COUNTIF(AI63:AK63,"Ya")=1,MAX(5,IF(AM63="Risiko Tinggi/Darurat",10,IF(AM63="Risiko Sedang",5,0))),IF(AL63&lt;&gt;"",IF(AM63="Risiko Tinggi/Darurat",10,IF(AM63="Risiko Sedang",5,"")),IF(COUNTIF(AC63:AK63,"Belum Dinilai")&gt;0,"",0)))))</x:f>
      </x:c>
      <x:c r="AS63" s="719" t="str">
        <x:f>IF(OR(AQ63="",AB63="",AR63=""),"",AQ63+AB63+AR63)</x:f>
      </x:c>
      <x:c r="AT63" s="719" t="str">
        <x:f>IF(AS63="","Belum Dapat Ditentukan",IF(AS63&gt;=80,"Sangat Tinggi",IF(OR(AO63="Risiko Tinggi/Darurat",(IF(L63="Rusak Berat",1,0)+IF(L63="Tidak Ada/Terbuka",1,0)+IF(N63="Rusak Berat",1,0)+IF(N63="Tidak Ada/Terbuka",1,0)+IF(P63="Rusak Berat",1,0)+IF(P63="Tidak Layak",1,0))&gt;=2),"Tinggi",IF(AS63&gt;=65,"Tinggi",IF(AS63&gt;=50,"Sedang","Rendah")))))</x:f>
        <x:v>Belum Dapat Ditentukan</x:v>
      </x:c>
      <x:c r="AU63" s="240" t="str">
        <x:v>Belum Lengkap</x:v>
      </x:c>
      <x:c r="AV63" s="240" t="str">
        <x:v>Sudah Diverifikasi</x:v>
      </x:c>
      <x:c r="AW63" s="240" t="str">
        <x:v>Selesai</x:v>
      </x:c>
      <x:c r="AX63" s="240" t="str">
        <x:v>APBD Kota</x:v>
      </x:c>
      <x:c r="AY63" s="240" t="n">
        <x:v>2024</x:v>
      </x:c>
      <x:c r="AZ63" s="240" t="str">
        <x:v>Belum Diverifikasi</x:v>
      </x:c>
      <x:c r="BA63" s="240"/>
      <x:c r="BB63" s="240"/>
      <x:c r="BC63" s="240" t="n">
        <x:v>2026</x:v>
      </x:c>
      <x:c r="BD63" s="240" t="str">
        <x:v>Usulan Musrenbang/Pokir DPRD</x:v>
      </x:c>
      <x:c r="BE63" s="240" t="n">
        <x:v>46218</x:v>
      </x:c>
      <x:c r="BF63" s="240" t="str">
        <x:v>Dinas Perkim Kota Pangkalpinang</x:v>
      </x:c>
    </x:row>
    <x:row r="64" ht="32" customHeight="1">
      <x:c r="A64" s="314" t="str">
        <x:v>RTLH-0074</x:v>
      </x:c>
      <x:c r="B64" s="315" t="str">
        <x:v>BEENISHYA UKHRA NAJWA NURLAILA</x:v>
      </x:c>
      <x:c r="C64" s="316"/>
      <x:c r="D64" s="316"/>
      <x:c r="E64" s="315" t="str">
        <x:v>JL.VETERAN RT/RW 002/003</x:v>
      </x:c>
      <x:c r="F64" s="315" t="str">
        <x:v>PARITLALANG</x:v>
      </x:c>
      <x:c r="G64" s="315" t="str">
        <x:v>RANGKUI</x:v>
      </x:c>
      <x:c r="H64" s="315" t="str">
        <x:v>Pembangunan Baru</x:v>
      </x:c>
      <x:c r="I64" s="317" t="str">
        <x:v>RUMAH TIADK LAYAK HUNI, DINDING ASBES/SENG, ATAP SENG,</x:v>
      </x:c>
      <x:c r="J64" s="315" t="str">
        <x:v>Belum Dapat Ditentukan</x:v>
      </x:c>
      <x:c r="K64" s="315" t="str">
        <x:v>Campuran</x:v>
      </x:c>
      <x:c r="L64" s="315" t="str">
        <x:v>Belum Dinilai</x:v>
      </x:c>
      <x:c r="M64" s="367" t="str">
        <x:v>Seng</x:v>
      </x:c>
      <x:c r="N64" s="315" t="str">
        <x:v>Belum Dinilai</x:v>
      </x:c>
      <x:c r="O64" s="316" t="str">
        <x:v>Belum Diidentifikasi</x:v>
      </x:c>
      <x:c r="P64" s="349" t="str">
        <x:v>Belum Dinilai</x:v>
      </x:c>
      <x:c r="Q64" s="707" t="str">
        <x:v>Belum Dinilai</x:v>
      </x:c>
      <x:c r="R64" s="707" t="str">
        <x:v>Belum Dinilai</x:v>
      </x:c>
      <x:c r="S64" s="708" t="str">
        <x:v>Belum Dinilai</x:v>
      </x:c>
      <x:c r="T64" s="709" t="str">
        <x:v>Belum Dinilai</x:v>
      </x:c>
      <x:c r="U64" s="704" t="str">
        <x:v>Belum Dinilai</x:v>
      </x:c>
      <x:c r="V64" s="704" t="str">
        <x:v>Belum Dinilai</x:v>
      </x:c>
      <x:c r="W64" s="704" t="str"/>
      <x:c r="X64" s="704" t="str">
        <x:f>IF(COUNTIF(R64:V64,"Belum Dinilai")&gt;0,"Belum Dinilai",IF(COUNTIF(R64:V64,"Ya")=0,"Tidak ada faktor rentan",TEXTJOIN(", ",TRUE,IF(R64="Ya","Lansia",""),IF(S64="Ya","Penyandang disabilitas",""),IF(T64="Ya","Kepala keluarga perempuan",""),IF(U64="Ya","Balita",""),IF(V64="Ya","Anggota keluarga dengan ketergantungan tinggi",""))))</x:f>
        <x:v>Belum Dinilai</x:v>
      </x:c>
      <x:c r="Y64" s="704" t="str">
        <x:f>IF(COUNTIF(R64:V64,"Belum Dinilai")&gt;0,"Belum Dinilai",IF(COUNTIF(R64:V64,"Ya")=0,"Tidak Ada Faktor Rentan",IF(COUNTIF(R64:V64,"Ya")=1,"1 Faktor Rentan","2 atau Lebih Faktor Rentan")))</x:f>
        <x:v>Belum Dinilai</x:v>
      </x:c>
      <x:c r="Z64" s="704" t="str">
        <x:f>IF(OR(Q64="",Q64="Belum Dinilai"),"",IF(Q64="Terverifikasi DTKS/P3KE/MBR",10,IF(Q64="Diusulkan, Belum Terverifikasi",5,0)))</x:f>
      </x:c>
      <x:c r="AA64" s="705" t="str">
        <x:f>IF(COUNTIF(R64:V64,"Belum Dinilai")&gt;0,"",IF(COUNTIF(R64:V64,"Ya")=0,0,IF(COUNTIF(R64:V64,"Ya")=1,5,10)))</x:f>
      </x:c>
      <x:c r="AB64" s="706" t="str">
        <x:f>IF(OR(Z64="",AA64=""),"",Z64+AA64)</x:f>
      </x:c>
      <x:c r="AC64" s="713" t="str">
        <x:v>Belum Dinilai</x:v>
      </x:c>
      <x:c r="AD64" s="713" t="str">
        <x:v>Belum Dinilai</x:v>
      </x:c>
      <x:c r="AE64" s="714" t="str">
        <x:v>Belum Dinilai</x:v>
      </x:c>
      <x:c r="AF64" s="713" t="str">
        <x:v>Belum Dinilai</x:v>
      </x:c>
      <x:c r="AG64" s="713" t="str">
        <x:v>Belum Dinilai</x:v>
      </x:c>
      <x:c r="AH64" s="715" t="str">
        <x:v>Belum Dinilai</x:v>
      </x:c>
      <x:c r="AI64" s="714" t="str">
        <x:v>Belum Dinilai</x:v>
      </x:c>
      <x:c r="AJ64" s="713" t="str">
        <x:v>Belum Dinilai</x:v>
      </x:c>
      <x:c r="AK64" s="715" t="str">
        <x:v>Belum Dinilai</x:v>
      </x:c>
      <x:c r="AL64" s="713" t="str"/>
      <x:c r="AM64" s="716" t="str">
        <x:v>Belum Dinilai</x:v>
      </x:c>
      <x:c r="AN64" s="716" t="str">
        <x:f>IF(AND(COUNTIF(AC64:AK64,"Ya")=0,AL64=""),IF(COUNTIF(AC64:AK64,"Belum Dinilai")&gt;0,"Belum Dinilai","Tidak ada risiko khusus"),TEXTJOIN(", ",TRUE,IF(AC64="Ya","Bangunan berpotensi roboh",""),IF(AD64="Ya","Bekas kebakaran dan tidak aman dihuni",""),IF(AE64="Ya","Atap atau dinding utama hampir runtuh",""),IF(AF64="Ya","Genangan yang membahayakan",""),IF(AG64="Ya","Struktur rumah tidak stabil",""),IF(AH64="Ya","Instalasi listrik berbahaya",""),IF(AI64="Ya","Komponen bangunan lepas atau lapuk",""),IF(AJ64="Ya","Akses keluar atau evakuasi terbatas",""),IF(AK64="Ya","Lokasi rawan bencana",""),IF(AL64&lt;&gt;"","Lainnya: "&amp;AL64,"")))</x:f>
        <x:v>Belum Dinilai</x:v>
      </x:c>
      <x:c r="AO64" s="716" t="str">
        <x:f>IF(AR64="","Belum Dinilai",IF(AR64=10,"Risiko Tinggi/Darurat",IF(AR64=5,"Risiko Sedang","Tidak Ada Risiko Khusus")))</x:f>
        <x:v>Belum Dinilai</x:v>
      </x:c>
      <x:c r="AP64" s="716" t="str"/>
      <x:c r="AQ64" s="719" t="str">
        <x:f>IF(OR(J64="",J64="Belum Dapat Ditentukan",L64="",L64="Belum Dinilai",N64="",N64="Belum Dinilai",P64="",P64="Belum Dinilai"),"",IF(J64="Permanen",0,IF(J64="Semipermanen",8,IF(J64="Nonpermanen",15,0)))+IF(L64="Baik",0,IF(L64="Rusak Ringan",5,IF(L64="Rusak Sedang",10,IF(L64="Rusak Berat",15,IF(L64="Tidak Ada/Terbuka",20,0)))))+IF(N64="Baik",0,IF(N64="Rusak Ringan",5,IF(N64="Rusak Sedang",10,IF(N64="Rusak Berat",15,IF(N64="Tidak Ada/Terbuka",20,0)))))+IF(P64="Baik",0,IF(P64="Rusak Ringan",4,IF(P64="Rusak Sedang",8,IF(P64="Rusak Berat",12,IF(P64="Tidak Layak",15,0))))))</x:f>
      </x:c>
      <x:c r="AR64" s="719" t="str">
        <x:f>IF(COUNTIF(AC64:AH64,"Ya")&gt;0,10,IF(COUNTIF(AI64:AK64,"Ya")&gt;=2,10,IF(COUNTIF(AI64:AK64,"Ya")=1,MAX(5,IF(AM64="Risiko Tinggi/Darurat",10,IF(AM64="Risiko Sedang",5,0))),IF(AL64&lt;&gt;"",IF(AM64="Risiko Tinggi/Darurat",10,IF(AM64="Risiko Sedang",5,"")),IF(COUNTIF(AC64:AK64,"Belum Dinilai")&gt;0,"",0)))))</x:f>
      </x:c>
      <x:c r="AS64" s="719" t="str">
        <x:f>IF(OR(AQ64="",AB64="",AR64=""),"",AQ64+AB64+AR64)</x:f>
      </x:c>
      <x:c r="AT64" s="719" t="str">
        <x:f>IF(AS64="","Belum Dapat Ditentukan",IF(AS64&gt;=80,"Sangat Tinggi",IF(OR(AO64="Risiko Tinggi/Darurat",(IF(L64="Rusak Berat",1,0)+IF(L64="Tidak Ada/Terbuka",1,0)+IF(N64="Rusak Berat",1,0)+IF(N64="Tidak Ada/Terbuka",1,0)+IF(P64="Rusak Berat",1,0)+IF(P64="Tidak Layak",1,0))&gt;=2),"Tinggi",IF(AS64&gt;=65,"Tinggi",IF(AS64&gt;=50,"Sedang","Rendah")))))</x:f>
        <x:v>Belum Dapat Ditentukan</x:v>
      </x:c>
      <x:c r="AU64" s="240" t="str">
        <x:v>Belum Lengkap</x:v>
      </x:c>
      <x:c r="AV64" s="240" t="str">
        <x:v>Sudah Diverifikasi</x:v>
      </x:c>
      <x:c r="AW64" s="240" t="str">
        <x:v>Belum Ditangani</x:v>
      </x:c>
      <x:c r="AX64" s="240"/>
      <x:c r="AY64" s="240"/>
      <x:c r="AZ64" s="240" t="str">
        <x:v>Belum Diverifikasi</x:v>
      </x:c>
      <x:c r="BA64" s="240"/>
      <x:c r="BB64" s="240"/>
      <x:c r="BC64" s="240" t="n">
        <x:v>2026</x:v>
      </x:c>
      <x:c r="BD64" s="240" t="str">
        <x:v>Usulan Musrenbang/Pokir DPRD</x:v>
      </x:c>
      <x:c r="BE64" s="240" t="n">
        <x:v>46218</x:v>
      </x:c>
      <x:c r="BF64" s="240" t="str">
        <x:v>Dinas Perkim Kota Pangkalpinang</x:v>
      </x:c>
    </x:row>
    <x:row r="65" ht="32" customHeight="1">
      <x:c r="A65" s="314" t="str">
        <x:v>RTLH-0075</x:v>
      </x:c>
      <x:c r="B65" s="315" t="str">
        <x:v>MAUN RASIMA</x:v>
      </x:c>
      <x:c r="C65" s="316"/>
      <x:c r="D65" s="316"/>
      <x:c r="E65" s="315" t="str">
        <x:v>JL.ARUS DALAM RT/RW 003/002</x:v>
      </x:c>
      <x:c r="F65" s="315" t="str">
        <x:v>AIR MAWAR</x:v>
      </x:c>
      <x:c r="G65" s="315" t="str">
        <x:v>BUKIT INTAN</x:v>
      </x:c>
      <x:c r="H65" s="315" t="str">
        <x:v>Pembangunan Baru</x:v>
      </x:c>
      <x:c r="I65" s="317" t="str">
        <x:v>RUMAH FULL PAPAN, ATAP ASBES,TIDAK MEMILIKI WC PRIBADI, LISTIRIK NYAMBUNG DENGAN SAUDARA, LANTAI FLOOR</x:v>
      </x:c>
      <x:c r="J65" s="315" t="str">
        <x:v>Nonpermanen</x:v>
      </x:c>
      <x:c r="K65" s="315" t="str">
        <x:v>Asbes/Fiber Semen</x:v>
      </x:c>
      <x:c r="L65" s="315" t="str">
        <x:v>Belum Dinilai</x:v>
      </x:c>
      <x:c r="M65" s="367" t="str">
        <x:v>Papan/Kayu</x:v>
      </x:c>
      <x:c r="N65" s="315" t="str">
        <x:v>Belum Dinilai</x:v>
      </x:c>
      <x:c r="O65" s="316" t="str">
        <x:v>Semen/Plester</x:v>
      </x:c>
      <x:c r="P65" s="349" t="str">
        <x:v>Belum Dinilai</x:v>
      </x:c>
      <x:c r="Q65" s="707" t="str">
        <x:v>Belum Dinilai</x:v>
      </x:c>
      <x:c r="R65" s="707" t="str">
        <x:v>Belum Dinilai</x:v>
      </x:c>
      <x:c r="S65" s="708" t="str">
        <x:v>Belum Dinilai</x:v>
      </x:c>
      <x:c r="T65" s="709" t="str">
        <x:v>Belum Dinilai</x:v>
      </x:c>
      <x:c r="U65" s="704" t="str">
        <x:v>Belum Dinilai</x:v>
      </x:c>
      <x:c r="V65" s="704" t="str">
        <x:v>Belum Dinilai</x:v>
      </x:c>
      <x:c r="W65" s="704" t="str"/>
      <x:c r="X65" s="704" t="str">
        <x:f>IF(COUNTIF(R65:V65,"Belum Dinilai")&gt;0,"Belum Dinilai",IF(COUNTIF(R65:V65,"Ya")=0,"Tidak ada faktor rentan",TEXTJOIN(", ",TRUE,IF(R65="Ya","Lansia",""),IF(S65="Ya","Penyandang disabilitas",""),IF(T65="Ya","Kepala keluarga perempuan",""),IF(U65="Ya","Balita",""),IF(V65="Ya","Anggota keluarga dengan ketergantungan tinggi",""))))</x:f>
        <x:v>Belum Dinilai</x:v>
      </x:c>
      <x:c r="Y65" s="704" t="str">
        <x:f>IF(COUNTIF(R65:V65,"Belum Dinilai")&gt;0,"Belum Dinilai",IF(COUNTIF(R65:V65,"Ya")=0,"Tidak Ada Faktor Rentan",IF(COUNTIF(R65:V65,"Ya")=1,"1 Faktor Rentan","2 atau Lebih Faktor Rentan")))</x:f>
        <x:v>Belum Dinilai</x:v>
      </x:c>
      <x:c r="Z65" s="704" t="str">
        <x:f>IF(OR(Q65="",Q65="Belum Dinilai"),"",IF(Q65="Terverifikasi DTKS/P3KE/MBR",10,IF(Q65="Diusulkan, Belum Terverifikasi",5,0)))</x:f>
      </x:c>
      <x:c r="AA65" s="705" t="str">
        <x:f>IF(COUNTIF(R65:V65,"Belum Dinilai")&gt;0,"",IF(COUNTIF(R65:V65,"Ya")=0,0,IF(COUNTIF(R65:V65,"Ya")=1,5,10)))</x:f>
      </x:c>
      <x:c r="AB65" s="706" t="str">
        <x:f>IF(OR(Z65="",AA65=""),"",Z65+AA65)</x:f>
      </x:c>
      <x:c r="AC65" s="713" t="str">
        <x:v>Belum Dinilai</x:v>
      </x:c>
      <x:c r="AD65" s="713" t="str">
        <x:v>Belum Dinilai</x:v>
      </x:c>
      <x:c r="AE65" s="714" t="str">
        <x:v>Belum Dinilai</x:v>
      </x:c>
      <x:c r="AF65" s="713" t="str">
        <x:v>Belum Dinilai</x:v>
      </x:c>
      <x:c r="AG65" s="713" t="str">
        <x:v>Belum Dinilai</x:v>
      </x:c>
      <x:c r="AH65" s="715" t="str">
        <x:v>Belum Dinilai</x:v>
      </x:c>
      <x:c r="AI65" s="714" t="str">
        <x:v>Belum Dinilai</x:v>
      </x:c>
      <x:c r="AJ65" s="713" t="str">
        <x:v>Belum Dinilai</x:v>
      </x:c>
      <x:c r="AK65" s="715" t="str">
        <x:v>Belum Dinilai</x:v>
      </x:c>
      <x:c r="AL65" s="713" t="str"/>
      <x:c r="AM65" s="716" t="str">
        <x:v>Belum Dinilai</x:v>
      </x:c>
      <x:c r="AN65" s="716" t="str">
        <x:f>IF(AND(COUNTIF(AC65:AK65,"Ya")=0,AL65=""),IF(COUNTIF(AC65:AK65,"Belum Dinilai")&gt;0,"Belum Dinilai","Tidak ada risiko khusus"),TEXTJOIN(", ",TRUE,IF(AC65="Ya","Bangunan berpotensi roboh",""),IF(AD65="Ya","Bekas kebakaran dan tidak aman dihuni",""),IF(AE65="Ya","Atap atau dinding utama hampir runtuh",""),IF(AF65="Ya","Genangan yang membahayakan",""),IF(AG65="Ya","Struktur rumah tidak stabil",""),IF(AH65="Ya","Instalasi listrik berbahaya",""),IF(AI65="Ya","Komponen bangunan lepas atau lapuk",""),IF(AJ65="Ya","Akses keluar atau evakuasi terbatas",""),IF(AK65="Ya","Lokasi rawan bencana",""),IF(AL65&lt;&gt;"","Lainnya: "&amp;AL65,"")))</x:f>
        <x:v>Belum Dinilai</x:v>
      </x:c>
      <x:c r="AO65" s="716" t="str">
        <x:f>IF(AR65="","Belum Dinilai",IF(AR65=10,"Risiko Tinggi/Darurat",IF(AR65=5,"Risiko Sedang","Tidak Ada Risiko Khusus")))</x:f>
        <x:v>Belum Dinilai</x:v>
      </x:c>
      <x:c r="AP65" s="716" t="str"/>
      <x:c r="AQ65" s="719" t="str">
        <x:f>IF(OR(J65="",J65="Belum Dapat Ditentukan",L65="",L65="Belum Dinilai",N65="",N65="Belum Dinilai",P65="",P65="Belum Dinilai"),"",IF(J65="Permanen",0,IF(J65="Semipermanen",8,IF(J65="Nonpermanen",15,0)))+IF(L65="Baik",0,IF(L65="Rusak Ringan",5,IF(L65="Rusak Sedang",10,IF(L65="Rusak Berat",15,IF(L65="Tidak Ada/Terbuka",20,0)))))+IF(N65="Baik",0,IF(N65="Rusak Ringan",5,IF(N65="Rusak Sedang",10,IF(N65="Rusak Berat",15,IF(N65="Tidak Ada/Terbuka",20,0)))))+IF(P65="Baik",0,IF(P65="Rusak Ringan",4,IF(P65="Rusak Sedang",8,IF(P65="Rusak Berat",12,IF(P65="Tidak Layak",15,0))))))</x:f>
      </x:c>
      <x:c r="AR65" s="719" t="str">
        <x:f>IF(COUNTIF(AC65:AH65,"Ya")&gt;0,10,IF(COUNTIF(AI65:AK65,"Ya")&gt;=2,10,IF(COUNTIF(AI65:AK65,"Ya")=1,MAX(5,IF(AM65="Risiko Tinggi/Darurat",10,IF(AM65="Risiko Sedang",5,0))),IF(AL65&lt;&gt;"",IF(AM65="Risiko Tinggi/Darurat",10,IF(AM65="Risiko Sedang",5,"")),IF(COUNTIF(AC65:AK65,"Belum Dinilai")&gt;0,"",0)))))</x:f>
      </x:c>
      <x:c r="AS65" s="719" t="str">
        <x:f>IF(OR(AQ65="",AB65="",AR65=""),"",AQ65+AB65+AR65)</x:f>
      </x:c>
      <x:c r="AT65" s="719" t="str">
        <x:f>IF(AS65="","Belum Dapat Ditentukan",IF(AS65&gt;=80,"Sangat Tinggi",IF(OR(AO65="Risiko Tinggi/Darurat",(IF(L65="Rusak Berat",1,0)+IF(L65="Tidak Ada/Terbuka",1,0)+IF(N65="Rusak Berat",1,0)+IF(N65="Tidak Ada/Terbuka",1,0)+IF(P65="Rusak Berat",1,0)+IF(P65="Tidak Layak",1,0))&gt;=2),"Tinggi",IF(AS65&gt;=65,"Tinggi",IF(AS65&gt;=50,"Sedang","Rendah")))))</x:f>
        <x:v>Belum Dapat Ditentukan</x:v>
      </x:c>
      <x:c r="AU65" s="240" t="str">
        <x:v>Lengkap</x:v>
      </x:c>
      <x:c r="AV65" s="240" t="str">
        <x:v>Sudah Diverifikasi</x:v>
      </x:c>
      <x:c r="AW65" s="240" t="str">
        <x:v>Belum Ditangani</x:v>
      </x:c>
      <x:c r="AX65" s="240"/>
      <x:c r="AY65" s="240"/>
      <x:c r="AZ65" s="240" t="str">
        <x:v>Kepemilikan Keluarga</x:v>
      </x:c>
      <x:c r="BA65" s="240"/>
      <x:c r="BB65" s="240"/>
      <x:c r="BC65" s="240" t="n">
        <x:v>2026</x:v>
      </x:c>
      <x:c r="BD65" s="240" t="str">
        <x:v>Usulan Musrenbang/Pokir DPRD</x:v>
      </x:c>
      <x:c r="BE65" s="240" t="n">
        <x:v>46218</x:v>
      </x:c>
      <x:c r="BF65" s="240" t="str">
        <x:v>Dinas Perkim Kota Pangkalpinang</x:v>
      </x:c>
    </x:row>
    <x:row r="66" ht="32" customHeight="1">
      <x:c r="A66" s="314" t="str">
        <x:v>RTLH-0083</x:v>
      </x:c>
      <x:c r="B66" s="315" t="str">
        <x:v>DAVINDRA</x:v>
      </x:c>
      <x:c r="C66" s="316"/>
      <x:c r="D66" s="316"/>
      <x:c r="E66" s="315" t="str">
        <x:v>JL. TREM SEBRANG</x:v>
      </x:c>
      <x:c r="F66" s="315" t="str">
        <x:v>GEDUNG NASIONAL</x:v>
      </x:c>
      <x:c r="G66" s="315" t="str">
        <x:v>TAMAN SARI</x:v>
      </x:c>
      <x:c r="H66" s="315" t="str">
        <x:v>Peningkatan Kualitas</x:v>
      </x:c>
      <x:c r="I66" s="317" t="str">
        <x:v>RUMAH DAN TANAH MILIK KELURGA DAN HNYA REHAB WC</x:v>
      </x:c>
      <x:c r="J66" s="315" t="str">
        <x:v>Belum Dapat Ditentukan</x:v>
      </x:c>
      <x:c r="K66" s="315" t="str">
        <x:v>Belum Diidentifikasi</x:v>
      </x:c>
      <x:c r="L66" s="315" t="str">
        <x:v>Belum Dinilai</x:v>
      </x:c>
      <x:c r="M66" s="367" t="str">
        <x:v>Belum Diidentifikasi</x:v>
      </x:c>
      <x:c r="N66" s="315" t="str">
        <x:v>Belum Dinilai</x:v>
      </x:c>
      <x:c r="O66" s="316" t="str">
        <x:v>Belum Diidentifikasi</x:v>
      </x:c>
      <x:c r="P66" s="349" t="str">
        <x:v>Belum Dinilai</x:v>
      </x:c>
      <x:c r="Q66" s="707" t="str">
        <x:v>Belum Dinilai</x:v>
      </x:c>
      <x:c r="R66" s="707" t="str">
        <x:v>Belum Dinilai</x:v>
      </x:c>
      <x:c r="S66" s="708" t="str">
        <x:v>Belum Dinilai</x:v>
      </x:c>
      <x:c r="T66" s="709" t="str">
        <x:v>Belum Dinilai</x:v>
      </x:c>
      <x:c r="U66" s="704" t="str">
        <x:v>Belum Dinilai</x:v>
      </x:c>
      <x:c r="V66" s="704" t="str">
        <x:v>Belum Dinilai</x:v>
      </x:c>
      <x:c r="W66" s="704" t="str"/>
      <x:c r="X66" s="704" t="str">
        <x:f>IF(COUNTIF(R66:V66,"Belum Dinilai")&gt;0,"Belum Dinilai",IF(COUNTIF(R66:V66,"Ya")=0,"Tidak ada faktor rentan",TEXTJOIN(", ",TRUE,IF(R66="Ya","Lansia",""),IF(S66="Ya","Penyandang disabilitas",""),IF(T66="Ya","Kepala keluarga perempuan",""),IF(U66="Ya","Balita",""),IF(V66="Ya","Anggota keluarga dengan ketergantungan tinggi",""))))</x:f>
        <x:v>Belum Dinilai</x:v>
      </x:c>
      <x:c r="Y66" s="704" t="str">
        <x:f>IF(COUNTIF(R66:V66,"Belum Dinilai")&gt;0,"Belum Dinilai",IF(COUNTIF(R66:V66,"Ya")=0,"Tidak Ada Faktor Rentan",IF(COUNTIF(R66:V66,"Ya")=1,"1 Faktor Rentan","2 atau Lebih Faktor Rentan")))</x:f>
        <x:v>Belum Dinilai</x:v>
      </x:c>
      <x:c r="Z66" s="704" t="str">
        <x:f>IF(OR(Q66="",Q66="Belum Dinilai"),"",IF(Q66="Terverifikasi DTKS/P3KE/MBR",10,IF(Q66="Diusulkan, Belum Terverifikasi",5,0)))</x:f>
      </x:c>
      <x:c r="AA66" s="705" t="str">
        <x:f>IF(COUNTIF(R66:V66,"Belum Dinilai")&gt;0,"",IF(COUNTIF(R66:V66,"Ya")=0,0,IF(COUNTIF(R66:V66,"Ya")=1,5,10)))</x:f>
      </x:c>
      <x:c r="AB66" s="706" t="str">
        <x:f>IF(OR(Z66="",AA66=""),"",Z66+AA66)</x:f>
      </x:c>
      <x:c r="AC66" s="713" t="str">
        <x:v>Belum Dinilai</x:v>
      </x:c>
      <x:c r="AD66" s="713" t="str">
        <x:v>Belum Dinilai</x:v>
      </x:c>
      <x:c r="AE66" s="714" t="str">
        <x:v>Belum Dinilai</x:v>
      </x:c>
      <x:c r="AF66" s="713" t="str">
        <x:v>Belum Dinilai</x:v>
      </x:c>
      <x:c r="AG66" s="713" t="str">
        <x:v>Belum Dinilai</x:v>
      </x:c>
      <x:c r="AH66" s="715" t="str">
        <x:v>Belum Dinilai</x:v>
      </x:c>
      <x:c r="AI66" s="714" t="str">
        <x:v>Belum Dinilai</x:v>
      </x:c>
      <x:c r="AJ66" s="713" t="str">
        <x:v>Belum Dinilai</x:v>
      </x:c>
      <x:c r="AK66" s="715" t="str">
        <x:v>Belum Dinilai</x:v>
      </x:c>
      <x:c r="AL66" s="713" t="str"/>
      <x:c r="AM66" s="716" t="str">
        <x:v>Belum Dinilai</x:v>
      </x:c>
      <x:c r="AN66" s="716" t="str">
        <x:f>IF(AND(COUNTIF(AC66:AK66,"Ya")=0,AL66=""),IF(COUNTIF(AC66:AK66,"Belum Dinilai")&gt;0,"Belum Dinilai","Tidak ada risiko khusus"),TEXTJOIN(", ",TRUE,IF(AC66="Ya","Bangunan berpotensi roboh",""),IF(AD66="Ya","Bekas kebakaran dan tidak aman dihuni",""),IF(AE66="Ya","Atap atau dinding utama hampir runtuh",""),IF(AF66="Ya","Genangan yang membahayakan",""),IF(AG66="Ya","Struktur rumah tidak stabil",""),IF(AH66="Ya","Instalasi listrik berbahaya",""),IF(AI66="Ya","Komponen bangunan lepas atau lapuk",""),IF(AJ66="Ya","Akses keluar atau evakuasi terbatas",""),IF(AK66="Ya","Lokasi rawan bencana",""),IF(AL66&lt;&gt;"","Lainnya: "&amp;AL66,"")))</x:f>
        <x:v>Belum Dinilai</x:v>
      </x:c>
      <x:c r="AO66" s="716" t="str">
        <x:f>IF(AR66="","Belum Dinilai",IF(AR66=10,"Risiko Tinggi/Darurat",IF(AR66=5,"Risiko Sedang","Tidak Ada Risiko Khusus")))</x:f>
        <x:v>Belum Dinilai</x:v>
      </x:c>
      <x:c r="AP66" s="716" t="str"/>
      <x:c r="AQ66" s="719" t="str">
        <x:f>IF(OR(J66="",J66="Belum Dapat Ditentukan",L66="",L66="Belum Dinilai",N66="",N66="Belum Dinilai",P66="",P66="Belum Dinilai"),"",IF(J66="Permanen",0,IF(J66="Semipermanen",8,IF(J66="Nonpermanen",15,0)))+IF(L66="Baik",0,IF(L66="Rusak Ringan",5,IF(L66="Rusak Sedang",10,IF(L66="Rusak Berat",15,IF(L66="Tidak Ada/Terbuka",20,0)))))+IF(N66="Baik",0,IF(N66="Rusak Ringan",5,IF(N66="Rusak Sedang",10,IF(N66="Rusak Berat",15,IF(N66="Tidak Ada/Terbuka",20,0)))))+IF(P66="Baik",0,IF(P66="Rusak Ringan",4,IF(P66="Rusak Sedang",8,IF(P66="Rusak Berat",12,IF(P66="Tidak Layak",15,0))))))</x:f>
      </x:c>
      <x:c r="AR66" s="719" t="str">
        <x:f>IF(COUNTIF(AC66:AH66,"Ya")&gt;0,10,IF(COUNTIF(AI66:AK66,"Ya")&gt;=2,10,IF(COUNTIF(AI66:AK66,"Ya")=1,MAX(5,IF(AM66="Risiko Tinggi/Darurat",10,IF(AM66="Risiko Sedang",5,0))),IF(AL66&lt;&gt;"",IF(AM66="Risiko Tinggi/Darurat",10,IF(AM66="Risiko Sedang",5,"")),IF(COUNTIF(AC66:AK66,"Belum Dinilai")&gt;0,"",0)))))</x:f>
      </x:c>
      <x:c r="AS66" s="719" t="str">
        <x:f>IF(OR(AQ66="",AB66="",AR66=""),"",AQ66+AB66+AR66)</x:f>
      </x:c>
      <x:c r="AT66" s="719" t="str">
        <x:f>IF(AS66="","Belum Dapat Ditentukan",IF(AS66&gt;=80,"Sangat Tinggi",IF(OR(AO66="Risiko Tinggi/Darurat",(IF(L66="Rusak Berat",1,0)+IF(L66="Tidak Ada/Terbuka",1,0)+IF(N66="Rusak Berat",1,0)+IF(N66="Tidak Ada/Terbuka",1,0)+IF(P66="Rusak Berat",1,0)+IF(P66="Tidak Layak",1,0))&gt;=2),"Tinggi",IF(AS66&gt;=65,"Tinggi",IF(AS66&gt;=50,"Sedang","Rendah")))))</x:f>
        <x:v>Belum Dapat Ditentukan</x:v>
      </x:c>
      <x:c r="AU66" s="240" t="str">
        <x:v>Belum Lengkap</x:v>
      </x:c>
      <x:c r="AV66" s="240" t="str">
        <x:v>Sudah Diverifikasi</x:v>
      </x:c>
      <x:c r="AW66" s="240" t="str">
        <x:v>Belum Ditangani</x:v>
      </x:c>
      <x:c r="AX66" s="240"/>
      <x:c r="AY66" s="240"/>
      <x:c r="AZ66" s="240" t="str">
        <x:v>Belum Diverifikasi</x:v>
      </x:c>
      <x:c r="BA66" s="240"/>
      <x:c r="BB66" s="240"/>
      <x:c r="BC66" s="240" t="n">
        <x:v>2026</x:v>
      </x:c>
      <x:c r="BD66" s="240" t="str">
        <x:v>Usulan Musrenbang/Pokir DPRD</x:v>
      </x:c>
      <x:c r="BE66" s="240" t="n">
        <x:v>46218</x:v>
      </x:c>
      <x:c r="BF66" s="240" t="str">
        <x:v>Dinas Perkim Kota Pangkalpinang</x:v>
      </x:c>
    </x:row>
    <x:row r="67" ht="32" customHeight="1">
      <x:c r="A67" s="314" t="str">
        <x:v>RTLH-0084</x:v>
      </x:c>
      <x:c r="B67" s="315" t="str">
        <x:v>NAYARA/FITRA LATIFA</x:v>
      </x:c>
      <x:c r="C67" s="316"/>
      <x:c r="D67" s="316"/>
      <x:c r="E67" s="315" t="str">
        <x:v>JL. AHMAD YANI</x:v>
      </x:c>
      <x:c r="F67" s="315" t="str">
        <x:v>BATIN TIKAL</x:v>
      </x:c>
      <x:c r="G67" s="315" t="str">
        <x:v>TAMAN SARI</x:v>
      </x:c>
      <x:c r="H67" s="315" t="str">
        <x:v>Peningkatan Kualitas</x:v>
      </x:c>
      <x:c r="I67" s="317" t="str">
        <x:v>RUMAH DAN TANAH MILIK KELURGA DAN HNYA REHAB WC</x:v>
      </x:c>
      <x:c r="J67" s="315" t="str">
        <x:v>Belum Dapat Ditentukan</x:v>
      </x:c>
      <x:c r="K67" s="315" t="str">
        <x:v>Belum Diidentifikasi</x:v>
      </x:c>
      <x:c r="L67" s="315" t="str">
        <x:v>Belum Dinilai</x:v>
      </x:c>
      <x:c r="M67" s="367" t="str">
        <x:v>Belum Diidentifikasi</x:v>
      </x:c>
      <x:c r="N67" s="315" t="str">
        <x:v>Belum Dinilai</x:v>
      </x:c>
      <x:c r="O67" s="316" t="str">
        <x:v>Belum Diidentifikasi</x:v>
      </x:c>
      <x:c r="P67" s="349" t="str">
        <x:v>Belum Dinilai</x:v>
      </x:c>
      <x:c r="Q67" s="707" t="str">
        <x:v>Belum Dinilai</x:v>
      </x:c>
      <x:c r="R67" s="707" t="str">
        <x:v>Belum Dinilai</x:v>
      </x:c>
      <x:c r="S67" s="708" t="str">
        <x:v>Belum Dinilai</x:v>
      </x:c>
      <x:c r="T67" s="709" t="str">
        <x:v>Belum Dinilai</x:v>
      </x:c>
      <x:c r="U67" s="704" t="str">
        <x:v>Belum Dinilai</x:v>
      </x:c>
      <x:c r="V67" s="704" t="str">
        <x:v>Belum Dinilai</x:v>
      </x:c>
      <x:c r="W67" s="704" t="str"/>
      <x:c r="X67" s="704" t="str">
        <x:f>IF(COUNTIF(R67:V67,"Belum Dinilai")&gt;0,"Belum Dinilai",IF(COUNTIF(R67:V67,"Ya")=0,"Tidak ada faktor rentan",TEXTJOIN(", ",TRUE,IF(R67="Ya","Lansia",""),IF(S67="Ya","Penyandang disabilitas",""),IF(T67="Ya","Kepala keluarga perempuan",""),IF(U67="Ya","Balita",""),IF(V67="Ya","Anggota keluarga dengan ketergantungan tinggi",""))))</x:f>
        <x:v>Belum Dinilai</x:v>
      </x:c>
      <x:c r="Y67" s="704" t="str">
        <x:f>IF(COUNTIF(R67:V67,"Belum Dinilai")&gt;0,"Belum Dinilai",IF(COUNTIF(R67:V67,"Ya")=0,"Tidak Ada Faktor Rentan",IF(COUNTIF(R67:V67,"Ya")=1,"1 Faktor Rentan","2 atau Lebih Faktor Rentan")))</x:f>
        <x:v>Belum Dinilai</x:v>
      </x:c>
      <x:c r="Z67" s="704" t="str">
        <x:f>IF(OR(Q67="",Q67="Belum Dinilai"),"",IF(Q67="Terverifikasi DTKS/P3KE/MBR",10,IF(Q67="Diusulkan, Belum Terverifikasi",5,0)))</x:f>
      </x:c>
      <x:c r="AA67" s="705" t="str">
        <x:f>IF(COUNTIF(R67:V67,"Belum Dinilai")&gt;0,"",IF(COUNTIF(R67:V67,"Ya")=0,0,IF(COUNTIF(R67:V67,"Ya")=1,5,10)))</x:f>
      </x:c>
      <x:c r="AB67" s="706" t="str">
        <x:f>IF(OR(Z67="",AA67=""),"",Z67+AA67)</x:f>
      </x:c>
      <x:c r="AC67" s="713" t="str">
        <x:v>Belum Dinilai</x:v>
      </x:c>
      <x:c r="AD67" s="713" t="str">
        <x:v>Belum Dinilai</x:v>
      </x:c>
      <x:c r="AE67" s="714" t="str">
        <x:v>Belum Dinilai</x:v>
      </x:c>
      <x:c r="AF67" s="713" t="str">
        <x:v>Belum Dinilai</x:v>
      </x:c>
      <x:c r="AG67" s="713" t="str">
        <x:v>Belum Dinilai</x:v>
      </x:c>
      <x:c r="AH67" s="715" t="str">
        <x:v>Belum Dinilai</x:v>
      </x:c>
      <x:c r="AI67" s="714" t="str">
        <x:v>Belum Dinilai</x:v>
      </x:c>
      <x:c r="AJ67" s="713" t="str">
        <x:v>Belum Dinilai</x:v>
      </x:c>
      <x:c r="AK67" s="715" t="str">
        <x:v>Belum Dinilai</x:v>
      </x:c>
      <x:c r="AL67" s="713" t="str"/>
      <x:c r="AM67" s="716" t="str">
        <x:v>Belum Dinilai</x:v>
      </x:c>
      <x:c r="AN67" s="716" t="str">
        <x:f>IF(AND(COUNTIF(AC67:AK67,"Ya")=0,AL67=""),IF(COUNTIF(AC67:AK67,"Belum Dinilai")&gt;0,"Belum Dinilai","Tidak ada risiko khusus"),TEXTJOIN(", ",TRUE,IF(AC67="Ya","Bangunan berpotensi roboh",""),IF(AD67="Ya","Bekas kebakaran dan tidak aman dihuni",""),IF(AE67="Ya","Atap atau dinding utama hampir runtuh",""),IF(AF67="Ya","Genangan yang membahayakan",""),IF(AG67="Ya","Struktur rumah tidak stabil",""),IF(AH67="Ya","Instalasi listrik berbahaya",""),IF(AI67="Ya","Komponen bangunan lepas atau lapuk",""),IF(AJ67="Ya","Akses keluar atau evakuasi terbatas",""),IF(AK67="Ya","Lokasi rawan bencana",""),IF(AL67&lt;&gt;"","Lainnya: "&amp;AL67,"")))</x:f>
        <x:v>Belum Dinilai</x:v>
      </x:c>
      <x:c r="AO67" s="716" t="str">
        <x:f>IF(AR67="","Belum Dinilai",IF(AR67=10,"Risiko Tinggi/Darurat",IF(AR67=5,"Risiko Sedang","Tidak Ada Risiko Khusus")))</x:f>
        <x:v>Belum Dinilai</x:v>
      </x:c>
      <x:c r="AP67" s="716" t="str"/>
      <x:c r="AQ67" s="719" t="str">
        <x:f>IF(OR(J67="",J67="Belum Dapat Ditentukan",L67="",L67="Belum Dinilai",N67="",N67="Belum Dinilai",P67="",P67="Belum Dinilai"),"",IF(J67="Permanen",0,IF(J67="Semipermanen",8,IF(J67="Nonpermanen",15,0)))+IF(L67="Baik",0,IF(L67="Rusak Ringan",5,IF(L67="Rusak Sedang",10,IF(L67="Rusak Berat",15,IF(L67="Tidak Ada/Terbuka",20,0)))))+IF(N67="Baik",0,IF(N67="Rusak Ringan",5,IF(N67="Rusak Sedang",10,IF(N67="Rusak Berat",15,IF(N67="Tidak Ada/Terbuka",20,0)))))+IF(P67="Baik",0,IF(P67="Rusak Ringan",4,IF(P67="Rusak Sedang",8,IF(P67="Rusak Berat",12,IF(P67="Tidak Layak",15,0))))))</x:f>
      </x:c>
      <x:c r="AR67" s="719" t="str">
        <x:f>IF(COUNTIF(AC67:AH67,"Ya")&gt;0,10,IF(COUNTIF(AI67:AK67,"Ya")&gt;=2,10,IF(COUNTIF(AI67:AK67,"Ya")=1,MAX(5,IF(AM67="Risiko Tinggi/Darurat",10,IF(AM67="Risiko Sedang",5,0))),IF(AL67&lt;&gt;"",IF(AM67="Risiko Tinggi/Darurat",10,IF(AM67="Risiko Sedang",5,"")),IF(COUNTIF(AC67:AK67,"Belum Dinilai")&gt;0,"",0)))))</x:f>
      </x:c>
      <x:c r="AS67" s="719" t="str">
        <x:f>IF(OR(AQ67="",AB67="",AR67=""),"",AQ67+AB67+AR67)</x:f>
      </x:c>
      <x:c r="AT67" s="719" t="str">
        <x:f>IF(AS67="","Belum Dapat Ditentukan",IF(AS67&gt;=80,"Sangat Tinggi",IF(OR(AO67="Risiko Tinggi/Darurat",(IF(L67="Rusak Berat",1,0)+IF(L67="Tidak Ada/Terbuka",1,0)+IF(N67="Rusak Berat",1,0)+IF(N67="Tidak Ada/Terbuka",1,0)+IF(P67="Rusak Berat",1,0)+IF(P67="Tidak Layak",1,0))&gt;=2),"Tinggi",IF(AS67&gt;=65,"Tinggi",IF(AS67&gt;=50,"Sedang","Rendah")))))</x:f>
        <x:v>Belum Dapat Ditentukan</x:v>
      </x:c>
      <x:c r="AU67" s="240" t="str">
        <x:v>Belum Lengkap</x:v>
      </x:c>
      <x:c r="AV67" s="240" t="str">
        <x:v>Sudah Diverifikasi</x:v>
      </x:c>
      <x:c r="AW67" s="240" t="str">
        <x:v>Belum Ditangani</x:v>
      </x:c>
      <x:c r="AX67" s="240"/>
      <x:c r="AY67" s="240"/>
      <x:c r="AZ67" s="240" t="str">
        <x:v>Belum Diverifikasi</x:v>
      </x:c>
      <x:c r="BA67" s="240"/>
      <x:c r="BB67" s="240"/>
      <x:c r="BC67" s="240" t="n">
        <x:v>2026</x:v>
      </x:c>
      <x:c r="BD67" s="240" t="str">
        <x:v>Usulan Musrenbang/Pokir DPRD</x:v>
      </x:c>
      <x:c r="BE67" s="240" t="n">
        <x:v>46218</x:v>
      </x:c>
      <x:c r="BF67" s="240" t="str">
        <x:v>Dinas Perkim Kota Pangkalpinang</x:v>
      </x:c>
    </x:row>
    <x:row r="68" ht="32" customHeight="1">
      <x:c r="A68" s="314" t="str">
        <x:v>RTLH-0085</x:v>
      </x:c>
      <x:c r="B68" s="315" t="str">
        <x:v>RAHMA SHOLEHA</x:v>
      </x:c>
      <x:c r="C68" s="316"/>
      <x:c r="D68" s="316"/>
      <x:c r="E68" s="315" t="str">
        <x:v>JL. AHMAD YANI</x:v>
      </x:c>
      <x:c r="F68" s="315" t="str">
        <x:v>BATIN TIKAL</x:v>
      </x:c>
      <x:c r="G68" s="315" t="str">
        <x:v>TAMAN SARI</x:v>
      </x:c>
      <x:c r="H68" s="315" t="str">
        <x:v>Peningkatan Kualitas</x:v>
      </x:c>
      <x:c r="I68" s="317" t="str">
        <x:v>RUMAH DAN TANAH MILIK KELURGA DAN HNYA REHAB WC</x:v>
      </x:c>
      <x:c r="J68" s="315" t="str">
        <x:v>Belum Dapat Ditentukan</x:v>
      </x:c>
      <x:c r="K68" s="315" t="str">
        <x:v>Belum Diidentifikasi</x:v>
      </x:c>
      <x:c r="L68" s="315" t="str">
        <x:v>Belum Dinilai</x:v>
      </x:c>
      <x:c r="M68" s="367" t="str">
        <x:v>Belum Diidentifikasi</x:v>
      </x:c>
      <x:c r="N68" s="315" t="str">
        <x:v>Belum Dinilai</x:v>
      </x:c>
      <x:c r="O68" s="316" t="str">
        <x:v>Belum Diidentifikasi</x:v>
      </x:c>
      <x:c r="P68" s="349" t="str">
        <x:v>Belum Dinilai</x:v>
      </x:c>
      <x:c r="Q68" s="707" t="str">
        <x:v>Belum Dinilai</x:v>
      </x:c>
      <x:c r="R68" s="707" t="str">
        <x:v>Belum Dinilai</x:v>
      </x:c>
      <x:c r="S68" s="708" t="str">
        <x:v>Belum Dinilai</x:v>
      </x:c>
      <x:c r="T68" s="709" t="str">
        <x:v>Belum Dinilai</x:v>
      </x:c>
      <x:c r="U68" s="704" t="str">
        <x:v>Belum Dinilai</x:v>
      </x:c>
      <x:c r="V68" s="704" t="str">
        <x:v>Belum Dinilai</x:v>
      </x:c>
      <x:c r="W68" s="704" t="str"/>
      <x:c r="X68" s="704" t="str">
        <x:f>IF(COUNTIF(R68:V68,"Belum Dinilai")&gt;0,"Belum Dinilai",IF(COUNTIF(R68:V68,"Ya")=0,"Tidak ada faktor rentan",TEXTJOIN(", ",TRUE,IF(R68="Ya","Lansia",""),IF(S68="Ya","Penyandang disabilitas",""),IF(T68="Ya","Kepala keluarga perempuan",""),IF(U68="Ya","Balita",""),IF(V68="Ya","Anggota keluarga dengan ketergantungan tinggi",""))))</x:f>
        <x:v>Belum Dinilai</x:v>
      </x:c>
      <x:c r="Y68" s="704" t="str">
        <x:f>IF(COUNTIF(R68:V68,"Belum Dinilai")&gt;0,"Belum Dinilai",IF(COUNTIF(R68:V68,"Ya")=0,"Tidak Ada Faktor Rentan",IF(COUNTIF(R68:V68,"Ya")=1,"1 Faktor Rentan","2 atau Lebih Faktor Rentan")))</x:f>
        <x:v>Belum Dinilai</x:v>
      </x:c>
      <x:c r="Z68" s="704" t="str">
        <x:f>IF(OR(Q68="",Q68="Belum Dinilai"),"",IF(Q68="Terverifikasi DTKS/P3KE/MBR",10,IF(Q68="Diusulkan, Belum Terverifikasi",5,0)))</x:f>
      </x:c>
      <x:c r="AA68" s="705" t="str">
        <x:f>IF(COUNTIF(R68:V68,"Belum Dinilai")&gt;0,"",IF(COUNTIF(R68:V68,"Ya")=0,0,IF(COUNTIF(R68:V68,"Ya")=1,5,10)))</x:f>
      </x:c>
      <x:c r="AB68" s="706" t="str">
        <x:f>IF(OR(Z68="",AA68=""),"",Z68+AA68)</x:f>
      </x:c>
      <x:c r="AC68" s="713" t="str">
        <x:v>Belum Dinilai</x:v>
      </x:c>
      <x:c r="AD68" s="713" t="str">
        <x:v>Belum Dinilai</x:v>
      </x:c>
      <x:c r="AE68" s="714" t="str">
        <x:v>Belum Dinilai</x:v>
      </x:c>
      <x:c r="AF68" s="713" t="str">
        <x:v>Belum Dinilai</x:v>
      </x:c>
      <x:c r="AG68" s="713" t="str">
        <x:v>Belum Dinilai</x:v>
      </x:c>
      <x:c r="AH68" s="715" t="str">
        <x:v>Belum Dinilai</x:v>
      </x:c>
      <x:c r="AI68" s="714" t="str">
        <x:v>Belum Dinilai</x:v>
      </x:c>
      <x:c r="AJ68" s="713" t="str">
        <x:v>Belum Dinilai</x:v>
      </x:c>
      <x:c r="AK68" s="715" t="str">
        <x:v>Belum Dinilai</x:v>
      </x:c>
      <x:c r="AL68" s="713" t="str"/>
      <x:c r="AM68" s="716" t="str">
        <x:v>Belum Dinilai</x:v>
      </x:c>
      <x:c r="AN68" s="716" t="str">
        <x:f>IF(AND(COUNTIF(AC68:AK68,"Ya")=0,AL68=""),IF(COUNTIF(AC68:AK68,"Belum Dinilai")&gt;0,"Belum Dinilai","Tidak ada risiko khusus"),TEXTJOIN(", ",TRUE,IF(AC68="Ya","Bangunan berpotensi roboh",""),IF(AD68="Ya","Bekas kebakaran dan tidak aman dihuni",""),IF(AE68="Ya","Atap atau dinding utama hampir runtuh",""),IF(AF68="Ya","Genangan yang membahayakan",""),IF(AG68="Ya","Struktur rumah tidak stabil",""),IF(AH68="Ya","Instalasi listrik berbahaya",""),IF(AI68="Ya","Komponen bangunan lepas atau lapuk",""),IF(AJ68="Ya","Akses keluar atau evakuasi terbatas",""),IF(AK68="Ya","Lokasi rawan bencana",""),IF(AL68&lt;&gt;"","Lainnya: "&amp;AL68,"")))</x:f>
        <x:v>Belum Dinilai</x:v>
      </x:c>
      <x:c r="AO68" s="716" t="str">
        <x:f>IF(AR68="","Belum Dinilai",IF(AR68=10,"Risiko Tinggi/Darurat",IF(AR68=5,"Risiko Sedang","Tidak Ada Risiko Khusus")))</x:f>
        <x:v>Belum Dinilai</x:v>
      </x:c>
      <x:c r="AP68" s="716" t="str"/>
      <x:c r="AQ68" s="719" t="str">
        <x:f>IF(OR(J68="",J68="Belum Dapat Ditentukan",L68="",L68="Belum Dinilai",N68="",N68="Belum Dinilai",P68="",P68="Belum Dinilai"),"",IF(J68="Permanen",0,IF(J68="Semipermanen",8,IF(J68="Nonpermanen",15,0)))+IF(L68="Baik",0,IF(L68="Rusak Ringan",5,IF(L68="Rusak Sedang",10,IF(L68="Rusak Berat",15,IF(L68="Tidak Ada/Terbuka",20,0)))))+IF(N68="Baik",0,IF(N68="Rusak Ringan",5,IF(N68="Rusak Sedang",10,IF(N68="Rusak Berat",15,IF(N68="Tidak Ada/Terbuka",20,0)))))+IF(P68="Baik",0,IF(P68="Rusak Ringan",4,IF(P68="Rusak Sedang",8,IF(P68="Rusak Berat",12,IF(P68="Tidak Layak",15,0))))))</x:f>
      </x:c>
      <x:c r="AR68" s="719" t="str">
        <x:f>IF(COUNTIF(AC68:AH68,"Ya")&gt;0,10,IF(COUNTIF(AI68:AK68,"Ya")&gt;=2,10,IF(COUNTIF(AI68:AK68,"Ya")=1,MAX(5,IF(AM68="Risiko Tinggi/Darurat",10,IF(AM68="Risiko Sedang",5,0))),IF(AL68&lt;&gt;"",IF(AM68="Risiko Tinggi/Darurat",10,IF(AM68="Risiko Sedang",5,"")),IF(COUNTIF(AC68:AK68,"Belum Dinilai")&gt;0,"",0)))))</x:f>
      </x:c>
      <x:c r="AS68" s="719" t="str">
        <x:f>IF(OR(AQ68="",AB68="",AR68=""),"",AQ68+AB68+AR68)</x:f>
      </x:c>
      <x:c r="AT68" s="719" t="str">
        <x:f>IF(AS68="","Belum Dapat Ditentukan",IF(AS68&gt;=80,"Sangat Tinggi",IF(OR(AO68="Risiko Tinggi/Darurat",(IF(L68="Rusak Berat",1,0)+IF(L68="Tidak Ada/Terbuka",1,0)+IF(N68="Rusak Berat",1,0)+IF(N68="Tidak Ada/Terbuka",1,0)+IF(P68="Rusak Berat",1,0)+IF(P68="Tidak Layak",1,0))&gt;=2),"Tinggi",IF(AS68&gt;=65,"Tinggi",IF(AS68&gt;=50,"Sedang","Rendah")))))</x:f>
        <x:v>Belum Dapat Ditentukan</x:v>
      </x:c>
      <x:c r="AU68" s="240" t="str">
        <x:v>Belum Lengkap</x:v>
      </x:c>
      <x:c r="AV68" s="240" t="str">
        <x:v>Sudah Diverifikasi</x:v>
      </x:c>
      <x:c r="AW68" s="240" t="str">
        <x:v>Belum Ditangani</x:v>
      </x:c>
      <x:c r="AX68" s="240"/>
      <x:c r="AY68" s="240"/>
      <x:c r="AZ68" s="240" t="str">
        <x:v>Belum Diverifikasi</x:v>
      </x:c>
      <x:c r="BA68" s="240"/>
      <x:c r="BB68" s="240"/>
      <x:c r="BC68" s="240" t="n">
        <x:v>2026</x:v>
      </x:c>
      <x:c r="BD68" s="240" t="str">
        <x:v>Usulan Musrenbang/Pokir DPRD</x:v>
      </x:c>
      <x:c r="BE68" s="240" t="n">
        <x:v>46218</x:v>
      </x:c>
      <x:c r="BF68" s="240" t="str">
        <x:v>Dinas Perkim Kota Pangkalpinang</x:v>
      </x:c>
    </x:row>
    <x:row r="69" ht="32" customHeight="1">
      <x:c r="A69" s="314" t="str">
        <x:v>RTLH-0088</x:v>
      </x:c>
      <x:c r="B69" s="315" t="str">
        <x:v>AGUSTOMO</x:v>
      </x:c>
      <x:c r="C69" s="316"/>
      <x:c r="D69" s="316"/>
      <x:c r="E69" s="315" t="str">
        <x:v>JL. NILA RAYA NO 30, RT/RW 008/003</x:v>
      </x:c>
      <x:c r="F69" s="315" t="str">
        <x:v>REJOSARI</x:v>
      </x:c>
      <x:c r="G69" s="315" t="str">
        <x:v>PANGKAL BALAM</x:v>
      </x:c>
      <x:c r="H69" s="315" t="str">
        <x:v>Peningkatan Kualitas</x:v>
      </x:c>
      <x:c r="I69" s="317" t="str">
        <x:v>RUMAH ADA 2. TERLETAK DIBELAKANG RUMAH, DINDING SETENGAH BATA, ATAP GENTENG</x:v>
      </x:c>
      <x:c r="J69" s="315" t="str">
        <x:v>Permanen</x:v>
      </x:c>
      <x:c r="K69" s="315" t="str">
        <x:v>Genteng</x:v>
      </x:c>
      <x:c r="L69" s="315" t="str">
        <x:v>Belum Dinilai</x:v>
      </x:c>
      <x:c r="M69" s="367" t="str">
        <x:v>Bata/Batako Diplester</x:v>
      </x:c>
      <x:c r="N69" s="315" t="str">
        <x:v>Belum Dinilai</x:v>
      </x:c>
      <x:c r="O69" s="316" t="str">
        <x:v>Belum Diidentifikasi</x:v>
      </x:c>
      <x:c r="P69" s="349" t="str">
        <x:v>Belum Dinilai</x:v>
      </x:c>
      <x:c r="Q69" s="707" t="str">
        <x:v>Belum Dinilai</x:v>
      </x:c>
      <x:c r="R69" s="707" t="str">
        <x:v>Belum Dinilai</x:v>
      </x:c>
      <x:c r="S69" s="708" t="str">
        <x:v>Belum Dinilai</x:v>
      </x:c>
      <x:c r="T69" s="709" t="str">
        <x:v>Belum Dinilai</x:v>
      </x:c>
      <x:c r="U69" s="704" t="str">
        <x:v>Belum Dinilai</x:v>
      </x:c>
      <x:c r="V69" s="704" t="str">
        <x:v>Belum Dinilai</x:v>
      </x:c>
      <x:c r="W69" s="704" t="str"/>
      <x:c r="X69" s="704" t="str">
        <x:f>IF(COUNTIF(R69:V69,"Belum Dinilai")&gt;0,"Belum Dinilai",IF(COUNTIF(R69:V69,"Ya")=0,"Tidak ada faktor rentan",TEXTJOIN(", ",TRUE,IF(R69="Ya","Lansia",""),IF(S69="Ya","Penyandang disabilitas",""),IF(T69="Ya","Kepala keluarga perempuan",""),IF(U69="Ya","Balita",""),IF(V69="Ya","Anggota keluarga dengan ketergantungan tinggi",""))))</x:f>
        <x:v>Belum Dinilai</x:v>
      </x:c>
      <x:c r="Y69" s="704" t="str">
        <x:f>IF(COUNTIF(R69:V69,"Belum Dinilai")&gt;0,"Belum Dinilai",IF(COUNTIF(R69:V69,"Ya")=0,"Tidak Ada Faktor Rentan",IF(COUNTIF(R69:V69,"Ya")=1,"1 Faktor Rentan","2 atau Lebih Faktor Rentan")))</x:f>
        <x:v>Belum Dinilai</x:v>
      </x:c>
      <x:c r="Z69" s="704" t="str">
        <x:f>IF(OR(Q69="",Q69="Belum Dinilai"),"",IF(Q69="Terverifikasi DTKS/P3KE/MBR",10,IF(Q69="Diusulkan, Belum Terverifikasi",5,0)))</x:f>
      </x:c>
      <x:c r="AA69" s="705" t="str">
        <x:f>IF(COUNTIF(R69:V69,"Belum Dinilai")&gt;0,"",IF(COUNTIF(R69:V69,"Ya")=0,0,IF(COUNTIF(R69:V69,"Ya")=1,5,10)))</x:f>
      </x:c>
      <x:c r="AB69" s="706" t="str">
        <x:f>IF(OR(Z69="",AA69=""),"",Z69+AA69)</x:f>
      </x:c>
      <x:c r="AC69" s="713" t="str">
        <x:v>Belum Dinilai</x:v>
      </x:c>
      <x:c r="AD69" s="713" t="str">
        <x:v>Belum Dinilai</x:v>
      </x:c>
      <x:c r="AE69" s="714" t="str">
        <x:v>Belum Dinilai</x:v>
      </x:c>
      <x:c r="AF69" s="713" t="str">
        <x:v>Belum Dinilai</x:v>
      </x:c>
      <x:c r="AG69" s="713" t="str">
        <x:v>Belum Dinilai</x:v>
      </x:c>
      <x:c r="AH69" s="715" t="str">
        <x:v>Belum Dinilai</x:v>
      </x:c>
      <x:c r="AI69" s="714" t="str">
        <x:v>Belum Dinilai</x:v>
      </x:c>
      <x:c r="AJ69" s="713" t="str">
        <x:v>Belum Dinilai</x:v>
      </x:c>
      <x:c r="AK69" s="715" t="str">
        <x:v>Belum Dinilai</x:v>
      </x:c>
      <x:c r="AL69" s="713" t="str"/>
      <x:c r="AM69" s="716" t="str">
        <x:v>Belum Dinilai</x:v>
      </x:c>
      <x:c r="AN69" s="716" t="str">
        <x:f>IF(AND(COUNTIF(AC69:AK69,"Ya")=0,AL69=""),IF(COUNTIF(AC69:AK69,"Belum Dinilai")&gt;0,"Belum Dinilai","Tidak ada risiko khusus"),TEXTJOIN(", ",TRUE,IF(AC69="Ya","Bangunan berpotensi roboh",""),IF(AD69="Ya","Bekas kebakaran dan tidak aman dihuni",""),IF(AE69="Ya","Atap atau dinding utama hampir runtuh",""),IF(AF69="Ya","Genangan yang membahayakan",""),IF(AG69="Ya","Struktur rumah tidak stabil",""),IF(AH69="Ya","Instalasi listrik berbahaya",""),IF(AI69="Ya","Komponen bangunan lepas atau lapuk",""),IF(AJ69="Ya","Akses keluar atau evakuasi terbatas",""),IF(AK69="Ya","Lokasi rawan bencana",""),IF(AL69&lt;&gt;"","Lainnya: "&amp;AL69,"")))</x:f>
        <x:v>Belum Dinilai</x:v>
      </x:c>
      <x:c r="AO69" s="716" t="str">
        <x:f>IF(AR69="","Belum Dinilai",IF(AR69=10,"Risiko Tinggi/Darurat",IF(AR69=5,"Risiko Sedang","Tidak Ada Risiko Khusus")))</x:f>
        <x:v>Belum Dinilai</x:v>
      </x:c>
      <x:c r="AP69" s="716" t="str"/>
      <x:c r="AQ69" s="719" t="str">
        <x:f>IF(OR(J69="",J69="Belum Dapat Ditentukan",L69="",L69="Belum Dinilai",N69="",N69="Belum Dinilai",P69="",P69="Belum Dinilai"),"",IF(J69="Permanen",0,IF(J69="Semipermanen",8,IF(J69="Nonpermanen",15,0)))+IF(L69="Baik",0,IF(L69="Rusak Ringan",5,IF(L69="Rusak Sedang",10,IF(L69="Rusak Berat",15,IF(L69="Tidak Ada/Terbuka",20,0)))))+IF(N69="Baik",0,IF(N69="Rusak Ringan",5,IF(N69="Rusak Sedang",10,IF(N69="Rusak Berat",15,IF(N69="Tidak Ada/Terbuka",20,0)))))+IF(P69="Baik",0,IF(P69="Rusak Ringan",4,IF(P69="Rusak Sedang",8,IF(P69="Rusak Berat",12,IF(P69="Tidak Layak",15,0))))))</x:f>
      </x:c>
      <x:c r="AR69" s="719" t="str">
        <x:f>IF(COUNTIF(AC69:AH69,"Ya")&gt;0,10,IF(COUNTIF(AI69:AK69,"Ya")&gt;=2,10,IF(COUNTIF(AI69:AK69,"Ya")=1,MAX(5,IF(AM69="Risiko Tinggi/Darurat",10,IF(AM69="Risiko Sedang",5,0))),IF(AL69&lt;&gt;"",IF(AM69="Risiko Tinggi/Darurat",10,IF(AM69="Risiko Sedang",5,"")),IF(COUNTIF(AC69:AK69,"Belum Dinilai")&gt;0,"",0)))))</x:f>
      </x:c>
      <x:c r="AS69" s="719" t="str">
        <x:f>IF(OR(AQ69="",AB69="",AR69=""),"",AQ69+AB69+AR69)</x:f>
      </x:c>
      <x:c r="AT69" s="719" t="str">
        <x:f>IF(AS69="","Belum Dapat Ditentukan",IF(AS69&gt;=80,"Sangat Tinggi",IF(OR(AO69="Risiko Tinggi/Darurat",(IF(L69="Rusak Berat",1,0)+IF(L69="Tidak Ada/Terbuka",1,0)+IF(N69="Rusak Berat",1,0)+IF(N69="Tidak Ada/Terbuka",1,0)+IF(P69="Rusak Berat",1,0)+IF(P69="Tidak Layak",1,0))&gt;=2),"Tinggi",IF(AS69&gt;=65,"Tinggi",IF(AS69&gt;=50,"Sedang","Rendah")))))</x:f>
        <x:v>Belum Dapat Ditentukan</x:v>
      </x:c>
      <x:c r="AU69" s="240" t="str">
        <x:v>Lengkap</x:v>
      </x:c>
      <x:c r="AV69" s="240" t="str">
        <x:v>Sudah Diverifikasi</x:v>
      </x:c>
      <x:c r="AW69" s="240" t="str">
        <x:v>Belum Ditangani</x:v>
      </x:c>
      <x:c r="AX69" s="240"/>
      <x:c r="AY69" s="240"/>
      <x:c r="AZ69" s="240" t="str">
        <x:v>Belum Diverifikasi</x:v>
      </x:c>
      <x:c r="BA69" s="240"/>
      <x:c r="BB69" s="240"/>
      <x:c r="BC69" s="240" t="n">
        <x:v>2026</x:v>
      </x:c>
      <x:c r="BD69" s="240" t="str">
        <x:v>Usulan Musrenbang/Pokir DPRD</x:v>
      </x:c>
      <x:c r="BE69" s="240" t="n">
        <x:v>46218</x:v>
      </x:c>
      <x:c r="BF69" s="240" t="str">
        <x:v>Dinas Perkim Kota Pangkalpinang</x:v>
      </x:c>
    </x:row>
    <x:row r="70" ht="32" customHeight="1">
      <x:c r="A70" s="314" t="str">
        <x:v>RTLH-0089</x:v>
      </x:c>
      <x:c r="B70" s="315" t="str">
        <x:v>NAMIWATI</x:v>
      </x:c>
      <x:c r="C70" s="316"/>
      <x:c r="D70" s="316"/>
      <x:c r="E70" s="315" t="str">
        <x:v>JL. NILA RAYA NO 153, RT/RW 005/003</x:v>
      </x:c>
      <x:c r="F70" s="315" t="str">
        <x:v>REJOSARI</x:v>
      </x:c>
      <x:c r="G70" s="315" t="str">
        <x:v>PANGKAL BALAM</x:v>
      </x:c>
      <x:c r="H70" s="315" t="str">
        <x:v>Peningkatan Kualitas</x:v>
      </x:c>
      <x:c r="I70" s="317" t="str">
        <x:v>DINDING SETENGAH BATA, ATAP GENTENG</x:v>
      </x:c>
      <x:c r="J70" s="315" t="str">
        <x:v>Permanen</x:v>
      </x:c>
      <x:c r="K70" s="315" t="str">
        <x:v>Genteng</x:v>
      </x:c>
      <x:c r="L70" s="315" t="str">
        <x:v>Belum Dinilai</x:v>
      </x:c>
      <x:c r="M70" s="367" t="str">
        <x:v>Bata/Batako Diplester</x:v>
      </x:c>
      <x:c r="N70" s="315" t="str">
        <x:v>Belum Dinilai</x:v>
      </x:c>
      <x:c r="O70" s="316" t="str">
        <x:v>Belum Diidentifikasi</x:v>
      </x:c>
      <x:c r="P70" s="349" t="str">
        <x:v>Belum Dinilai</x:v>
      </x:c>
      <x:c r="Q70" s="707" t="str">
        <x:v>Belum Dinilai</x:v>
      </x:c>
      <x:c r="R70" s="707" t="str">
        <x:v>Belum Dinilai</x:v>
      </x:c>
      <x:c r="S70" s="708" t="str">
        <x:v>Belum Dinilai</x:v>
      </x:c>
      <x:c r="T70" s="709" t="str">
        <x:v>Belum Dinilai</x:v>
      </x:c>
      <x:c r="U70" s="704" t="str">
        <x:v>Belum Dinilai</x:v>
      </x:c>
      <x:c r="V70" s="704" t="str">
        <x:v>Belum Dinilai</x:v>
      </x:c>
      <x:c r="W70" s="704" t="str"/>
      <x:c r="X70" s="704" t="str">
        <x:f>IF(COUNTIF(R70:V70,"Belum Dinilai")&gt;0,"Belum Dinilai",IF(COUNTIF(R70:V70,"Ya")=0,"Tidak ada faktor rentan",TEXTJOIN(", ",TRUE,IF(R70="Ya","Lansia",""),IF(S70="Ya","Penyandang disabilitas",""),IF(T70="Ya","Kepala keluarga perempuan",""),IF(U70="Ya","Balita",""),IF(V70="Ya","Anggota keluarga dengan ketergantungan tinggi",""))))</x:f>
        <x:v>Belum Dinilai</x:v>
      </x:c>
      <x:c r="Y70" s="704" t="str">
        <x:f>IF(COUNTIF(R70:V70,"Belum Dinilai")&gt;0,"Belum Dinilai",IF(COUNTIF(R70:V70,"Ya")=0,"Tidak Ada Faktor Rentan",IF(COUNTIF(R70:V70,"Ya")=1,"1 Faktor Rentan","2 atau Lebih Faktor Rentan")))</x:f>
        <x:v>Belum Dinilai</x:v>
      </x:c>
      <x:c r="Z70" s="704" t="str">
        <x:f>IF(OR(Q70="",Q70="Belum Dinilai"),"",IF(Q70="Terverifikasi DTKS/P3KE/MBR",10,IF(Q70="Diusulkan, Belum Terverifikasi",5,0)))</x:f>
      </x:c>
      <x:c r="AA70" s="705" t="str">
        <x:f>IF(COUNTIF(R70:V70,"Belum Dinilai")&gt;0,"",IF(COUNTIF(R70:V70,"Ya")=0,0,IF(COUNTIF(R70:V70,"Ya")=1,5,10)))</x:f>
      </x:c>
      <x:c r="AB70" s="706" t="str">
        <x:f>IF(OR(Z70="",AA70=""),"",Z70+AA70)</x:f>
      </x:c>
      <x:c r="AC70" s="713" t="str">
        <x:v>Belum Dinilai</x:v>
      </x:c>
      <x:c r="AD70" s="713" t="str">
        <x:v>Belum Dinilai</x:v>
      </x:c>
      <x:c r="AE70" s="714" t="str">
        <x:v>Belum Dinilai</x:v>
      </x:c>
      <x:c r="AF70" s="713" t="str">
        <x:v>Belum Dinilai</x:v>
      </x:c>
      <x:c r="AG70" s="713" t="str">
        <x:v>Belum Dinilai</x:v>
      </x:c>
      <x:c r="AH70" s="715" t="str">
        <x:v>Belum Dinilai</x:v>
      </x:c>
      <x:c r="AI70" s="714" t="str">
        <x:v>Belum Dinilai</x:v>
      </x:c>
      <x:c r="AJ70" s="713" t="str">
        <x:v>Belum Dinilai</x:v>
      </x:c>
      <x:c r="AK70" s="715" t="str">
        <x:v>Belum Dinilai</x:v>
      </x:c>
      <x:c r="AL70" s="713" t="str"/>
      <x:c r="AM70" s="716" t="str">
        <x:v>Belum Dinilai</x:v>
      </x:c>
      <x:c r="AN70" s="716" t="str">
        <x:f>IF(AND(COUNTIF(AC70:AK70,"Ya")=0,AL70=""),IF(COUNTIF(AC70:AK70,"Belum Dinilai")&gt;0,"Belum Dinilai","Tidak ada risiko khusus"),TEXTJOIN(", ",TRUE,IF(AC70="Ya","Bangunan berpotensi roboh",""),IF(AD70="Ya","Bekas kebakaran dan tidak aman dihuni",""),IF(AE70="Ya","Atap atau dinding utama hampir runtuh",""),IF(AF70="Ya","Genangan yang membahayakan",""),IF(AG70="Ya","Struktur rumah tidak stabil",""),IF(AH70="Ya","Instalasi listrik berbahaya",""),IF(AI70="Ya","Komponen bangunan lepas atau lapuk",""),IF(AJ70="Ya","Akses keluar atau evakuasi terbatas",""),IF(AK70="Ya","Lokasi rawan bencana",""),IF(AL70&lt;&gt;"","Lainnya: "&amp;AL70,"")))</x:f>
        <x:v>Belum Dinilai</x:v>
      </x:c>
      <x:c r="AO70" s="716" t="str">
        <x:f>IF(AR70="","Belum Dinilai",IF(AR70=10,"Risiko Tinggi/Darurat",IF(AR70=5,"Risiko Sedang","Tidak Ada Risiko Khusus")))</x:f>
        <x:v>Belum Dinilai</x:v>
      </x:c>
      <x:c r="AP70" s="716" t="str"/>
      <x:c r="AQ70" s="719" t="str">
        <x:f>IF(OR(J70="",J70="Belum Dapat Ditentukan",L70="",L70="Belum Dinilai",N70="",N70="Belum Dinilai",P70="",P70="Belum Dinilai"),"",IF(J70="Permanen",0,IF(J70="Semipermanen",8,IF(J70="Nonpermanen",15,0)))+IF(L70="Baik",0,IF(L70="Rusak Ringan",5,IF(L70="Rusak Sedang",10,IF(L70="Rusak Berat",15,IF(L70="Tidak Ada/Terbuka",20,0)))))+IF(N70="Baik",0,IF(N70="Rusak Ringan",5,IF(N70="Rusak Sedang",10,IF(N70="Rusak Berat",15,IF(N70="Tidak Ada/Terbuka",20,0)))))+IF(P70="Baik",0,IF(P70="Rusak Ringan",4,IF(P70="Rusak Sedang",8,IF(P70="Rusak Berat",12,IF(P70="Tidak Layak",15,0))))))</x:f>
      </x:c>
      <x:c r="AR70" s="719" t="str">
        <x:f>IF(COUNTIF(AC70:AH70,"Ya")&gt;0,10,IF(COUNTIF(AI70:AK70,"Ya")&gt;=2,10,IF(COUNTIF(AI70:AK70,"Ya")=1,MAX(5,IF(AM70="Risiko Tinggi/Darurat",10,IF(AM70="Risiko Sedang",5,0))),IF(AL70&lt;&gt;"",IF(AM70="Risiko Tinggi/Darurat",10,IF(AM70="Risiko Sedang",5,"")),IF(COUNTIF(AC70:AK70,"Belum Dinilai")&gt;0,"",0)))))</x:f>
      </x:c>
      <x:c r="AS70" s="719" t="str">
        <x:f>IF(OR(AQ70="",AB70="",AR70=""),"",AQ70+AB70+AR70)</x:f>
      </x:c>
      <x:c r="AT70" s="719" t="str">
        <x:f>IF(AS70="","Belum Dapat Ditentukan",IF(AS70&gt;=80,"Sangat Tinggi",IF(OR(AO70="Risiko Tinggi/Darurat",(IF(L70="Rusak Berat",1,0)+IF(L70="Tidak Ada/Terbuka",1,0)+IF(N70="Rusak Berat",1,0)+IF(N70="Tidak Ada/Terbuka",1,0)+IF(P70="Rusak Berat",1,0)+IF(P70="Tidak Layak",1,0))&gt;=2),"Tinggi",IF(AS70&gt;=65,"Tinggi",IF(AS70&gt;=50,"Sedang","Rendah")))))</x:f>
        <x:v>Belum Dapat Ditentukan</x:v>
      </x:c>
      <x:c r="AU70" s="240" t="str">
        <x:v>Lengkap</x:v>
      </x:c>
      <x:c r="AV70" s="240" t="str">
        <x:v>Sudah Diverifikasi</x:v>
      </x:c>
      <x:c r="AW70" s="240" t="str">
        <x:v>Belum Ditangani</x:v>
      </x:c>
      <x:c r="AX70" s="240"/>
      <x:c r="AY70" s="240"/>
      <x:c r="AZ70" s="240" t="str">
        <x:v>Belum Diverifikasi</x:v>
      </x:c>
      <x:c r="BA70" s="240"/>
      <x:c r="BB70" s="240"/>
      <x:c r="BC70" s="240" t="n">
        <x:v>2026</x:v>
      </x:c>
      <x:c r="BD70" s="240" t="str">
        <x:v>Usulan Musrenbang/Pokir DPRD</x:v>
      </x:c>
      <x:c r="BE70" s="240" t="n">
        <x:v>46218</x:v>
      </x:c>
      <x:c r="BF70" s="240" t="str">
        <x:v>Dinas Perkim Kota Pangkalpinang</x:v>
      </x:c>
    </x:row>
    <x:row r="71" ht="32" customHeight="1">
      <x:c r="A71" s="314" t="str">
        <x:v>RTLH-0090</x:v>
      </x:c>
      <x:c r="B71" s="315" t="str">
        <x:v>BUDI</x:v>
      </x:c>
      <x:c r="C71" s="316"/>
      <x:c r="D71" s="316"/>
      <x:c r="E71" s="315" t="str">
        <x:v>JL. BEDUKANG DALAM , RT/RW 002/001</x:v>
      </x:c>
      <x:c r="F71" s="315" t="str">
        <x:v>PASIR GARAM</x:v>
      </x:c>
      <x:c r="G71" s="315" t="str">
        <x:v>PANGKAL BALAM</x:v>
      </x:c>
      <x:c r="H71" s="315" t="str">
        <x:v>Peningkatan Kualitas</x:v>
      </x:c>
      <x:c r="I71" s="317" t="str">
        <x:v>RUMAH RUSAK SEDANG.DINDING PAPAN, LANTAIO PLASTER,ATAP SENG,</x:v>
      </x:c>
      <x:c r="J71" s="315" t="str">
        <x:v>Nonpermanen</x:v>
      </x:c>
      <x:c r="K71" s="315" t="str">
        <x:v>Seng</x:v>
      </x:c>
      <x:c r="L71" s="315" t="str">
        <x:v>Belum Dinilai</x:v>
      </x:c>
      <x:c r="M71" s="367" t="str">
        <x:v>Papan/Kayu</x:v>
      </x:c>
      <x:c r="N71" s="315" t="str">
        <x:v>Rusak Sedang</x:v>
      </x:c>
      <x:c r="O71" s="316" t="str">
        <x:v>Belum Diidentifikasi</x:v>
      </x:c>
      <x:c r="P71" s="349" t="str">
        <x:v>Rusak Sedang</x:v>
      </x:c>
      <x:c r="Q71" s="707" t="str">
        <x:v>Belum Dinilai</x:v>
      </x:c>
      <x:c r="R71" s="707" t="str">
        <x:v>Belum Dinilai</x:v>
      </x:c>
      <x:c r="S71" s="708" t="str">
        <x:v>Belum Dinilai</x:v>
      </x:c>
      <x:c r="T71" s="709" t="str">
        <x:v>Belum Dinilai</x:v>
      </x:c>
      <x:c r="U71" s="704" t="str">
        <x:v>Belum Dinilai</x:v>
      </x:c>
      <x:c r="V71" s="704" t="str">
        <x:v>Belum Dinilai</x:v>
      </x:c>
      <x:c r="W71" s="704" t="str"/>
      <x:c r="X71" s="704" t="str">
        <x:f>IF(COUNTIF(R71:V71,"Belum Dinilai")&gt;0,"Belum Dinilai",IF(COUNTIF(R71:V71,"Ya")=0,"Tidak ada faktor rentan",TEXTJOIN(", ",TRUE,IF(R71="Ya","Lansia",""),IF(S71="Ya","Penyandang disabilitas",""),IF(T71="Ya","Kepala keluarga perempuan",""),IF(U71="Ya","Balita",""),IF(V71="Ya","Anggota keluarga dengan ketergantungan tinggi",""))))</x:f>
        <x:v>Belum Dinilai</x:v>
      </x:c>
      <x:c r="Y71" s="704" t="str">
        <x:f>IF(COUNTIF(R71:V71,"Belum Dinilai")&gt;0,"Belum Dinilai",IF(COUNTIF(R71:V71,"Ya")=0,"Tidak Ada Faktor Rentan",IF(COUNTIF(R71:V71,"Ya")=1,"1 Faktor Rentan","2 atau Lebih Faktor Rentan")))</x:f>
        <x:v>Belum Dinilai</x:v>
      </x:c>
      <x:c r="Z71" s="704" t="str">
        <x:f>IF(OR(Q71="",Q71="Belum Dinilai"),"",IF(Q71="Terverifikasi DTKS/P3KE/MBR",10,IF(Q71="Diusulkan, Belum Terverifikasi",5,0)))</x:f>
      </x:c>
      <x:c r="AA71" s="705" t="str">
        <x:f>IF(COUNTIF(R71:V71,"Belum Dinilai")&gt;0,"",IF(COUNTIF(R71:V71,"Ya")=0,0,IF(COUNTIF(R71:V71,"Ya")=1,5,10)))</x:f>
      </x:c>
      <x:c r="AB71" s="706" t="str">
        <x:f>IF(OR(Z71="",AA71=""),"",Z71+AA71)</x:f>
      </x:c>
      <x:c r="AC71" s="713" t="str">
        <x:v>Belum Dinilai</x:v>
      </x:c>
      <x:c r="AD71" s="713" t="str">
        <x:v>Belum Dinilai</x:v>
      </x:c>
      <x:c r="AE71" s="714" t="str">
        <x:v>Belum Dinilai</x:v>
      </x:c>
      <x:c r="AF71" s="713" t="str">
        <x:v>Belum Dinilai</x:v>
      </x:c>
      <x:c r="AG71" s="713" t="str">
        <x:v>Belum Dinilai</x:v>
      </x:c>
      <x:c r="AH71" s="715" t="str">
        <x:v>Belum Dinilai</x:v>
      </x:c>
      <x:c r="AI71" s="714" t="str">
        <x:v>Belum Dinilai</x:v>
      </x:c>
      <x:c r="AJ71" s="713" t="str">
        <x:v>Belum Dinilai</x:v>
      </x:c>
      <x:c r="AK71" s="715" t="str">
        <x:v>Belum Dinilai</x:v>
      </x:c>
      <x:c r="AL71" s="713" t="str"/>
      <x:c r="AM71" s="716" t="str">
        <x:v>Belum Dinilai</x:v>
      </x:c>
      <x:c r="AN71" s="716" t="str">
        <x:f>IF(AND(COUNTIF(AC71:AK71,"Ya")=0,AL71=""),IF(COUNTIF(AC71:AK71,"Belum Dinilai")&gt;0,"Belum Dinilai","Tidak ada risiko khusus"),TEXTJOIN(", ",TRUE,IF(AC71="Ya","Bangunan berpotensi roboh",""),IF(AD71="Ya","Bekas kebakaran dan tidak aman dihuni",""),IF(AE71="Ya","Atap atau dinding utama hampir runtuh",""),IF(AF71="Ya","Genangan yang membahayakan",""),IF(AG71="Ya","Struktur rumah tidak stabil",""),IF(AH71="Ya","Instalasi listrik berbahaya",""),IF(AI71="Ya","Komponen bangunan lepas atau lapuk",""),IF(AJ71="Ya","Akses keluar atau evakuasi terbatas",""),IF(AK71="Ya","Lokasi rawan bencana",""),IF(AL71&lt;&gt;"","Lainnya: "&amp;AL71,"")))</x:f>
        <x:v>Belum Dinilai</x:v>
      </x:c>
      <x:c r="AO71" s="716" t="str">
        <x:f>IF(AR71="","Belum Dinilai",IF(AR71=10,"Risiko Tinggi/Darurat",IF(AR71=5,"Risiko Sedang","Tidak Ada Risiko Khusus")))</x:f>
        <x:v>Belum Dinilai</x:v>
      </x:c>
      <x:c r="AP71" s="716" t="str"/>
      <x:c r="AQ71" s="719" t="str">
        <x:f>IF(OR(J71="",J71="Belum Dapat Ditentukan",L71="",L71="Belum Dinilai",N71="",N71="Belum Dinilai",P71="",P71="Belum Dinilai"),"",IF(J71="Permanen",0,IF(J71="Semipermanen",8,IF(J71="Nonpermanen",15,0)))+IF(L71="Baik",0,IF(L71="Rusak Ringan",5,IF(L71="Rusak Sedang",10,IF(L71="Rusak Berat",15,IF(L71="Tidak Ada/Terbuka",20,0)))))+IF(N71="Baik",0,IF(N71="Rusak Ringan",5,IF(N71="Rusak Sedang",10,IF(N71="Rusak Berat",15,IF(N71="Tidak Ada/Terbuka",20,0)))))+IF(P71="Baik",0,IF(P71="Rusak Ringan",4,IF(P71="Rusak Sedang",8,IF(P71="Rusak Berat",12,IF(P71="Tidak Layak",15,0))))))</x:f>
      </x:c>
      <x:c r="AR71" s="719" t="str">
        <x:f>IF(COUNTIF(AC71:AH71,"Ya")&gt;0,10,IF(COUNTIF(AI71:AK71,"Ya")&gt;=2,10,IF(COUNTIF(AI71:AK71,"Ya")=1,MAX(5,IF(AM71="Risiko Tinggi/Darurat",10,IF(AM71="Risiko Sedang",5,0))),IF(AL71&lt;&gt;"",IF(AM71="Risiko Tinggi/Darurat",10,IF(AM71="Risiko Sedang",5,"")),IF(COUNTIF(AC71:AK71,"Belum Dinilai")&gt;0,"",0)))))</x:f>
      </x:c>
      <x:c r="AS71" s="719" t="str">
        <x:f>IF(OR(AQ71="",AB71="",AR71=""),"",AQ71+AB71+AR71)</x:f>
      </x:c>
      <x:c r="AT71" s="719" t="str">
        <x:f>IF(AS71="","Belum Dapat Ditentukan",IF(AS71&gt;=80,"Sangat Tinggi",IF(OR(AO71="Risiko Tinggi/Darurat",(IF(L71="Rusak Berat",1,0)+IF(L71="Tidak Ada/Terbuka",1,0)+IF(N71="Rusak Berat",1,0)+IF(N71="Tidak Ada/Terbuka",1,0)+IF(P71="Rusak Berat",1,0)+IF(P71="Tidak Layak",1,0))&gt;=2),"Tinggi",IF(AS71&gt;=65,"Tinggi",IF(AS71&gt;=50,"Sedang","Rendah")))))</x:f>
        <x:v>Belum Dapat Ditentukan</x:v>
      </x:c>
      <x:c r="AU71" s="240" t="str">
        <x:v>Lengkap</x:v>
      </x:c>
      <x:c r="AV71" s="240" t="str">
        <x:v>Sudah Diverifikasi</x:v>
      </x:c>
      <x:c r="AW71" s="240" t="str">
        <x:v>Selesai</x:v>
      </x:c>
      <x:c r="AX71" s="240" t="str">
        <x:v>APBD Kota</x:v>
      </x:c>
      <x:c r="AY71" s="240" t="n">
        <x:v>2024</x:v>
      </x:c>
      <x:c r="AZ71" s="240" t="str">
        <x:v>Belum Diverifikasi</x:v>
      </x:c>
      <x:c r="BA71" s="240"/>
      <x:c r="BB71" s="240"/>
      <x:c r="BC71" s="240" t="n">
        <x:v>2026</x:v>
      </x:c>
      <x:c r="BD71" s="240" t="str">
        <x:v>Usulan Musrenbang/Pokir DPRD</x:v>
      </x:c>
      <x:c r="BE71" s="240" t="n">
        <x:v>46218</x:v>
      </x:c>
      <x:c r="BF71" s="240" t="str">
        <x:v>Dinas Perkim Kota Pangkalpinang</x:v>
      </x:c>
    </x:row>
    <x:row r="72" ht="32" customHeight="1">
      <x:c r="A72" s="314" t="str">
        <x:v>RTLH-0091</x:v>
      </x:c>
      <x:c r="B72" s="315" t="str">
        <x:v>ROZALI</x:v>
      </x:c>
      <x:c r="C72" s="316"/>
      <x:c r="D72" s="316"/>
      <x:c r="E72" s="315" t="str">
        <x:v>JL. SUMEDANG , RT/RW 002/001</x:v>
      </x:c>
      <x:c r="F72" s="315" t="str">
        <x:v>KEJAKSAAN</x:v>
      </x:c>
      <x:c r="G72" s="315" t="str">
        <x:v>TAMAN SARI</x:v>
      </x:c>
      <x:c r="H72" s="315" t="str">
        <x:v>Peningkatan Kualitas</x:v>
      </x:c>
      <x:c r="I72" s="317" t="str">
        <x:v>RUMAH RUSAK SEDANG,ATAP SENG.DINDING BETON.LANTAI EKRAMIK.</x:v>
      </x:c>
      <x:c r="J72" s="315" t="str">
        <x:v>Permanen</x:v>
      </x:c>
      <x:c r="K72" s="315" t="str">
        <x:v>Seng</x:v>
      </x:c>
      <x:c r="L72" s="315" t="str">
        <x:v>Rusak Sedang</x:v>
      </x:c>
      <x:c r="M72" s="367" t="str">
        <x:v>Beton</x:v>
      </x:c>
      <x:c r="N72" s="315" t="str">
        <x:v>Rusak Sedang</x:v>
      </x:c>
      <x:c r="O72" s="316" t="str">
        <x:v>Belum Diidentifikasi</x:v>
      </x:c>
      <x:c r="P72" s="349" t="str">
        <x:v>Rusak Sedang</x:v>
      </x:c>
      <x:c r="Q72" s="707" t="str">
        <x:v>Belum Dinilai</x:v>
      </x:c>
      <x:c r="R72" s="707" t="str">
        <x:v>Belum Dinilai</x:v>
      </x:c>
      <x:c r="S72" s="708" t="str">
        <x:v>Belum Dinilai</x:v>
      </x:c>
      <x:c r="T72" s="709" t="str">
        <x:v>Belum Dinilai</x:v>
      </x:c>
      <x:c r="U72" s="704" t="str">
        <x:v>Belum Dinilai</x:v>
      </x:c>
      <x:c r="V72" s="704" t="str">
        <x:v>Belum Dinilai</x:v>
      </x:c>
      <x:c r="W72" s="704" t="str"/>
      <x:c r="X72" s="704" t="str">
        <x:f>IF(COUNTIF(R72:V72,"Belum Dinilai")&gt;0,"Belum Dinilai",IF(COUNTIF(R72:V72,"Ya")=0,"Tidak ada faktor rentan",TEXTJOIN(", ",TRUE,IF(R72="Ya","Lansia",""),IF(S72="Ya","Penyandang disabilitas",""),IF(T72="Ya","Kepala keluarga perempuan",""),IF(U72="Ya","Balita",""),IF(V72="Ya","Anggota keluarga dengan ketergantungan tinggi",""))))</x:f>
        <x:v>Belum Dinilai</x:v>
      </x:c>
      <x:c r="Y72" s="704" t="str">
        <x:f>IF(COUNTIF(R72:V72,"Belum Dinilai")&gt;0,"Belum Dinilai",IF(COUNTIF(R72:V72,"Ya")=0,"Tidak Ada Faktor Rentan",IF(COUNTIF(R72:V72,"Ya")=1,"1 Faktor Rentan","2 atau Lebih Faktor Rentan")))</x:f>
        <x:v>Belum Dinilai</x:v>
      </x:c>
      <x:c r="Z72" s="704" t="str">
        <x:f>IF(OR(Q72="",Q72="Belum Dinilai"),"",IF(Q72="Terverifikasi DTKS/P3KE/MBR",10,IF(Q72="Diusulkan, Belum Terverifikasi",5,0)))</x:f>
      </x:c>
      <x:c r="AA72" s="705" t="str">
        <x:f>IF(COUNTIF(R72:V72,"Belum Dinilai")&gt;0,"",IF(COUNTIF(R72:V72,"Ya")=0,0,IF(COUNTIF(R72:V72,"Ya")=1,5,10)))</x:f>
      </x:c>
      <x:c r="AB72" s="706" t="str">
        <x:f>IF(OR(Z72="",AA72=""),"",Z72+AA72)</x:f>
      </x:c>
      <x:c r="AC72" s="713" t="str">
        <x:v>Belum Dinilai</x:v>
      </x:c>
      <x:c r="AD72" s="713" t="str">
        <x:v>Belum Dinilai</x:v>
      </x:c>
      <x:c r="AE72" s="714" t="str">
        <x:v>Belum Dinilai</x:v>
      </x:c>
      <x:c r="AF72" s="713" t="str">
        <x:v>Belum Dinilai</x:v>
      </x:c>
      <x:c r="AG72" s="713" t="str">
        <x:v>Belum Dinilai</x:v>
      </x:c>
      <x:c r="AH72" s="715" t="str">
        <x:v>Belum Dinilai</x:v>
      </x:c>
      <x:c r="AI72" s="714" t="str">
        <x:v>Belum Dinilai</x:v>
      </x:c>
      <x:c r="AJ72" s="713" t="str">
        <x:v>Belum Dinilai</x:v>
      </x:c>
      <x:c r="AK72" s="715" t="str">
        <x:v>Belum Dinilai</x:v>
      </x:c>
      <x:c r="AL72" s="713" t="str"/>
      <x:c r="AM72" s="716" t="str">
        <x:v>Belum Dinilai</x:v>
      </x:c>
      <x:c r="AN72" s="716" t="str">
        <x:f>IF(AND(COUNTIF(AC72:AK72,"Ya")=0,AL72=""),IF(COUNTIF(AC72:AK72,"Belum Dinilai")&gt;0,"Belum Dinilai","Tidak ada risiko khusus"),TEXTJOIN(", ",TRUE,IF(AC72="Ya","Bangunan berpotensi roboh",""),IF(AD72="Ya","Bekas kebakaran dan tidak aman dihuni",""),IF(AE72="Ya","Atap atau dinding utama hampir runtuh",""),IF(AF72="Ya","Genangan yang membahayakan",""),IF(AG72="Ya","Struktur rumah tidak stabil",""),IF(AH72="Ya","Instalasi listrik berbahaya",""),IF(AI72="Ya","Komponen bangunan lepas atau lapuk",""),IF(AJ72="Ya","Akses keluar atau evakuasi terbatas",""),IF(AK72="Ya","Lokasi rawan bencana",""),IF(AL72&lt;&gt;"","Lainnya: "&amp;AL72,"")))</x:f>
        <x:v>Belum Dinilai</x:v>
      </x:c>
      <x:c r="AO72" s="716" t="str">
        <x:f>IF(AR72="","Belum Dinilai",IF(AR72=10,"Risiko Tinggi/Darurat",IF(AR72=5,"Risiko Sedang","Tidak Ada Risiko Khusus")))</x:f>
        <x:v>Belum Dinilai</x:v>
      </x:c>
      <x:c r="AP72" s="716" t="str"/>
      <x:c r="AQ72" s="719" t="n">
        <x:f>IF(OR(J72="",J72="Belum Dapat Ditentukan",L72="",L72="Belum Dinilai",N72="",N72="Belum Dinilai",P72="",P72="Belum Dinilai"),"",IF(J72="Permanen",0,IF(J72="Semipermanen",8,IF(J72="Nonpermanen",15,0)))+IF(L72="Baik",0,IF(L72="Rusak Ringan",5,IF(L72="Rusak Sedang",10,IF(L72="Rusak Berat",15,IF(L72="Tidak Ada/Terbuka",20,0)))))+IF(N72="Baik",0,IF(N72="Rusak Ringan",5,IF(N72="Rusak Sedang",10,IF(N72="Rusak Berat",15,IF(N72="Tidak Ada/Terbuka",20,0)))))+IF(P72="Baik",0,IF(P72="Rusak Ringan",4,IF(P72="Rusak Sedang",8,IF(P72="Rusak Berat",12,IF(P72="Tidak Layak",15,0))))))</x:f>
        <x:v>28</x:v>
      </x:c>
      <x:c r="AR72" s="719" t="str">
        <x:f>IF(COUNTIF(AC72:AH72,"Ya")&gt;0,10,IF(COUNTIF(AI72:AK72,"Ya")&gt;=2,10,IF(COUNTIF(AI72:AK72,"Ya")=1,MAX(5,IF(AM72="Risiko Tinggi/Darurat",10,IF(AM72="Risiko Sedang",5,0))),IF(AL72&lt;&gt;"",IF(AM72="Risiko Tinggi/Darurat",10,IF(AM72="Risiko Sedang",5,"")),IF(COUNTIF(AC72:AK72,"Belum Dinilai")&gt;0,"",0)))))</x:f>
      </x:c>
      <x:c r="AS72" s="719" t="str">
        <x:f>IF(OR(AQ72="",AB72="",AR72=""),"",AQ72+AB72+AR72)</x:f>
      </x:c>
      <x:c r="AT72" s="719" t="str">
        <x:f>IF(AS72="","Belum Dapat Ditentukan",IF(AS72&gt;=80,"Sangat Tinggi",IF(OR(AO72="Risiko Tinggi/Darurat",(IF(L72="Rusak Berat",1,0)+IF(L72="Tidak Ada/Terbuka",1,0)+IF(N72="Rusak Berat",1,0)+IF(N72="Tidak Ada/Terbuka",1,0)+IF(P72="Rusak Berat",1,0)+IF(P72="Tidak Layak",1,0))&gt;=2),"Tinggi",IF(AS72&gt;=65,"Tinggi",IF(AS72&gt;=50,"Sedang","Rendah")))))</x:f>
        <x:v>Belum Dapat Ditentukan</x:v>
      </x:c>
      <x:c r="AU72" s="240" t="str">
        <x:v>Lengkap</x:v>
      </x:c>
      <x:c r="AV72" s="240" t="str">
        <x:v>Sudah Diverifikasi</x:v>
      </x:c>
      <x:c r="AW72" s="240" t="str">
        <x:v>Belum Ditangani</x:v>
      </x:c>
      <x:c r="AX72" s="240"/>
      <x:c r="AY72" s="240"/>
      <x:c r="AZ72" s="240" t="str">
        <x:v>Belum Diverifikasi</x:v>
      </x:c>
      <x:c r="BA72" s="240"/>
      <x:c r="BB72" s="240"/>
      <x:c r="BC72" s="240" t="n">
        <x:v>2026</x:v>
      </x:c>
      <x:c r="BD72" s="240" t="str">
        <x:v>Usulan Musrenbang/Pokir DPRD</x:v>
      </x:c>
      <x:c r="BE72" s="240" t="n">
        <x:v>46218</x:v>
      </x:c>
      <x:c r="BF72" s="240" t="str">
        <x:v>Dinas Perkim Kota Pangkalpinang</x:v>
      </x:c>
    </x:row>
    <x:row r="73" ht="32" customHeight="1">
      <x:c r="A73" s="314" t="str">
        <x:v>RTLH-0092</x:v>
      </x:c>
      <x:c r="B73" s="315" t="str">
        <x:v>ACHMAD HASIBIN</x:v>
      </x:c>
      <x:c r="C73" s="316"/>
      <x:c r="D73" s="316"/>
      <x:c r="E73" s="315" t="str">
        <x:v>JL.DELIMA SIAM IV RT/RW . 005/002</x:v>
      </x:c>
      <x:c r="F73" s="315" t="str">
        <x:v>SRIWIJAYA</x:v>
      </x:c>
      <x:c r="G73" s="315" t="str">
        <x:v>GIRIMAYA</x:v>
      </x:c>
      <x:c r="H73" s="315" t="str">
        <x:v>Peningkatan Kualitas</x:v>
      </x:c>
      <x:c r="I73" s="317" t="str">
        <x:v>RUMAH BANTUAN DARI DINSOS (10 THN LALU), ATAP BOCOR, DINDING RETAK,LANTAI FLOOR, YBS SEKARANG TINGGAL DI RUMAH SAUDARA</x:v>
      </x:c>
      <x:c r="J73" s="315" t="str">
        <x:v>Belum Dapat Ditentukan</x:v>
      </x:c>
      <x:c r="K73" s="315" t="str">
        <x:v>Belum Diidentifikasi</x:v>
      </x:c>
      <x:c r="L73" s="315" t="str">
        <x:v>Rusak Ringan</x:v>
      </x:c>
      <x:c r="M73" s="367" t="str">
        <x:v>Belum Diidentifikasi</x:v>
      </x:c>
      <x:c r="N73" s="315" t="str">
        <x:v>Belum Dinilai</x:v>
      </x:c>
      <x:c r="O73" s="316" t="str">
        <x:v>Semen/Plester</x:v>
      </x:c>
      <x:c r="P73" s="349" t="str">
        <x:v>Belum Dinilai</x:v>
      </x:c>
      <x:c r="Q73" s="707" t="str">
        <x:v>Belum Dinilai</x:v>
      </x:c>
      <x:c r="R73" s="707" t="str">
        <x:v>Belum Dinilai</x:v>
      </x:c>
      <x:c r="S73" s="708" t="str">
        <x:v>Belum Dinilai</x:v>
      </x:c>
      <x:c r="T73" s="709" t="str">
        <x:v>Belum Dinilai</x:v>
      </x:c>
      <x:c r="U73" s="704" t="str">
        <x:v>Belum Dinilai</x:v>
      </x:c>
      <x:c r="V73" s="704" t="str">
        <x:v>Belum Dinilai</x:v>
      </x:c>
      <x:c r="W73" s="704" t="str"/>
      <x:c r="X73" s="704" t="str">
        <x:f>IF(COUNTIF(R73:V73,"Belum Dinilai")&gt;0,"Belum Dinilai",IF(COUNTIF(R73:V73,"Ya")=0,"Tidak ada faktor rentan",TEXTJOIN(", ",TRUE,IF(R73="Ya","Lansia",""),IF(S73="Ya","Penyandang disabilitas",""),IF(T73="Ya","Kepala keluarga perempuan",""),IF(U73="Ya","Balita",""),IF(V73="Ya","Anggota keluarga dengan ketergantungan tinggi",""))))</x:f>
        <x:v>Belum Dinilai</x:v>
      </x:c>
      <x:c r="Y73" s="704" t="str">
        <x:f>IF(COUNTIF(R73:V73,"Belum Dinilai")&gt;0,"Belum Dinilai",IF(COUNTIF(R73:V73,"Ya")=0,"Tidak Ada Faktor Rentan",IF(COUNTIF(R73:V73,"Ya")=1,"1 Faktor Rentan","2 atau Lebih Faktor Rentan")))</x:f>
        <x:v>Belum Dinilai</x:v>
      </x:c>
      <x:c r="Z73" s="704" t="str">
        <x:f>IF(OR(Q73="",Q73="Belum Dinilai"),"",IF(Q73="Terverifikasi DTKS/P3KE/MBR",10,IF(Q73="Diusulkan, Belum Terverifikasi",5,0)))</x:f>
      </x:c>
      <x:c r="AA73" s="705" t="str">
        <x:f>IF(COUNTIF(R73:V73,"Belum Dinilai")&gt;0,"",IF(COUNTIF(R73:V73,"Ya")=0,0,IF(COUNTIF(R73:V73,"Ya")=1,5,10)))</x:f>
      </x:c>
      <x:c r="AB73" s="706" t="str">
        <x:f>IF(OR(Z73="",AA73=""),"",Z73+AA73)</x:f>
      </x:c>
      <x:c r="AC73" s="713" t="str">
        <x:v>Belum Dinilai</x:v>
      </x:c>
      <x:c r="AD73" s="713" t="str">
        <x:v>Belum Dinilai</x:v>
      </x:c>
      <x:c r="AE73" s="714" t="str">
        <x:v>Belum Dinilai</x:v>
      </x:c>
      <x:c r="AF73" s="713" t="str">
        <x:v>Belum Dinilai</x:v>
      </x:c>
      <x:c r="AG73" s="713" t="str">
        <x:v>Belum Dinilai</x:v>
      </x:c>
      <x:c r="AH73" s="715" t="str">
        <x:v>Belum Dinilai</x:v>
      </x:c>
      <x:c r="AI73" s="714" t="str">
        <x:v>Belum Dinilai</x:v>
      </x:c>
      <x:c r="AJ73" s="713" t="str">
        <x:v>Belum Dinilai</x:v>
      </x:c>
      <x:c r="AK73" s="715" t="str">
        <x:v>Belum Dinilai</x:v>
      </x:c>
      <x:c r="AL73" s="713" t="str"/>
      <x:c r="AM73" s="716" t="str">
        <x:v>Belum Dinilai</x:v>
      </x:c>
      <x:c r="AN73" s="716" t="str">
        <x:f>IF(AND(COUNTIF(AC73:AK73,"Ya")=0,AL73=""),IF(COUNTIF(AC73:AK73,"Belum Dinilai")&gt;0,"Belum Dinilai","Tidak ada risiko khusus"),TEXTJOIN(", ",TRUE,IF(AC73="Ya","Bangunan berpotensi roboh",""),IF(AD73="Ya","Bekas kebakaran dan tidak aman dihuni",""),IF(AE73="Ya","Atap atau dinding utama hampir runtuh",""),IF(AF73="Ya","Genangan yang membahayakan",""),IF(AG73="Ya","Struktur rumah tidak stabil",""),IF(AH73="Ya","Instalasi listrik berbahaya",""),IF(AI73="Ya","Komponen bangunan lepas atau lapuk",""),IF(AJ73="Ya","Akses keluar atau evakuasi terbatas",""),IF(AK73="Ya","Lokasi rawan bencana",""),IF(AL73&lt;&gt;"","Lainnya: "&amp;AL73,"")))</x:f>
        <x:v>Belum Dinilai</x:v>
      </x:c>
      <x:c r="AO73" s="716" t="str">
        <x:f>IF(AR73="","Belum Dinilai",IF(AR73=10,"Risiko Tinggi/Darurat",IF(AR73=5,"Risiko Sedang","Tidak Ada Risiko Khusus")))</x:f>
        <x:v>Belum Dinilai</x:v>
      </x:c>
      <x:c r="AP73" s="716" t="str"/>
      <x:c r="AQ73" s="719" t="str">
        <x:f>IF(OR(J73="",J73="Belum Dapat Ditentukan",L73="",L73="Belum Dinilai",N73="",N73="Belum Dinilai",P73="",P73="Belum Dinilai"),"",IF(J73="Permanen",0,IF(J73="Semipermanen",8,IF(J73="Nonpermanen",15,0)))+IF(L73="Baik",0,IF(L73="Rusak Ringan",5,IF(L73="Rusak Sedang",10,IF(L73="Rusak Berat",15,IF(L73="Tidak Ada/Terbuka",20,0)))))+IF(N73="Baik",0,IF(N73="Rusak Ringan",5,IF(N73="Rusak Sedang",10,IF(N73="Rusak Berat",15,IF(N73="Tidak Ada/Terbuka",20,0)))))+IF(P73="Baik",0,IF(P73="Rusak Ringan",4,IF(P73="Rusak Sedang",8,IF(P73="Rusak Berat",12,IF(P73="Tidak Layak",15,0))))))</x:f>
      </x:c>
      <x:c r="AR73" s="719" t="str">
        <x:f>IF(COUNTIF(AC73:AH73,"Ya")&gt;0,10,IF(COUNTIF(AI73:AK73,"Ya")&gt;=2,10,IF(COUNTIF(AI73:AK73,"Ya")=1,MAX(5,IF(AM73="Risiko Tinggi/Darurat",10,IF(AM73="Risiko Sedang",5,0))),IF(AL73&lt;&gt;"",IF(AM73="Risiko Tinggi/Darurat",10,IF(AM73="Risiko Sedang",5,"")),IF(COUNTIF(AC73:AK73,"Belum Dinilai")&gt;0,"",0)))))</x:f>
      </x:c>
      <x:c r="AS73" s="719" t="str">
        <x:f>IF(OR(AQ73="",AB73="",AR73=""),"",AQ73+AB73+AR73)</x:f>
      </x:c>
      <x:c r="AT73" s="719" t="str">
        <x:f>IF(AS73="","Belum Dapat Ditentukan",IF(AS73&gt;=80,"Sangat Tinggi",IF(OR(AO73="Risiko Tinggi/Darurat",(IF(L73="Rusak Berat",1,0)+IF(L73="Tidak Ada/Terbuka",1,0)+IF(N73="Rusak Berat",1,0)+IF(N73="Tidak Ada/Terbuka",1,0)+IF(P73="Rusak Berat",1,0)+IF(P73="Tidak Layak",1,0))&gt;=2),"Tinggi",IF(AS73&gt;=65,"Tinggi",IF(AS73&gt;=50,"Sedang","Rendah")))))</x:f>
        <x:v>Belum Dapat Ditentukan</x:v>
      </x:c>
      <x:c r="AU73" s="240" t="str">
        <x:v>Lengkap</x:v>
      </x:c>
      <x:c r="AV73" s="240" t="str">
        <x:v>Sudah Diverifikasi</x:v>
      </x:c>
      <x:c r="AW73" s="240" t="str">
        <x:v>Belum Ditangani</x:v>
      </x:c>
      <x:c r="AX73" s="240"/>
      <x:c r="AY73" s="240"/>
      <x:c r="AZ73" s="240" t="str">
        <x:v>Kepemilikan Keluarga</x:v>
      </x:c>
      <x:c r="BA73" s="240"/>
      <x:c r="BB73" s="240"/>
      <x:c r="BC73" s="240" t="n">
        <x:v>2026</x:v>
      </x:c>
      <x:c r="BD73" s="240" t="str">
        <x:v>Usulan Musrenbang/Pokir DPRD</x:v>
      </x:c>
      <x:c r="BE73" s="240" t="n">
        <x:v>46218</x:v>
      </x:c>
      <x:c r="BF73" s="240" t="str">
        <x:v>Dinas Perkim Kota Pangkalpinang</x:v>
      </x:c>
    </x:row>
    <x:row r="74" ht="32" customHeight="1">
      <x:c r="A74" s="314" t="str">
        <x:v>RTLH-0093</x:v>
      </x:c>
      <x:c r="B74" s="315" t="str">
        <x:v>ROSIAH</x:v>
      </x:c>
      <x:c r="C74" s="316"/>
      <x:c r="D74" s="316"/>
      <x:c r="E74" s="315" t="str">
        <x:v>GG, MUTIARA II</x:v>
      </x:c>
      <x:c r="F74" s="315" t="str">
        <x:v>BUKIT BESAR</x:v>
      </x:c>
      <x:c r="G74" s="315" t="str">
        <x:v>GIRIMAYA</x:v>
      </x:c>
      <x:c r="H74" s="315" t="str">
        <x:v>Pembangunan Baru</x:v>
      </x:c>
      <x:c r="I74" s="317" t="str">
        <x:v>RUMAH FULL PAPAN, DINDING RUSAK BERAT, ATAP SENG RUSAK RINGAN, RUMAH BAGI DUA DENGAN SAUDARA</x:v>
      </x:c>
      <x:c r="J74" s="315" t="str">
        <x:v>Nonpermanen</x:v>
      </x:c>
      <x:c r="K74" s="315" t="str">
        <x:v>Seng</x:v>
      </x:c>
      <x:c r="L74" s="315" t="str">
        <x:v>Rusak Berat</x:v>
      </x:c>
      <x:c r="M74" s="367" t="str">
        <x:v>Papan/Kayu</x:v>
      </x:c>
      <x:c r="N74" s="315" t="str">
        <x:v>Rusak Berat</x:v>
      </x:c>
      <x:c r="O74" s="316" t="str">
        <x:v>Belum Diidentifikasi</x:v>
      </x:c>
      <x:c r="P74" s="349" t="str">
        <x:v>Belum Dinilai</x:v>
      </x:c>
      <x:c r="Q74" s="707" t="str">
        <x:v>Belum Dinilai</x:v>
      </x:c>
      <x:c r="R74" s="707" t="str">
        <x:v>Belum Dinilai</x:v>
      </x:c>
      <x:c r="S74" s="708" t="str">
        <x:v>Belum Dinilai</x:v>
      </x:c>
      <x:c r="T74" s="709" t="str">
        <x:v>Belum Dinilai</x:v>
      </x:c>
      <x:c r="U74" s="704" t="str">
        <x:v>Belum Dinilai</x:v>
      </x:c>
      <x:c r="V74" s="704" t="str">
        <x:v>Belum Dinilai</x:v>
      </x:c>
      <x:c r="W74" s="704" t="str"/>
      <x:c r="X74" s="704" t="str">
        <x:f>IF(COUNTIF(R74:V74,"Belum Dinilai")&gt;0,"Belum Dinilai",IF(COUNTIF(R74:V74,"Ya")=0,"Tidak ada faktor rentan",TEXTJOIN(", ",TRUE,IF(R74="Ya","Lansia",""),IF(S74="Ya","Penyandang disabilitas",""),IF(T74="Ya","Kepala keluarga perempuan",""),IF(U74="Ya","Balita",""),IF(V74="Ya","Anggota keluarga dengan ketergantungan tinggi",""))))</x:f>
        <x:v>Belum Dinilai</x:v>
      </x:c>
      <x:c r="Y74" s="704" t="str">
        <x:f>IF(COUNTIF(R74:V74,"Belum Dinilai")&gt;0,"Belum Dinilai",IF(COUNTIF(R74:V74,"Ya")=0,"Tidak Ada Faktor Rentan",IF(COUNTIF(R74:V74,"Ya")=1,"1 Faktor Rentan","2 atau Lebih Faktor Rentan")))</x:f>
        <x:v>Belum Dinilai</x:v>
      </x:c>
      <x:c r="Z74" s="704" t="str">
        <x:f>IF(OR(Q74="",Q74="Belum Dinilai"),"",IF(Q74="Terverifikasi DTKS/P3KE/MBR",10,IF(Q74="Diusulkan, Belum Terverifikasi",5,0)))</x:f>
      </x:c>
      <x:c r="AA74" s="705" t="str">
        <x:f>IF(COUNTIF(R74:V74,"Belum Dinilai")&gt;0,"",IF(COUNTIF(R74:V74,"Ya")=0,0,IF(COUNTIF(R74:V74,"Ya")=1,5,10)))</x:f>
      </x:c>
      <x:c r="AB74" s="706" t="str">
        <x:f>IF(OR(Z74="",AA74=""),"",Z74+AA74)</x:f>
      </x:c>
      <x:c r="AC74" s="713" t="str">
        <x:v>Belum Dinilai</x:v>
      </x:c>
      <x:c r="AD74" s="713" t="str">
        <x:v>Belum Dinilai</x:v>
      </x:c>
      <x:c r="AE74" s="714" t="str">
        <x:v>Belum Dinilai</x:v>
      </x:c>
      <x:c r="AF74" s="713" t="str">
        <x:v>Belum Dinilai</x:v>
      </x:c>
      <x:c r="AG74" s="713" t="str">
        <x:v>Belum Dinilai</x:v>
      </x:c>
      <x:c r="AH74" s="715" t="str">
        <x:v>Belum Dinilai</x:v>
      </x:c>
      <x:c r="AI74" s="714" t="str">
        <x:v>Belum Dinilai</x:v>
      </x:c>
      <x:c r="AJ74" s="713" t="str">
        <x:v>Belum Dinilai</x:v>
      </x:c>
      <x:c r="AK74" s="715" t="str">
        <x:v>Belum Dinilai</x:v>
      </x:c>
      <x:c r="AL74" s="713" t="str"/>
      <x:c r="AM74" s="716" t="str">
        <x:v>Belum Dinilai</x:v>
      </x:c>
      <x:c r="AN74" s="716" t="str">
        <x:f>IF(AND(COUNTIF(AC74:AK74,"Ya")=0,AL74=""),IF(COUNTIF(AC74:AK74,"Belum Dinilai")&gt;0,"Belum Dinilai","Tidak ada risiko khusus"),TEXTJOIN(", ",TRUE,IF(AC74="Ya","Bangunan berpotensi roboh",""),IF(AD74="Ya","Bekas kebakaran dan tidak aman dihuni",""),IF(AE74="Ya","Atap atau dinding utama hampir runtuh",""),IF(AF74="Ya","Genangan yang membahayakan",""),IF(AG74="Ya","Struktur rumah tidak stabil",""),IF(AH74="Ya","Instalasi listrik berbahaya",""),IF(AI74="Ya","Komponen bangunan lepas atau lapuk",""),IF(AJ74="Ya","Akses keluar atau evakuasi terbatas",""),IF(AK74="Ya","Lokasi rawan bencana",""),IF(AL74&lt;&gt;"","Lainnya: "&amp;AL74,"")))</x:f>
        <x:v>Belum Dinilai</x:v>
      </x:c>
      <x:c r="AO74" s="716" t="str">
        <x:f>IF(AR74="","Belum Dinilai",IF(AR74=10,"Risiko Tinggi/Darurat",IF(AR74=5,"Risiko Sedang","Tidak Ada Risiko Khusus")))</x:f>
        <x:v>Belum Dinilai</x:v>
      </x:c>
      <x:c r="AP74" s="716" t="str"/>
      <x:c r="AQ74" s="719" t="str">
        <x:f>IF(OR(J74="",J74="Belum Dapat Ditentukan",L74="",L74="Belum Dinilai",N74="",N74="Belum Dinilai",P74="",P74="Belum Dinilai"),"",IF(J74="Permanen",0,IF(J74="Semipermanen",8,IF(J74="Nonpermanen",15,0)))+IF(L74="Baik",0,IF(L74="Rusak Ringan",5,IF(L74="Rusak Sedang",10,IF(L74="Rusak Berat",15,IF(L74="Tidak Ada/Terbuka",20,0)))))+IF(N74="Baik",0,IF(N74="Rusak Ringan",5,IF(N74="Rusak Sedang",10,IF(N74="Rusak Berat",15,IF(N74="Tidak Ada/Terbuka",20,0)))))+IF(P74="Baik",0,IF(P74="Rusak Ringan",4,IF(P74="Rusak Sedang",8,IF(P74="Rusak Berat",12,IF(P74="Tidak Layak",15,0))))))</x:f>
      </x:c>
      <x:c r="AR74" s="719" t="str">
        <x:f>IF(COUNTIF(AC74:AH74,"Ya")&gt;0,10,IF(COUNTIF(AI74:AK74,"Ya")&gt;=2,10,IF(COUNTIF(AI74:AK74,"Ya")=1,MAX(5,IF(AM74="Risiko Tinggi/Darurat",10,IF(AM74="Risiko Sedang",5,0))),IF(AL74&lt;&gt;"",IF(AM74="Risiko Tinggi/Darurat",10,IF(AM74="Risiko Sedang",5,"")),IF(COUNTIF(AC74:AK74,"Belum Dinilai")&gt;0,"",0)))))</x:f>
      </x:c>
      <x:c r="AS74" s="719" t="str">
        <x:f>IF(OR(AQ74="",AB74="",AR74=""),"",AQ74+AB74+AR74)</x:f>
      </x:c>
      <x:c r="AT74" s="719" t="str">
        <x:f>IF(AS74="","Belum Dapat Ditentukan",IF(AS74&gt;=80,"Sangat Tinggi",IF(OR(AO74="Risiko Tinggi/Darurat",(IF(L74="Rusak Berat",1,0)+IF(L74="Tidak Ada/Terbuka",1,0)+IF(N74="Rusak Berat",1,0)+IF(N74="Tidak Ada/Terbuka",1,0)+IF(P74="Rusak Berat",1,0)+IF(P74="Tidak Layak",1,0))&gt;=2),"Tinggi",IF(AS74&gt;=65,"Tinggi",IF(AS74&gt;=50,"Sedang","Rendah")))))</x:f>
        <x:v>Belum Dapat Ditentukan</x:v>
      </x:c>
      <x:c r="AU74" s="240" t="str">
        <x:v>Lengkap</x:v>
      </x:c>
      <x:c r="AV74" s="240" t="str">
        <x:v>Sudah Diverifikasi</x:v>
      </x:c>
      <x:c r="AW74" s="240" t="str">
        <x:v>Belum Ditangani</x:v>
      </x:c>
      <x:c r="AX74" s="240"/>
      <x:c r="AY74" s="240"/>
      <x:c r="AZ74" s="240" t="str">
        <x:v>Kepemilikan Keluarga</x:v>
      </x:c>
      <x:c r="BA74" s="240"/>
      <x:c r="BB74" s="240"/>
      <x:c r="BC74" s="240" t="n">
        <x:v>2026</x:v>
      </x:c>
      <x:c r="BD74" s="240" t="str">
        <x:v>Usulan Musrenbang/Pokir DPRD</x:v>
      </x:c>
      <x:c r="BE74" s="240" t="n">
        <x:v>46218</x:v>
      </x:c>
      <x:c r="BF74" s="240" t="str">
        <x:v>Dinas Perkim Kota Pangkalpinang</x:v>
      </x:c>
    </x:row>
    <x:row r="75" ht="32" customHeight="1">
      <x:c r="A75" s="314" t="str">
        <x:v>RTLH-0094</x:v>
      </x:c>
      <x:c r="B75" s="315" t="str">
        <x:v>NINA</x:v>
      </x:c>
      <x:c r="C75" s="316"/>
      <x:c r="D75" s="316"/>
      <x:c r="E75" s="315" t="str">
        <x:v>JL. BASUKI RACHMAN, RT/RW 003/001</x:v>
      </x:c>
      <x:c r="F75" s="315" t="str">
        <x:v>BATU INTAN</x:v>
      </x:c>
      <x:c r="G75" s="315" t="str">
        <x:v>GIRIMAYA</x:v>
      </x:c>
      <x:c r="H75" s="315" t="str">
        <x:v>Pembangunan Baru</x:v>
      </x:c>
      <x:c r="I75" s="317" t="str">
        <x:v>RUMAH SEMI PERMANEN, LANTAI FLOOR RUSAK RINGAN, ATAP GENTENG RUSAK SEDANG, RUMAH BAGI DUA DENGAN SAUDARA</x:v>
      </x:c>
      <x:c r="J75" s="315" t="str">
        <x:v>Semipermanen</x:v>
      </x:c>
      <x:c r="K75" s="315" t="str">
        <x:v>Genteng</x:v>
      </x:c>
      <x:c r="L75" s="315" t="str">
        <x:v>Rusak Sedang</x:v>
      </x:c>
      <x:c r="M75" s="367" t="str">
        <x:v>Campuran Permanen dan Papan</x:v>
      </x:c>
      <x:c r="N75" s="315" t="str">
        <x:v>Belum Dinilai</x:v>
      </x:c>
      <x:c r="O75" s="316" t="str">
        <x:v>Semen/Plester</x:v>
      </x:c>
      <x:c r="P75" s="349" t="str">
        <x:v>Rusak Sedang</x:v>
      </x:c>
      <x:c r="Q75" s="707" t="str">
        <x:v>Belum Dinilai</x:v>
      </x:c>
      <x:c r="R75" s="707" t="str">
        <x:v>Belum Dinilai</x:v>
      </x:c>
      <x:c r="S75" s="708" t="str">
        <x:v>Belum Dinilai</x:v>
      </x:c>
      <x:c r="T75" s="709" t="str">
        <x:v>Belum Dinilai</x:v>
      </x:c>
      <x:c r="U75" s="704" t="str">
        <x:v>Belum Dinilai</x:v>
      </x:c>
      <x:c r="V75" s="704" t="str">
        <x:v>Belum Dinilai</x:v>
      </x:c>
      <x:c r="W75" s="704" t="str"/>
      <x:c r="X75" s="704" t="str">
        <x:f>IF(COUNTIF(R75:V75,"Belum Dinilai")&gt;0,"Belum Dinilai",IF(COUNTIF(R75:V75,"Ya")=0,"Tidak ada faktor rentan",TEXTJOIN(", ",TRUE,IF(R75="Ya","Lansia",""),IF(S75="Ya","Penyandang disabilitas",""),IF(T75="Ya","Kepala keluarga perempuan",""),IF(U75="Ya","Balita",""),IF(V75="Ya","Anggota keluarga dengan ketergantungan tinggi",""))))</x:f>
        <x:v>Belum Dinilai</x:v>
      </x:c>
      <x:c r="Y75" s="704" t="str">
        <x:f>IF(COUNTIF(R75:V75,"Belum Dinilai")&gt;0,"Belum Dinilai",IF(COUNTIF(R75:V75,"Ya")=0,"Tidak Ada Faktor Rentan",IF(COUNTIF(R75:V75,"Ya")=1,"1 Faktor Rentan","2 atau Lebih Faktor Rentan")))</x:f>
        <x:v>Belum Dinilai</x:v>
      </x:c>
      <x:c r="Z75" s="704" t="str">
        <x:f>IF(OR(Q75="",Q75="Belum Dinilai"),"",IF(Q75="Terverifikasi DTKS/P3KE/MBR",10,IF(Q75="Diusulkan, Belum Terverifikasi",5,0)))</x:f>
      </x:c>
      <x:c r="AA75" s="705" t="str">
        <x:f>IF(COUNTIF(R75:V75,"Belum Dinilai")&gt;0,"",IF(COUNTIF(R75:V75,"Ya")=0,0,IF(COUNTIF(R75:V75,"Ya")=1,5,10)))</x:f>
      </x:c>
      <x:c r="AB75" s="706" t="str">
        <x:f>IF(OR(Z75="",AA75=""),"",Z75+AA75)</x:f>
      </x:c>
      <x:c r="AC75" s="713" t="str">
        <x:v>Belum Dinilai</x:v>
      </x:c>
      <x:c r="AD75" s="713" t="str">
        <x:v>Belum Dinilai</x:v>
      </x:c>
      <x:c r="AE75" s="714" t="str">
        <x:v>Belum Dinilai</x:v>
      </x:c>
      <x:c r="AF75" s="713" t="str">
        <x:v>Belum Dinilai</x:v>
      </x:c>
      <x:c r="AG75" s="713" t="str">
        <x:v>Belum Dinilai</x:v>
      </x:c>
      <x:c r="AH75" s="715" t="str">
        <x:v>Belum Dinilai</x:v>
      </x:c>
      <x:c r="AI75" s="714" t="str">
        <x:v>Belum Dinilai</x:v>
      </x:c>
      <x:c r="AJ75" s="713" t="str">
        <x:v>Belum Dinilai</x:v>
      </x:c>
      <x:c r="AK75" s="715" t="str">
        <x:v>Belum Dinilai</x:v>
      </x:c>
      <x:c r="AL75" s="713" t="str"/>
      <x:c r="AM75" s="716" t="str">
        <x:v>Belum Dinilai</x:v>
      </x:c>
      <x:c r="AN75" s="716" t="str">
        <x:f>IF(AND(COUNTIF(AC75:AK75,"Ya")=0,AL75=""),IF(COUNTIF(AC75:AK75,"Belum Dinilai")&gt;0,"Belum Dinilai","Tidak ada risiko khusus"),TEXTJOIN(", ",TRUE,IF(AC75="Ya","Bangunan berpotensi roboh",""),IF(AD75="Ya","Bekas kebakaran dan tidak aman dihuni",""),IF(AE75="Ya","Atap atau dinding utama hampir runtuh",""),IF(AF75="Ya","Genangan yang membahayakan",""),IF(AG75="Ya","Struktur rumah tidak stabil",""),IF(AH75="Ya","Instalasi listrik berbahaya",""),IF(AI75="Ya","Komponen bangunan lepas atau lapuk",""),IF(AJ75="Ya","Akses keluar atau evakuasi terbatas",""),IF(AK75="Ya","Lokasi rawan bencana",""),IF(AL75&lt;&gt;"","Lainnya: "&amp;AL75,"")))</x:f>
        <x:v>Belum Dinilai</x:v>
      </x:c>
      <x:c r="AO75" s="716" t="str">
        <x:f>IF(AR75="","Belum Dinilai",IF(AR75=10,"Risiko Tinggi/Darurat",IF(AR75=5,"Risiko Sedang","Tidak Ada Risiko Khusus")))</x:f>
        <x:v>Belum Dinilai</x:v>
      </x:c>
      <x:c r="AP75" s="716" t="str"/>
      <x:c r="AQ75" s="719" t="str">
        <x:f>IF(OR(J75="",J75="Belum Dapat Ditentukan",L75="",L75="Belum Dinilai",N75="",N75="Belum Dinilai",P75="",P75="Belum Dinilai"),"",IF(J75="Permanen",0,IF(J75="Semipermanen",8,IF(J75="Nonpermanen",15,0)))+IF(L75="Baik",0,IF(L75="Rusak Ringan",5,IF(L75="Rusak Sedang",10,IF(L75="Rusak Berat",15,IF(L75="Tidak Ada/Terbuka",20,0)))))+IF(N75="Baik",0,IF(N75="Rusak Ringan",5,IF(N75="Rusak Sedang",10,IF(N75="Rusak Berat",15,IF(N75="Tidak Ada/Terbuka",20,0)))))+IF(P75="Baik",0,IF(P75="Rusak Ringan",4,IF(P75="Rusak Sedang",8,IF(P75="Rusak Berat",12,IF(P75="Tidak Layak",15,0))))))</x:f>
      </x:c>
      <x:c r="AR75" s="719" t="str">
        <x:f>IF(COUNTIF(AC75:AH75,"Ya")&gt;0,10,IF(COUNTIF(AI75:AK75,"Ya")&gt;=2,10,IF(COUNTIF(AI75:AK75,"Ya")=1,MAX(5,IF(AM75="Risiko Tinggi/Darurat",10,IF(AM75="Risiko Sedang",5,0))),IF(AL75&lt;&gt;"",IF(AM75="Risiko Tinggi/Darurat",10,IF(AM75="Risiko Sedang",5,"")),IF(COUNTIF(AC75:AK75,"Belum Dinilai")&gt;0,"",0)))))</x:f>
      </x:c>
      <x:c r="AS75" s="719" t="str">
        <x:f>IF(OR(AQ75="",AB75="",AR75=""),"",AQ75+AB75+AR75)</x:f>
      </x:c>
      <x:c r="AT75" s="719" t="str">
        <x:f>IF(AS75="","Belum Dapat Ditentukan",IF(AS75&gt;=80,"Sangat Tinggi",IF(OR(AO75="Risiko Tinggi/Darurat",(IF(L75="Rusak Berat",1,0)+IF(L75="Tidak Ada/Terbuka",1,0)+IF(N75="Rusak Berat",1,0)+IF(N75="Tidak Ada/Terbuka",1,0)+IF(P75="Rusak Berat",1,0)+IF(P75="Tidak Layak",1,0))&gt;=2),"Tinggi",IF(AS75&gt;=65,"Tinggi",IF(AS75&gt;=50,"Sedang","Rendah")))))</x:f>
        <x:v>Belum Dapat Ditentukan</x:v>
      </x:c>
      <x:c r="AU75" s="240" t="str">
        <x:v>Lengkap</x:v>
      </x:c>
      <x:c r="AV75" s="240" t="str">
        <x:v>Sudah Diverifikasi</x:v>
      </x:c>
      <x:c r="AW75" s="240" t="str">
        <x:v>Belum Ditangani</x:v>
      </x:c>
      <x:c r="AX75" s="240"/>
      <x:c r="AY75" s="240"/>
      <x:c r="AZ75" s="240" t="str">
        <x:v>Kepemilikan Keluarga</x:v>
      </x:c>
      <x:c r="BA75" s="240"/>
      <x:c r="BB75" s="240"/>
      <x:c r="BC75" s="240" t="n">
        <x:v>2026</x:v>
      </x:c>
      <x:c r="BD75" s="240" t="str">
        <x:v>Usulan Musrenbang/Pokir DPRD</x:v>
      </x:c>
      <x:c r="BE75" s="240" t="n">
        <x:v>46218</x:v>
      </x:c>
      <x:c r="BF75" s="240" t="str">
        <x:v>Dinas Perkim Kota Pangkalpinang</x:v>
      </x:c>
    </x:row>
    <x:row r="76" ht="32" customHeight="1">
      <x:c r="A76" s="314" t="str">
        <x:v>RTLH-0095</x:v>
      </x:c>
      <x:c r="B76" s="315" t="str">
        <x:v>KANDAR SUNARWAN</x:v>
      </x:c>
      <x:c r="C76" s="316"/>
      <x:c r="D76" s="316"/>
      <x:c r="E76" s="315" t="str">
        <x:v>JL. BASUKI RACHMAN RT/RW OO2/001</x:v>
      </x:c>
      <x:c r="F76" s="315" t="str">
        <x:v>BATU INTAN</x:v>
      </x:c>
      <x:c r="G76" s="315" t="str">
        <x:v>GIRIMAYA</x:v>
      </x:c>
      <x:c r="H76" s="315" t="str">
        <x:v>Pembangunan Baru</x:v>
      </x:c>
      <x:c r="I76" s="317" t="str">
        <x:v>RUMAH SEMI PERMANEN, LANTAI FLOOR RUSAK RINGAN, ATAP GENTENG RUSAK SEDANG, RUMAH BAGI DUA DENGAN SAUDARA</x:v>
      </x:c>
      <x:c r="J76" s="315" t="str">
        <x:v>Semipermanen</x:v>
      </x:c>
      <x:c r="K76" s="315" t="str">
        <x:v>Genteng</x:v>
      </x:c>
      <x:c r="L76" s="315" t="str">
        <x:v>Rusak Sedang</x:v>
      </x:c>
      <x:c r="M76" s="367" t="str">
        <x:v>Campuran Permanen dan Papan</x:v>
      </x:c>
      <x:c r="N76" s="315" t="str">
        <x:v>Belum Dinilai</x:v>
      </x:c>
      <x:c r="O76" s="316" t="str">
        <x:v>Semen/Plester</x:v>
      </x:c>
      <x:c r="P76" s="349" t="str">
        <x:v>Rusak Sedang</x:v>
      </x:c>
      <x:c r="Q76" s="707" t="str">
        <x:v>Belum Dinilai</x:v>
      </x:c>
      <x:c r="R76" s="707" t="str">
        <x:v>Belum Dinilai</x:v>
      </x:c>
      <x:c r="S76" s="708" t="str">
        <x:v>Belum Dinilai</x:v>
      </x:c>
      <x:c r="T76" s="709" t="str">
        <x:v>Belum Dinilai</x:v>
      </x:c>
      <x:c r="U76" s="704" t="str">
        <x:v>Belum Dinilai</x:v>
      </x:c>
      <x:c r="V76" s="704" t="str">
        <x:v>Belum Dinilai</x:v>
      </x:c>
      <x:c r="W76" s="704" t="str"/>
      <x:c r="X76" s="704" t="str">
        <x:f>IF(COUNTIF(R76:V76,"Belum Dinilai")&gt;0,"Belum Dinilai",IF(COUNTIF(R76:V76,"Ya")=0,"Tidak ada faktor rentan",TEXTJOIN(", ",TRUE,IF(R76="Ya","Lansia",""),IF(S76="Ya","Penyandang disabilitas",""),IF(T76="Ya","Kepala keluarga perempuan",""),IF(U76="Ya","Balita",""),IF(V76="Ya","Anggota keluarga dengan ketergantungan tinggi",""))))</x:f>
        <x:v>Belum Dinilai</x:v>
      </x:c>
      <x:c r="Y76" s="704" t="str">
        <x:f>IF(COUNTIF(R76:V76,"Belum Dinilai")&gt;0,"Belum Dinilai",IF(COUNTIF(R76:V76,"Ya")=0,"Tidak Ada Faktor Rentan",IF(COUNTIF(R76:V76,"Ya")=1,"1 Faktor Rentan","2 atau Lebih Faktor Rentan")))</x:f>
        <x:v>Belum Dinilai</x:v>
      </x:c>
      <x:c r="Z76" s="704" t="str">
        <x:f>IF(OR(Q76="",Q76="Belum Dinilai"),"",IF(Q76="Terverifikasi DTKS/P3KE/MBR",10,IF(Q76="Diusulkan, Belum Terverifikasi",5,0)))</x:f>
      </x:c>
      <x:c r="AA76" s="705" t="str">
        <x:f>IF(COUNTIF(R76:V76,"Belum Dinilai")&gt;0,"",IF(COUNTIF(R76:V76,"Ya")=0,0,IF(COUNTIF(R76:V76,"Ya")=1,5,10)))</x:f>
      </x:c>
      <x:c r="AB76" s="706" t="str">
        <x:f>IF(OR(Z76="",AA76=""),"",Z76+AA76)</x:f>
      </x:c>
      <x:c r="AC76" s="713" t="str">
        <x:v>Belum Dinilai</x:v>
      </x:c>
      <x:c r="AD76" s="713" t="str">
        <x:v>Belum Dinilai</x:v>
      </x:c>
      <x:c r="AE76" s="714" t="str">
        <x:v>Belum Dinilai</x:v>
      </x:c>
      <x:c r="AF76" s="713" t="str">
        <x:v>Belum Dinilai</x:v>
      </x:c>
      <x:c r="AG76" s="713" t="str">
        <x:v>Belum Dinilai</x:v>
      </x:c>
      <x:c r="AH76" s="715" t="str">
        <x:v>Belum Dinilai</x:v>
      </x:c>
      <x:c r="AI76" s="714" t="str">
        <x:v>Belum Dinilai</x:v>
      </x:c>
      <x:c r="AJ76" s="713" t="str">
        <x:v>Belum Dinilai</x:v>
      </x:c>
      <x:c r="AK76" s="715" t="str">
        <x:v>Belum Dinilai</x:v>
      </x:c>
      <x:c r="AL76" s="713" t="str"/>
      <x:c r="AM76" s="716" t="str">
        <x:v>Belum Dinilai</x:v>
      </x:c>
      <x:c r="AN76" s="716" t="str">
        <x:f>IF(AND(COUNTIF(AC76:AK76,"Ya")=0,AL76=""),IF(COUNTIF(AC76:AK76,"Belum Dinilai")&gt;0,"Belum Dinilai","Tidak ada risiko khusus"),TEXTJOIN(", ",TRUE,IF(AC76="Ya","Bangunan berpotensi roboh",""),IF(AD76="Ya","Bekas kebakaran dan tidak aman dihuni",""),IF(AE76="Ya","Atap atau dinding utama hampir runtuh",""),IF(AF76="Ya","Genangan yang membahayakan",""),IF(AG76="Ya","Struktur rumah tidak stabil",""),IF(AH76="Ya","Instalasi listrik berbahaya",""),IF(AI76="Ya","Komponen bangunan lepas atau lapuk",""),IF(AJ76="Ya","Akses keluar atau evakuasi terbatas",""),IF(AK76="Ya","Lokasi rawan bencana",""),IF(AL76&lt;&gt;"","Lainnya: "&amp;AL76,"")))</x:f>
        <x:v>Belum Dinilai</x:v>
      </x:c>
      <x:c r="AO76" s="716" t="str">
        <x:f>IF(AR76="","Belum Dinilai",IF(AR76=10,"Risiko Tinggi/Darurat",IF(AR76=5,"Risiko Sedang","Tidak Ada Risiko Khusus")))</x:f>
        <x:v>Belum Dinilai</x:v>
      </x:c>
      <x:c r="AP76" s="716" t="str"/>
      <x:c r="AQ76" s="719" t="str">
        <x:f>IF(OR(J76="",J76="Belum Dapat Ditentukan",L76="",L76="Belum Dinilai",N76="",N76="Belum Dinilai",P76="",P76="Belum Dinilai"),"",IF(J76="Permanen",0,IF(J76="Semipermanen",8,IF(J76="Nonpermanen",15,0)))+IF(L76="Baik",0,IF(L76="Rusak Ringan",5,IF(L76="Rusak Sedang",10,IF(L76="Rusak Berat",15,IF(L76="Tidak Ada/Terbuka",20,0)))))+IF(N76="Baik",0,IF(N76="Rusak Ringan",5,IF(N76="Rusak Sedang",10,IF(N76="Rusak Berat",15,IF(N76="Tidak Ada/Terbuka",20,0)))))+IF(P76="Baik",0,IF(P76="Rusak Ringan",4,IF(P76="Rusak Sedang",8,IF(P76="Rusak Berat",12,IF(P76="Tidak Layak",15,0))))))</x:f>
      </x:c>
      <x:c r="AR76" s="719" t="str">
        <x:f>IF(COUNTIF(AC76:AH76,"Ya")&gt;0,10,IF(COUNTIF(AI76:AK76,"Ya")&gt;=2,10,IF(COUNTIF(AI76:AK76,"Ya")=1,MAX(5,IF(AM76="Risiko Tinggi/Darurat",10,IF(AM76="Risiko Sedang",5,0))),IF(AL76&lt;&gt;"",IF(AM76="Risiko Tinggi/Darurat",10,IF(AM76="Risiko Sedang",5,"")),IF(COUNTIF(AC76:AK76,"Belum Dinilai")&gt;0,"",0)))))</x:f>
      </x:c>
      <x:c r="AS76" s="719" t="str">
        <x:f>IF(OR(AQ76="",AB76="",AR76=""),"",AQ76+AB76+AR76)</x:f>
      </x:c>
      <x:c r="AT76" s="719" t="str">
        <x:f>IF(AS76="","Belum Dapat Ditentukan",IF(AS76&gt;=80,"Sangat Tinggi",IF(OR(AO76="Risiko Tinggi/Darurat",(IF(L76="Rusak Berat",1,0)+IF(L76="Tidak Ada/Terbuka",1,0)+IF(N76="Rusak Berat",1,0)+IF(N76="Tidak Ada/Terbuka",1,0)+IF(P76="Rusak Berat",1,0)+IF(P76="Tidak Layak",1,0))&gt;=2),"Tinggi",IF(AS76&gt;=65,"Tinggi",IF(AS76&gt;=50,"Sedang","Rendah")))))</x:f>
        <x:v>Belum Dapat Ditentukan</x:v>
      </x:c>
      <x:c r="AU76" s="240" t="str">
        <x:v>Lengkap</x:v>
      </x:c>
      <x:c r="AV76" s="240" t="str">
        <x:v>Sudah Diverifikasi</x:v>
      </x:c>
      <x:c r="AW76" s="240" t="str">
        <x:v>Selesai</x:v>
      </x:c>
      <x:c r="AX76" s="240" t="str">
        <x:v>APBD Kota</x:v>
      </x:c>
      <x:c r="AY76" s="240" t="n">
        <x:v>2024</x:v>
      </x:c>
      <x:c r="AZ76" s="240" t="str">
        <x:v>Kepemilikan Keluarga</x:v>
      </x:c>
      <x:c r="BA76" s="240"/>
      <x:c r="BB76" s="240"/>
      <x:c r="BC76" s="240" t="n">
        <x:v>2026</x:v>
      </x:c>
      <x:c r="BD76" s="240" t="str">
        <x:v>Usulan Musrenbang/Pokir DPRD</x:v>
      </x:c>
      <x:c r="BE76" s="240" t="n">
        <x:v>46218</x:v>
      </x:c>
      <x:c r="BF76" s="240" t="str">
        <x:v>Dinas Perkim Kota Pangkalpinang</x:v>
      </x:c>
    </x:row>
    <x:row r="77" ht="32" customHeight="1">
      <x:c r="A77" s="314" t="str">
        <x:v>RTLH-0096</x:v>
      </x:c>
      <x:c r="B77" s="315" t="str">
        <x:v>RITA</x:v>
      </x:c>
      <x:c r="C77" s="316"/>
      <x:c r="D77" s="316"/>
      <x:c r="E77" s="315" t="str">
        <x:v>GG,BATU AKIK V, RT/RW 006/002</x:v>
      </x:c>
      <x:c r="F77" s="315" t="str">
        <x:v>BUKIT BESAR</x:v>
      </x:c>
      <x:c r="G77" s="315" t="str">
        <x:v>GIRIMAYA</x:v>
      </x:c>
      <x:c r="H77" s="315" t="str">
        <x:v>Peningkatan Kualitas</x:v>
      </x:c>
      <x:c r="I77" s="317" t="str">
        <x:v>RUMAH PERMANEN, LANTAI RUSAK SEDANG BAGIAN DAPUR, ATAP SENG BOCOR, MINTA REHAB BAGIAN ATAP</x:v>
      </x:c>
      <x:c r="J77" s="315" t="str">
        <x:v>Permanen</x:v>
      </x:c>
      <x:c r="K77" s="315" t="str">
        <x:v>Seng</x:v>
      </x:c>
      <x:c r="L77" s="315" t="str">
        <x:v>Rusak Sedang</x:v>
      </x:c>
      <x:c r="M77" s="367" t="str">
        <x:v>Dinding Permanen (Material tidak dirinci)</x:v>
      </x:c>
      <x:c r="N77" s="315" t="str">
        <x:v>Belum Dinilai</x:v>
      </x:c>
      <x:c r="O77" s="316" t="str">
        <x:v>Belum Diidentifikasi</x:v>
      </x:c>
      <x:c r="P77" s="349" t="str">
        <x:v>Rusak Sedang</x:v>
      </x:c>
      <x:c r="Q77" s="707" t="str">
        <x:v>Belum Dinilai</x:v>
      </x:c>
      <x:c r="R77" s="707" t="str">
        <x:v>Belum Dinilai</x:v>
      </x:c>
      <x:c r="S77" s="708" t="str">
        <x:v>Belum Dinilai</x:v>
      </x:c>
      <x:c r="T77" s="709" t="str">
        <x:v>Belum Dinilai</x:v>
      </x:c>
      <x:c r="U77" s="704" t="str">
        <x:v>Belum Dinilai</x:v>
      </x:c>
      <x:c r="V77" s="704" t="str">
        <x:v>Belum Dinilai</x:v>
      </x:c>
      <x:c r="W77" s="704" t="str"/>
      <x:c r="X77" s="704" t="str">
        <x:f>IF(COUNTIF(R77:V77,"Belum Dinilai")&gt;0,"Belum Dinilai",IF(COUNTIF(R77:V77,"Ya")=0,"Tidak ada faktor rentan",TEXTJOIN(", ",TRUE,IF(R77="Ya","Lansia",""),IF(S77="Ya","Penyandang disabilitas",""),IF(T77="Ya","Kepala keluarga perempuan",""),IF(U77="Ya","Balita",""),IF(V77="Ya","Anggota keluarga dengan ketergantungan tinggi",""))))</x:f>
        <x:v>Belum Dinilai</x:v>
      </x:c>
      <x:c r="Y77" s="704" t="str">
        <x:f>IF(COUNTIF(R77:V77,"Belum Dinilai")&gt;0,"Belum Dinilai",IF(COUNTIF(R77:V77,"Ya")=0,"Tidak Ada Faktor Rentan",IF(COUNTIF(R77:V77,"Ya")=1,"1 Faktor Rentan","2 atau Lebih Faktor Rentan")))</x:f>
        <x:v>Belum Dinilai</x:v>
      </x:c>
      <x:c r="Z77" s="704" t="str">
        <x:f>IF(OR(Q77="",Q77="Belum Dinilai"),"",IF(Q77="Terverifikasi DTKS/P3KE/MBR",10,IF(Q77="Diusulkan, Belum Terverifikasi",5,0)))</x:f>
      </x:c>
      <x:c r="AA77" s="705" t="str">
        <x:f>IF(COUNTIF(R77:V77,"Belum Dinilai")&gt;0,"",IF(COUNTIF(R77:V77,"Ya")=0,0,IF(COUNTIF(R77:V77,"Ya")=1,5,10)))</x:f>
      </x:c>
      <x:c r="AB77" s="706" t="str">
        <x:f>IF(OR(Z77="",AA77=""),"",Z77+AA77)</x:f>
      </x:c>
      <x:c r="AC77" s="713" t="str">
        <x:v>Belum Dinilai</x:v>
      </x:c>
      <x:c r="AD77" s="713" t="str">
        <x:v>Belum Dinilai</x:v>
      </x:c>
      <x:c r="AE77" s="714" t="str">
        <x:v>Belum Dinilai</x:v>
      </x:c>
      <x:c r="AF77" s="713" t="str">
        <x:v>Belum Dinilai</x:v>
      </x:c>
      <x:c r="AG77" s="713" t="str">
        <x:v>Belum Dinilai</x:v>
      </x:c>
      <x:c r="AH77" s="715" t="str">
        <x:v>Belum Dinilai</x:v>
      </x:c>
      <x:c r="AI77" s="714" t="str">
        <x:v>Belum Dinilai</x:v>
      </x:c>
      <x:c r="AJ77" s="713" t="str">
        <x:v>Belum Dinilai</x:v>
      </x:c>
      <x:c r="AK77" s="715" t="str">
        <x:v>Belum Dinilai</x:v>
      </x:c>
      <x:c r="AL77" s="713" t="str"/>
      <x:c r="AM77" s="716" t="str">
        <x:v>Belum Dinilai</x:v>
      </x:c>
      <x:c r="AN77" s="716" t="str">
        <x:f>IF(AND(COUNTIF(AC77:AK77,"Ya")=0,AL77=""),IF(COUNTIF(AC77:AK77,"Belum Dinilai")&gt;0,"Belum Dinilai","Tidak ada risiko khusus"),TEXTJOIN(", ",TRUE,IF(AC77="Ya","Bangunan berpotensi roboh",""),IF(AD77="Ya","Bekas kebakaran dan tidak aman dihuni",""),IF(AE77="Ya","Atap atau dinding utama hampir runtuh",""),IF(AF77="Ya","Genangan yang membahayakan",""),IF(AG77="Ya","Struktur rumah tidak stabil",""),IF(AH77="Ya","Instalasi listrik berbahaya",""),IF(AI77="Ya","Komponen bangunan lepas atau lapuk",""),IF(AJ77="Ya","Akses keluar atau evakuasi terbatas",""),IF(AK77="Ya","Lokasi rawan bencana",""),IF(AL77&lt;&gt;"","Lainnya: "&amp;AL77,"")))</x:f>
        <x:v>Belum Dinilai</x:v>
      </x:c>
      <x:c r="AO77" s="716" t="str">
        <x:f>IF(AR77="","Belum Dinilai",IF(AR77=10,"Risiko Tinggi/Darurat",IF(AR77=5,"Risiko Sedang","Tidak Ada Risiko Khusus")))</x:f>
        <x:v>Belum Dinilai</x:v>
      </x:c>
      <x:c r="AP77" s="716" t="str"/>
      <x:c r="AQ77" s="719" t="str">
        <x:f>IF(OR(J77="",J77="Belum Dapat Ditentukan",L77="",L77="Belum Dinilai",N77="",N77="Belum Dinilai",P77="",P77="Belum Dinilai"),"",IF(J77="Permanen",0,IF(J77="Semipermanen",8,IF(J77="Nonpermanen",15,0)))+IF(L77="Baik",0,IF(L77="Rusak Ringan",5,IF(L77="Rusak Sedang",10,IF(L77="Rusak Berat",15,IF(L77="Tidak Ada/Terbuka",20,0)))))+IF(N77="Baik",0,IF(N77="Rusak Ringan",5,IF(N77="Rusak Sedang",10,IF(N77="Rusak Berat",15,IF(N77="Tidak Ada/Terbuka",20,0)))))+IF(P77="Baik",0,IF(P77="Rusak Ringan",4,IF(P77="Rusak Sedang",8,IF(P77="Rusak Berat",12,IF(P77="Tidak Layak",15,0))))))</x:f>
      </x:c>
      <x:c r="AR77" s="719" t="str">
        <x:f>IF(COUNTIF(AC77:AH77,"Ya")&gt;0,10,IF(COUNTIF(AI77:AK77,"Ya")&gt;=2,10,IF(COUNTIF(AI77:AK77,"Ya")=1,MAX(5,IF(AM77="Risiko Tinggi/Darurat",10,IF(AM77="Risiko Sedang",5,0))),IF(AL77&lt;&gt;"",IF(AM77="Risiko Tinggi/Darurat",10,IF(AM77="Risiko Sedang",5,"")),IF(COUNTIF(AC77:AK77,"Belum Dinilai")&gt;0,"",0)))))</x:f>
      </x:c>
      <x:c r="AS77" s="719" t="str">
        <x:f>IF(OR(AQ77="",AB77="",AR77=""),"",AQ77+AB77+AR77)</x:f>
      </x:c>
      <x:c r="AT77" s="719" t="str">
        <x:f>IF(AS77="","Belum Dapat Ditentukan",IF(AS77&gt;=80,"Sangat Tinggi",IF(OR(AO77="Risiko Tinggi/Darurat",(IF(L77="Rusak Berat",1,0)+IF(L77="Tidak Ada/Terbuka",1,0)+IF(N77="Rusak Berat",1,0)+IF(N77="Tidak Ada/Terbuka",1,0)+IF(P77="Rusak Berat",1,0)+IF(P77="Tidak Layak",1,0))&gt;=2),"Tinggi",IF(AS77&gt;=65,"Tinggi",IF(AS77&gt;=50,"Sedang","Rendah")))))</x:f>
        <x:v>Belum Dapat Ditentukan</x:v>
      </x:c>
      <x:c r="AU77" s="240" t="str">
        <x:v>Lengkap</x:v>
      </x:c>
      <x:c r="AV77" s="240" t="str">
        <x:v>Sudah Diverifikasi</x:v>
      </x:c>
      <x:c r="AW77" s="240" t="str">
        <x:v>Belum Ditangani</x:v>
      </x:c>
      <x:c r="AX77" s="240"/>
      <x:c r="AY77" s="240"/>
      <x:c r="AZ77" s="240" t="str">
        <x:v>Belum Diverifikasi</x:v>
      </x:c>
      <x:c r="BA77" s="240"/>
      <x:c r="BB77" s="240"/>
      <x:c r="BC77" s="240" t="n">
        <x:v>2026</x:v>
      </x:c>
      <x:c r="BD77" s="240" t="str">
        <x:v>Usulan Musrenbang/Pokir DPRD</x:v>
      </x:c>
      <x:c r="BE77" s="240" t="n">
        <x:v>46218</x:v>
      </x:c>
      <x:c r="BF77" s="240" t="str">
        <x:v>Dinas Perkim Kota Pangkalpinang</x:v>
      </x:c>
    </x:row>
    <x:row r="78" ht="32" customHeight="1">
      <x:c r="A78" s="314" t="str">
        <x:v>RTLH-0097</x:v>
      </x:c>
      <x:c r="B78" s="315" t="str">
        <x:v>ZULIANA</x:v>
      </x:c>
      <x:c r="C78" s="316"/>
      <x:c r="D78" s="316"/>
      <x:c r="E78" s="315" t="str">
        <x:v>JL. RAYA PASIR PADI RT/RW 006/002</x:v>
      </x:c>
      <x:c r="F78" s="315" t="str">
        <x:v>AIR ITAM</x:v>
      </x:c>
      <x:c r="G78" s="315" t="str">
        <x:v>BUKIT INTAN</x:v>
      </x:c>
      <x:c r="H78" s="315" t="str">
        <x:v>Peningkatan Kualitas</x:v>
      </x:c>
      <x:c r="I78" s="317" t="str">
        <x:v>RUMAH PERMANEN, TANPA, STRUKTUR PEMBESIAN</x:v>
      </x:c>
      <x:c r="J78" s="315" t="str">
        <x:v>Permanen</x:v>
      </x:c>
      <x:c r="K78" s="315" t="str">
        <x:v>Belum Diidentifikasi</x:v>
      </x:c>
      <x:c r="L78" s="315" t="str">
        <x:v>Belum Dinilai</x:v>
      </x:c>
      <x:c r="M78" s="367" t="str">
        <x:v>Dinding Permanen (Material tidak dirinci)</x:v>
      </x:c>
      <x:c r="N78" s="315" t="str">
        <x:v>Belum Dinilai</x:v>
      </x:c>
      <x:c r="O78" s="316" t="str">
        <x:v>Belum Diidentifikasi</x:v>
      </x:c>
      <x:c r="P78" s="349" t="str">
        <x:v>Belum Dinilai</x:v>
      </x:c>
      <x:c r="Q78" s="707" t="str">
        <x:v>Belum Dinilai</x:v>
      </x:c>
      <x:c r="R78" s="707" t="str">
        <x:v>Belum Dinilai</x:v>
      </x:c>
      <x:c r="S78" s="708" t="str">
        <x:v>Belum Dinilai</x:v>
      </x:c>
      <x:c r="T78" s="709" t="str">
        <x:v>Belum Dinilai</x:v>
      </x:c>
      <x:c r="U78" s="704" t="str">
        <x:v>Belum Dinilai</x:v>
      </x:c>
      <x:c r="V78" s="704" t="str">
        <x:v>Belum Dinilai</x:v>
      </x:c>
      <x:c r="W78" s="704" t="str"/>
      <x:c r="X78" s="704" t="str">
        <x:f>IF(COUNTIF(R78:V78,"Belum Dinilai")&gt;0,"Belum Dinilai",IF(COUNTIF(R78:V78,"Ya")=0,"Tidak ada faktor rentan",TEXTJOIN(", ",TRUE,IF(R78="Ya","Lansia",""),IF(S78="Ya","Penyandang disabilitas",""),IF(T78="Ya","Kepala keluarga perempuan",""),IF(U78="Ya","Balita",""),IF(V78="Ya","Anggota keluarga dengan ketergantungan tinggi",""))))</x:f>
        <x:v>Belum Dinilai</x:v>
      </x:c>
      <x:c r="Y78" s="704" t="str">
        <x:f>IF(COUNTIF(R78:V78,"Belum Dinilai")&gt;0,"Belum Dinilai",IF(COUNTIF(R78:V78,"Ya")=0,"Tidak Ada Faktor Rentan",IF(COUNTIF(R78:V78,"Ya")=1,"1 Faktor Rentan","2 atau Lebih Faktor Rentan")))</x:f>
        <x:v>Belum Dinilai</x:v>
      </x:c>
      <x:c r="Z78" s="704" t="str">
        <x:f>IF(OR(Q78="",Q78="Belum Dinilai"),"",IF(Q78="Terverifikasi DTKS/P3KE/MBR",10,IF(Q78="Diusulkan, Belum Terverifikasi",5,0)))</x:f>
      </x:c>
      <x:c r="AA78" s="705" t="str">
        <x:f>IF(COUNTIF(R78:V78,"Belum Dinilai")&gt;0,"",IF(COUNTIF(R78:V78,"Ya")=0,0,IF(COUNTIF(R78:V78,"Ya")=1,5,10)))</x:f>
      </x:c>
      <x:c r="AB78" s="706" t="str">
        <x:f>IF(OR(Z78="",AA78=""),"",Z78+AA78)</x:f>
      </x:c>
      <x:c r="AC78" s="713" t="str">
        <x:v>Belum Dinilai</x:v>
      </x:c>
      <x:c r="AD78" s="713" t="str">
        <x:v>Belum Dinilai</x:v>
      </x:c>
      <x:c r="AE78" s="714" t="str">
        <x:v>Belum Dinilai</x:v>
      </x:c>
      <x:c r="AF78" s="713" t="str">
        <x:v>Belum Dinilai</x:v>
      </x:c>
      <x:c r="AG78" s="713" t="str">
        <x:v>Belum Dinilai</x:v>
      </x:c>
      <x:c r="AH78" s="715" t="str">
        <x:v>Belum Dinilai</x:v>
      </x:c>
      <x:c r="AI78" s="714" t="str">
        <x:v>Belum Dinilai</x:v>
      </x:c>
      <x:c r="AJ78" s="713" t="str">
        <x:v>Belum Dinilai</x:v>
      </x:c>
      <x:c r="AK78" s="715" t="str">
        <x:v>Belum Dinilai</x:v>
      </x:c>
      <x:c r="AL78" s="713" t="str"/>
      <x:c r="AM78" s="716" t="str">
        <x:v>Belum Dinilai</x:v>
      </x:c>
      <x:c r="AN78" s="716" t="str">
        <x:f>IF(AND(COUNTIF(AC78:AK78,"Ya")=0,AL78=""),IF(COUNTIF(AC78:AK78,"Belum Dinilai")&gt;0,"Belum Dinilai","Tidak ada risiko khusus"),TEXTJOIN(", ",TRUE,IF(AC78="Ya","Bangunan berpotensi roboh",""),IF(AD78="Ya","Bekas kebakaran dan tidak aman dihuni",""),IF(AE78="Ya","Atap atau dinding utama hampir runtuh",""),IF(AF78="Ya","Genangan yang membahayakan",""),IF(AG78="Ya","Struktur rumah tidak stabil",""),IF(AH78="Ya","Instalasi listrik berbahaya",""),IF(AI78="Ya","Komponen bangunan lepas atau lapuk",""),IF(AJ78="Ya","Akses keluar atau evakuasi terbatas",""),IF(AK78="Ya","Lokasi rawan bencana",""),IF(AL78&lt;&gt;"","Lainnya: "&amp;AL78,"")))</x:f>
        <x:v>Belum Dinilai</x:v>
      </x:c>
      <x:c r="AO78" s="716" t="str">
        <x:f>IF(AR78="","Belum Dinilai",IF(AR78=10,"Risiko Tinggi/Darurat",IF(AR78=5,"Risiko Sedang","Tidak Ada Risiko Khusus")))</x:f>
        <x:v>Belum Dinilai</x:v>
      </x:c>
      <x:c r="AP78" s="716" t="str"/>
      <x:c r="AQ78" s="719" t="str">
        <x:f>IF(OR(J78="",J78="Belum Dapat Ditentukan",L78="",L78="Belum Dinilai",N78="",N78="Belum Dinilai",P78="",P78="Belum Dinilai"),"",IF(J78="Permanen",0,IF(J78="Semipermanen",8,IF(J78="Nonpermanen",15,0)))+IF(L78="Baik",0,IF(L78="Rusak Ringan",5,IF(L78="Rusak Sedang",10,IF(L78="Rusak Berat",15,IF(L78="Tidak Ada/Terbuka",20,0)))))+IF(N78="Baik",0,IF(N78="Rusak Ringan",5,IF(N78="Rusak Sedang",10,IF(N78="Rusak Berat",15,IF(N78="Tidak Ada/Terbuka",20,0)))))+IF(P78="Baik",0,IF(P78="Rusak Ringan",4,IF(P78="Rusak Sedang",8,IF(P78="Rusak Berat",12,IF(P78="Tidak Layak",15,0))))))</x:f>
      </x:c>
      <x:c r="AR78" s="719" t="str">
        <x:f>IF(COUNTIF(AC78:AH78,"Ya")&gt;0,10,IF(COUNTIF(AI78:AK78,"Ya")&gt;=2,10,IF(COUNTIF(AI78:AK78,"Ya")=1,MAX(5,IF(AM78="Risiko Tinggi/Darurat",10,IF(AM78="Risiko Sedang",5,0))),IF(AL78&lt;&gt;"",IF(AM78="Risiko Tinggi/Darurat",10,IF(AM78="Risiko Sedang",5,"")),IF(COUNTIF(AC78:AK78,"Belum Dinilai")&gt;0,"",0)))))</x:f>
      </x:c>
      <x:c r="AS78" s="719" t="str">
        <x:f>IF(OR(AQ78="",AB78="",AR78=""),"",AQ78+AB78+AR78)</x:f>
      </x:c>
      <x:c r="AT78" s="719" t="str">
        <x:f>IF(AS78="","Belum Dapat Ditentukan",IF(AS78&gt;=80,"Sangat Tinggi",IF(OR(AO78="Risiko Tinggi/Darurat",(IF(L78="Rusak Berat",1,0)+IF(L78="Tidak Ada/Terbuka",1,0)+IF(N78="Rusak Berat",1,0)+IF(N78="Tidak Ada/Terbuka",1,0)+IF(P78="Rusak Berat",1,0)+IF(P78="Tidak Layak",1,0))&gt;=2),"Tinggi",IF(AS78&gt;=65,"Tinggi",IF(AS78&gt;=50,"Sedang","Rendah")))))</x:f>
        <x:v>Belum Dapat Ditentukan</x:v>
      </x:c>
      <x:c r="AU78" s="240" t="str">
        <x:v>Lengkap</x:v>
      </x:c>
      <x:c r="AV78" s="240" t="str">
        <x:v>Sudah Diverifikasi</x:v>
      </x:c>
      <x:c r="AW78" s="240" t="str">
        <x:v>Belum Ditangani</x:v>
      </x:c>
      <x:c r="AX78" s="240"/>
      <x:c r="AY78" s="240"/>
      <x:c r="AZ78" s="240" t="str">
        <x:v>Belum Diverifikasi</x:v>
      </x:c>
      <x:c r="BA78" s="240"/>
      <x:c r="BB78" s="240"/>
      <x:c r="BC78" s="240" t="n">
        <x:v>2026</x:v>
      </x:c>
      <x:c r="BD78" s="240" t="str">
        <x:v>Usulan Musrenbang/Pokir DPRD</x:v>
      </x:c>
      <x:c r="BE78" s="240" t="n">
        <x:v>46218</x:v>
      </x:c>
      <x:c r="BF78" s="240" t="str">
        <x:v>Dinas Perkim Kota Pangkalpinang</x:v>
      </x:c>
    </x:row>
    <x:row r="79" ht="32" customHeight="1">
      <x:c r="A79" s="314" t="str">
        <x:v>RTLH-0098</x:v>
      </x:c>
      <x:c r="B79" s="315" t="str">
        <x:v>GUSTI MARIN</x:v>
      </x:c>
      <x:c r="C79" s="316"/>
      <x:c r="D79" s="316"/>
      <x:c r="E79" s="315" t="str">
        <x:v>JL. PASIR PADI RT/RW 006/002</x:v>
      </x:c>
      <x:c r="F79" s="315" t="str">
        <x:v>AIR ITAM</x:v>
      </x:c>
      <x:c r="G79" s="315" t="str">
        <x:v>BUKIT INTAN</x:v>
      </x:c>
      <x:c r="H79" s="315" t="str">
        <x:v>Pembangunan Baru</x:v>
      </x:c>
      <x:c r="I79" s="317" t="str">
        <x:v>RUMAH FULL PAPAN, DINDING RUSAK BERAT, ATAP ASBES RUSAK RINGAN</x:v>
      </x:c>
      <x:c r="J79" s="315" t="str">
        <x:v>Nonpermanen</x:v>
      </x:c>
      <x:c r="K79" s="315" t="str">
        <x:v>Asbes/Fiber Semen</x:v>
      </x:c>
      <x:c r="L79" s="315" t="str">
        <x:v>Rusak Berat</x:v>
      </x:c>
      <x:c r="M79" s="367" t="str">
        <x:v>Papan/Kayu</x:v>
      </x:c>
      <x:c r="N79" s="315" t="str">
        <x:v>Rusak Berat</x:v>
      </x:c>
      <x:c r="O79" s="316" t="str">
        <x:v>Belum Diidentifikasi</x:v>
      </x:c>
      <x:c r="P79" s="349" t="str">
        <x:v>Belum Dinilai</x:v>
      </x:c>
      <x:c r="Q79" s="707" t="str">
        <x:v>Belum Dinilai</x:v>
      </x:c>
      <x:c r="R79" s="707" t="str">
        <x:v>Belum Dinilai</x:v>
      </x:c>
      <x:c r="S79" s="708" t="str">
        <x:v>Belum Dinilai</x:v>
      </x:c>
      <x:c r="T79" s="709" t="str">
        <x:v>Belum Dinilai</x:v>
      </x:c>
      <x:c r="U79" s="704" t="str">
        <x:v>Belum Dinilai</x:v>
      </x:c>
      <x:c r="V79" s="704" t="str">
        <x:v>Belum Dinilai</x:v>
      </x:c>
      <x:c r="W79" s="704" t="str"/>
      <x:c r="X79" s="704" t="str">
        <x:f>IF(COUNTIF(R79:V79,"Belum Dinilai")&gt;0,"Belum Dinilai",IF(COUNTIF(R79:V79,"Ya")=0,"Tidak ada faktor rentan",TEXTJOIN(", ",TRUE,IF(R79="Ya","Lansia",""),IF(S79="Ya","Penyandang disabilitas",""),IF(T79="Ya","Kepala keluarga perempuan",""),IF(U79="Ya","Balita",""),IF(V79="Ya","Anggota keluarga dengan ketergantungan tinggi",""))))</x:f>
        <x:v>Belum Dinilai</x:v>
      </x:c>
      <x:c r="Y79" s="704" t="str">
        <x:f>IF(COUNTIF(R79:V79,"Belum Dinilai")&gt;0,"Belum Dinilai",IF(COUNTIF(R79:V79,"Ya")=0,"Tidak Ada Faktor Rentan",IF(COUNTIF(R79:V79,"Ya")=1,"1 Faktor Rentan","2 atau Lebih Faktor Rentan")))</x:f>
        <x:v>Belum Dinilai</x:v>
      </x:c>
      <x:c r="Z79" s="704" t="str">
        <x:f>IF(OR(Q79="",Q79="Belum Dinilai"),"",IF(Q79="Terverifikasi DTKS/P3KE/MBR",10,IF(Q79="Diusulkan, Belum Terverifikasi",5,0)))</x:f>
      </x:c>
      <x:c r="AA79" s="705" t="str">
        <x:f>IF(COUNTIF(R79:V79,"Belum Dinilai")&gt;0,"",IF(COUNTIF(R79:V79,"Ya")=0,0,IF(COUNTIF(R79:V79,"Ya")=1,5,10)))</x:f>
      </x:c>
      <x:c r="AB79" s="706" t="str">
        <x:f>IF(OR(Z79="",AA79=""),"",Z79+AA79)</x:f>
      </x:c>
      <x:c r="AC79" s="713" t="str">
        <x:v>Belum Dinilai</x:v>
      </x:c>
      <x:c r="AD79" s="713" t="str">
        <x:v>Belum Dinilai</x:v>
      </x:c>
      <x:c r="AE79" s="714" t="str">
        <x:v>Belum Dinilai</x:v>
      </x:c>
      <x:c r="AF79" s="713" t="str">
        <x:v>Belum Dinilai</x:v>
      </x:c>
      <x:c r="AG79" s="713" t="str">
        <x:v>Belum Dinilai</x:v>
      </x:c>
      <x:c r="AH79" s="715" t="str">
        <x:v>Belum Dinilai</x:v>
      </x:c>
      <x:c r="AI79" s="714" t="str">
        <x:v>Belum Dinilai</x:v>
      </x:c>
      <x:c r="AJ79" s="713" t="str">
        <x:v>Belum Dinilai</x:v>
      </x:c>
      <x:c r="AK79" s="715" t="str">
        <x:v>Belum Dinilai</x:v>
      </x:c>
      <x:c r="AL79" s="713" t="str"/>
      <x:c r="AM79" s="716" t="str">
        <x:v>Belum Dinilai</x:v>
      </x:c>
      <x:c r="AN79" s="716" t="str">
        <x:f>IF(AND(COUNTIF(AC79:AK79,"Ya")=0,AL79=""),IF(COUNTIF(AC79:AK79,"Belum Dinilai")&gt;0,"Belum Dinilai","Tidak ada risiko khusus"),TEXTJOIN(", ",TRUE,IF(AC79="Ya","Bangunan berpotensi roboh",""),IF(AD79="Ya","Bekas kebakaran dan tidak aman dihuni",""),IF(AE79="Ya","Atap atau dinding utama hampir runtuh",""),IF(AF79="Ya","Genangan yang membahayakan",""),IF(AG79="Ya","Struktur rumah tidak stabil",""),IF(AH79="Ya","Instalasi listrik berbahaya",""),IF(AI79="Ya","Komponen bangunan lepas atau lapuk",""),IF(AJ79="Ya","Akses keluar atau evakuasi terbatas",""),IF(AK79="Ya","Lokasi rawan bencana",""),IF(AL79&lt;&gt;"","Lainnya: "&amp;AL79,"")))</x:f>
        <x:v>Belum Dinilai</x:v>
      </x:c>
      <x:c r="AO79" s="716" t="str">
        <x:f>IF(AR79="","Belum Dinilai",IF(AR79=10,"Risiko Tinggi/Darurat",IF(AR79=5,"Risiko Sedang","Tidak Ada Risiko Khusus")))</x:f>
        <x:v>Belum Dinilai</x:v>
      </x:c>
      <x:c r="AP79" s="716" t="str"/>
      <x:c r="AQ79" s="719" t="str">
        <x:f>IF(OR(J79="",J79="Belum Dapat Ditentukan",L79="",L79="Belum Dinilai",N79="",N79="Belum Dinilai",P79="",P79="Belum Dinilai"),"",IF(J79="Permanen",0,IF(J79="Semipermanen",8,IF(J79="Nonpermanen",15,0)))+IF(L79="Baik",0,IF(L79="Rusak Ringan",5,IF(L79="Rusak Sedang",10,IF(L79="Rusak Berat",15,IF(L79="Tidak Ada/Terbuka",20,0)))))+IF(N79="Baik",0,IF(N79="Rusak Ringan",5,IF(N79="Rusak Sedang",10,IF(N79="Rusak Berat",15,IF(N79="Tidak Ada/Terbuka",20,0)))))+IF(P79="Baik",0,IF(P79="Rusak Ringan",4,IF(P79="Rusak Sedang",8,IF(P79="Rusak Berat",12,IF(P79="Tidak Layak",15,0))))))</x:f>
      </x:c>
      <x:c r="AR79" s="719" t="str">
        <x:f>IF(COUNTIF(AC79:AH79,"Ya")&gt;0,10,IF(COUNTIF(AI79:AK79,"Ya")&gt;=2,10,IF(COUNTIF(AI79:AK79,"Ya")=1,MAX(5,IF(AM79="Risiko Tinggi/Darurat",10,IF(AM79="Risiko Sedang",5,0))),IF(AL79&lt;&gt;"",IF(AM79="Risiko Tinggi/Darurat",10,IF(AM79="Risiko Sedang",5,"")),IF(COUNTIF(AC79:AK79,"Belum Dinilai")&gt;0,"",0)))))</x:f>
      </x:c>
      <x:c r="AS79" s="719" t="str">
        <x:f>IF(OR(AQ79="",AB79="",AR79=""),"",AQ79+AB79+AR79)</x:f>
      </x:c>
      <x:c r="AT79" s="719" t="str">
        <x:f>IF(AS79="","Belum Dapat Ditentukan",IF(AS79&gt;=80,"Sangat Tinggi",IF(OR(AO79="Risiko Tinggi/Darurat",(IF(L79="Rusak Berat",1,0)+IF(L79="Tidak Ada/Terbuka",1,0)+IF(N79="Rusak Berat",1,0)+IF(N79="Tidak Ada/Terbuka",1,0)+IF(P79="Rusak Berat",1,0)+IF(P79="Tidak Layak",1,0))&gt;=2),"Tinggi",IF(AS79&gt;=65,"Tinggi",IF(AS79&gt;=50,"Sedang","Rendah")))))</x:f>
        <x:v>Belum Dapat Ditentukan</x:v>
      </x:c>
      <x:c r="AU79" s="240" t="str">
        <x:v>Lengkap</x:v>
      </x:c>
      <x:c r="AV79" s="240" t="str">
        <x:v>Sudah Diverifikasi</x:v>
      </x:c>
      <x:c r="AW79" s="240" t="str">
        <x:v>Belum Ditangani</x:v>
      </x:c>
      <x:c r="AX79" s="240"/>
      <x:c r="AY79" s="240"/>
      <x:c r="AZ79" s="240" t="str">
        <x:v>Belum Diverifikasi</x:v>
      </x:c>
      <x:c r="BA79" s="240"/>
      <x:c r="BB79" s="240"/>
      <x:c r="BC79" s="240" t="n">
        <x:v>2026</x:v>
      </x:c>
      <x:c r="BD79" s="240" t="str">
        <x:v>Usulan Musrenbang/Pokir DPRD</x:v>
      </x:c>
      <x:c r="BE79" s="240" t="n">
        <x:v>46218</x:v>
      </x:c>
      <x:c r="BF79" s="240" t="str">
        <x:v>Dinas Perkim Kota Pangkalpinang</x:v>
      </x:c>
    </x:row>
    <x:row r="80" ht="32" customHeight="1">
      <x:c r="A80" s="314" t="str">
        <x:v>RTLH-0099</x:v>
      </x:c>
      <x:c r="B80" s="315" t="str">
        <x:v>BURHAN UDIN / ROSINTAN</x:v>
      </x:c>
      <x:c r="C80" s="316"/>
      <x:c r="D80" s="316"/>
      <x:c r="E80" s="315" t="str">
        <x:v>JL.PASIR PADI GG.BAROKAH RT/RW . 006/002</x:v>
      </x:c>
      <x:c r="F80" s="315" t="str">
        <x:v>AIR ITAM</x:v>
      </x:c>
      <x:c r="G80" s="315" t="str">
        <x:v>BUKIT INTAN</x:v>
      </x:c>
      <x:c r="H80" s="315" t="str">
        <x:v>Pembangunan Baru</x:v>
      </x:c>
      <x:c r="I80" s="317" t="str">
        <x:v>RUMAH DINDING TRIPLEK, ATAP ASBES, LANTAI FLOOR</x:v>
      </x:c>
      <x:c r="J80" s="315" t="str">
        <x:v>Belum Dapat Ditentukan</x:v>
      </x:c>
      <x:c r="K80" s="315" t="str">
        <x:v>Asbes/Fiber Semen</x:v>
      </x:c>
      <x:c r="L80" s="315" t="str">
        <x:v>Belum Dinilai</x:v>
      </x:c>
      <x:c r="M80" s="367" t="str">
        <x:v>Belum Diidentifikasi</x:v>
      </x:c>
      <x:c r="N80" s="315" t="str">
        <x:v>Belum Dinilai</x:v>
      </x:c>
      <x:c r="O80" s="316" t="str">
        <x:v>Semen/Plester</x:v>
      </x:c>
      <x:c r="P80" s="349" t="str">
        <x:v>Belum Dinilai</x:v>
      </x:c>
      <x:c r="Q80" s="707" t="str">
        <x:v>Belum Dinilai</x:v>
      </x:c>
      <x:c r="R80" s="707" t="str">
        <x:v>Belum Dinilai</x:v>
      </x:c>
      <x:c r="S80" s="708" t="str">
        <x:v>Belum Dinilai</x:v>
      </x:c>
      <x:c r="T80" s="709" t="str">
        <x:v>Belum Dinilai</x:v>
      </x:c>
      <x:c r="U80" s="704" t="str">
        <x:v>Belum Dinilai</x:v>
      </x:c>
      <x:c r="V80" s="704" t="str">
        <x:v>Belum Dinilai</x:v>
      </x:c>
      <x:c r="W80" s="704" t="str"/>
      <x:c r="X80" s="704" t="str">
        <x:f>IF(COUNTIF(R80:V80,"Belum Dinilai")&gt;0,"Belum Dinilai",IF(COUNTIF(R80:V80,"Ya")=0,"Tidak ada faktor rentan",TEXTJOIN(", ",TRUE,IF(R80="Ya","Lansia",""),IF(S80="Ya","Penyandang disabilitas",""),IF(T80="Ya","Kepala keluarga perempuan",""),IF(U80="Ya","Balita",""),IF(V80="Ya","Anggota keluarga dengan ketergantungan tinggi",""))))</x:f>
        <x:v>Belum Dinilai</x:v>
      </x:c>
      <x:c r="Y80" s="704" t="str">
        <x:f>IF(COUNTIF(R80:V80,"Belum Dinilai")&gt;0,"Belum Dinilai",IF(COUNTIF(R80:V80,"Ya")=0,"Tidak Ada Faktor Rentan",IF(COUNTIF(R80:V80,"Ya")=1,"1 Faktor Rentan","2 atau Lebih Faktor Rentan")))</x:f>
        <x:v>Belum Dinilai</x:v>
      </x:c>
      <x:c r="Z80" s="704" t="str">
        <x:f>IF(OR(Q80="",Q80="Belum Dinilai"),"",IF(Q80="Terverifikasi DTKS/P3KE/MBR",10,IF(Q80="Diusulkan, Belum Terverifikasi",5,0)))</x:f>
      </x:c>
      <x:c r="AA80" s="705" t="str">
        <x:f>IF(COUNTIF(R80:V80,"Belum Dinilai")&gt;0,"",IF(COUNTIF(R80:V80,"Ya")=0,0,IF(COUNTIF(R80:V80,"Ya")=1,5,10)))</x:f>
      </x:c>
      <x:c r="AB80" s="706" t="str">
        <x:f>IF(OR(Z80="",AA80=""),"",Z80+AA80)</x:f>
      </x:c>
      <x:c r="AC80" s="713" t="str">
        <x:v>Belum Dinilai</x:v>
      </x:c>
      <x:c r="AD80" s="713" t="str">
        <x:v>Belum Dinilai</x:v>
      </x:c>
      <x:c r="AE80" s="714" t="str">
        <x:v>Belum Dinilai</x:v>
      </x:c>
      <x:c r="AF80" s="713" t="str">
        <x:v>Belum Dinilai</x:v>
      </x:c>
      <x:c r="AG80" s="713" t="str">
        <x:v>Belum Dinilai</x:v>
      </x:c>
      <x:c r="AH80" s="715" t="str">
        <x:v>Belum Dinilai</x:v>
      </x:c>
      <x:c r="AI80" s="714" t="str">
        <x:v>Belum Dinilai</x:v>
      </x:c>
      <x:c r="AJ80" s="713" t="str">
        <x:v>Belum Dinilai</x:v>
      </x:c>
      <x:c r="AK80" s="715" t="str">
        <x:v>Belum Dinilai</x:v>
      </x:c>
      <x:c r="AL80" s="713" t="str"/>
      <x:c r="AM80" s="716" t="str">
        <x:v>Belum Dinilai</x:v>
      </x:c>
      <x:c r="AN80" s="716" t="str">
        <x:f>IF(AND(COUNTIF(AC80:AK80,"Ya")=0,AL80=""),IF(COUNTIF(AC80:AK80,"Belum Dinilai")&gt;0,"Belum Dinilai","Tidak ada risiko khusus"),TEXTJOIN(", ",TRUE,IF(AC80="Ya","Bangunan berpotensi roboh",""),IF(AD80="Ya","Bekas kebakaran dan tidak aman dihuni",""),IF(AE80="Ya","Atap atau dinding utama hampir runtuh",""),IF(AF80="Ya","Genangan yang membahayakan",""),IF(AG80="Ya","Struktur rumah tidak stabil",""),IF(AH80="Ya","Instalasi listrik berbahaya",""),IF(AI80="Ya","Komponen bangunan lepas atau lapuk",""),IF(AJ80="Ya","Akses keluar atau evakuasi terbatas",""),IF(AK80="Ya","Lokasi rawan bencana",""),IF(AL80&lt;&gt;"","Lainnya: "&amp;AL80,"")))</x:f>
        <x:v>Belum Dinilai</x:v>
      </x:c>
      <x:c r="AO80" s="716" t="str">
        <x:f>IF(AR80="","Belum Dinilai",IF(AR80=10,"Risiko Tinggi/Darurat",IF(AR80=5,"Risiko Sedang","Tidak Ada Risiko Khusus")))</x:f>
        <x:v>Belum Dinilai</x:v>
      </x:c>
      <x:c r="AP80" s="716" t="str"/>
      <x:c r="AQ80" s="719" t="str">
        <x:f>IF(OR(J80="",J80="Belum Dapat Ditentukan",L80="",L80="Belum Dinilai",N80="",N80="Belum Dinilai",P80="",P80="Belum Dinilai"),"",IF(J80="Permanen",0,IF(J80="Semipermanen",8,IF(J80="Nonpermanen",15,0)))+IF(L80="Baik",0,IF(L80="Rusak Ringan",5,IF(L80="Rusak Sedang",10,IF(L80="Rusak Berat",15,IF(L80="Tidak Ada/Terbuka",20,0)))))+IF(N80="Baik",0,IF(N80="Rusak Ringan",5,IF(N80="Rusak Sedang",10,IF(N80="Rusak Berat",15,IF(N80="Tidak Ada/Terbuka",20,0)))))+IF(P80="Baik",0,IF(P80="Rusak Ringan",4,IF(P80="Rusak Sedang",8,IF(P80="Rusak Berat",12,IF(P80="Tidak Layak",15,0))))))</x:f>
      </x:c>
      <x:c r="AR80" s="719" t="str">
        <x:f>IF(COUNTIF(AC80:AH80,"Ya")&gt;0,10,IF(COUNTIF(AI80:AK80,"Ya")&gt;=2,10,IF(COUNTIF(AI80:AK80,"Ya")=1,MAX(5,IF(AM80="Risiko Tinggi/Darurat",10,IF(AM80="Risiko Sedang",5,0))),IF(AL80&lt;&gt;"",IF(AM80="Risiko Tinggi/Darurat",10,IF(AM80="Risiko Sedang",5,"")),IF(COUNTIF(AC80:AK80,"Belum Dinilai")&gt;0,"",0)))))</x:f>
      </x:c>
      <x:c r="AS80" s="719" t="str">
        <x:f>IF(OR(AQ80="",AB80="",AR80=""),"",AQ80+AB80+AR80)</x:f>
      </x:c>
      <x:c r="AT80" s="719" t="str">
        <x:f>IF(AS80="","Belum Dapat Ditentukan",IF(AS80&gt;=80,"Sangat Tinggi",IF(OR(AO80="Risiko Tinggi/Darurat",(IF(L80="Rusak Berat",1,0)+IF(L80="Tidak Ada/Terbuka",1,0)+IF(N80="Rusak Berat",1,0)+IF(N80="Tidak Ada/Terbuka",1,0)+IF(P80="Rusak Berat",1,0)+IF(P80="Tidak Layak",1,0))&gt;=2),"Tinggi",IF(AS80&gt;=65,"Tinggi",IF(AS80&gt;=50,"Sedang","Rendah")))))</x:f>
        <x:v>Belum Dapat Ditentukan</x:v>
      </x:c>
      <x:c r="AU80" s="240" t="str">
        <x:v>Lengkap</x:v>
      </x:c>
      <x:c r="AV80" s="240" t="str">
        <x:v>Sudah Diverifikasi</x:v>
      </x:c>
      <x:c r="AW80" s="240" t="str">
        <x:v>Belum Ditangani</x:v>
      </x:c>
      <x:c r="AX80" s="240"/>
      <x:c r="AY80" s="240"/>
      <x:c r="AZ80" s="240" t="str">
        <x:v>Belum Diverifikasi</x:v>
      </x:c>
      <x:c r="BA80" s="240"/>
      <x:c r="BB80" s="240"/>
      <x:c r="BC80" s="240" t="n">
        <x:v>2026</x:v>
      </x:c>
      <x:c r="BD80" s="240" t="str">
        <x:v>Usulan Musrenbang/Pokir DPRD</x:v>
      </x:c>
      <x:c r="BE80" s="240" t="n">
        <x:v>46218</x:v>
      </x:c>
      <x:c r="BF80" s="240" t="str">
        <x:v>Dinas Perkim Kota Pangkalpinang</x:v>
      </x:c>
    </x:row>
    <x:row r="81" ht="32" customHeight="1">
      <x:c r="A81" s="314" t="str">
        <x:v>RTLH-0100</x:v>
      </x:c>
      <x:c r="B81" s="315" t="str">
        <x:v>KUANNIE HASAN</x:v>
      </x:c>
      <x:c r="C81" s="316"/>
      <x:c r="D81" s="316"/>
      <x:c r="E81" s="315" t="str">
        <x:v>JL. RE.MARTADINATA NO.75.RT/RW.005/003</x:v>
      </x:c>
      <x:c r="F81" s="315" t="str">
        <x:v>GEDUNG NASIONAL</x:v>
      </x:c>
      <x:c r="G81" s="315" t="str">
        <x:v>TAMAN SARI</x:v>
      </x:c>
      <x:c r="H81" s="315" t="str">
        <x:v>Pembangunan Baru</x:v>
      </x:c>
      <x:c r="I81" s="317" t="str">
        <x:v>DINDING FULL PAPAN,ATAP GENTENG,LANTAI PLASTERAN, RUMAH RUSAK SEDANG</x:v>
      </x:c>
      <x:c r="J81" s="315" t="str">
        <x:v>Nonpermanen</x:v>
      </x:c>
      <x:c r="K81" s="315" t="str">
        <x:v>Genteng</x:v>
      </x:c>
      <x:c r="L81" s="315" t="str">
        <x:v>Belum Dinilai</x:v>
      </x:c>
      <x:c r="M81" s="367" t="str">
        <x:v>Papan/Kayu</x:v>
      </x:c>
      <x:c r="N81" s="315" t="str">
        <x:v>Belum Dinilai</x:v>
      </x:c>
      <x:c r="O81" s="316" t="str">
        <x:v>Semen/Plester</x:v>
      </x:c>
      <x:c r="P81" s="349" t="str">
        <x:v>Rusak Sedang</x:v>
      </x:c>
      <x:c r="Q81" s="707" t="str">
        <x:v>Belum Dinilai</x:v>
      </x:c>
      <x:c r="R81" s="707" t="str">
        <x:v>Belum Dinilai</x:v>
      </x:c>
      <x:c r="S81" s="708" t="str">
        <x:v>Belum Dinilai</x:v>
      </x:c>
      <x:c r="T81" s="709" t="str">
        <x:v>Belum Dinilai</x:v>
      </x:c>
      <x:c r="U81" s="704" t="str">
        <x:v>Belum Dinilai</x:v>
      </x:c>
      <x:c r="V81" s="704" t="str">
        <x:v>Belum Dinilai</x:v>
      </x:c>
      <x:c r="W81" s="704" t="str"/>
      <x:c r="X81" s="704" t="str">
        <x:f>IF(COUNTIF(R81:V81,"Belum Dinilai")&gt;0,"Belum Dinilai",IF(COUNTIF(R81:V81,"Ya")=0,"Tidak ada faktor rentan",TEXTJOIN(", ",TRUE,IF(R81="Ya","Lansia",""),IF(S81="Ya","Penyandang disabilitas",""),IF(T81="Ya","Kepala keluarga perempuan",""),IF(U81="Ya","Balita",""),IF(V81="Ya","Anggota keluarga dengan ketergantungan tinggi",""))))</x:f>
        <x:v>Belum Dinilai</x:v>
      </x:c>
      <x:c r="Y81" s="704" t="str">
        <x:f>IF(COUNTIF(R81:V81,"Belum Dinilai")&gt;0,"Belum Dinilai",IF(COUNTIF(R81:V81,"Ya")=0,"Tidak Ada Faktor Rentan",IF(COUNTIF(R81:V81,"Ya")=1,"1 Faktor Rentan","2 atau Lebih Faktor Rentan")))</x:f>
        <x:v>Belum Dinilai</x:v>
      </x:c>
      <x:c r="Z81" s="704" t="str">
        <x:f>IF(OR(Q81="",Q81="Belum Dinilai"),"",IF(Q81="Terverifikasi DTKS/P3KE/MBR",10,IF(Q81="Diusulkan, Belum Terverifikasi",5,0)))</x:f>
      </x:c>
      <x:c r="AA81" s="705" t="str">
        <x:f>IF(COUNTIF(R81:V81,"Belum Dinilai")&gt;0,"",IF(COUNTIF(R81:V81,"Ya")=0,0,IF(COUNTIF(R81:V81,"Ya")=1,5,10)))</x:f>
      </x:c>
      <x:c r="AB81" s="706" t="str">
        <x:f>IF(OR(Z81="",AA81=""),"",Z81+AA81)</x:f>
      </x:c>
      <x:c r="AC81" s="713" t="str">
        <x:v>Belum Dinilai</x:v>
      </x:c>
      <x:c r="AD81" s="713" t="str">
        <x:v>Belum Dinilai</x:v>
      </x:c>
      <x:c r="AE81" s="714" t="str">
        <x:v>Belum Dinilai</x:v>
      </x:c>
      <x:c r="AF81" s="713" t="str">
        <x:v>Belum Dinilai</x:v>
      </x:c>
      <x:c r="AG81" s="713" t="str">
        <x:v>Belum Dinilai</x:v>
      </x:c>
      <x:c r="AH81" s="715" t="str">
        <x:v>Belum Dinilai</x:v>
      </x:c>
      <x:c r="AI81" s="714" t="str">
        <x:v>Belum Dinilai</x:v>
      </x:c>
      <x:c r="AJ81" s="713" t="str">
        <x:v>Belum Dinilai</x:v>
      </x:c>
      <x:c r="AK81" s="715" t="str">
        <x:v>Belum Dinilai</x:v>
      </x:c>
      <x:c r="AL81" s="713" t="str"/>
      <x:c r="AM81" s="716" t="str">
        <x:v>Belum Dinilai</x:v>
      </x:c>
      <x:c r="AN81" s="716" t="str">
        <x:f>IF(AND(COUNTIF(AC81:AK81,"Ya")=0,AL81=""),IF(COUNTIF(AC81:AK81,"Belum Dinilai")&gt;0,"Belum Dinilai","Tidak ada risiko khusus"),TEXTJOIN(", ",TRUE,IF(AC81="Ya","Bangunan berpotensi roboh",""),IF(AD81="Ya","Bekas kebakaran dan tidak aman dihuni",""),IF(AE81="Ya","Atap atau dinding utama hampir runtuh",""),IF(AF81="Ya","Genangan yang membahayakan",""),IF(AG81="Ya","Struktur rumah tidak stabil",""),IF(AH81="Ya","Instalasi listrik berbahaya",""),IF(AI81="Ya","Komponen bangunan lepas atau lapuk",""),IF(AJ81="Ya","Akses keluar atau evakuasi terbatas",""),IF(AK81="Ya","Lokasi rawan bencana",""),IF(AL81&lt;&gt;"","Lainnya: "&amp;AL81,"")))</x:f>
        <x:v>Belum Dinilai</x:v>
      </x:c>
      <x:c r="AO81" s="716" t="str">
        <x:f>IF(AR81="","Belum Dinilai",IF(AR81=10,"Risiko Tinggi/Darurat",IF(AR81=5,"Risiko Sedang","Tidak Ada Risiko Khusus")))</x:f>
        <x:v>Belum Dinilai</x:v>
      </x:c>
      <x:c r="AP81" s="716" t="str"/>
      <x:c r="AQ81" s="719" t="str">
        <x:f>IF(OR(J81="",J81="Belum Dapat Ditentukan",L81="",L81="Belum Dinilai",N81="",N81="Belum Dinilai",P81="",P81="Belum Dinilai"),"",IF(J81="Permanen",0,IF(J81="Semipermanen",8,IF(J81="Nonpermanen",15,0)))+IF(L81="Baik",0,IF(L81="Rusak Ringan",5,IF(L81="Rusak Sedang",10,IF(L81="Rusak Berat",15,IF(L81="Tidak Ada/Terbuka",20,0)))))+IF(N81="Baik",0,IF(N81="Rusak Ringan",5,IF(N81="Rusak Sedang",10,IF(N81="Rusak Berat",15,IF(N81="Tidak Ada/Terbuka",20,0)))))+IF(P81="Baik",0,IF(P81="Rusak Ringan",4,IF(P81="Rusak Sedang",8,IF(P81="Rusak Berat",12,IF(P81="Tidak Layak",15,0))))))</x:f>
      </x:c>
      <x:c r="AR81" s="719" t="str">
        <x:f>IF(COUNTIF(AC81:AH81,"Ya")&gt;0,10,IF(COUNTIF(AI81:AK81,"Ya")&gt;=2,10,IF(COUNTIF(AI81:AK81,"Ya")=1,MAX(5,IF(AM81="Risiko Tinggi/Darurat",10,IF(AM81="Risiko Sedang",5,0))),IF(AL81&lt;&gt;"",IF(AM81="Risiko Tinggi/Darurat",10,IF(AM81="Risiko Sedang",5,"")),IF(COUNTIF(AC81:AK81,"Belum Dinilai")&gt;0,"",0)))))</x:f>
      </x:c>
      <x:c r="AS81" s="719" t="str">
        <x:f>IF(OR(AQ81="",AB81="",AR81=""),"",AQ81+AB81+AR81)</x:f>
      </x:c>
      <x:c r="AT81" s="719" t="str">
        <x:f>IF(AS81="","Belum Dapat Ditentukan",IF(AS81&gt;=80,"Sangat Tinggi",IF(OR(AO81="Risiko Tinggi/Darurat",(IF(L81="Rusak Berat",1,0)+IF(L81="Tidak Ada/Terbuka",1,0)+IF(N81="Rusak Berat",1,0)+IF(N81="Tidak Ada/Terbuka",1,0)+IF(P81="Rusak Berat",1,0)+IF(P81="Tidak Layak",1,0))&gt;=2),"Tinggi",IF(AS81&gt;=65,"Tinggi",IF(AS81&gt;=50,"Sedang","Rendah")))))</x:f>
        <x:v>Belum Dapat Ditentukan</x:v>
      </x:c>
      <x:c r="AU81" s="240" t="str">
        <x:v>Lengkap</x:v>
      </x:c>
      <x:c r="AV81" s="240" t="str">
        <x:v>Sudah Diverifikasi</x:v>
      </x:c>
      <x:c r="AW81" s="240" t="str">
        <x:v>Belum Ditangani</x:v>
      </x:c>
      <x:c r="AX81" s="240"/>
      <x:c r="AY81" s="240"/>
      <x:c r="AZ81" s="240" t="str">
        <x:v>Belum Diverifikasi</x:v>
      </x:c>
      <x:c r="BA81" s="240"/>
      <x:c r="BB81" s="240"/>
      <x:c r="BC81" s="240" t="n">
        <x:v>2026</x:v>
      </x:c>
      <x:c r="BD81" s="240" t="str">
        <x:v>Usulan Musrenbang/Pokir DPRD</x:v>
      </x:c>
      <x:c r="BE81" s="240" t="n">
        <x:v>46218</x:v>
      </x:c>
      <x:c r="BF81" s="240" t="str">
        <x:v>Dinas Perkim Kota Pangkalpinang</x:v>
      </x:c>
    </x:row>
    <x:row r="82" ht="32" customHeight="1">
      <x:c r="A82" s="314" t="str">
        <x:v>RTLH-0101</x:v>
      </x:c>
      <x:c r="B82" s="315" t="str">
        <x:v>MAMAN RACHMANSYAH</x:v>
      </x:c>
      <x:c r="C82" s="316"/>
      <x:c r="D82" s="316"/>
      <x:c r="E82" s="315" t="str">
        <x:v>JL. RE .MARTADINATA. RT/RW.002/001</x:v>
      </x:c>
      <x:c r="F82" s="315" t="str">
        <x:v>AMPUI</x:v>
      </x:c>
      <x:c r="G82" s="315" t="str">
        <x:v>PANGKAL BALAM</x:v>
      </x:c>
      <x:c r="H82" s="315" t="str">
        <x:v>Pembangunan Baru</x:v>
      </x:c>
      <x:c r="I82" s="317" t="str">
        <x:v>DINDING FULL PAPAN,ATAP SENG,LANTAI PLASTERAN, RUMAH RUSAK SEDANG</x:v>
      </x:c>
      <x:c r="J82" s="315" t="str">
        <x:v>Nonpermanen</x:v>
      </x:c>
      <x:c r="K82" s="315" t="str">
        <x:v>Seng</x:v>
      </x:c>
      <x:c r="L82" s="315" t="str">
        <x:v>Belum Dinilai</x:v>
      </x:c>
      <x:c r="M82" s="367" t="str">
        <x:v>Papan/Kayu</x:v>
      </x:c>
      <x:c r="N82" s="315" t="str">
        <x:v>Belum Dinilai</x:v>
      </x:c>
      <x:c r="O82" s="316" t="str">
        <x:v>Semen/Plester</x:v>
      </x:c>
      <x:c r="P82" s="349" t="str">
        <x:v>Rusak Sedang</x:v>
      </x:c>
      <x:c r="Q82" s="707" t="str">
        <x:v>Belum Dinilai</x:v>
      </x:c>
      <x:c r="R82" s="707" t="str">
        <x:v>Belum Dinilai</x:v>
      </x:c>
      <x:c r="S82" s="708" t="str">
        <x:v>Belum Dinilai</x:v>
      </x:c>
      <x:c r="T82" s="709" t="str">
        <x:v>Belum Dinilai</x:v>
      </x:c>
      <x:c r="U82" s="704" t="str">
        <x:v>Belum Dinilai</x:v>
      </x:c>
      <x:c r="V82" s="704" t="str">
        <x:v>Belum Dinilai</x:v>
      </x:c>
      <x:c r="W82" s="704" t="str"/>
      <x:c r="X82" s="704" t="str">
        <x:f>IF(COUNTIF(R82:V82,"Belum Dinilai")&gt;0,"Belum Dinilai",IF(COUNTIF(R82:V82,"Ya")=0,"Tidak ada faktor rentan",TEXTJOIN(", ",TRUE,IF(R82="Ya","Lansia",""),IF(S82="Ya","Penyandang disabilitas",""),IF(T82="Ya","Kepala keluarga perempuan",""),IF(U82="Ya","Balita",""),IF(V82="Ya","Anggota keluarga dengan ketergantungan tinggi",""))))</x:f>
        <x:v>Belum Dinilai</x:v>
      </x:c>
      <x:c r="Y82" s="704" t="str">
        <x:f>IF(COUNTIF(R82:V82,"Belum Dinilai")&gt;0,"Belum Dinilai",IF(COUNTIF(R82:V82,"Ya")=0,"Tidak Ada Faktor Rentan",IF(COUNTIF(R82:V82,"Ya")=1,"1 Faktor Rentan","2 atau Lebih Faktor Rentan")))</x:f>
        <x:v>Belum Dinilai</x:v>
      </x:c>
      <x:c r="Z82" s="704" t="str">
        <x:f>IF(OR(Q82="",Q82="Belum Dinilai"),"",IF(Q82="Terverifikasi DTKS/P3KE/MBR",10,IF(Q82="Diusulkan, Belum Terverifikasi",5,0)))</x:f>
      </x:c>
      <x:c r="AA82" s="705" t="str">
        <x:f>IF(COUNTIF(R82:V82,"Belum Dinilai")&gt;0,"",IF(COUNTIF(R82:V82,"Ya")=0,0,IF(COUNTIF(R82:V82,"Ya")=1,5,10)))</x:f>
      </x:c>
      <x:c r="AB82" s="706" t="str">
        <x:f>IF(OR(Z82="",AA82=""),"",Z82+AA82)</x:f>
      </x:c>
      <x:c r="AC82" s="713" t="str">
        <x:v>Belum Dinilai</x:v>
      </x:c>
      <x:c r="AD82" s="713" t="str">
        <x:v>Belum Dinilai</x:v>
      </x:c>
      <x:c r="AE82" s="714" t="str">
        <x:v>Belum Dinilai</x:v>
      </x:c>
      <x:c r="AF82" s="713" t="str">
        <x:v>Belum Dinilai</x:v>
      </x:c>
      <x:c r="AG82" s="713" t="str">
        <x:v>Belum Dinilai</x:v>
      </x:c>
      <x:c r="AH82" s="715" t="str">
        <x:v>Belum Dinilai</x:v>
      </x:c>
      <x:c r="AI82" s="714" t="str">
        <x:v>Belum Dinilai</x:v>
      </x:c>
      <x:c r="AJ82" s="713" t="str">
        <x:v>Belum Dinilai</x:v>
      </x:c>
      <x:c r="AK82" s="715" t="str">
        <x:v>Belum Dinilai</x:v>
      </x:c>
      <x:c r="AL82" s="713" t="str"/>
      <x:c r="AM82" s="716" t="str">
        <x:v>Belum Dinilai</x:v>
      </x:c>
      <x:c r="AN82" s="716" t="str">
        <x:f>IF(AND(COUNTIF(AC82:AK82,"Ya")=0,AL82=""),IF(COUNTIF(AC82:AK82,"Belum Dinilai")&gt;0,"Belum Dinilai","Tidak ada risiko khusus"),TEXTJOIN(", ",TRUE,IF(AC82="Ya","Bangunan berpotensi roboh",""),IF(AD82="Ya","Bekas kebakaran dan tidak aman dihuni",""),IF(AE82="Ya","Atap atau dinding utama hampir runtuh",""),IF(AF82="Ya","Genangan yang membahayakan",""),IF(AG82="Ya","Struktur rumah tidak stabil",""),IF(AH82="Ya","Instalasi listrik berbahaya",""),IF(AI82="Ya","Komponen bangunan lepas atau lapuk",""),IF(AJ82="Ya","Akses keluar atau evakuasi terbatas",""),IF(AK82="Ya","Lokasi rawan bencana",""),IF(AL82&lt;&gt;"","Lainnya: "&amp;AL82,"")))</x:f>
        <x:v>Belum Dinilai</x:v>
      </x:c>
      <x:c r="AO82" s="716" t="str">
        <x:f>IF(AR82="","Belum Dinilai",IF(AR82=10,"Risiko Tinggi/Darurat",IF(AR82=5,"Risiko Sedang","Tidak Ada Risiko Khusus")))</x:f>
        <x:v>Belum Dinilai</x:v>
      </x:c>
      <x:c r="AP82" s="716" t="str"/>
      <x:c r="AQ82" s="719" t="str">
        <x:f>IF(OR(J82="",J82="Belum Dapat Ditentukan",L82="",L82="Belum Dinilai",N82="",N82="Belum Dinilai",P82="",P82="Belum Dinilai"),"",IF(J82="Permanen",0,IF(J82="Semipermanen",8,IF(J82="Nonpermanen",15,0)))+IF(L82="Baik",0,IF(L82="Rusak Ringan",5,IF(L82="Rusak Sedang",10,IF(L82="Rusak Berat",15,IF(L82="Tidak Ada/Terbuka",20,0)))))+IF(N82="Baik",0,IF(N82="Rusak Ringan",5,IF(N82="Rusak Sedang",10,IF(N82="Rusak Berat",15,IF(N82="Tidak Ada/Terbuka",20,0)))))+IF(P82="Baik",0,IF(P82="Rusak Ringan",4,IF(P82="Rusak Sedang",8,IF(P82="Rusak Berat",12,IF(P82="Tidak Layak",15,0))))))</x:f>
      </x:c>
      <x:c r="AR82" s="719" t="str">
        <x:f>IF(COUNTIF(AC82:AH82,"Ya")&gt;0,10,IF(COUNTIF(AI82:AK82,"Ya")&gt;=2,10,IF(COUNTIF(AI82:AK82,"Ya")=1,MAX(5,IF(AM82="Risiko Tinggi/Darurat",10,IF(AM82="Risiko Sedang",5,0))),IF(AL82&lt;&gt;"",IF(AM82="Risiko Tinggi/Darurat",10,IF(AM82="Risiko Sedang",5,"")),IF(COUNTIF(AC82:AK82,"Belum Dinilai")&gt;0,"",0)))))</x:f>
      </x:c>
      <x:c r="AS82" s="719" t="str">
        <x:f>IF(OR(AQ82="",AB82="",AR82=""),"",AQ82+AB82+AR82)</x:f>
      </x:c>
      <x:c r="AT82" s="719" t="str">
        <x:f>IF(AS82="","Belum Dapat Ditentukan",IF(AS82&gt;=80,"Sangat Tinggi",IF(OR(AO82="Risiko Tinggi/Darurat",(IF(L82="Rusak Berat",1,0)+IF(L82="Tidak Ada/Terbuka",1,0)+IF(N82="Rusak Berat",1,0)+IF(N82="Tidak Ada/Terbuka",1,0)+IF(P82="Rusak Berat",1,0)+IF(P82="Tidak Layak",1,0))&gt;=2),"Tinggi",IF(AS82&gt;=65,"Tinggi",IF(AS82&gt;=50,"Sedang","Rendah")))))</x:f>
        <x:v>Belum Dapat Ditentukan</x:v>
      </x:c>
      <x:c r="AU82" s="240" t="str">
        <x:v>Lengkap</x:v>
      </x:c>
      <x:c r="AV82" s="240" t="str">
        <x:v>Sudah Diverifikasi</x:v>
      </x:c>
      <x:c r="AW82" s="240" t="str">
        <x:v>Belum Ditangani</x:v>
      </x:c>
      <x:c r="AX82" s="240"/>
      <x:c r="AY82" s="240"/>
      <x:c r="AZ82" s="240" t="str">
        <x:v>Belum Diverifikasi</x:v>
      </x:c>
      <x:c r="BA82" s="240"/>
      <x:c r="BB82" s="240"/>
      <x:c r="BC82" s="240" t="n">
        <x:v>2026</x:v>
      </x:c>
      <x:c r="BD82" s="240" t="str">
        <x:v>Usulan Musrenbang/Pokir DPRD</x:v>
      </x:c>
      <x:c r="BE82" s="240" t="n">
        <x:v>46218</x:v>
      </x:c>
      <x:c r="BF82" s="240" t="str">
        <x:v>Dinas Perkim Kota Pangkalpinang</x:v>
      </x:c>
    </x:row>
    <x:row r="83" ht="32" customHeight="1">
      <x:c r="A83" s="314" t="str">
        <x:v>RTLH-0102</x:v>
      </x:c>
      <x:c r="B83" s="315" t="str">
        <x:v>TAMSIR</x:v>
      </x:c>
      <x:c r="C83" s="316"/>
      <x:c r="D83" s="316"/>
      <x:c r="E83" s="315" t="str">
        <x:v>JL. RE .MARTADINATA. RT/RW.002/001</x:v>
      </x:c>
      <x:c r="F83" s="315" t="str">
        <x:v>AMPUI</x:v>
      </x:c>
      <x:c r="G83" s="315" t="str">
        <x:v>PANGKAL BALAM</x:v>
      </x:c>
      <x:c r="H83" s="315" t="str">
        <x:v>Peningkatan Kualitas</x:v>
      </x:c>
      <x:c r="I83" s="317" t="str">
        <x:v>RUMAH ADA 2,</x:v>
      </x:c>
      <x:c r="J83" s="315" t="str">
        <x:v>Belum Dapat Ditentukan</x:v>
      </x:c>
      <x:c r="K83" s="315" t="str">
        <x:v>Belum Diidentifikasi</x:v>
      </x:c>
      <x:c r="L83" s="315" t="str">
        <x:v>Belum Dinilai</x:v>
      </x:c>
      <x:c r="M83" s="367" t="str">
        <x:v>Belum Diidentifikasi</x:v>
      </x:c>
      <x:c r="N83" s="315" t="str">
        <x:v>Belum Dinilai</x:v>
      </x:c>
      <x:c r="O83" s="316" t="str">
        <x:v>Belum Diidentifikasi</x:v>
      </x:c>
      <x:c r="P83" s="349" t="str">
        <x:v>Belum Dinilai</x:v>
      </x:c>
      <x:c r="Q83" s="707" t="str">
        <x:v>Belum Dinilai</x:v>
      </x:c>
      <x:c r="R83" s="707" t="str">
        <x:v>Belum Dinilai</x:v>
      </x:c>
      <x:c r="S83" s="708" t="str">
        <x:v>Belum Dinilai</x:v>
      </x:c>
      <x:c r="T83" s="709" t="str">
        <x:v>Belum Dinilai</x:v>
      </x:c>
      <x:c r="U83" s="704" t="str">
        <x:v>Belum Dinilai</x:v>
      </x:c>
      <x:c r="V83" s="704" t="str">
        <x:v>Belum Dinilai</x:v>
      </x:c>
      <x:c r="W83" s="704" t="str"/>
      <x:c r="X83" s="704" t="str">
        <x:f>IF(COUNTIF(R83:V83,"Belum Dinilai")&gt;0,"Belum Dinilai",IF(COUNTIF(R83:V83,"Ya")=0,"Tidak ada faktor rentan",TEXTJOIN(", ",TRUE,IF(R83="Ya","Lansia",""),IF(S83="Ya","Penyandang disabilitas",""),IF(T83="Ya","Kepala keluarga perempuan",""),IF(U83="Ya","Balita",""),IF(V83="Ya","Anggota keluarga dengan ketergantungan tinggi",""))))</x:f>
        <x:v>Belum Dinilai</x:v>
      </x:c>
      <x:c r="Y83" s="704" t="str">
        <x:f>IF(COUNTIF(R83:V83,"Belum Dinilai")&gt;0,"Belum Dinilai",IF(COUNTIF(R83:V83,"Ya")=0,"Tidak Ada Faktor Rentan",IF(COUNTIF(R83:V83,"Ya")=1,"1 Faktor Rentan","2 atau Lebih Faktor Rentan")))</x:f>
        <x:v>Belum Dinilai</x:v>
      </x:c>
      <x:c r="Z83" s="704" t="str">
        <x:f>IF(OR(Q83="",Q83="Belum Dinilai"),"",IF(Q83="Terverifikasi DTKS/P3KE/MBR",10,IF(Q83="Diusulkan, Belum Terverifikasi",5,0)))</x:f>
      </x:c>
      <x:c r="AA83" s="705" t="str">
        <x:f>IF(COUNTIF(R83:V83,"Belum Dinilai")&gt;0,"",IF(COUNTIF(R83:V83,"Ya")=0,0,IF(COUNTIF(R83:V83,"Ya")=1,5,10)))</x:f>
      </x:c>
      <x:c r="AB83" s="706" t="str">
        <x:f>IF(OR(Z83="",AA83=""),"",Z83+AA83)</x:f>
      </x:c>
      <x:c r="AC83" s="713" t="str">
        <x:v>Belum Dinilai</x:v>
      </x:c>
      <x:c r="AD83" s="713" t="str">
        <x:v>Belum Dinilai</x:v>
      </x:c>
      <x:c r="AE83" s="714" t="str">
        <x:v>Belum Dinilai</x:v>
      </x:c>
      <x:c r="AF83" s="713" t="str">
        <x:v>Belum Dinilai</x:v>
      </x:c>
      <x:c r="AG83" s="713" t="str">
        <x:v>Belum Dinilai</x:v>
      </x:c>
      <x:c r="AH83" s="715" t="str">
        <x:v>Belum Dinilai</x:v>
      </x:c>
      <x:c r="AI83" s="714" t="str">
        <x:v>Belum Dinilai</x:v>
      </x:c>
      <x:c r="AJ83" s="713" t="str">
        <x:v>Belum Dinilai</x:v>
      </x:c>
      <x:c r="AK83" s="715" t="str">
        <x:v>Belum Dinilai</x:v>
      </x:c>
      <x:c r="AL83" s="713" t="str"/>
      <x:c r="AM83" s="716" t="str">
        <x:v>Belum Dinilai</x:v>
      </x:c>
      <x:c r="AN83" s="716" t="str">
        <x:f>IF(AND(COUNTIF(AC83:AK83,"Ya")=0,AL83=""),IF(COUNTIF(AC83:AK83,"Belum Dinilai")&gt;0,"Belum Dinilai","Tidak ada risiko khusus"),TEXTJOIN(", ",TRUE,IF(AC83="Ya","Bangunan berpotensi roboh",""),IF(AD83="Ya","Bekas kebakaran dan tidak aman dihuni",""),IF(AE83="Ya","Atap atau dinding utama hampir runtuh",""),IF(AF83="Ya","Genangan yang membahayakan",""),IF(AG83="Ya","Struktur rumah tidak stabil",""),IF(AH83="Ya","Instalasi listrik berbahaya",""),IF(AI83="Ya","Komponen bangunan lepas atau lapuk",""),IF(AJ83="Ya","Akses keluar atau evakuasi terbatas",""),IF(AK83="Ya","Lokasi rawan bencana",""),IF(AL83&lt;&gt;"","Lainnya: "&amp;AL83,"")))</x:f>
        <x:v>Belum Dinilai</x:v>
      </x:c>
      <x:c r="AO83" s="716" t="str">
        <x:f>IF(AR83="","Belum Dinilai",IF(AR83=10,"Risiko Tinggi/Darurat",IF(AR83=5,"Risiko Sedang","Tidak Ada Risiko Khusus")))</x:f>
        <x:v>Belum Dinilai</x:v>
      </x:c>
      <x:c r="AP83" s="716" t="str"/>
      <x:c r="AQ83" s="719" t="str">
        <x:f>IF(OR(J83="",J83="Belum Dapat Ditentukan",L83="",L83="Belum Dinilai",N83="",N83="Belum Dinilai",P83="",P83="Belum Dinilai"),"",IF(J83="Permanen",0,IF(J83="Semipermanen",8,IF(J83="Nonpermanen",15,0)))+IF(L83="Baik",0,IF(L83="Rusak Ringan",5,IF(L83="Rusak Sedang",10,IF(L83="Rusak Berat",15,IF(L83="Tidak Ada/Terbuka",20,0)))))+IF(N83="Baik",0,IF(N83="Rusak Ringan",5,IF(N83="Rusak Sedang",10,IF(N83="Rusak Berat",15,IF(N83="Tidak Ada/Terbuka",20,0)))))+IF(P83="Baik",0,IF(P83="Rusak Ringan",4,IF(P83="Rusak Sedang",8,IF(P83="Rusak Berat",12,IF(P83="Tidak Layak",15,0))))))</x:f>
      </x:c>
      <x:c r="AR83" s="719" t="str">
        <x:f>IF(COUNTIF(AC83:AH83,"Ya")&gt;0,10,IF(COUNTIF(AI83:AK83,"Ya")&gt;=2,10,IF(COUNTIF(AI83:AK83,"Ya")=1,MAX(5,IF(AM83="Risiko Tinggi/Darurat",10,IF(AM83="Risiko Sedang",5,0))),IF(AL83&lt;&gt;"",IF(AM83="Risiko Tinggi/Darurat",10,IF(AM83="Risiko Sedang",5,"")),IF(COUNTIF(AC83:AK83,"Belum Dinilai")&gt;0,"",0)))))</x:f>
      </x:c>
      <x:c r="AS83" s="719" t="str">
        <x:f>IF(OR(AQ83="",AB83="",AR83=""),"",AQ83+AB83+AR83)</x:f>
      </x:c>
      <x:c r="AT83" s="719" t="str">
        <x:f>IF(AS83="","Belum Dapat Ditentukan",IF(AS83&gt;=80,"Sangat Tinggi",IF(OR(AO83="Risiko Tinggi/Darurat",(IF(L83="Rusak Berat",1,0)+IF(L83="Tidak Ada/Terbuka",1,0)+IF(N83="Rusak Berat",1,0)+IF(N83="Tidak Ada/Terbuka",1,0)+IF(P83="Rusak Berat",1,0)+IF(P83="Tidak Layak",1,0))&gt;=2),"Tinggi",IF(AS83&gt;=65,"Tinggi",IF(AS83&gt;=50,"Sedang","Rendah")))))</x:f>
        <x:v>Belum Dapat Ditentukan</x:v>
      </x:c>
      <x:c r="AU83" s="240" t="str">
        <x:v>Lengkap</x:v>
      </x:c>
      <x:c r="AV83" s="240" t="str">
        <x:v>Sudah Diverifikasi</x:v>
      </x:c>
      <x:c r="AW83" s="240" t="str">
        <x:v>Belum Ditangani</x:v>
      </x:c>
      <x:c r="AX83" s="240"/>
      <x:c r="AY83" s="240"/>
      <x:c r="AZ83" s="240" t="str">
        <x:v>Belum Diverifikasi</x:v>
      </x:c>
      <x:c r="BA83" s="240"/>
      <x:c r="BB83" s="240"/>
      <x:c r="BC83" s="240" t="n">
        <x:v>2026</x:v>
      </x:c>
      <x:c r="BD83" s="240" t="str">
        <x:v>Usulan Musrenbang/Pokir DPRD</x:v>
      </x:c>
      <x:c r="BE83" s="240" t="n">
        <x:v>46218</x:v>
      </x:c>
      <x:c r="BF83" s="240" t="str">
        <x:v>Dinas Perkim Kota Pangkalpinang</x:v>
      </x:c>
    </x:row>
    <x:row r="84" ht="32" customHeight="1">
      <x:c r="A84" s="314" t="str">
        <x:v>RTLH-0103</x:v>
      </x:c>
      <x:c r="B84" s="315" t="str">
        <x:v>MUS MULYADI NURDIN</x:v>
      </x:c>
      <x:c r="C84" s="316"/>
      <x:c r="D84" s="316"/>
      <x:c r="E84" s="315" t="str">
        <x:v>JL. TENGGIRI 1. RT/RT.007/003</x:v>
      </x:c>
      <x:c r="F84" s="315" t="str">
        <x:v>KETAPANG</x:v>
      </x:c>
      <x:c r="G84" s="315" t="str">
        <x:v>PANGKAL BALAM</x:v>
      </x:c>
      <x:c r="H84" s="315" t="str">
        <x:v>Pembangunan Baru</x:v>
      </x:c>
      <x:c r="I84" s="317" t="str">
        <x:v>RUMAH FULL.TRIPLEK,SENG,ASBES BEKAS.</x:v>
      </x:c>
      <x:c r="J84" s="315" t="str">
        <x:v>Belum Dapat Ditentukan</x:v>
      </x:c>
      <x:c r="K84" s="315" t="str">
        <x:v>Campuran</x:v>
      </x:c>
      <x:c r="L84" s="315" t="str">
        <x:v>Belum Dinilai</x:v>
      </x:c>
      <x:c r="M84" s="367" t="str">
        <x:v>Belum Diidentifikasi</x:v>
      </x:c>
      <x:c r="N84" s="315" t="str">
        <x:v>Belum Dinilai</x:v>
      </x:c>
      <x:c r="O84" s="316" t="str">
        <x:v>Belum Diidentifikasi</x:v>
      </x:c>
      <x:c r="P84" s="349" t="str">
        <x:v>Belum Dinilai</x:v>
      </x:c>
      <x:c r="Q84" s="707" t="str">
        <x:v>Belum Dinilai</x:v>
      </x:c>
      <x:c r="R84" s="707" t="str">
        <x:v>Belum Dinilai</x:v>
      </x:c>
      <x:c r="S84" s="708" t="str">
        <x:v>Belum Dinilai</x:v>
      </x:c>
      <x:c r="T84" s="709" t="str">
        <x:v>Belum Dinilai</x:v>
      </x:c>
      <x:c r="U84" s="704" t="str">
        <x:v>Belum Dinilai</x:v>
      </x:c>
      <x:c r="V84" s="704" t="str">
        <x:v>Belum Dinilai</x:v>
      </x:c>
      <x:c r="W84" s="704" t="str"/>
      <x:c r="X84" s="704" t="str">
        <x:f>IF(COUNTIF(R84:V84,"Belum Dinilai")&gt;0,"Belum Dinilai",IF(COUNTIF(R84:V84,"Ya")=0,"Tidak ada faktor rentan",TEXTJOIN(", ",TRUE,IF(R84="Ya","Lansia",""),IF(S84="Ya","Penyandang disabilitas",""),IF(T84="Ya","Kepala keluarga perempuan",""),IF(U84="Ya","Balita",""),IF(V84="Ya","Anggota keluarga dengan ketergantungan tinggi",""))))</x:f>
        <x:v>Belum Dinilai</x:v>
      </x:c>
      <x:c r="Y84" s="704" t="str">
        <x:f>IF(COUNTIF(R84:V84,"Belum Dinilai")&gt;0,"Belum Dinilai",IF(COUNTIF(R84:V84,"Ya")=0,"Tidak Ada Faktor Rentan",IF(COUNTIF(R84:V84,"Ya")=1,"1 Faktor Rentan","2 atau Lebih Faktor Rentan")))</x:f>
        <x:v>Belum Dinilai</x:v>
      </x:c>
      <x:c r="Z84" s="704" t="str">
        <x:f>IF(OR(Q84="",Q84="Belum Dinilai"),"",IF(Q84="Terverifikasi DTKS/P3KE/MBR",10,IF(Q84="Diusulkan, Belum Terverifikasi",5,0)))</x:f>
      </x:c>
      <x:c r="AA84" s="705" t="str">
        <x:f>IF(COUNTIF(R84:V84,"Belum Dinilai")&gt;0,"",IF(COUNTIF(R84:V84,"Ya")=0,0,IF(COUNTIF(R84:V84,"Ya")=1,5,10)))</x:f>
      </x:c>
      <x:c r="AB84" s="706" t="str">
        <x:f>IF(OR(Z84="",AA84=""),"",Z84+AA84)</x:f>
      </x:c>
      <x:c r="AC84" s="713" t="str">
        <x:v>Belum Dinilai</x:v>
      </x:c>
      <x:c r="AD84" s="713" t="str">
        <x:v>Belum Dinilai</x:v>
      </x:c>
      <x:c r="AE84" s="714" t="str">
        <x:v>Belum Dinilai</x:v>
      </x:c>
      <x:c r="AF84" s="713" t="str">
        <x:v>Belum Dinilai</x:v>
      </x:c>
      <x:c r="AG84" s="713" t="str">
        <x:v>Belum Dinilai</x:v>
      </x:c>
      <x:c r="AH84" s="715" t="str">
        <x:v>Belum Dinilai</x:v>
      </x:c>
      <x:c r="AI84" s="714" t="str">
        <x:v>Belum Dinilai</x:v>
      </x:c>
      <x:c r="AJ84" s="713" t="str">
        <x:v>Belum Dinilai</x:v>
      </x:c>
      <x:c r="AK84" s="715" t="str">
        <x:v>Belum Dinilai</x:v>
      </x:c>
      <x:c r="AL84" s="713" t="str"/>
      <x:c r="AM84" s="716" t="str">
        <x:v>Belum Dinilai</x:v>
      </x:c>
      <x:c r="AN84" s="716" t="str">
        <x:f>IF(AND(COUNTIF(AC84:AK84,"Ya")=0,AL84=""),IF(COUNTIF(AC84:AK84,"Belum Dinilai")&gt;0,"Belum Dinilai","Tidak ada risiko khusus"),TEXTJOIN(", ",TRUE,IF(AC84="Ya","Bangunan berpotensi roboh",""),IF(AD84="Ya","Bekas kebakaran dan tidak aman dihuni",""),IF(AE84="Ya","Atap atau dinding utama hampir runtuh",""),IF(AF84="Ya","Genangan yang membahayakan",""),IF(AG84="Ya","Struktur rumah tidak stabil",""),IF(AH84="Ya","Instalasi listrik berbahaya",""),IF(AI84="Ya","Komponen bangunan lepas atau lapuk",""),IF(AJ84="Ya","Akses keluar atau evakuasi terbatas",""),IF(AK84="Ya","Lokasi rawan bencana",""),IF(AL84&lt;&gt;"","Lainnya: "&amp;AL84,"")))</x:f>
        <x:v>Belum Dinilai</x:v>
      </x:c>
      <x:c r="AO84" s="716" t="str">
        <x:f>IF(AR84="","Belum Dinilai",IF(AR84=10,"Risiko Tinggi/Darurat",IF(AR84=5,"Risiko Sedang","Tidak Ada Risiko Khusus")))</x:f>
        <x:v>Belum Dinilai</x:v>
      </x:c>
      <x:c r="AP84" s="716" t="str"/>
      <x:c r="AQ84" s="719" t="str">
        <x:f>IF(OR(J84="",J84="Belum Dapat Ditentukan",L84="",L84="Belum Dinilai",N84="",N84="Belum Dinilai",P84="",P84="Belum Dinilai"),"",IF(J84="Permanen",0,IF(J84="Semipermanen",8,IF(J84="Nonpermanen",15,0)))+IF(L84="Baik",0,IF(L84="Rusak Ringan",5,IF(L84="Rusak Sedang",10,IF(L84="Rusak Berat",15,IF(L84="Tidak Ada/Terbuka",20,0)))))+IF(N84="Baik",0,IF(N84="Rusak Ringan",5,IF(N84="Rusak Sedang",10,IF(N84="Rusak Berat",15,IF(N84="Tidak Ada/Terbuka",20,0)))))+IF(P84="Baik",0,IF(P84="Rusak Ringan",4,IF(P84="Rusak Sedang",8,IF(P84="Rusak Berat",12,IF(P84="Tidak Layak",15,0))))))</x:f>
      </x:c>
      <x:c r="AR84" s="719" t="str">
        <x:f>IF(COUNTIF(AC84:AH84,"Ya")&gt;0,10,IF(COUNTIF(AI84:AK84,"Ya")&gt;=2,10,IF(COUNTIF(AI84:AK84,"Ya")=1,MAX(5,IF(AM84="Risiko Tinggi/Darurat",10,IF(AM84="Risiko Sedang",5,0))),IF(AL84&lt;&gt;"",IF(AM84="Risiko Tinggi/Darurat",10,IF(AM84="Risiko Sedang",5,"")),IF(COUNTIF(AC84:AK84,"Belum Dinilai")&gt;0,"",0)))))</x:f>
      </x:c>
      <x:c r="AS84" s="719" t="str">
        <x:f>IF(OR(AQ84="",AB84="",AR84=""),"",AQ84+AB84+AR84)</x:f>
      </x:c>
      <x:c r="AT84" s="719" t="str">
        <x:f>IF(AS84="","Belum Dapat Ditentukan",IF(AS84&gt;=80,"Sangat Tinggi",IF(OR(AO84="Risiko Tinggi/Darurat",(IF(L84="Rusak Berat",1,0)+IF(L84="Tidak Ada/Terbuka",1,0)+IF(N84="Rusak Berat",1,0)+IF(N84="Tidak Ada/Terbuka",1,0)+IF(P84="Rusak Berat",1,0)+IF(P84="Tidak Layak",1,0))&gt;=2),"Tinggi",IF(AS84&gt;=65,"Tinggi",IF(AS84&gt;=50,"Sedang","Rendah")))))</x:f>
        <x:v>Belum Dapat Ditentukan</x:v>
      </x:c>
      <x:c r="AU84" s="240" t="str">
        <x:v>Belum Lengkap</x:v>
      </x:c>
      <x:c r="AV84" s="240" t="str">
        <x:v>Sudah Diverifikasi</x:v>
      </x:c>
      <x:c r="AW84" s="240" t="str">
        <x:v>Selesai</x:v>
      </x:c>
      <x:c r="AX84" s="240" t="str">
        <x:v>CSR</x:v>
      </x:c>
      <x:c r="AY84" s="240" t="n">
        <x:v>2024</x:v>
      </x:c>
      <x:c r="AZ84" s="240" t="str">
        <x:v>Belum Diverifikasi</x:v>
      </x:c>
      <x:c r="BA84" s="240"/>
      <x:c r="BB84" s="240"/>
      <x:c r="BC84" s="240" t="n">
        <x:v>2026</x:v>
      </x:c>
      <x:c r="BD84" s="240" t="str">
        <x:v>Usulan Musrenbang/Pokir DPRD</x:v>
      </x:c>
      <x:c r="BE84" s="240" t="n">
        <x:v>46218</x:v>
      </x:c>
      <x:c r="BF84" s="240" t="str">
        <x:v>Dinas Perkim Kota Pangkalpinang</x:v>
      </x:c>
    </x:row>
    <x:row r="85" ht="32" customHeight="1">
      <x:c r="A85" s="314" t="str">
        <x:v>RTLH-0104</x:v>
      </x:c>
      <x:c r="B85" s="315" t="str">
        <x:v>ZUNIAR</x:v>
      </x:c>
      <x:c r="C85" s="316"/>
      <x:c r="D85" s="316"/>
      <x:c r="E85" s="315" t="str">
        <x:v>JL.VETERAN RT/RW 002/003</x:v>
      </x:c>
      <x:c r="F85" s="315" t="str">
        <x:v>PARITLALANG</x:v>
      </x:c>
      <x:c r="G85" s="315" t="str">
        <x:v>RANGKUI</x:v>
      </x:c>
      <x:c r="H85" s="315" t="str">
        <x:v>Peningkatan Kualitas</x:v>
      </x:c>
      <x:c r="I85" s="317" t="str">
        <x:v>RUMAH SEBAGIAN PAPAN, DAN LANTAI KERAMIK</x:v>
      </x:c>
      <x:c r="J85" s="315" t="str">
        <x:v>Belum Dapat Ditentukan</x:v>
      </x:c>
      <x:c r="K85" s="315" t="str">
        <x:v>Belum Diidentifikasi</x:v>
      </x:c>
      <x:c r="L85" s="315" t="str">
        <x:v>Belum Dinilai</x:v>
      </x:c>
      <x:c r="M85" s="367" t="str">
        <x:v>Belum Diidentifikasi</x:v>
      </x:c>
      <x:c r="N85" s="315" t="str">
        <x:v>Belum Dinilai</x:v>
      </x:c>
      <x:c r="O85" s="316" t="str">
        <x:v>Keramik</x:v>
      </x:c>
      <x:c r="P85" s="349" t="str">
        <x:v>Belum Dinilai</x:v>
      </x:c>
      <x:c r="Q85" s="707" t="str">
        <x:v>Belum Dinilai</x:v>
      </x:c>
      <x:c r="R85" s="707" t="str">
        <x:v>Belum Dinilai</x:v>
      </x:c>
      <x:c r="S85" s="708" t="str">
        <x:v>Belum Dinilai</x:v>
      </x:c>
      <x:c r="T85" s="709" t="str">
        <x:v>Belum Dinilai</x:v>
      </x:c>
      <x:c r="U85" s="704" t="str">
        <x:v>Belum Dinilai</x:v>
      </x:c>
      <x:c r="V85" s="704" t="str">
        <x:v>Belum Dinilai</x:v>
      </x:c>
      <x:c r="W85" s="704" t="str"/>
      <x:c r="X85" s="704" t="str">
        <x:f>IF(COUNTIF(R85:V85,"Belum Dinilai")&gt;0,"Belum Dinilai",IF(COUNTIF(R85:V85,"Ya")=0,"Tidak ada faktor rentan",TEXTJOIN(", ",TRUE,IF(R85="Ya","Lansia",""),IF(S85="Ya","Penyandang disabilitas",""),IF(T85="Ya","Kepala keluarga perempuan",""),IF(U85="Ya","Balita",""),IF(V85="Ya","Anggota keluarga dengan ketergantungan tinggi",""))))</x:f>
        <x:v>Belum Dinilai</x:v>
      </x:c>
      <x:c r="Y85" s="704" t="str">
        <x:f>IF(COUNTIF(R85:V85,"Belum Dinilai")&gt;0,"Belum Dinilai",IF(COUNTIF(R85:V85,"Ya")=0,"Tidak Ada Faktor Rentan",IF(COUNTIF(R85:V85,"Ya")=1,"1 Faktor Rentan","2 atau Lebih Faktor Rentan")))</x:f>
        <x:v>Belum Dinilai</x:v>
      </x:c>
      <x:c r="Z85" s="704" t="str">
        <x:f>IF(OR(Q85="",Q85="Belum Dinilai"),"",IF(Q85="Terverifikasi DTKS/P3KE/MBR",10,IF(Q85="Diusulkan, Belum Terverifikasi",5,0)))</x:f>
      </x:c>
      <x:c r="AA85" s="705" t="str">
        <x:f>IF(COUNTIF(R85:V85,"Belum Dinilai")&gt;0,"",IF(COUNTIF(R85:V85,"Ya")=0,0,IF(COUNTIF(R85:V85,"Ya")=1,5,10)))</x:f>
      </x:c>
      <x:c r="AB85" s="706" t="str">
        <x:f>IF(OR(Z85="",AA85=""),"",Z85+AA85)</x:f>
      </x:c>
      <x:c r="AC85" s="713" t="str">
        <x:v>Belum Dinilai</x:v>
      </x:c>
      <x:c r="AD85" s="713" t="str">
        <x:v>Belum Dinilai</x:v>
      </x:c>
      <x:c r="AE85" s="714" t="str">
        <x:v>Belum Dinilai</x:v>
      </x:c>
      <x:c r="AF85" s="713" t="str">
        <x:v>Belum Dinilai</x:v>
      </x:c>
      <x:c r="AG85" s="713" t="str">
        <x:v>Belum Dinilai</x:v>
      </x:c>
      <x:c r="AH85" s="715" t="str">
        <x:v>Belum Dinilai</x:v>
      </x:c>
      <x:c r="AI85" s="714" t="str">
        <x:v>Belum Dinilai</x:v>
      </x:c>
      <x:c r="AJ85" s="713" t="str">
        <x:v>Belum Dinilai</x:v>
      </x:c>
      <x:c r="AK85" s="715" t="str">
        <x:v>Belum Dinilai</x:v>
      </x:c>
      <x:c r="AL85" s="713" t="str"/>
      <x:c r="AM85" s="716" t="str">
        <x:v>Belum Dinilai</x:v>
      </x:c>
      <x:c r="AN85" s="716" t="str">
        <x:f>IF(AND(COUNTIF(AC85:AK85,"Ya")=0,AL85=""),IF(COUNTIF(AC85:AK85,"Belum Dinilai")&gt;0,"Belum Dinilai","Tidak ada risiko khusus"),TEXTJOIN(", ",TRUE,IF(AC85="Ya","Bangunan berpotensi roboh",""),IF(AD85="Ya","Bekas kebakaran dan tidak aman dihuni",""),IF(AE85="Ya","Atap atau dinding utama hampir runtuh",""),IF(AF85="Ya","Genangan yang membahayakan",""),IF(AG85="Ya","Struktur rumah tidak stabil",""),IF(AH85="Ya","Instalasi listrik berbahaya",""),IF(AI85="Ya","Komponen bangunan lepas atau lapuk",""),IF(AJ85="Ya","Akses keluar atau evakuasi terbatas",""),IF(AK85="Ya","Lokasi rawan bencana",""),IF(AL85&lt;&gt;"","Lainnya: "&amp;AL85,"")))</x:f>
        <x:v>Belum Dinilai</x:v>
      </x:c>
      <x:c r="AO85" s="716" t="str">
        <x:f>IF(AR85="","Belum Dinilai",IF(AR85=10,"Risiko Tinggi/Darurat",IF(AR85=5,"Risiko Sedang","Tidak Ada Risiko Khusus")))</x:f>
        <x:v>Belum Dinilai</x:v>
      </x:c>
      <x:c r="AP85" s="716" t="str"/>
      <x:c r="AQ85" s="719" t="str">
        <x:f>IF(OR(J85="",J85="Belum Dapat Ditentukan",L85="",L85="Belum Dinilai",N85="",N85="Belum Dinilai",P85="",P85="Belum Dinilai"),"",IF(J85="Permanen",0,IF(J85="Semipermanen",8,IF(J85="Nonpermanen",15,0)))+IF(L85="Baik",0,IF(L85="Rusak Ringan",5,IF(L85="Rusak Sedang",10,IF(L85="Rusak Berat",15,IF(L85="Tidak Ada/Terbuka",20,0)))))+IF(N85="Baik",0,IF(N85="Rusak Ringan",5,IF(N85="Rusak Sedang",10,IF(N85="Rusak Berat",15,IF(N85="Tidak Ada/Terbuka",20,0)))))+IF(P85="Baik",0,IF(P85="Rusak Ringan",4,IF(P85="Rusak Sedang",8,IF(P85="Rusak Berat",12,IF(P85="Tidak Layak",15,0))))))</x:f>
      </x:c>
      <x:c r="AR85" s="719" t="str">
        <x:f>IF(COUNTIF(AC85:AH85,"Ya")&gt;0,10,IF(COUNTIF(AI85:AK85,"Ya")&gt;=2,10,IF(COUNTIF(AI85:AK85,"Ya")=1,MAX(5,IF(AM85="Risiko Tinggi/Darurat",10,IF(AM85="Risiko Sedang",5,0))),IF(AL85&lt;&gt;"",IF(AM85="Risiko Tinggi/Darurat",10,IF(AM85="Risiko Sedang",5,"")),IF(COUNTIF(AC85:AK85,"Belum Dinilai")&gt;0,"",0)))))</x:f>
      </x:c>
      <x:c r="AS85" s="719" t="str">
        <x:f>IF(OR(AQ85="",AB85="",AR85=""),"",AQ85+AB85+AR85)</x:f>
      </x:c>
      <x:c r="AT85" s="719" t="str">
        <x:f>IF(AS85="","Belum Dapat Ditentukan",IF(AS85&gt;=80,"Sangat Tinggi",IF(OR(AO85="Risiko Tinggi/Darurat",(IF(L85="Rusak Berat",1,0)+IF(L85="Tidak Ada/Terbuka",1,0)+IF(N85="Rusak Berat",1,0)+IF(N85="Tidak Ada/Terbuka",1,0)+IF(P85="Rusak Berat",1,0)+IF(P85="Tidak Layak",1,0))&gt;=2),"Tinggi",IF(AS85&gt;=65,"Tinggi",IF(AS85&gt;=50,"Sedang","Rendah")))))</x:f>
        <x:v>Belum Dapat Ditentukan</x:v>
      </x:c>
      <x:c r="AU85" s="240" t="str">
        <x:v>Lengkap</x:v>
      </x:c>
      <x:c r="AV85" s="240" t="str">
        <x:v>Sudah Diverifikasi</x:v>
      </x:c>
      <x:c r="AW85" s="240" t="str">
        <x:v>Belum Ditangani</x:v>
      </x:c>
      <x:c r="AX85" s="240"/>
      <x:c r="AY85" s="240"/>
      <x:c r="AZ85" s="240" t="str">
        <x:v>Belum Diverifikasi</x:v>
      </x:c>
      <x:c r="BA85" s="240"/>
      <x:c r="BB85" s="240"/>
      <x:c r="BC85" s="240" t="n">
        <x:v>2026</x:v>
      </x:c>
      <x:c r="BD85" s="240" t="str">
        <x:v>Usulan Musrenbang/Pokir DPRD</x:v>
      </x:c>
      <x:c r="BE85" s="240" t="n">
        <x:v>46218</x:v>
      </x:c>
      <x:c r="BF85" s="240" t="str">
        <x:v>Dinas Perkim Kota Pangkalpinang</x:v>
      </x:c>
    </x:row>
    <x:row r="86" ht="32" customHeight="1">
      <x:c r="A86" s="314" t="str">
        <x:v>RTLH-0105</x:v>
      </x:c>
      <x:c r="B86" s="315" t="str">
        <x:v>PUNADI</x:v>
      </x:c>
      <x:c r="C86" s="316"/>
      <x:c r="D86" s="316"/>
      <x:c r="E86" s="315" t="str">
        <x:v>JL. AIR PAMD RT002/RW003</x:v>
      </x:c>
      <x:c r="F86" s="315" t="str">
        <x:v>PARITLALANG</x:v>
      </x:c>
      <x:c r="G86" s="315" t="str">
        <x:v>RANGKUI</x:v>
      </x:c>
      <x:c r="H86" s="315" t="str">
        <x:v>Peningkatan Kualitas</x:v>
      </x:c>
      <x:c r="I86" s="317" t="str">
        <x:v>RUMAH SETENGAH BETON , LANTAI FULL FLOOR. POSIS RUMAH AREA DAS</x:v>
      </x:c>
      <x:c r="J86" s="315" t="str">
        <x:v>Permanen</x:v>
      </x:c>
      <x:c r="K86" s="315" t="str">
        <x:v>Belum Diidentifikasi</x:v>
      </x:c>
      <x:c r="L86" s="315" t="str">
        <x:v>Belum Dinilai</x:v>
      </x:c>
      <x:c r="M86" s="367" t="str">
        <x:v>Beton</x:v>
      </x:c>
      <x:c r="N86" s="315" t="str">
        <x:v>Belum Dinilai</x:v>
      </x:c>
      <x:c r="O86" s="316" t="str">
        <x:v>Semen/Plester</x:v>
      </x:c>
      <x:c r="P86" s="349" t="str">
        <x:v>Belum Dinilai</x:v>
      </x:c>
      <x:c r="Q86" s="707" t="str">
        <x:v>Belum Dinilai</x:v>
      </x:c>
      <x:c r="R86" s="707" t="str">
        <x:v>Belum Dinilai</x:v>
      </x:c>
      <x:c r="S86" s="708" t="str">
        <x:v>Belum Dinilai</x:v>
      </x:c>
      <x:c r="T86" s="709" t="str">
        <x:v>Belum Dinilai</x:v>
      </x:c>
      <x:c r="U86" s="704" t="str">
        <x:v>Belum Dinilai</x:v>
      </x:c>
      <x:c r="V86" s="704" t="str">
        <x:v>Belum Dinilai</x:v>
      </x:c>
      <x:c r="W86" s="704" t="str"/>
      <x:c r="X86" s="704" t="str">
        <x:f>IF(COUNTIF(R86:V86,"Belum Dinilai")&gt;0,"Belum Dinilai",IF(COUNTIF(R86:V86,"Ya")=0,"Tidak ada faktor rentan",TEXTJOIN(", ",TRUE,IF(R86="Ya","Lansia",""),IF(S86="Ya","Penyandang disabilitas",""),IF(T86="Ya","Kepala keluarga perempuan",""),IF(U86="Ya","Balita",""),IF(V86="Ya","Anggota keluarga dengan ketergantungan tinggi",""))))</x:f>
        <x:v>Belum Dinilai</x:v>
      </x:c>
      <x:c r="Y86" s="704" t="str">
        <x:f>IF(COUNTIF(R86:V86,"Belum Dinilai")&gt;0,"Belum Dinilai",IF(COUNTIF(R86:V86,"Ya")=0,"Tidak Ada Faktor Rentan",IF(COUNTIF(R86:V86,"Ya")=1,"1 Faktor Rentan","2 atau Lebih Faktor Rentan")))</x:f>
        <x:v>Belum Dinilai</x:v>
      </x:c>
      <x:c r="Z86" s="704" t="str">
        <x:f>IF(OR(Q86="",Q86="Belum Dinilai"),"",IF(Q86="Terverifikasi DTKS/P3KE/MBR",10,IF(Q86="Diusulkan, Belum Terverifikasi",5,0)))</x:f>
      </x:c>
      <x:c r="AA86" s="705" t="str">
        <x:f>IF(COUNTIF(R86:V86,"Belum Dinilai")&gt;0,"",IF(COUNTIF(R86:V86,"Ya")=0,0,IF(COUNTIF(R86:V86,"Ya")=1,5,10)))</x:f>
      </x:c>
      <x:c r="AB86" s="706" t="str">
        <x:f>IF(OR(Z86="",AA86=""),"",Z86+AA86)</x:f>
      </x:c>
      <x:c r="AC86" s="713" t="str">
        <x:v>Belum Dinilai</x:v>
      </x:c>
      <x:c r="AD86" s="713" t="str">
        <x:v>Belum Dinilai</x:v>
      </x:c>
      <x:c r="AE86" s="714" t="str">
        <x:v>Belum Dinilai</x:v>
      </x:c>
      <x:c r="AF86" s="713" t="str">
        <x:v>Belum Dinilai</x:v>
      </x:c>
      <x:c r="AG86" s="713" t="str">
        <x:v>Belum Dinilai</x:v>
      </x:c>
      <x:c r="AH86" s="715" t="str">
        <x:v>Belum Dinilai</x:v>
      </x:c>
      <x:c r="AI86" s="714" t="str">
        <x:v>Belum Dinilai</x:v>
      </x:c>
      <x:c r="AJ86" s="713" t="str">
        <x:v>Belum Dinilai</x:v>
      </x:c>
      <x:c r="AK86" s="715" t="str">
        <x:v>Belum Dinilai</x:v>
      </x:c>
      <x:c r="AL86" s="713" t="str"/>
      <x:c r="AM86" s="716" t="str">
        <x:v>Belum Dinilai</x:v>
      </x:c>
      <x:c r="AN86" s="716" t="str">
        <x:f>IF(AND(COUNTIF(AC86:AK86,"Ya")=0,AL86=""),IF(COUNTIF(AC86:AK86,"Belum Dinilai")&gt;0,"Belum Dinilai","Tidak ada risiko khusus"),TEXTJOIN(", ",TRUE,IF(AC86="Ya","Bangunan berpotensi roboh",""),IF(AD86="Ya","Bekas kebakaran dan tidak aman dihuni",""),IF(AE86="Ya","Atap atau dinding utama hampir runtuh",""),IF(AF86="Ya","Genangan yang membahayakan",""),IF(AG86="Ya","Struktur rumah tidak stabil",""),IF(AH86="Ya","Instalasi listrik berbahaya",""),IF(AI86="Ya","Komponen bangunan lepas atau lapuk",""),IF(AJ86="Ya","Akses keluar atau evakuasi terbatas",""),IF(AK86="Ya","Lokasi rawan bencana",""),IF(AL86&lt;&gt;"","Lainnya: "&amp;AL86,"")))</x:f>
        <x:v>Belum Dinilai</x:v>
      </x:c>
      <x:c r="AO86" s="716" t="str">
        <x:f>IF(AR86="","Belum Dinilai",IF(AR86=10,"Risiko Tinggi/Darurat",IF(AR86=5,"Risiko Sedang","Tidak Ada Risiko Khusus")))</x:f>
        <x:v>Belum Dinilai</x:v>
      </x:c>
      <x:c r="AP86" s="716" t="str"/>
      <x:c r="AQ86" s="719" t="str">
        <x:f>IF(OR(J86="",J86="Belum Dapat Ditentukan",L86="",L86="Belum Dinilai",N86="",N86="Belum Dinilai",P86="",P86="Belum Dinilai"),"",IF(J86="Permanen",0,IF(J86="Semipermanen",8,IF(J86="Nonpermanen",15,0)))+IF(L86="Baik",0,IF(L86="Rusak Ringan",5,IF(L86="Rusak Sedang",10,IF(L86="Rusak Berat",15,IF(L86="Tidak Ada/Terbuka",20,0)))))+IF(N86="Baik",0,IF(N86="Rusak Ringan",5,IF(N86="Rusak Sedang",10,IF(N86="Rusak Berat",15,IF(N86="Tidak Ada/Terbuka",20,0)))))+IF(P86="Baik",0,IF(P86="Rusak Ringan",4,IF(P86="Rusak Sedang",8,IF(P86="Rusak Berat",12,IF(P86="Tidak Layak",15,0))))))</x:f>
      </x:c>
      <x:c r="AR86" s="719" t="str">
        <x:f>IF(COUNTIF(AC86:AH86,"Ya")&gt;0,10,IF(COUNTIF(AI86:AK86,"Ya")&gt;=2,10,IF(COUNTIF(AI86:AK86,"Ya")=1,MAX(5,IF(AM86="Risiko Tinggi/Darurat",10,IF(AM86="Risiko Sedang",5,0))),IF(AL86&lt;&gt;"",IF(AM86="Risiko Tinggi/Darurat",10,IF(AM86="Risiko Sedang",5,"")),IF(COUNTIF(AC86:AK86,"Belum Dinilai")&gt;0,"",0)))))</x:f>
      </x:c>
      <x:c r="AS86" s="719" t="str">
        <x:f>IF(OR(AQ86="",AB86="",AR86=""),"",AQ86+AB86+AR86)</x:f>
      </x:c>
      <x:c r="AT86" s="719" t="str">
        <x:f>IF(AS86="","Belum Dapat Ditentukan",IF(AS86&gt;=80,"Sangat Tinggi",IF(OR(AO86="Risiko Tinggi/Darurat",(IF(L86="Rusak Berat",1,0)+IF(L86="Tidak Ada/Terbuka",1,0)+IF(N86="Rusak Berat",1,0)+IF(N86="Tidak Ada/Terbuka",1,0)+IF(P86="Rusak Berat",1,0)+IF(P86="Tidak Layak",1,0))&gt;=2),"Tinggi",IF(AS86&gt;=65,"Tinggi",IF(AS86&gt;=50,"Sedang","Rendah")))))</x:f>
        <x:v>Belum Dapat Ditentukan</x:v>
      </x:c>
      <x:c r="AU86" s="240" t="str">
        <x:v>Lengkap</x:v>
      </x:c>
      <x:c r="AV86" s="240" t="str">
        <x:v>Sudah Diverifikasi</x:v>
      </x:c>
      <x:c r="AW86" s="240" t="str">
        <x:v>Belum Ditangani</x:v>
      </x:c>
      <x:c r="AX86" s="240"/>
      <x:c r="AY86" s="240"/>
      <x:c r="AZ86" s="240" t="str">
        <x:v>Belum Diverifikasi</x:v>
      </x:c>
      <x:c r="BA86" s="240"/>
      <x:c r="BB86" s="240"/>
      <x:c r="BC86" s="240" t="n">
        <x:v>2026</x:v>
      </x:c>
      <x:c r="BD86" s="240" t="str">
        <x:v>Usulan Musrenbang/Pokir DPRD</x:v>
      </x:c>
      <x:c r="BE86" s="240" t="n">
        <x:v>46218</x:v>
      </x:c>
      <x:c r="BF86" s="240" t="str">
        <x:v>Dinas Perkim Kota Pangkalpinang</x:v>
      </x:c>
    </x:row>
    <x:row r="87" ht="32" customHeight="1">
      <x:c r="A87" s="314" t="str">
        <x:v>RTLH-0106</x:v>
      </x:c>
      <x:c r="B87" s="315" t="str">
        <x:v>ROHANA</x:v>
      </x:c>
      <x:c r="C87" s="316"/>
      <x:c r="D87" s="316"/>
      <x:c r="E87" s="315" t="str">
        <x:v>JL. AIR PAMD RT002/RW003</x:v>
      </x:c>
      <x:c r="F87" s="315" t="str">
        <x:v>PARITLALANG</x:v>
      </x:c>
      <x:c r="G87" s="315" t="str">
        <x:v>RANGKUI</x:v>
      </x:c>
      <x:c r="H87" s="315" t="str">
        <x:v>Pembangunan Baru</x:v>
      </x:c>
      <x:c r="I87" s="317" t="str">
        <x:v>RUMAH FULL PAPAN , LANTAI FLOOR, ATAP RUSAK PARAH</x:v>
      </x:c>
      <x:c r="J87" s="315" t="str">
        <x:v>Nonpermanen</x:v>
      </x:c>
      <x:c r="K87" s="315" t="str">
        <x:v>Belum Diidentifikasi</x:v>
      </x:c>
      <x:c r="L87" s="315" t="str">
        <x:v>Rusak Berat</x:v>
      </x:c>
      <x:c r="M87" s="367" t="str">
        <x:v>Papan/Kayu</x:v>
      </x:c>
      <x:c r="N87" s="315" t="str">
        <x:v>Rusak Berat</x:v>
      </x:c>
      <x:c r="O87" s="316" t="str">
        <x:v>Semen/Plester</x:v>
      </x:c>
      <x:c r="P87" s="349" t="str">
        <x:v>Rusak Berat</x:v>
      </x:c>
      <x:c r="Q87" s="707" t="str">
        <x:v>Belum Dinilai</x:v>
      </x:c>
      <x:c r="R87" s="707" t="str">
        <x:v>Belum Dinilai</x:v>
      </x:c>
      <x:c r="S87" s="708" t="str">
        <x:v>Belum Dinilai</x:v>
      </x:c>
      <x:c r="T87" s="709" t="str">
        <x:v>Belum Dinilai</x:v>
      </x:c>
      <x:c r="U87" s="704" t="str">
        <x:v>Belum Dinilai</x:v>
      </x:c>
      <x:c r="V87" s="704" t="str">
        <x:v>Belum Dinilai</x:v>
      </x:c>
      <x:c r="W87" s="704" t="str"/>
      <x:c r="X87" s="704" t="str">
        <x:f>IF(COUNTIF(R87:V87,"Belum Dinilai")&gt;0,"Belum Dinilai",IF(COUNTIF(R87:V87,"Ya")=0,"Tidak ada faktor rentan",TEXTJOIN(", ",TRUE,IF(R87="Ya","Lansia",""),IF(S87="Ya","Penyandang disabilitas",""),IF(T87="Ya","Kepala keluarga perempuan",""),IF(U87="Ya","Balita",""),IF(V87="Ya","Anggota keluarga dengan ketergantungan tinggi",""))))</x:f>
        <x:v>Belum Dinilai</x:v>
      </x:c>
      <x:c r="Y87" s="704" t="str">
        <x:f>IF(COUNTIF(R87:V87,"Belum Dinilai")&gt;0,"Belum Dinilai",IF(COUNTIF(R87:V87,"Ya")=0,"Tidak Ada Faktor Rentan",IF(COUNTIF(R87:V87,"Ya")=1,"1 Faktor Rentan","2 atau Lebih Faktor Rentan")))</x:f>
        <x:v>Belum Dinilai</x:v>
      </x:c>
      <x:c r="Z87" s="704" t="str">
        <x:f>IF(OR(Q87="",Q87="Belum Dinilai"),"",IF(Q87="Terverifikasi DTKS/P3KE/MBR",10,IF(Q87="Diusulkan, Belum Terverifikasi",5,0)))</x:f>
      </x:c>
      <x:c r="AA87" s="705" t="str">
        <x:f>IF(COUNTIF(R87:V87,"Belum Dinilai")&gt;0,"",IF(COUNTIF(R87:V87,"Ya")=0,0,IF(COUNTIF(R87:V87,"Ya")=1,5,10)))</x:f>
      </x:c>
      <x:c r="AB87" s="706" t="str">
        <x:f>IF(OR(Z87="",AA87=""),"",Z87+AA87)</x:f>
      </x:c>
      <x:c r="AC87" s="713" t="str">
        <x:v>Belum Dinilai</x:v>
      </x:c>
      <x:c r="AD87" s="713" t="str">
        <x:v>Belum Dinilai</x:v>
      </x:c>
      <x:c r="AE87" s="714" t="str">
        <x:v>Belum Dinilai</x:v>
      </x:c>
      <x:c r="AF87" s="713" t="str">
        <x:v>Belum Dinilai</x:v>
      </x:c>
      <x:c r="AG87" s="713" t="str">
        <x:v>Belum Dinilai</x:v>
      </x:c>
      <x:c r="AH87" s="715" t="str">
        <x:v>Belum Dinilai</x:v>
      </x:c>
      <x:c r="AI87" s="714" t="str">
        <x:v>Belum Dinilai</x:v>
      </x:c>
      <x:c r="AJ87" s="713" t="str">
        <x:v>Belum Dinilai</x:v>
      </x:c>
      <x:c r="AK87" s="715" t="str">
        <x:v>Belum Dinilai</x:v>
      </x:c>
      <x:c r="AL87" s="713" t="str"/>
      <x:c r="AM87" s="716" t="str">
        <x:v>Belum Dinilai</x:v>
      </x:c>
      <x:c r="AN87" s="716" t="str">
        <x:f>IF(AND(COUNTIF(AC87:AK87,"Ya")=0,AL87=""),IF(COUNTIF(AC87:AK87,"Belum Dinilai")&gt;0,"Belum Dinilai","Tidak ada risiko khusus"),TEXTJOIN(", ",TRUE,IF(AC87="Ya","Bangunan berpotensi roboh",""),IF(AD87="Ya","Bekas kebakaran dan tidak aman dihuni",""),IF(AE87="Ya","Atap atau dinding utama hampir runtuh",""),IF(AF87="Ya","Genangan yang membahayakan",""),IF(AG87="Ya","Struktur rumah tidak stabil",""),IF(AH87="Ya","Instalasi listrik berbahaya",""),IF(AI87="Ya","Komponen bangunan lepas atau lapuk",""),IF(AJ87="Ya","Akses keluar atau evakuasi terbatas",""),IF(AK87="Ya","Lokasi rawan bencana",""),IF(AL87&lt;&gt;"","Lainnya: "&amp;AL87,"")))</x:f>
        <x:v>Belum Dinilai</x:v>
      </x:c>
      <x:c r="AO87" s="716" t="str">
        <x:f>IF(AR87="","Belum Dinilai",IF(AR87=10,"Risiko Tinggi/Darurat",IF(AR87=5,"Risiko Sedang","Tidak Ada Risiko Khusus")))</x:f>
        <x:v>Belum Dinilai</x:v>
      </x:c>
      <x:c r="AP87" s="716" t="str"/>
      <x:c r="AQ87" s="719" t="n">
        <x:f>IF(OR(J87="",J87="Belum Dapat Ditentukan",L87="",L87="Belum Dinilai",N87="",N87="Belum Dinilai",P87="",P87="Belum Dinilai"),"",IF(J87="Permanen",0,IF(J87="Semipermanen",8,IF(J87="Nonpermanen",15,0)))+IF(L87="Baik",0,IF(L87="Rusak Ringan",5,IF(L87="Rusak Sedang",10,IF(L87="Rusak Berat",15,IF(L87="Tidak Ada/Terbuka",20,0)))))+IF(N87="Baik",0,IF(N87="Rusak Ringan",5,IF(N87="Rusak Sedang",10,IF(N87="Rusak Berat",15,IF(N87="Tidak Ada/Terbuka",20,0)))))+IF(P87="Baik",0,IF(P87="Rusak Ringan",4,IF(P87="Rusak Sedang",8,IF(P87="Rusak Berat",12,IF(P87="Tidak Layak",15,0))))))</x:f>
        <x:v>57</x:v>
      </x:c>
      <x:c r="AR87" s="719" t="str">
        <x:f>IF(COUNTIF(AC87:AH87,"Ya")&gt;0,10,IF(COUNTIF(AI87:AK87,"Ya")&gt;=2,10,IF(COUNTIF(AI87:AK87,"Ya")=1,MAX(5,IF(AM87="Risiko Tinggi/Darurat",10,IF(AM87="Risiko Sedang",5,0))),IF(AL87&lt;&gt;"",IF(AM87="Risiko Tinggi/Darurat",10,IF(AM87="Risiko Sedang",5,"")),IF(COUNTIF(AC87:AK87,"Belum Dinilai")&gt;0,"",0)))))</x:f>
      </x:c>
      <x:c r="AS87" s="719" t="str">
        <x:f>IF(OR(AQ87="",AB87="",AR87=""),"",AQ87+AB87+AR87)</x:f>
      </x:c>
      <x:c r="AT87" s="719" t="str">
        <x:f>IF(AS87="","Belum Dapat Ditentukan",IF(AS87&gt;=80,"Sangat Tinggi",IF(OR(AO87="Risiko Tinggi/Darurat",(IF(L87="Rusak Berat",1,0)+IF(L87="Tidak Ada/Terbuka",1,0)+IF(N87="Rusak Berat",1,0)+IF(N87="Tidak Ada/Terbuka",1,0)+IF(P87="Rusak Berat",1,0)+IF(P87="Tidak Layak",1,0))&gt;=2),"Tinggi",IF(AS87&gt;=65,"Tinggi",IF(AS87&gt;=50,"Sedang","Rendah")))))</x:f>
        <x:v>Belum Dapat Ditentukan</x:v>
      </x:c>
      <x:c r="AU87" s="240" t="str">
        <x:v>Lengkap</x:v>
      </x:c>
      <x:c r="AV87" s="240" t="str">
        <x:v>Sudah Diverifikasi</x:v>
      </x:c>
      <x:c r="AW87" s="240" t="str">
        <x:v>Selesai</x:v>
      </x:c>
      <x:c r="AX87" s="240" t="str">
        <x:v>APBD Provinsi</x:v>
      </x:c>
      <x:c r="AY87" s="240" t="n">
        <x:v>2023</x:v>
      </x:c>
      <x:c r="AZ87" s="240" t="str">
        <x:v>Belum Diverifikasi</x:v>
      </x:c>
      <x:c r="BA87" s="240"/>
      <x:c r="BB87" s="240"/>
      <x:c r="BC87" s="240" t="n">
        <x:v>2026</x:v>
      </x:c>
      <x:c r="BD87" s="240" t="str">
        <x:v>Usulan Musrenbang/Pokir DPRD</x:v>
      </x:c>
      <x:c r="BE87" s="240" t="n">
        <x:v>46218</x:v>
      </x:c>
      <x:c r="BF87" s="240" t="str">
        <x:v>Dinas Perkim Kota Pangkalpinang</x:v>
      </x:c>
    </x:row>
    <x:row r="88" ht="32" customHeight="1">
      <x:c r="A88" s="314" t="str">
        <x:v>RTLH-0107</x:v>
      </x:c>
      <x:c r="B88" s="315" t="str">
        <x:v>BUDIMAN</x:v>
      </x:c>
      <x:c r="C88" s="316"/>
      <x:c r="D88" s="316"/>
      <x:c r="E88" s="315" t="str">
        <x:v>JL. VETERAN RT/002 RW/003</x:v>
      </x:c>
      <x:c r="F88" s="315" t="str">
        <x:v>PARITLALANG</x:v>
      </x:c>
      <x:c r="G88" s="315" t="str">
        <x:v>RANGKUI</x:v>
      </x:c>
      <x:c r="H88" s="315" t="str">
        <x:v>Pembangunan Baru</x:v>
      </x:c>
      <x:c r="I88" s="317" t="str">
        <x:v>RUMAH FULL PAPAN, RUSAK PARAH, LANTAI FLOOR</x:v>
      </x:c>
      <x:c r="J88" s="315" t="str">
        <x:v>Nonpermanen</x:v>
      </x:c>
      <x:c r="K88" s="315" t="str">
        <x:v>Belum Diidentifikasi</x:v>
      </x:c>
      <x:c r="L88" s="315" t="str">
        <x:v>Belum Dinilai</x:v>
      </x:c>
      <x:c r="M88" s="367" t="str">
        <x:v>Papan/Kayu</x:v>
      </x:c>
      <x:c r="N88" s="315" t="str">
        <x:v>Rusak Berat</x:v>
      </x:c>
      <x:c r="O88" s="316" t="str">
        <x:v>Semen/Plester</x:v>
      </x:c>
      <x:c r="P88" s="349" t="str">
        <x:v>Rusak Berat</x:v>
      </x:c>
      <x:c r="Q88" s="707" t="str">
        <x:v>Belum Dinilai</x:v>
      </x:c>
      <x:c r="R88" s="707" t="str">
        <x:v>Belum Dinilai</x:v>
      </x:c>
      <x:c r="S88" s="708" t="str">
        <x:v>Belum Dinilai</x:v>
      </x:c>
      <x:c r="T88" s="709" t="str">
        <x:v>Belum Dinilai</x:v>
      </x:c>
      <x:c r="U88" s="704" t="str">
        <x:v>Belum Dinilai</x:v>
      </x:c>
      <x:c r="V88" s="704" t="str">
        <x:v>Belum Dinilai</x:v>
      </x:c>
      <x:c r="W88" s="704" t="str"/>
      <x:c r="X88" s="704" t="str">
        <x:f>IF(COUNTIF(R88:V88,"Belum Dinilai")&gt;0,"Belum Dinilai",IF(COUNTIF(R88:V88,"Ya")=0,"Tidak ada faktor rentan",TEXTJOIN(", ",TRUE,IF(R88="Ya","Lansia",""),IF(S88="Ya","Penyandang disabilitas",""),IF(T88="Ya","Kepala keluarga perempuan",""),IF(U88="Ya","Balita",""),IF(V88="Ya","Anggota keluarga dengan ketergantungan tinggi",""))))</x:f>
        <x:v>Belum Dinilai</x:v>
      </x:c>
      <x:c r="Y88" s="704" t="str">
        <x:f>IF(COUNTIF(R88:V88,"Belum Dinilai")&gt;0,"Belum Dinilai",IF(COUNTIF(R88:V88,"Ya")=0,"Tidak Ada Faktor Rentan",IF(COUNTIF(R88:V88,"Ya")=1,"1 Faktor Rentan","2 atau Lebih Faktor Rentan")))</x:f>
        <x:v>Belum Dinilai</x:v>
      </x:c>
      <x:c r="Z88" s="704" t="str">
        <x:f>IF(OR(Q88="",Q88="Belum Dinilai"),"",IF(Q88="Terverifikasi DTKS/P3KE/MBR",10,IF(Q88="Diusulkan, Belum Terverifikasi",5,0)))</x:f>
      </x:c>
      <x:c r="AA88" s="705" t="str">
        <x:f>IF(COUNTIF(R88:V88,"Belum Dinilai")&gt;0,"",IF(COUNTIF(R88:V88,"Ya")=0,0,IF(COUNTIF(R88:V88,"Ya")=1,5,10)))</x:f>
      </x:c>
      <x:c r="AB88" s="706" t="str">
        <x:f>IF(OR(Z88="",AA88=""),"",Z88+AA88)</x:f>
      </x:c>
      <x:c r="AC88" s="713" t="str">
        <x:v>Belum Dinilai</x:v>
      </x:c>
      <x:c r="AD88" s="713" t="str">
        <x:v>Belum Dinilai</x:v>
      </x:c>
      <x:c r="AE88" s="714" t="str">
        <x:v>Belum Dinilai</x:v>
      </x:c>
      <x:c r="AF88" s="713" t="str">
        <x:v>Belum Dinilai</x:v>
      </x:c>
      <x:c r="AG88" s="713" t="str">
        <x:v>Belum Dinilai</x:v>
      </x:c>
      <x:c r="AH88" s="715" t="str">
        <x:v>Belum Dinilai</x:v>
      </x:c>
      <x:c r="AI88" s="714" t="str">
        <x:v>Belum Dinilai</x:v>
      </x:c>
      <x:c r="AJ88" s="713" t="str">
        <x:v>Belum Dinilai</x:v>
      </x:c>
      <x:c r="AK88" s="715" t="str">
        <x:v>Belum Dinilai</x:v>
      </x:c>
      <x:c r="AL88" s="713" t="str"/>
      <x:c r="AM88" s="716" t="str">
        <x:v>Belum Dinilai</x:v>
      </x:c>
      <x:c r="AN88" s="716" t="str">
        <x:f>IF(AND(COUNTIF(AC88:AK88,"Ya")=0,AL88=""),IF(COUNTIF(AC88:AK88,"Belum Dinilai")&gt;0,"Belum Dinilai","Tidak ada risiko khusus"),TEXTJOIN(", ",TRUE,IF(AC88="Ya","Bangunan berpotensi roboh",""),IF(AD88="Ya","Bekas kebakaran dan tidak aman dihuni",""),IF(AE88="Ya","Atap atau dinding utama hampir runtuh",""),IF(AF88="Ya","Genangan yang membahayakan",""),IF(AG88="Ya","Struktur rumah tidak stabil",""),IF(AH88="Ya","Instalasi listrik berbahaya",""),IF(AI88="Ya","Komponen bangunan lepas atau lapuk",""),IF(AJ88="Ya","Akses keluar atau evakuasi terbatas",""),IF(AK88="Ya","Lokasi rawan bencana",""),IF(AL88&lt;&gt;"","Lainnya: "&amp;AL88,"")))</x:f>
        <x:v>Belum Dinilai</x:v>
      </x:c>
      <x:c r="AO88" s="716" t="str">
        <x:f>IF(AR88="","Belum Dinilai",IF(AR88=10,"Risiko Tinggi/Darurat",IF(AR88=5,"Risiko Sedang","Tidak Ada Risiko Khusus")))</x:f>
        <x:v>Belum Dinilai</x:v>
      </x:c>
      <x:c r="AP88" s="716" t="str"/>
      <x:c r="AQ88" s="719" t="str">
        <x:f>IF(OR(J88="",J88="Belum Dapat Ditentukan",L88="",L88="Belum Dinilai",N88="",N88="Belum Dinilai",P88="",P88="Belum Dinilai"),"",IF(J88="Permanen",0,IF(J88="Semipermanen",8,IF(J88="Nonpermanen",15,0)))+IF(L88="Baik",0,IF(L88="Rusak Ringan",5,IF(L88="Rusak Sedang",10,IF(L88="Rusak Berat",15,IF(L88="Tidak Ada/Terbuka",20,0)))))+IF(N88="Baik",0,IF(N88="Rusak Ringan",5,IF(N88="Rusak Sedang",10,IF(N88="Rusak Berat",15,IF(N88="Tidak Ada/Terbuka",20,0)))))+IF(P88="Baik",0,IF(P88="Rusak Ringan",4,IF(P88="Rusak Sedang",8,IF(P88="Rusak Berat",12,IF(P88="Tidak Layak",15,0))))))</x:f>
      </x:c>
      <x:c r="AR88" s="719" t="str">
        <x:f>IF(COUNTIF(AC88:AH88,"Ya")&gt;0,10,IF(COUNTIF(AI88:AK88,"Ya")&gt;=2,10,IF(COUNTIF(AI88:AK88,"Ya")=1,MAX(5,IF(AM88="Risiko Tinggi/Darurat",10,IF(AM88="Risiko Sedang",5,0))),IF(AL88&lt;&gt;"",IF(AM88="Risiko Tinggi/Darurat",10,IF(AM88="Risiko Sedang",5,"")),IF(COUNTIF(AC88:AK88,"Belum Dinilai")&gt;0,"",0)))))</x:f>
      </x:c>
      <x:c r="AS88" s="719" t="str">
        <x:f>IF(OR(AQ88="",AB88="",AR88=""),"",AQ88+AB88+AR88)</x:f>
      </x:c>
      <x:c r="AT88" s="719" t="str">
        <x:f>IF(AS88="","Belum Dapat Ditentukan",IF(AS88&gt;=80,"Sangat Tinggi",IF(OR(AO88="Risiko Tinggi/Darurat",(IF(L88="Rusak Berat",1,0)+IF(L88="Tidak Ada/Terbuka",1,0)+IF(N88="Rusak Berat",1,0)+IF(N88="Tidak Ada/Terbuka",1,0)+IF(P88="Rusak Berat",1,0)+IF(P88="Tidak Layak",1,0))&gt;=2),"Tinggi",IF(AS88&gt;=65,"Tinggi",IF(AS88&gt;=50,"Sedang","Rendah")))))</x:f>
        <x:v>Belum Dapat Ditentukan</x:v>
      </x:c>
      <x:c r="AU88" s="240" t="str">
        <x:v>Lengkap</x:v>
      </x:c>
      <x:c r="AV88" s="240" t="str">
        <x:v>Sudah Diverifikasi</x:v>
      </x:c>
      <x:c r="AW88" s="240" t="str">
        <x:v>Belum Ditangani</x:v>
      </x:c>
      <x:c r="AX88" s="240"/>
      <x:c r="AY88" s="240"/>
      <x:c r="AZ88" s="240" t="str">
        <x:v>Belum Diverifikasi</x:v>
      </x:c>
      <x:c r="BA88" s="240"/>
      <x:c r="BB88" s="240"/>
      <x:c r="BC88" s="240" t="n">
        <x:v>2026</x:v>
      </x:c>
      <x:c r="BD88" s="240" t="str">
        <x:v>Usulan Musrenbang/Pokir DPRD</x:v>
      </x:c>
      <x:c r="BE88" s="240" t="n">
        <x:v>46218</x:v>
      </x:c>
      <x:c r="BF88" s="240" t="str">
        <x:v>Dinas Perkim Kota Pangkalpinang</x:v>
      </x:c>
    </x:row>
    <x:row r="89" ht="32" customHeight="1">
      <x:c r="A89" s="314" t="str">
        <x:v>RTLH-0108</x:v>
      </x:c>
      <x:c r="B89" s="315" t="str">
        <x:v>ROZIYANTI</x:v>
      </x:c>
      <x:c r="C89" s="316"/>
      <x:c r="D89" s="316"/>
      <x:c r="E89" s="315" t="str">
        <x:v>JL,KH,AHMAD DAHLAN RT/RW:008/002</x:v>
      </x:c>
      <x:c r="F89" s="315" t="str">
        <x:v>KERAMAT</x:v>
      </x:c>
      <x:c r="G89" s="315" t="str">
        <x:v>RANGKUI</x:v>
      </x:c>
      <x:c r="H89" s="315" t="str">
        <x:v>Pembangunan Baru</x:v>
      </x:c>
      <x:c r="I89" s="317" t="str">
        <x:v>RUMAH FULL PAPAN, RUSAK PARAH, LANTAI FLOOR</x:v>
      </x:c>
      <x:c r="J89" s="315" t="str">
        <x:v>Nonpermanen</x:v>
      </x:c>
      <x:c r="K89" s="315" t="str">
        <x:v>Belum Diidentifikasi</x:v>
      </x:c>
      <x:c r="L89" s="315" t="str">
        <x:v>Belum Dinilai</x:v>
      </x:c>
      <x:c r="M89" s="367" t="str">
        <x:v>Papan/Kayu</x:v>
      </x:c>
      <x:c r="N89" s="315" t="str">
        <x:v>Rusak Berat</x:v>
      </x:c>
      <x:c r="O89" s="316" t="str">
        <x:v>Semen/Plester</x:v>
      </x:c>
      <x:c r="P89" s="349" t="str">
        <x:v>Rusak Berat</x:v>
      </x:c>
      <x:c r="Q89" s="707" t="str">
        <x:v>Belum Dinilai</x:v>
      </x:c>
      <x:c r="R89" s="707" t="str">
        <x:v>Belum Dinilai</x:v>
      </x:c>
      <x:c r="S89" s="708" t="str">
        <x:v>Belum Dinilai</x:v>
      </x:c>
      <x:c r="T89" s="709" t="str">
        <x:v>Belum Dinilai</x:v>
      </x:c>
      <x:c r="U89" s="704" t="str">
        <x:v>Belum Dinilai</x:v>
      </x:c>
      <x:c r="V89" s="704" t="str">
        <x:v>Belum Dinilai</x:v>
      </x:c>
      <x:c r="W89" s="704" t="str"/>
      <x:c r="X89" s="704" t="str">
        <x:f>IF(COUNTIF(R89:V89,"Belum Dinilai")&gt;0,"Belum Dinilai",IF(COUNTIF(R89:V89,"Ya")=0,"Tidak ada faktor rentan",TEXTJOIN(", ",TRUE,IF(R89="Ya","Lansia",""),IF(S89="Ya","Penyandang disabilitas",""),IF(T89="Ya","Kepala keluarga perempuan",""),IF(U89="Ya","Balita",""),IF(V89="Ya","Anggota keluarga dengan ketergantungan tinggi",""))))</x:f>
        <x:v>Belum Dinilai</x:v>
      </x:c>
      <x:c r="Y89" s="704" t="str">
        <x:f>IF(COUNTIF(R89:V89,"Belum Dinilai")&gt;0,"Belum Dinilai",IF(COUNTIF(R89:V89,"Ya")=0,"Tidak Ada Faktor Rentan",IF(COUNTIF(R89:V89,"Ya")=1,"1 Faktor Rentan","2 atau Lebih Faktor Rentan")))</x:f>
        <x:v>Belum Dinilai</x:v>
      </x:c>
      <x:c r="Z89" s="704" t="str">
        <x:f>IF(OR(Q89="",Q89="Belum Dinilai"),"",IF(Q89="Terverifikasi DTKS/P3KE/MBR",10,IF(Q89="Diusulkan, Belum Terverifikasi",5,0)))</x:f>
      </x:c>
      <x:c r="AA89" s="705" t="str">
        <x:f>IF(COUNTIF(R89:V89,"Belum Dinilai")&gt;0,"",IF(COUNTIF(R89:V89,"Ya")=0,0,IF(COUNTIF(R89:V89,"Ya")=1,5,10)))</x:f>
      </x:c>
      <x:c r="AB89" s="706" t="str">
        <x:f>IF(OR(Z89="",AA89=""),"",Z89+AA89)</x:f>
      </x:c>
      <x:c r="AC89" s="713" t="str">
        <x:v>Belum Dinilai</x:v>
      </x:c>
      <x:c r="AD89" s="713" t="str">
        <x:v>Belum Dinilai</x:v>
      </x:c>
      <x:c r="AE89" s="714" t="str">
        <x:v>Belum Dinilai</x:v>
      </x:c>
      <x:c r="AF89" s="713" t="str">
        <x:v>Belum Dinilai</x:v>
      </x:c>
      <x:c r="AG89" s="713" t="str">
        <x:v>Belum Dinilai</x:v>
      </x:c>
      <x:c r="AH89" s="715" t="str">
        <x:v>Belum Dinilai</x:v>
      </x:c>
      <x:c r="AI89" s="714" t="str">
        <x:v>Belum Dinilai</x:v>
      </x:c>
      <x:c r="AJ89" s="713" t="str">
        <x:v>Belum Dinilai</x:v>
      </x:c>
      <x:c r="AK89" s="715" t="str">
        <x:v>Belum Dinilai</x:v>
      </x:c>
      <x:c r="AL89" s="713" t="str"/>
      <x:c r="AM89" s="716" t="str">
        <x:v>Belum Dinilai</x:v>
      </x:c>
      <x:c r="AN89" s="716" t="str">
        <x:f>IF(AND(COUNTIF(AC89:AK89,"Ya")=0,AL89=""),IF(COUNTIF(AC89:AK89,"Belum Dinilai")&gt;0,"Belum Dinilai","Tidak ada risiko khusus"),TEXTJOIN(", ",TRUE,IF(AC89="Ya","Bangunan berpotensi roboh",""),IF(AD89="Ya","Bekas kebakaran dan tidak aman dihuni",""),IF(AE89="Ya","Atap atau dinding utama hampir runtuh",""),IF(AF89="Ya","Genangan yang membahayakan",""),IF(AG89="Ya","Struktur rumah tidak stabil",""),IF(AH89="Ya","Instalasi listrik berbahaya",""),IF(AI89="Ya","Komponen bangunan lepas atau lapuk",""),IF(AJ89="Ya","Akses keluar atau evakuasi terbatas",""),IF(AK89="Ya","Lokasi rawan bencana",""),IF(AL89&lt;&gt;"","Lainnya: "&amp;AL89,"")))</x:f>
        <x:v>Belum Dinilai</x:v>
      </x:c>
      <x:c r="AO89" s="716" t="str">
        <x:f>IF(AR89="","Belum Dinilai",IF(AR89=10,"Risiko Tinggi/Darurat",IF(AR89=5,"Risiko Sedang","Tidak Ada Risiko Khusus")))</x:f>
        <x:v>Belum Dinilai</x:v>
      </x:c>
      <x:c r="AP89" s="716" t="str"/>
      <x:c r="AQ89" s="719" t="str">
        <x:f>IF(OR(J89="",J89="Belum Dapat Ditentukan",L89="",L89="Belum Dinilai",N89="",N89="Belum Dinilai",P89="",P89="Belum Dinilai"),"",IF(J89="Permanen",0,IF(J89="Semipermanen",8,IF(J89="Nonpermanen",15,0)))+IF(L89="Baik",0,IF(L89="Rusak Ringan",5,IF(L89="Rusak Sedang",10,IF(L89="Rusak Berat",15,IF(L89="Tidak Ada/Terbuka",20,0)))))+IF(N89="Baik",0,IF(N89="Rusak Ringan",5,IF(N89="Rusak Sedang",10,IF(N89="Rusak Berat",15,IF(N89="Tidak Ada/Terbuka",20,0)))))+IF(P89="Baik",0,IF(P89="Rusak Ringan",4,IF(P89="Rusak Sedang",8,IF(P89="Rusak Berat",12,IF(P89="Tidak Layak",15,0))))))</x:f>
      </x:c>
      <x:c r="AR89" s="719" t="str">
        <x:f>IF(COUNTIF(AC89:AH89,"Ya")&gt;0,10,IF(COUNTIF(AI89:AK89,"Ya")&gt;=2,10,IF(COUNTIF(AI89:AK89,"Ya")=1,MAX(5,IF(AM89="Risiko Tinggi/Darurat",10,IF(AM89="Risiko Sedang",5,0))),IF(AL89&lt;&gt;"",IF(AM89="Risiko Tinggi/Darurat",10,IF(AM89="Risiko Sedang",5,"")),IF(COUNTIF(AC89:AK89,"Belum Dinilai")&gt;0,"",0)))))</x:f>
      </x:c>
      <x:c r="AS89" s="719" t="str">
        <x:f>IF(OR(AQ89="",AB89="",AR89=""),"",AQ89+AB89+AR89)</x:f>
      </x:c>
      <x:c r="AT89" s="719" t="str">
        <x:f>IF(AS89="","Belum Dapat Ditentukan",IF(AS89&gt;=80,"Sangat Tinggi",IF(OR(AO89="Risiko Tinggi/Darurat",(IF(L89="Rusak Berat",1,0)+IF(L89="Tidak Ada/Terbuka",1,0)+IF(N89="Rusak Berat",1,0)+IF(N89="Tidak Ada/Terbuka",1,0)+IF(P89="Rusak Berat",1,0)+IF(P89="Tidak Layak",1,0))&gt;=2),"Tinggi",IF(AS89&gt;=65,"Tinggi",IF(AS89&gt;=50,"Sedang","Rendah")))))</x:f>
        <x:v>Belum Dapat Ditentukan</x:v>
      </x:c>
      <x:c r="AU89" s="240" t="str">
        <x:v>Lengkap</x:v>
      </x:c>
      <x:c r="AV89" s="240" t="str">
        <x:v>Sudah Diverifikasi</x:v>
      </x:c>
      <x:c r="AW89" s="240" t="str">
        <x:v>Selesai</x:v>
      </x:c>
      <x:c r="AX89" s="240" t="str">
        <x:v>APBD Kota</x:v>
      </x:c>
      <x:c r="AY89" s="240" t="n">
        <x:v>2021</x:v>
      </x:c>
      <x:c r="AZ89" s="240" t="str">
        <x:v>Belum Diverifikasi</x:v>
      </x:c>
      <x:c r="BA89" s="240"/>
      <x:c r="BB89" s="240"/>
      <x:c r="BC89" s="240" t="n">
        <x:v>2026</x:v>
      </x:c>
      <x:c r="BD89" s="240" t="str">
        <x:v>Usulan Musrenbang/Pokir DPRD</x:v>
      </x:c>
      <x:c r="BE89" s="240" t="n">
        <x:v>46218</x:v>
      </x:c>
      <x:c r="BF89" s="240" t="str">
        <x:v>Dinas Perkim Kota Pangkalpinang</x:v>
      </x:c>
    </x:row>
    <x:row r="90" ht="32" customHeight="1">
      <x:c r="A90" s="314" t="str">
        <x:v>RTLH-0109</x:v>
      </x:c>
      <x:c r="B90" s="315" t="str">
        <x:v>YUNIAR</x:v>
      </x:c>
      <x:c r="C90" s="316"/>
      <x:c r="D90" s="316"/>
      <x:c r="E90" s="315" t="str">
        <x:v>JL,KH.AHMAD DAHLAN</x:v>
      </x:c>
      <x:c r="F90" s="315" t="str">
        <x:v>KERAMAT</x:v>
      </x:c>
      <x:c r="G90" s="315" t="str">
        <x:v>RANGKUI</x:v>
      </x:c>
      <x:c r="H90" s="315" t="str">
        <x:v>Pembangunan Baru</x:v>
      </x:c>
      <x:c r="I90" s="317" t="str">
        <x:v>RUMAH FULL PAPAN, RUSAK PARAH, LANTAI FLOOR</x:v>
      </x:c>
      <x:c r="J90" s="315" t="str">
        <x:v>Nonpermanen</x:v>
      </x:c>
      <x:c r="K90" s="315" t="str">
        <x:v>Belum Diidentifikasi</x:v>
      </x:c>
      <x:c r="L90" s="315" t="str">
        <x:v>Belum Dinilai</x:v>
      </x:c>
      <x:c r="M90" s="367" t="str">
        <x:v>Papan/Kayu</x:v>
      </x:c>
      <x:c r="N90" s="315" t="str">
        <x:v>Rusak Berat</x:v>
      </x:c>
      <x:c r="O90" s="316" t="str">
        <x:v>Semen/Plester</x:v>
      </x:c>
      <x:c r="P90" s="349" t="str">
        <x:v>Rusak Berat</x:v>
      </x:c>
      <x:c r="Q90" s="707" t="str">
        <x:v>Belum Dinilai</x:v>
      </x:c>
      <x:c r="R90" s="707" t="str">
        <x:v>Belum Dinilai</x:v>
      </x:c>
      <x:c r="S90" s="708" t="str">
        <x:v>Belum Dinilai</x:v>
      </x:c>
      <x:c r="T90" s="709" t="str">
        <x:v>Belum Dinilai</x:v>
      </x:c>
      <x:c r="U90" s="704" t="str">
        <x:v>Belum Dinilai</x:v>
      </x:c>
      <x:c r="V90" s="704" t="str">
        <x:v>Belum Dinilai</x:v>
      </x:c>
      <x:c r="W90" s="704" t="str"/>
      <x:c r="X90" s="704" t="str">
        <x:f>IF(COUNTIF(R90:V90,"Belum Dinilai")&gt;0,"Belum Dinilai",IF(COUNTIF(R90:V90,"Ya")=0,"Tidak ada faktor rentan",TEXTJOIN(", ",TRUE,IF(R90="Ya","Lansia",""),IF(S90="Ya","Penyandang disabilitas",""),IF(T90="Ya","Kepala keluarga perempuan",""),IF(U90="Ya","Balita",""),IF(V90="Ya","Anggota keluarga dengan ketergantungan tinggi",""))))</x:f>
        <x:v>Belum Dinilai</x:v>
      </x:c>
      <x:c r="Y90" s="704" t="str">
        <x:f>IF(COUNTIF(R90:V90,"Belum Dinilai")&gt;0,"Belum Dinilai",IF(COUNTIF(R90:V90,"Ya")=0,"Tidak Ada Faktor Rentan",IF(COUNTIF(R90:V90,"Ya")=1,"1 Faktor Rentan","2 atau Lebih Faktor Rentan")))</x:f>
        <x:v>Belum Dinilai</x:v>
      </x:c>
      <x:c r="Z90" s="704" t="str">
        <x:f>IF(OR(Q90="",Q90="Belum Dinilai"),"",IF(Q90="Terverifikasi DTKS/P3KE/MBR",10,IF(Q90="Diusulkan, Belum Terverifikasi",5,0)))</x:f>
      </x:c>
      <x:c r="AA90" s="705" t="str">
        <x:f>IF(COUNTIF(R90:V90,"Belum Dinilai")&gt;0,"",IF(COUNTIF(R90:V90,"Ya")=0,0,IF(COUNTIF(R90:V90,"Ya")=1,5,10)))</x:f>
      </x:c>
      <x:c r="AB90" s="706" t="str">
        <x:f>IF(OR(Z90="",AA90=""),"",Z90+AA90)</x:f>
      </x:c>
      <x:c r="AC90" s="713" t="str">
        <x:v>Belum Dinilai</x:v>
      </x:c>
      <x:c r="AD90" s="713" t="str">
        <x:v>Belum Dinilai</x:v>
      </x:c>
      <x:c r="AE90" s="714" t="str">
        <x:v>Belum Dinilai</x:v>
      </x:c>
      <x:c r="AF90" s="713" t="str">
        <x:v>Belum Dinilai</x:v>
      </x:c>
      <x:c r="AG90" s="713" t="str">
        <x:v>Belum Dinilai</x:v>
      </x:c>
      <x:c r="AH90" s="715" t="str">
        <x:v>Belum Dinilai</x:v>
      </x:c>
      <x:c r="AI90" s="714" t="str">
        <x:v>Belum Dinilai</x:v>
      </x:c>
      <x:c r="AJ90" s="713" t="str">
        <x:v>Belum Dinilai</x:v>
      </x:c>
      <x:c r="AK90" s="715" t="str">
        <x:v>Belum Dinilai</x:v>
      </x:c>
      <x:c r="AL90" s="713" t="str"/>
      <x:c r="AM90" s="716" t="str">
        <x:v>Belum Dinilai</x:v>
      </x:c>
      <x:c r="AN90" s="716" t="str">
        <x:f>IF(AND(COUNTIF(AC90:AK90,"Ya")=0,AL90=""),IF(COUNTIF(AC90:AK90,"Belum Dinilai")&gt;0,"Belum Dinilai","Tidak ada risiko khusus"),TEXTJOIN(", ",TRUE,IF(AC90="Ya","Bangunan berpotensi roboh",""),IF(AD90="Ya","Bekas kebakaran dan tidak aman dihuni",""),IF(AE90="Ya","Atap atau dinding utama hampir runtuh",""),IF(AF90="Ya","Genangan yang membahayakan",""),IF(AG90="Ya","Struktur rumah tidak stabil",""),IF(AH90="Ya","Instalasi listrik berbahaya",""),IF(AI90="Ya","Komponen bangunan lepas atau lapuk",""),IF(AJ90="Ya","Akses keluar atau evakuasi terbatas",""),IF(AK90="Ya","Lokasi rawan bencana",""),IF(AL90&lt;&gt;"","Lainnya: "&amp;AL90,"")))</x:f>
        <x:v>Belum Dinilai</x:v>
      </x:c>
      <x:c r="AO90" s="716" t="str">
        <x:f>IF(AR90="","Belum Dinilai",IF(AR90=10,"Risiko Tinggi/Darurat",IF(AR90=5,"Risiko Sedang","Tidak Ada Risiko Khusus")))</x:f>
        <x:v>Belum Dinilai</x:v>
      </x:c>
      <x:c r="AP90" s="716" t="str"/>
      <x:c r="AQ90" s="719" t="str">
        <x:f>IF(OR(J90="",J90="Belum Dapat Ditentukan",L90="",L90="Belum Dinilai",N90="",N90="Belum Dinilai",P90="",P90="Belum Dinilai"),"",IF(J90="Permanen",0,IF(J90="Semipermanen",8,IF(J90="Nonpermanen",15,0)))+IF(L90="Baik",0,IF(L90="Rusak Ringan",5,IF(L90="Rusak Sedang",10,IF(L90="Rusak Berat",15,IF(L90="Tidak Ada/Terbuka",20,0)))))+IF(N90="Baik",0,IF(N90="Rusak Ringan",5,IF(N90="Rusak Sedang",10,IF(N90="Rusak Berat",15,IF(N90="Tidak Ada/Terbuka",20,0)))))+IF(P90="Baik",0,IF(P90="Rusak Ringan",4,IF(P90="Rusak Sedang",8,IF(P90="Rusak Berat",12,IF(P90="Tidak Layak",15,0))))))</x:f>
      </x:c>
      <x:c r="AR90" s="719" t="str">
        <x:f>IF(COUNTIF(AC90:AH90,"Ya")&gt;0,10,IF(COUNTIF(AI90:AK90,"Ya")&gt;=2,10,IF(COUNTIF(AI90:AK90,"Ya")=1,MAX(5,IF(AM90="Risiko Tinggi/Darurat",10,IF(AM90="Risiko Sedang",5,0))),IF(AL90&lt;&gt;"",IF(AM90="Risiko Tinggi/Darurat",10,IF(AM90="Risiko Sedang",5,"")),IF(COUNTIF(AC90:AK90,"Belum Dinilai")&gt;0,"",0)))))</x:f>
      </x:c>
      <x:c r="AS90" s="719" t="str">
        <x:f>IF(OR(AQ90="",AB90="",AR90=""),"",AQ90+AB90+AR90)</x:f>
      </x:c>
      <x:c r="AT90" s="719" t="str">
        <x:f>IF(AS90="","Belum Dapat Ditentukan",IF(AS90&gt;=80,"Sangat Tinggi",IF(OR(AO90="Risiko Tinggi/Darurat",(IF(L90="Rusak Berat",1,0)+IF(L90="Tidak Ada/Terbuka",1,0)+IF(N90="Rusak Berat",1,0)+IF(N90="Tidak Ada/Terbuka",1,0)+IF(P90="Rusak Berat",1,0)+IF(P90="Tidak Layak",1,0))&gt;=2),"Tinggi",IF(AS90&gt;=65,"Tinggi",IF(AS90&gt;=50,"Sedang","Rendah")))))</x:f>
        <x:v>Belum Dapat Ditentukan</x:v>
      </x:c>
      <x:c r="AU90" s="240" t="str">
        <x:v>Lengkap</x:v>
      </x:c>
      <x:c r="AV90" s="240" t="str">
        <x:v>Sudah Diverifikasi</x:v>
      </x:c>
      <x:c r="AW90" s="240" t="str">
        <x:v>Selesai</x:v>
      </x:c>
      <x:c r="AX90" s="240" t="str">
        <x:v>APBD Kota</x:v>
      </x:c>
      <x:c r="AY90" s="240" t="n">
        <x:v>2022</x:v>
      </x:c>
      <x:c r="AZ90" s="240" t="str">
        <x:v>Belum Diverifikasi</x:v>
      </x:c>
      <x:c r="BA90" s="240"/>
      <x:c r="BB90" s="240"/>
      <x:c r="BC90" s="240" t="n">
        <x:v>2026</x:v>
      </x:c>
      <x:c r="BD90" s="240" t="str">
        <x:v>Usulan Musrenbang/Pokir DPRD</x:v>
      </x:c>
      <x:c r="BE90" s="240" t="n">
        <x:v>46218</x:v>
      </x:c>
      <x:c r="BF90" s="240" t="str">
        <x:v>Dinas Perkim Kota Pangkalpinang</x:v>
      </x:c>
    </x:row>
    <x:row r="91" ht="32" customHeight="1">
      <x:c r="A91" s="314" t="str">
        <x:v>RTLH-0110</x:v>
      </x:c>
      <x:c r="B91" s="315" t="str">
        <x:v>HARY A.R.SUHAILI</x:v>
      </x:c>
      <x:c r="C91" s="316"/>
      <x:c r="D91" s="316"/>
      <x:c r="E91" s="315" t="str">
        <x:v>JL,MENARA RT/RW 009/003</x:v>
      </x:c>
      <x:c r="F91" s="315" t="str">
        <x:v>KERAMAT</x:v>
      </x:c>
      <x:c r="G91" s="315" t="str">
        <x:v>RANGKUI</x:v>
      </x:c>
      <x:c r="H91" s="315" t="str">
        <x:v>Pembangunan Baru</x:v>
      </x:c>
      <x:c r="I91" s="317" t="str">
        <x:v>FULL PAPAN ,LANTAI TANAH, WC DI LUAR</x:v>
      </x:c>
      <x:c r="J91" s="315" t="str">
        <x:v>Nonpermanen</x:v>
      </x:c>
      <x:c r="K91" s="315" t="str">
        <x:v>Belum Diidentifikasi</x:v>
      </x:c>
      <x:c r="L91" s="315" t="str">
        <x:v>Belum Dinilai</x:v>
      </x:c>
      <x:c r="M91" s="367" t="str">
        <x:v>Papan/Kayu</x:v>
      </x:c>
      <x:c r="N91" s="315" t="str">
        <x:v>Belum Dinilai</x:v>
      </x:c>
      <x:c r="O91" s="316" t="str">
        <x:v>Tanah</x:v>
      </x:c>
      <x:c r="P91" s="349" t="str">
        <x:v>Tidak Layak</x:v>
      </x:c>
      <x:c r="Q91" s="707" t="str">
        <x:v>Belum Dinilai</x:v>
      </x:c>
      <x:c r="R91" s="707" t="str">
        <x:v>Belum Dinilai</x:v>
      </x:c>
      <x:c r="S91" s="708" t="str">
        <x:v>Belum Dinilai</x:v>
      </x:c>
      <x:c r="T91" s="709" t="str">
        <x:v>Belum Dinilai</x:v>
      </x:c>
      <x:c r="U91" s="704" t="str">
        <x:v>Belum Dinilai</x:v>
      </x:c>
      <x:c r="V91" s="704" t="str">
        <x:v>Belum Dinilai</x:v>
      </x:c>
      <x:c r="W91" s="704" t="str"/>
      <x:c r="X91" s="704" t="str">
        <x:f>IF(COUNTIF(R91:V91,"Belum Dinilai")&gt;0,"Belum Dinilai",IF(COUNTIF(R91:V91,"Ya")=0,"Tidak ada faktor rentan",TEXTJOIN(", ",TRUE,IF(R91="Ya","Lansia",""),IF(S91="Ya","Penyandang disabilitas",""),IF(T91="Ya","Kepala keluarga perempuan",""),IF(U91="Ya","Balita",""),IF(V91="Ya","Anggota keluarga dengan ketergantungan tinggi",""))))</x:f>
        <x:v>Belum Dinilai</x:v>
      </x:c>
      <x:c r="Y91" s="704" t="str">
        <x:f>IF(COUNTIF(R91:V91,"Belum Dinilai")&gt;0,"Belum Dinilai",IF(COUNTIF(R91:V91,"Ya")=0,"Tidak Ada Faktor Rentan",IF(COUNTIF(R91:V91,"Ya")=1,"1 Faktor Rentan","2 atau Lebih Faktor Rentan")))</x:f>
        <x:v>Belum Dinilai</x:v>
      </x:c>
      <x:c r="Z91" s="704" t="str">
        <x:f>IF(OR(Q91="",Q91="Belum Dinilai"),"",IF(Q91="Terverifikasi DTKS/P3KE/MBR",10,IF(Q91="Diusulkan, Belum Terverifikasi",5,0)))</x:f>
      </x:c>
      <x:c r="AA91" s="705" t="str">
        <x:f>IF(COUNTIF(R91:V91,"Belum Dinilai")&gt;0,"",IF(COUNTIF(R91:V91,"Ya")=0,0,IF(COUNTIF(R91:V91,"Ya")=1,5,10)))</x:f>
      </x:c>
      <x:c r="AB91" s="706" t="str">
        <x:f>IF(OR(Z91="",AA91=""),"",Z91+AA91)</x:f>
      </x:c>
      <x:c r="AC91" s="713" t="str">
        <x:v>Belum Dinilai</x:v>
      </x:c>
      <x:c r="AD91" s="713" t="str">
        <x:v>Belum Dinilai</x:v>
      </x:c>
      <x:c r="AE91" s="714" t="str">
        <x:v>Belum Dinilai</x:v>
      </x:c>
      <x:c r="AF91" s="713" t="str">
        <x:v>Belum Dinilai</x:v>
      </x:c>
      <x:c r="AG91" s="713" t="str">
        <x:v>Belum Dinilai</x:v>
      </x:c>
      <x:c r="AH91" s="715" t="str">
        <x:v>Belum Dinilai</x:v>
      </x:c>
      <x:c r="AI91" s="714" t="str">
        <x:v>Belum Dinilai</x:v>
      </x:c>
      <x:c r="AJ91" s="713" t="str">
        <x:v>Belum Dinilai</x:v>
      </x:c>
      <x:c r="AK91" s="715" t="str">
        <x:v>Belum Dinilai</x:v>
      </x:c>
      <x:c r="AL91" s="713" t="str"/>
      <x:c r="AM91" s="716" t="str">
        <x:v>Belum Dinilai</x:v>
      </x:c>
      <x:c r="AN91" s="716" t="str">
        <x:f>IF(AND(COUNTIF(AC91:AK91,"Ya")=0,AL91=""),IF(COUNTIF(AC91:AK91,"Belum Dinilai")&gt;0,"Belum Dinilai","Tidak ada risiko khusus"),TEXTJOIN(", ",TRUE,IF(AC91="Ya","Bangunan berpotensi roboh",""),IF(AD91="Ya","Bekas kebakaran dan tidak aman dihuni",""),IF(AE91="Ya","Atap atau dinding utama hampir runtuh",""),IF(AF91="Ya","Genangan yang membahayakan",""),IF(AG91="Ya","Struktur rumah tidak stabil",""),IF(AH91="Ya","Instalasi listrik berbahaya",""),IF(AI91="Ya","Komponen bangunan lepas atau lapuk",""),IF(AJ91="Ya","Akses keluar atau evakuasi terbatas",""),IF(AK91="Ya","Lokasi rawan bencana",""),IF(AL91&lt;&gt;"","Lainnya: "&amp;AL91,"")))</x:f>
        <x:v>Belum Dinilai</x:v>
      </x:c>
      <x:c r="AO91" s="716" t="str">
        <x:f>IF(AR91="","Belum Dinilai",IF(AR91=10,"Risiko Tinggi/Darurat",IF(AR91=5,"Risiko Sedang","Tidak Ada Risiko Khusus")))</x:f>
        <x:v>Belum Dinilai</x:v>
      </x:c>
      <x:c r="AP91" s="716" t="str"/>
      <x:c r="AQ91" s="719" t="str">
        <x:f>IF(OR(J91="",J91="Belum Dapat Ditentukan",L91="",L91="Belum Dinilai",N91="",N91="Belum Dinilai",P91="",P91="Belum Dinilai"),"",IF(J91="Permanen",0,IF(J91="Semipermanen",8,IF(J91="Nonpermanen",15,0)))+IF(L91="Baik",0,IF(L91="Rusak Ringan",5,IF(L91="Rusak Sedang",10,IF(L91="Rusak Berat",15,IF(L91="Tidak Ada/Terbuka",20,0)))))+IF(N91="Baik",0,IF(N91="Rusak Ringan",5,IF(N91="Rusak Sedang",10,IF(N91="Rusak Berat",15,IF(N91="Tidak Ada/Terbuka",20,0)))))+IF(P91="Baik",0,IF(P91="Rusak Ringan",4,IF(P91="Rusak Sedang",8,IF(P91="Rusak Berat",12,IF(P91="Tidak Layak",15,0))))))</x:f>
      </x:c>
      <x:c r="AR91" s="719" t="str">
        <x:f>IF(COUNTIF(AC91:AH91,"Ya")&gt;0,10,IF(COUNTIF(AI91:AK91,"Ya")&gt;=2,10,IF(COUNTIF(AI91:AK91,"Ya")=1,MAX(5,IF(AM91="Risiko Tinggi/Darurat",10,IF(AM91="Risiko Sedang",5,0))),IF(AL91&lt;&gt;"",IF(AM91="Risiko Tinggi/Darurat",10,IF(AM91="Risiko Sedang",5,"")),IF(COUNTIF(AC91:AK91,"Belum Dinilai")&gt;0,"",0)))))</x:f>
      </x:c>
      <x:c r="AS91" s="719" t="str">
        <x:f>IF(OR(AQ91="",AB91="",AR91=""),"",AQ91+AB91+AR91)</x:f>
      </x:c>
      <x:c r="AT91" s="719" t="str">
        <x:f>IF(AS91="","Belum Dapat Ditentukan",IF(AS91&gt;=80,"Sangat Tinggi",IF(OR(AO91="Risiko Tinggi/Darurat",(IF(L91="Rusak Berat",1,0)+IF(L91="Tidak Ada/Terbuka",1,0)+IF(N91="Rusak Berat",1,0)+IF(N91="Tidak Ada/Terbuka",1,0)+IF(P91="Rusak Berat",1,0)+IF(P91="Tidak Layak",1,0))&gt;=2),"Tinggi",IF(AS91&gt;=65,"Tinggi",IF(AS91&gt;=50,"Sedang","Rendah")))))</x:f>
        <x:v>Belum Dapat Ditentukan</x:v>
      </x:c>
      <x:c r="AU91" s="240" t="str">
        <x:v>Lengkap</x:v>
      </x:c>
      <x:c r="AV91" s="240" t="str">
        <x:v>Sudah Diverifikasi</x:v>
      </x:c>
      <x:c r="AW91" s="240" t="str">
        <x:v>Selesai</x:v>
      </x:c>
      <x:c r="AX91" s="240" t="str">
        <x:v>APBD Kota</x:v>
      </x:c>
      <x:c r="AY91" s="240" t="n">
        <x:v>2022</x:v>
      </x:c>
      <x:c r="AZ91" s="240" t="str">
        <x:v>Belum Diverifikasi</x:v>
      </x:c>
      <x:c r="BA91" s="240"/>
      <x:c r="BB91" s="240"/>
      <x:c r="BC91" s="240" t="n">
        <x:v>2026</x:v>
      </x:c>
      <x:c r="BD91" s="240" t="str">
        <x:v>Usulan Musrenbang/Pokir DPRD</x:v>
      </x:c>
      <x:c r="BE91" s="240" t="n">
        <x:v>46218</x:v>
      </x:c>
      <x:c r="BF91" s="240" t="str">
        <x:v>Dinas Perkim Kota Pangkalpinang</x:v>
      </x:c>
    </x:row>
    <x:row r="92" ht="32" customHeight="1">
      <x:c r="A92" s="314" t="str">
        <x:v>RTLH-0111</x:v>
      </x:c>
      <x:c r="B92" s="315" t="str">
        <x:v>SUNARTI</x:v>
      </x:c>
      <x:c r="C92" s="316"/>
      <x:c r="D92" s="316"/>
      <x:c r="E92" s="315" t="str">
        <x:v>JL.TREM RT/RW 007/003</x:v>
      </x:c>
      <x:c r="F92" s="315" t="str">
        <x:v>KERAMAT</x:v>
      </x:c>
      <x:c r="G92" s="315" t="str">
        <x:v>RANGKUI</x:v>
      </x:c>
      <x:c r="H92" s="315" t="str">
        <x:v>Pembangunan Baru</x:v>
      </x:c>
      <x:c r="I92" s="317" t="str">
        <x:v>RUMAH FULL PAPAN</x:v>
      </x:c>
      <x:c r="J92" s="315" t="str">
        <x:v>Nonpermanen</x:v>
      </x:c>
      <x:c r="K92" s="315" t="str">
        <x:v>Belum Diidentifikasi</x:v>
      </x:c>
      <x:c r="L92" s="315" t="str">
        <x:v>Belum Dinilai</x:v>
      </x:c>
      <x:c r="M92" s="367" t="str">
        <x:v>Papan/Kayu</x:v>
      </x:c>
      <x:c r="N92" s="315" t="str">
        <x:v>Belum Dinilai</x:v>
      </x:c>
      <x:c r="O92" s="316" t="str">
        <x:v>Belum Diidentifikasi</x:v>
      </x:c>
      <x:c r="P92" s="349" t="str">
        <x:v>Belum Dinilai</x:v>
      </x:c>
      <x:c r="Q92" s="707" t="str">
        <x:v>Belum Dinilai</x:v>
      </x:c>
      <x:c r="R92" s="707" t="str">
        <x:v>Belum Dinilai</x:v>
      </x:c>
      <x:c r="S92" s="708" t="str">
        <x:v>Belum Dinilai</x:v>
      </x:c>
      <x:c r="T92" s="709" t="str">
        <x:v>Belum Dinilai</x:v>
      </x:c>
      <x:c r="U92" s="704" t="str">
        <x:v>Belum Dinilai</x:v>
      </x:c>
      <x:c r="V92" s="704" t="str">
        <x:v>Belum Dinilai</x:v>
      </x:c>
      <x:c r="W92" s="704" t="str"/>
      <x:c r="X92" s="704" t="str">
        <x:f>IF(COUNTIF(R92:V92,"Belum Dinilai")&gt;0,"Belum Dinilai",IF(COUNTIF(R92:V92,"Ya")=0,"Tidak ada faktor rentan",TEXTJOIN(", ",TRUE,IF(R92="Ya","Lansia",""),IF(S92="Ya","Penyandang disabilitas",""),IF(T92="Ya","Kepala keluarga perempuan",""),IF(U92="Ya","Balita",""),IF(V92="Ya","Anggota keluarga dengan ketergantungan tinggi",""))))</x:f>
        <x:v>Belum Dinilai</x:v>
      </x:c>
      <x:c r="Y92" s="704" t="str">
        <x:f>IF(COUNTIF(R92:V92,"Belum Dinilai")&gt;0,"Belum Dinilai",IF(COUNTIF(R92:V92,"Ya")=0,"Tidak Ada Faktor Rentan",IF(COUNTIF(R92:V92,"Ya")=1,"1 Faktor Rentan","2 atau Lebih Faktor Rentan")))</x:f>
        <x:v>Belum Dinilai</x:v>
      </x:c>
      <x:c r="Z92" s="704" t="str">
        <x:f>IF(OR(Q92="",Q92="Belum Dinilai"),"",IF(Q92="Terverifikasi DTKS/P3KE/MBR",10,IF(Q92="Diusulkan, Belum Terverifikasi",5,0)))</x:f>
      </x:c>
      <x:c r="AA92" s="705" t="str">
        <x:f>IF(COUNTIF(R92:V92,"Belum Dinilai")&gt;0,"",IF(COUNTIF(R92:V92,"Ya")=0,0,IF(COUNTIF(R92:V92,"Ya")=1,5,10)))</x:f>
      </x:c>
      <x:c r="AB92" s="706" t="str">
        <x:f>IF(OR(Z92="",AA92=""),"",Z92+AA92)</x:f>
      </x:c>
      <x:c r="AC92" s="713" t="str">
        <x:v>Belum Dinilai</x:v>
      </x:c>
      <x:c r="AD92" s="713" t="str">
        <x:v>Belum Dinilai</x:v>
      </x:c>
      <x:c r="AE92" s="714" t="str">
        <x:v>Belum Dinilai</x:v>
      </x:c>
      <x:c r="AF92" s="713" t="str">
        <x:v>Belum Dinilai</x:v>
      </x:c>
      <x:c r="AG92" s="713" t="str">
        <x:v>Belum Dinilai</x:v>
      </x:c>
      <x:c r="AH92" s="715" t="str">
        <x:v>Belum Dinilai</x:v>
      </x:c>
      <x:c r="AI92" s="714" t="str">
        <x:v>Belum Dinilai</x:v>
      </x:c>
      <x:c r="AJ92" s="713" t="str">
        <x:v>Belum Dinilai</x:v>
      </x:c>
      <x:c r="AK92" s="715" t="str">
        <x:v>Belum Dinilai</x:v>
      </x:c>
      <x:c r="AL92" s="713" t="str"/>
      <x:c r="AM92" s="716" t="str">
        <x:v>Belum Dinilai</x:v>
      </x:c>
      <x:c r="AN92" s="716" t="str">
        <x:f>IF(AND(COUNTIF(AC92:AK92,"Ya")=0,AL92=""),IF(COUNTIF(AC92:AK92,"Belum Dinilai")&gt;0,"Belum Dinilai","Tidak ada risiko khusus"),TEXTJOIN(", ",TRUE,IF(AC92="Ya","Bangunan berpotensi roboh",""),IF(AD92="Ya","Bekas kebakaran dan tidak aman dihuni",""),IF(AE92="Ya","Atap atau dinding utama hampir runtuh",""),IF(AF92="Ya","Genangan yang membahayakan",""),IF(AG92="Ya","Struktur rumah tidak stabil",""),IF(AH92="Ya","Instalasi listrik berbahaya",""),IF(AI92="Ya","Komponen bangunan lepas atau lapuk",""),IF(AJ92="Ya","Akses keluar atau evakuasi terbatas",""),IF(AK92="Ya","Lokasi rawan bencana",""),IF(AL92&lt;&gt;"","Lainnya: "&amp;AL92,"")))</x:f>
        <x:v>Belum Dinilai</x:v>
      </x:c>
      <x:c r="AO92" s="716" t="str">
        <x:f>IF(AR92="","Belum Dinilai",IF(AR92=10,"Risiko Tinggi/Darurat",IF(AR92=5,"Risiko Sedang","Tidak Ada Risiko Khusus")))</x:f>
        <x:v>Belum Dinilai</x:v>
      </x:c>
      <x:c r="AP92" s="716" t="str"/>
      <x:c r="AQ92" s="719" t="str">
        <x:f>IF(OR(J92="",J92="Belum Dapat Ditentukan",L92="",L92="Belum Dinilai",N92="",N92="Belum Dinilai",P92="",P92="Belum Dinilai"),"",IF(J92="Permanen",0,IF(J92="Semipermanen",8,IF(J92="Nonpermanen",15,0)))+IF(L92="Baik",0,IF(L92="Rusak Ringan",5,IF(L92="Rusak Sedang",10,IF(L92="Rusak Berat",15,IF(L92="Tidak Ada/Terbuka",20,0)))))+IF(N92="Baik",0,IF(N92="Rusak Ringan",5,IF(N92="Rusak Sedang",10,IF(N92="Rusak Berat",15,IF(N92="Tidak Ada/Terbuka",20,0)))))+IF(P92="Baik",0,IF(P92="Rusak Ringan",4,IF(P92="Rusak Sedang",8,IF(P92="Rusak Berat",12,IF(P92="Tidak Layak",15,0))))))</x:f>
      </x:c>
      <x:c r="AR92" s="719" t="str">
        <x:f>IF(COUNTIF(AC92:AH92,"Ya")&gt;0,10,IF(COUNTIF(AI92:AK92,"Ya")&gt;=2,10,IF(COUNTIF(AI92:AK92,"Ya")=1,MAX(5,IF(AM92="Risiko Tinggi/Darurat",10,IF(AM92="Risiko Sedang",5,0))),IF(AL92&lt;&gt;"",IF(AM92="Risiko Tinggi/Darurat",10,IF(AM92="Risiko Sedang",5,"")),IF(COUNTIF(AC92:AK92,"Belum Dinilai")&gt;0,"",0)))))</x:f>
      </x:c>
      <x:c r="AS92" s="719" t="str">
        <x:f>IF(OR(AQ92="",AB92="",AR92=""),"",AQ92+AB92+AR92)</x:f>
      </x:c>
      <x:c r="AT92" s="719" t="str">
        <x:f>IF(AS92="","Belum Dapat Ditentukan",IF(AS92&gt;=80,"Sangat Tinggi",IF(OR(AO92="Risiko Tinggi/Darurat",(IF(L92="Rusak Berat",1,0)+IF(L92="Tidak Ada/Terbuka",1,0)+IF(N92="Rusak Berat",1,0)+IF(N92="Tidak Ada/Terbuka",1,0)+IF(P92="Rusak Berat",1,0)+IF(P92="Tidak Layak",1,0))&gt;=2),"Tinggi",IF(AS92&gt;=65,"Tinggi",IF(AS92&gt;=50,"Sedang","Rendah")))))</x:f>
        <x:v>Belum Dapat Ditentukan</x:v>
      </x:c>
      <x:c r="AU92" s="240" t="str">
        <x:v>Lengkap</x:v>
      </x:c>
      <x:c r="AV92" s="240" t="str">
        <x:v>Sudah Diverifikasi</x:v>
      </x:c>
      <x:c r="AW92" s="240" t="str">
        <x:v>Belum Ditangani</x:v>
      </x:c>
      <x:c r="AX92" s="240"/>
      <x:c r="AY92" s="240"/>
      <x:c r="AZ92" s="240" t="str">
        <x:v>Belum Diverifikasi</x:v>
      </x:c>
      <x:c r="BA92" s="240"/>
      <x:c r="BB92" s="240"/>
      <x:c r="BC92" s="240" t="n">
        <x:v>2026</x:v>
      </x:c>
      <x:c r="BD92" s="240" t="str">
        <x:v>Usulan Musrenbang/Pokir DPRD</x:v>
      </x:c>
      <x:c r="BE92" s="240" t="n">
        <x:v>46218</x:v>
      </x:c>
      <x:c r="BF92" s="240" t="str">
        <x:v>Dinas Perkim Kota Pangkalpinang</x:v>
      </x:c>
    </x:row>
    <x:row r="93" ht="32" customHeight="1">
      <x:c r="A93" s="314" t="str">
        <x:v>RTLH-0112</x:v>
      </x:c>
      <x:c r="B93" s="315" t="str">
        <x:v>ROSMAH</x:v>
      </x:c>
      <x:c r="C93" s="316"/>
      <x:c r="D93" s="316"/>
      <x:c r="E93" s="315" t="str">
        <x:v>GG.RUKEM RT/RW 005/002</x:v>
      </x:c>
      <x:c r="F93" s="315" t="str">
        <x:v>ASAM</x:v>
      </x:c>
      <x:c r="G93" s="315" t="str">
        <x:v>RANGKUI</x:v>
      </x:c>
      <x:c r="H93" s="315" t="str">
        <x:v>Peningkatan Kualitas</x:v>
      </x:c>
      <x:c r="I93" s="317" t="str">
        <x:v>RUMAH FULL BETON ATAP RUASK SEDANG</x:v>
      </x:c>
      <x:c r="J93" s="315" t="str">
        <x:v>Permanen</x:v>
      </x:c>
      <x:c r="K93" s="315" t="str">
        <x:v>Belum Diidentifikasi</x:v>
      </x:c>
      <x:c r="L93" s="315" t="str">
        <x:v>Belum Dinilai</x:v>
      </x:c>
      <x:c r="M93" s="367" t="str">
        <x:v>Beton</x:v>
      </x:c>
      <x:c r="N93" s="315" t="str">
        <x:v>Belum Dinilai</x:v>
      </x:c>
      <x:c r="O93" s="316" t="str">
        <x:v>Belum Diidentifikasi</x:v>
      </x:c>
      <x:c r="P93" s="349" t="str">
        <x:v>Belum Dinilai</x:v>
      </x:c>
      <x:c r="Q93" s="707" t="str">
        <x:v>Belum Dinilai</x:v>
      </x:c>
      <x:c r="R93" s="707" t="str">
        <x:v>Belum Dinilai</x:v>
      </x:c>
      <x:c r="S93" s="708" t="str">
        <x:v>Belum Dinilai</x:v>
      </x:c>
      <x:c r="T93" s="709" t="str">
        <x:v>Belum Dinilai</x:v>
      </x:c>
      <x:c r="U93" s="704" t="str">
        <x:v>Belum Dinilai</x:v>
      </x:c>
      <x:c r="V93" s="704" t="str">
        <x:v>Belum Dinilai</x:v>
      </x:c>
      <x:c r="W93" s="704" t="str"/>
      <x:c r="X93" s="704" t="str">
        <x:f>IF(COUNTIF(R93:V93,"Belum Dinilai")&gt;0,"Belum Dinilai",IF(COUNTIF(R93:V93,"Ya")=0,"Tidak ada faktor rentan",TEXTJOIN(", ",TRUE,IF(R93="Ya","Lansia",""),IF(S93="Ya","Penyandang disabilitas",""),IF(T93="Ya","Kepala keluarga perempuan",""),IF(U93="Ya","Balita",""),IF(V93="Ya","Anggota keluarga dengan ketergantungan tinggi",""))))</x:f>
        <x:v>Belum Dinilai</x:v>
      </x:c>
      <x:c r="Y93" s="704" t="str">
        <x:f>IF(COUNTIF(R93:V93,"Belum Dinilai")&gt;0,"Belum Dinilai",IF(COUNTIF(R93:V93,"Ya")=0,"Tidak Ada Faktor Rentan",IF(COUNTIF(R93:V93,"Ya")=1,"1 Faktor Rentan","2 atau Lebih Faktor Rentan")))</x:f>
        <x:v>Belum Dinilai</x:v>
      </x:c>
      <x:c r="Z93" s="704" t="str">
        <x:f>IF(OR(Q93="",Q93="Belum Dinilai"),"",IF(Q93="Terverifikasi DTKS/P3KE/MBR",10,IF(Q93="Diusulkan, Belum Terverifikasi",5,0)))</x:f>
      </x:c>
      <x:c r="AA93" s="705" t="str">
        <x:f>IF(COUNTIF(R93:V93,"Belum Dinilai")&gt;0,"",IF(COUNTIF(R93:V93,"Ya")=0,0,IF(COUNTIF(R93:V93,"Ya")=1,5,10)))</x:f>
      </x:c>
      <x:c r="AB93" s="706" t="str">
        <x:f>IF(OR(Z93="",AA93=""),"",Z93+AA93)</x:f>
      </x:c>
      <x:c r="AC93" s="713" t="str">
        <x:v>Belum Dinilai</x:v>
      </x:c>
      <x:c r="AD93" s="713" t="str">
        <x:v>Belum Dinilai</x:v>
      </x:c>
      <x:c r="AE93" s="714" t="str">
        <x:v>Belum Dinilai</x:v>
      </x:c>
      <x:c r="AF93" s="713" t="str">
        <x:v>Belum Dinilai</x:v>
      </x:c>
      <x:c r="AG93" s="713" t="str">
        <x:v>Belum Dinilai</x:v>
      </x:c>
      <x:c r="AH93" s="715" t="str">
        <x:v>Belum Dinilai</x:v>
      </x:c>
      <x:c r="AI93" s="714" t="str">
        <x:v>Belum Dinilai</x:v>
      </x:c>
      <x:c r="AJ93" s="713" t="str">
        <x:v>Belum Dinilai</x:v>
      </x:c>
      <x:c r="AK93" s="715" t="str">
        <x:v>Belum Dinilai</x:v>
      </x:c>
      <x:c r="AL93" s="713" t="str"/>
      <x:c r="AM93" s="716" t="str">
        <x:v>Belum Dinilai</x:v>
      </x:c>
      <x:c r="AN93" s="716" t="str">
        <x:f>IF(AND(COUNTIF(AC93:AK93,"Ya")=0,AL93=""),IF(COUNTIF(AC93:AK93,"Belum Dinilai")&gt;0,"Belum Dinilai","Tidak ada risiko khusus"),TEXTJOIN(", ",TRUE,IF(AC93="Ya","Bangunan berpotensi roboh",""),IF(AD93="Ya","Bekas kebakaran dan tidak aman dihuni",""),IF(AE93="Ya","Atap atau dinding utama hampir runtuh",""),IF(AF93="Ya","Genangan yang membahayakan",""),IF(AG93="Ya","Struktur rumah tidak stabil",""),IF(AH93="Ya","Instalasi listrik berbahaya",""),IF(AI93="Ya","Komponen bangunan lepas atau lapuk",""),IF(AJ93="Ya","Akses keluar atau evakuasi terbatas",""),IF(AK93="Ya","Lokasi rawan bencana",""),IF(AL93&lt;&gt;"","Lainnya: "&amp;AL93,"")))</x:f>
        <x:v>Belum Dinilai</x:v>
      </x:c>
      <x:c r="AO93" s="716" t="str">
        <x:f>IF(AR93="","Belum Dinilai",IF(AR93=10,"Risiko Tinggi/Darurat",IF(AR93=5,"Risiko Sedang","Tidak Ada Risiko Khusus")))</x:f>
        <x:v>Belum Dinilai</x:v>
      </x:c>
      <x:c r="AP93" s="716" t="str"/>
      <x:c r="AQ93" s="719" t="str">
        <x:f>IF(OR(J93="",J93="Belum Dapat Ditentukan",L93="",L93="Belum Dinilai",N93="",N93="Belum Dinilai",P93="",P93="Belum Dinilai"),"",IF(J93="Permanen",0,IF(J93="Semipermanen",8,IF(J93="Nonpermanen",15,0)))+IF(L93="Baik",0,IF(L93="Rusak Ringan",5,IF(L93="Rusak Sedang",10,IF(L93="Rusak Berat",15,IF(L93="Tidak Ada/Terbuka",20,0)))))+IF(N93="Baik",0,IF(N93="Rusak Ringan",5,IF(N93="Rusak Sedang",10,IF(N93="Rusak Berat",15,IF(N93="Tidak Ada/Terbuka",20,0)))))+IF(P93="Baik",0,IF(P93="Rusak Ringan",4,IF(P93="Rusak Sedang",8,IF(P93="Rusak Berat",12,IF(P93="Tidak Layak",15,0))))))</x:f>
      </x:c>
      <x:c r="AR93" s="719" t="str">
        <x:f>IF(COUNTIF(AC93:AH93,"Ya")&gt;0,10,IF(COUNTIF(AI93:AK93,"Ya")&gt;=2,10,IF(COUNTIF(AI93:AK93,"Ya")=1,MAX(5,IF(AM93="Risiko Tinggi/Darurat",10,IF(AM93="Risiko Sedang",5,0))),IF(AL93&lt;&gt;"",IF(AM93="Risiko Tinggi/Darurat",10,IF(AM93="Risiko Sedang",5,"")),IF(COUNTIF(AC93:AK93,"Belum Dinilai")&gt;0,"",0)))))</x:f>
      </x:c>
      <x:c r="AS93" s="719" t="str">
        <x:f>IF(OR(AQ93="",AB93="",AR93=""),"",AQ93+AB93+AR93)</x:f>
      </x:c>
      <x:c r="AT93" s="719" t="str">
        <x:f>IF(AS93="","Belum Dapat Ditentukan",IF(AS93&gt;=80,"Sangat Tinggi",IF(OR(AO93="Risiko Tinggi/Darurat",(IF(L93="Rusak Berat",1,0)+IF(L93="Tidak Ada/Terbuka",1,0)+IF(N93="Rusak Berat",1,0)+IF(N93="Tidak Ada/Terbuka",1,0)+IF(P93="Rusak Berat",1,0)+IF(P93="Tidak Layak",1,0))&gt;=2),"Tinggi",IF(AS93&gt;=65,"Tinggi",IF(AS93&gt;=50,"Sedang","Rendah")))))</x:f>
        <x:v>Belum Dapat Ditentukan</x:v>
      </x:c>
      <x:c r="AU93" s="240" t="str">
        <x:v>Lengkap</x:v>
      </x:c>
      <x:c r="AV93" s="240" t="str">
        <x:v>Sudah Diverifikasi</x:v>
      </x:c>
      <x:c r="AW93" s="240" t="str">
        <x:v>Belum Ditangani</x:v>
      </x:c>
      <x:c r="AX93" s="240"/>
      <x:c r="AY93" s="240"/>
      <x:c r="AZ93" s="240" t="str">
        <x:v>Belum Diverifikasi</x:v>
      </x:c>
      <x:c r="BA93" s="240"/>
      <x:c r="BB93" s="240"/>
      <x:c r="BC93" s="240" t="n">
        <x:v>2026</x:v>
      </x:c>
      <x:c r="BD93" s="240" t="str">
        <x:v>Usulan Musrenbang/Pokir DPRD</x:v>
      </x:c>
      <x:c r="BE93" s="240" t="n">
        <x:v>46218</x:v>
      </x:c>
      <x:c r="BF93" s="240" t="str">
        <x:v>Dinas Perkim Kota Pangkalpinang</x:v>
      </x:c>
    </x:row>
    <x:row r="94" ht="32" customHeight="1">
      <x:c r="A94" s="314" t="str">
        <x:v>RTLH-0114</x:v>
      </x:c>
      <x:c r="B94" s="315" t="str">
        <x:v>SYAMSUL BAHRI</x:v>
      </x:c>
      <x:c r="C94" s="316"/>
      <x:c r="D94" s="316"/>
      <x:c r="E94" s="315" t="str">
        <x:v>JL.KELAPA RT/RW 002/001</x:v>
      </x:c>
      <x:c r="F94" s="315" t="str">
        <x:v>PASAR PADI</x:v>
      </x:c>
      <x:c r="G94" s="315" t="str">
        <x:v>GIRIMAYA</x:v>
      </x:c>
      <x:c r="H94" s="315" t="str">
        <x:v>Belum Ditentukan</x:v>
      </x:c>
      <x:c r="I94" s="317" t="str">
        <x:v>RUMAH BENCANA KEBAKARAN, TERSISA PONDASI. DAN SEKARANG TINGGAL DIKONTRAKAN</x:v>
      </x:c>
      <x:c r="J94" s="315" t="str">
        <x:v>Belum Dapat Ditentukan</x:v>
      </x:c>
      <x:c r="K94" s="315" t="str">
        <x:v>Belum Diidentifikasi</x:v>
      </x:c>
      <x:c r="L94" s="315" t="str">
        <x:v>Belum Dinilai</x:v>
      </x:c>
      <x:c r="M94" s="367" t="str">
        <x:v>Belum Diidentifikasi</x:v>
      </x:c>
      <x:c r="N94" s="315" t="str">
        <x:v>Belum Dinilai</x:v>
      </x:c>
      <x:c r="O94" s="316" t="str">
        <x:v>Belum Diidentifikasi</x:v>
      </x:c>
      <x:c r="P94" s="349" t="str">
        <x:v>Belum Dinilai</x:v>
      </x:c>
      <x:c r="Q94" s="707" t="str">
        <x:v>Belum Dinilai</x:v>
      </x:c>
      <x:c r="R94" s="707" t="str">
        <x:v>Belum Dinilai</x:v>
      </x:c>
      <x:c r="S94" s="708" t="str">
        <x:v>Belum Dinilai</x:v>
      </x:c>
      <x:c r="T94" s="709" t="str">
        <x:v>Belum Dinilai</x:v>
      </x:c>
      <x:c r="U94" s="704" t="str">
        <x:v>Belum Dinilai</x:v>
      </x:c>
      <x:c r="V94" s="704" t="str">
        <x:v>Belum Dinilai</x:v>
      </x:c>
      <x:c r="W94" s="704" t="str"/>
      <x:c r="X94" s="704" t="str">
        <x:f>IF(COUNTIF(R94:V94,"Belum Dinilai")&gt;0,"Belum Dinilai",IF(COUNTIF(R94:V94,"Ya")=0,"Tidak ada faktor rentan",TEXTJOIN(", ",TRUE,IF(R94="Ya","Lansia",""),IF(S94="Ya","Penyandang disabilitas",""),IF(T94="Ya","Kepala keluarga perempuan",""),IF(U94="Ya","Balita",""),IF(V94="Ya","Anggota keluarga dengan ketergantungan tinggi",""))))</x:f>
        <x:v>Belum Dinilai</x:v>
      </x:c>
      <x:c r="Y94" s="704" t="str">
        <x:f>IF(COUNTIF(R94:V94,"Belum Dinilai")&gt;0,"Belum Dinilai",IF(COUNTIF(R94:V94,"Ya")=0,"Tidak Ada Faktor Rentan",IF(COUNTIF(R94:V94,"Ya")=1,"1 Faktor Rentan","2 atau Lebih Faktor Rentan")))</x:f>
        <x:v>Belum Dinilai</x:v>
      </x:c>
      <x:c r="Z94" s="704" t="str">
        <x:f>IF(OR(Q94="",Q94="Belum Dinilai"),"",IF(Q94="Terverifikasi DTKS/P3KE/MBR",10,IF(Q94="Diusulkan, Belum Terverifikasi",5,0)))</x:f>
      </x:c>
      <x:c r="AA94" s="705" t="str">
        <x:f>IF(COUNTIF(R94:V94,"Belum Dinilai")&gt;0,"",IF(COUNTIF(R94:V94,"Ya")=0,0,IF(COUNTIF(R94:V94,"Ya")=1,5,10)))</x:f>
      </x:c>
      <x:c r="AB94" s="706" t="str">
        <x:f>IF(OR(Z94="",AA94=""),"",Z94+AA94)</x:f>
      </x:c>
      <x:c r="AC94" s="713" t="str">
        <x:v>Belum Dinilai</x:v>
      </x:c>
      <x:c r="AD94" s="713" t="str">
        <x:v>Belum Dinilai</x:v>
      </x:c>
      <x:c r="AE94" s="714" t="str">
        <x:v>Belum Dinilai</x:v>
      </x:c>
      <x:c r="AF94" s="713" t="str">
        <x:v>Belum Dinilai</x:v>
      </x:c>
      <x:c r="AG94" s="713" t="str">
        <x:v>Belum Dinilai</x:v>
      </x:c>
      <x:c r="AH94" s="715" t="str">
        <x:v>Belum Dinilai</x:v>
      </x:c>
      <x:c r="AI94" s="714" t="str">
        <x:v>Belum Dinilai</x:v>
      </x:c>
      <x:c r="AJ94" s="713" t="str">
        <x:v>Belum Dinilai</x:v>
      </x:c>
      <x:c r="AK94" s="715" t="str">
        <x:v>Belum Dinilai</x:v>
      </x:c>
      <x:c r="AL94" s="713" t="str"/>
      <x:c r="AM94" s="716" t="str">
        <x:v>Belum Dinilai</x:v>
      </x:c>
      <x:c r="AN94" s="716" t="str">
        <x:f>IF(AND(COUNTIF(AC94:AK94,"Ya")=0,AL94=""),IF(COUNTIF(AC94:AK94,"Belum Dinilai")&gt;0,"Belum Dinilai","Tidak ada risiko khusus"),TEXTJOIN(", ",TRUE,IF(AC94="Ya","Bangunan berpotensi roboh",""),IF(AD94="Ya","Bekas kebakaran dan tidak aman dihuni",""),IF(AE94="Ya","Atap atau dinding utama hampir runtuh",""),IF(AF94="Ya","Genangan yang membahayakan",""),IF(AG94="Ya","Struktur rumah tidak stabil",""),IF(AH94="Ya","Instalasi listrik berbahaya",""),IF(AI94="Ya","Komponen bangunan lepas atau lapuk",""),IF(AJ94="Ya","Akses keluar atau evakuasi terbatas",""),IF(AK94="Ya","Lokasi rawan bencana",""),IF(AL94&lt;&gt;"","Lainnya: "&amp;AL94,"")))</x:f>
        <x:v>Belum Dinilai</x:v>
      </x:c>
      <x:c r="AO94" s="716" t="str">
        <x:f>IF(AR94="","Belum Dinilai",IF(AR94=10,"Risiko Tinggi/Darurat",IF(AR94=5,"Risiko Sedang","Tidak Ada Risiko Khusus")))</x:f>
        <x:v>Belum Dinilai</x:v>
      </x:c>
      <x:c r="AP94" s="716" t="str"/>
      <x:c r="AQ94" s="719" t="str">
        <x:f>IF(OR(J94="",J94="Belum Dapat Ditentukan",L94="",L94="Belum Dinilai",N94="",N94="Belum Dinilai",P94="",P94="Belum Dinilai"),"",IF(J94="Permanen",0,IF(J94="Semipermanen",8,IF(J94="Nonpermanen",15,0)))+IF(L94="Baik",0,IF(L94="Rusak Ringan",5,IF(L94="Rusak Sedang",10,IF(L94="Rusak Berat",15,IF(L94="Tidak Ada/Terbuka",20,0)))))+IF(N94="Baik",0,IF(N94="Rusak Ringan",5,IF(N94="Rusak Sedang",10,IF(N94="Rusak Berat",15,IF(N94="Tidak Ada/Terbuka",20,0)))))+IF(P94="Baik",0,IF(P94="Rusak Ringan",4,IF(P94="Rusak Sedang",8,IF(P94="Rusak Berat",12,IF(P94="Tidak Layak",15,0))))))</x:f>
      </x:c>
      <x:c r="AR94" s="719" t="str">
        <x:f>IF(COUNTIF(AC94:AH94,"Ya")&gt;0,10,IF(COUNTIF(AI94:AK94,"Ya")&gt;=2,10,IF(COUNTIF(AI94:AK94,"Ya")=1,MAX(5,IF(AM94="Risiko Tinggi/Darurat",10,IF(AM94="Risiko Sedang",5,0))),IF(AL94&lt;&gt;"",IF(AM94="Risiko Tinggi/Darurat",10,IF(AM94="Risiko Sedang",5,"")),IF(COUNTIF(AC94:AK94,"Belum Dinilai")&gt;0,"",0)))))</x:f>
      </x:c>
      <x:c r="AS94" s="719" t="str">
        <x:f>IF(OR(AQ94="",AB94="",AR94=""),"",AQ94+AB94+AR94)</x:f>
      </x:c>
      <x:c r="AT94" s="719" t="str">
        <x:f>IF(AS94="","Belum Dapat Ditentukan",IF(AS94&gt;=80,"Sangat Tinggi",IF(OR(AO94="Risiko Tinggi/Darurat",(IF(L94="Rusak Berat",1,0)+IF(L94="Tidak Ada/Terbuka",1,0)+IF(N94="Rusak Berat",1,0)+IF(N94="Tidak Ada/Terbuka",1,0)+IF(P94="Rusak Berat",1,0)+IF(P94="Tidak Layak",1,0))&gt;=2),"Tinggi",IF(AS94&gt;=65,"Tinggi",IF(AS94&gt;=50,"Sedang","Rendah")))))</x:f>
        <x:v>Belum Dapat Ditentukan</x:v>
      </x:c>
      <x:c r="AU94" s="240" t="str">
        <x:v>Lengkap</x:v>
      </x:c>
      <x:c r="AV94" s="240" t="str">
        <x:v>Sudah Diverifikasi</x:v>
      </x:c>
      <x:c r="AW94" s="240" t="str">
        <x:v>Belum Ditangani</x:v>
      </x:c>
      <x:c r="AX94" s="240"/>
      <x:c r="AY94" s="240"/>
      <x:c r="AZ94" s="240" t="str">
        <x:v>Sewa/Kontrak</x:v>
      </x:c>
      <x:c r="BA94" s="240"/>
      <x:c r="BB94" s="240"/>
      <x:c r="BC94" s="240" t="n">
        <x:v>2026</x:v>
      </x:c>
      <x:c r="BD94" s="240" t="str">
        <x:v>Usulan Musrenbang/Pokir DPRD</x:v>
      </x:c>
      <x:c r="BE94" s="240" t="n">
        <x:v>46218</x:v>
      </x:c>
      <x:c r="BF94" s="240" t="str">
        <x:v>Dinas Perkim Kota Pangkalpinang</x:v>
      </x:c>
    </x:row>
    <x:row r="95" ht="32" customHeight="1">
      <x:c r="A95" s="314" t="str">
        <x:v>RTLH-0115</x:v>
      </x:c>
      <x:c r="B95" s="315" t="str">
        <x:v>ASLAMIAH</x:v>
      </x:c>
      <x:c r="C95" s="316"/>
      <x:c r="D95" s="316"/>
      <x:c r="E95" s="315" t="str">
        <x:v>JL.KELAPA RT/RW 002/001</x:v>
      </x:c>
      <x:c r="F95" s="315" t="str">
        <x:v>PASAR PADI</x:v>
      </x:c>
      <x:c r="G95" s="315" t="str">
        <x:v>GIRIMAYA</x:v>
      </x:c>
      <x:c r="H95" s="315" t="str">
        <x:v>Belum Ditentukan</x:v>
      </x:c>
      <x:c r="I95" s="317" t="str">
        <x:v>RUMAH BENCANA KEBAKARAN, TERSISA PONDASI. DAN SEKARANG TINGGAL DIKAMPUNG</x:v>
      </x:c>
      <x:c r="J95" s="315" t="str">
        <x:v>Belum Dapat Ditentukan</x:v>
      </x:c>
      <x:c r="K95" s="315" t="str">
        <x:v>Belum Diidentifikasi</x:v>
      </x:c>
      <x:c r="L95" s="315" t="str">
        <x:v>Belum Dinilai</x:v>
      </x:c>
      <x:c r="M95" s="367" t="str">
        <x:v>Belum Diidentifikasi</x:v>
      </x:c>
      <x:c r="N95" s="315" t="str">
        <x:v>Belum Dinilai</x:v>
      </x:c>
      <x:c r="O95" s="316" t="str">
        <x:v>Belum Diidentifikasi</x:v>
      </x:c>
      <x:c r="P95" s="349" t="str">
        <x:v>Belum Dinilai</x:v>
      </x:c>
      <x:c r="Q95" s="707" t="str">
        <x:v>Belum Dinilai</x:v>
      </x:c>
      <x:c r="R95" s="707" t="str">
        <x:v>Belum Dinilai</x:v>
      </x:c>
      <x:c r="S95" s="708" t="str">
        <x:v>Belum Dinilai</x:v>
      </x:c>
      <x:c r="T95" s="709" t="str">
        <x:v>Belum Dinilai</x:v>
      </x:c>
      <x:c r="U95" s="704" t="str">
        <x:v>Belum Dinilai</x:v>
      </x:c>
      <x:c r="V95" s="704" t="str">
        <x:v>Belum Dinilai</x:v>
      </x:c>
      <x:c r="W95" s="704" t="str"/>
      <x:c r="X95" s="704" t="str">
        <x:f>IF(COUNTIF(R95:V95,"Belum Dinilai")&gt;0,"Belum Dinilai",IF(COUNTIF(R95:V95,"Ya")=0,"Tidak ada faktor rentan",TEXTJOIN(", ",TRUE,IF(R95="Ya","Lansia",""),IF(S95="Ya","Penyandang disabilitas",""),IF(T95="Ya","Kepala keluarga perempuan",""),IF(U95="Ya","Balita",""),IF(V95="Ya","Anggota keluarga dengan ketergantungan tinggi",""))))</x:f>
        <x:v>Belum Dinilai</x:v>
      </x:c>
      <x:c r="Y95" s="704" t="str">
        <x:f>IF(COUNTIF(R95:V95,"Belum Dinilai")&gt;0,"Belum Dinilai",IF(COUNTIF(R95:V95,"Ya")=0,"Tidak Ada Faktor Rentan",IF(COUNTIF(R95:V95,"Ya")=1,"1 Faktor Rentan","2 atau Lebih Faktor Rentan")))</x:f>
        <x:v>Belum Dinilai</x:v>
      </x:c>
      <x:c r="Z95" s="704" t="str">
        <x:f>IF(OR(Q95="",Q95="Belum Dinilai"),"",IF(Q95="Terverifikasi DTKS/P3KE/MBR",10,IF(Q95="Diusulkan, Belum Terverifikasi",5,0)))</x:f>
      </x:c>
      <x:c r="AA95" s="705" t="str">
        <x:f>IF(COUNTIF(R95:V95,"Belum Dinilai")&gt;0,"",IF(COUNTIF(R95:V95,"Ya")=0,0,IF(COUNTIF(R95:V95,"Ya")=1,5,10)))</x:f>
      </x:c>
      <x:c r="AB95" s="706" t="str">
        <x:f>IF(OR(Z95="",AA95=""),"",Z95+AA95)</x:f>
      </x:c>
      <x:c r="AC95" s="713" t="str">
        <x:v>Belum Dinilai</x:v>
      </x:c>
      <x:c r="AD95" s="713" t="str">
        <x:v>Belum Dinilai</x:v>
      </x:c>
      <x:c r="AE95" s="714" t="str">
        <x:v>Belum Dinilai</x:v>
      </x:c>
      <x:c r="AF95" s="713" t="str">
        <x:v>Belum Dinilai</x:v>
      </x:c>
      <x:c r="AG95" s="713" t="str">
        <x:v>Belum Dinilai</x:v>
      </x:c>
      <x:c r="AH95" s="715" t="str">
        <x:v>Belum Dinilai</x:v>
      </x:c>
      <x:c r="AI95" s="714" t="str">
        <x:v>Belum Dinilai</x:v>
      </x:c>
      <x:c r="AJ95" s="713" t="str">
        <x:v>Belum Dinilai</x:v>
      </x:c>
      <x:c r="AK95" s="715" t="str">
        <x:v>Belum Dinilai</x:v>
      </x:c>
      <x:c r="AL95" s="713" t="str"/>
      <x:c r="AM95" s="716" t="str">
        <x:v>Belum Dinilai</x:v>
      </x:c>
      <x:c r="AN95" s="716" t="str">
        <x:f>IF(AND(COUNTIF(AC95:AK95,"Ya")=0,AL95=""),IF(COUNTIF(AC95:AK95,"Belum Dinilai")&gt;0,"Belum Dinilai","Tidak ada risiko khusus"),TEXTJOIN(", ",TRUE,IF(AC95="Ya","Bangunan berpotensi roboh",""),IF(AD95="Ya","Bekas kebakaran dan tidak aman dihuni",""),IF(AE95="Ya","Atap atau dinding utama hampir runtuh",""),IF(AF95="Ya","Genangan yang membahayakan",""),IF(AG95="Ya","Struktur rumah tidak stabil",""),IF(AH95="Ya","Instalasi listrik berbahaya",""),IF(AI95="Ya","Komponen bangunan lepas atau lapuk",""),IF(AJ95="Ya","Akses keluar atau evakuasi terbatas",""),IF(AK95="Ya","Lokasi rawan bencana",""),IF(AL95&lt;&gt;"","Lainnya: "&amp;AL95,"")))</x:f>
        <x:v>Belum Dinilai</x:v>
      </x:c>
      <x:c r="AO95" s="716" t="str">
        <x:f>IF(AR95="","Belum Dinilai",IF(AR95=10,"Risiko Tinggi/Darurat",IF(AR95=5,"Risiko Sedang","Tidak Ada Risiko Khusus")))</x:f>
        <x:v>Belum Dinilai</x:v>
      </x:c>
      <x:c r="AP95" s="716" t="str"/>
      <x:c r="AQ95" s="719" t="str">
        <x:f>IF(OR(J95="",J95="Belum Dapat Ditentukan",L95="",L95="Belum Dinilai",N95="",N95="Belum Dinilai",P95="",P95="Belum Dinilai"),"",IF(J95="Permanen",0,IF(J95="Semipermanen",8,IF(J95="Nonpermanen",15,0)))+IF(L95="Baik",0,IF(L95="Rusak Ringan",5,IF(L95="Rusak Sedang",10,IF(L95="Rusak Berat",15,IF(L95="Tidak Ada/Terbuka",20,0)))))+IF(N95="Baik",0,IF(N95="Rusak Ringan",5,IF(N95="Rusak Sedang",10,IF(N95="Rusak Berat",15,IF(N95="Tidak Ada/Terbuka",20,0)))))+IF(P95="Baik",0,IF(P95="Rusak Ringan",4,IF(P95="Rusak Sedang",8,IF(P95="Rusak Berat",12,IF(P95="Tidak Layak",15,0))))))</x:f>
      </x:c>
      <x:c r="AR95" s="719" t="str">
        <x:f>IF(COUNTIF(AC95:AH95,"Ya")&gt;0,10,IF(COUNTIF(AI95:AK95,"Ya")&gt;=2,10,IF(COUNTIF(AI95:AK95,"Ya")=1,MAX(5,IF(AM95="Risiko Tinggi/Darurat",10,IF(AM95="Risiko Sedang",5,0))),IF(AL95&lt;&gt;"",IF(AM95="Risiko Tinggi/Darurat",10,IF(AM95="Risiko Sedang",5,"")),IF(COUNTIF(AC95:AK95,"Belum Dinilai")&gt;0,"",0)))))</x:f>
      </x:c>
      <x:c r="AS95" s="719" t="str">
        <x:f>IF(OR(AQ95="",AB95="",AR95=""),"",AQ95+AB95+AR95)</x:f>
      </x:c>
      <x:c r="AT95" s="719" t="str">
        <x:f>IF(AS95="","Belum Dapat Ditentukan",IF(AS95&gt;=80,"Sangat Tinggi",IF(OR(AO95="Risiko Tinggi/Darurat",(IF(L95="Rusak Berat",1,0)+IF(L95="Tidak Ada/Terbuka",1,0)+IF(N95="Rusak Berat",1,0)+IF(N95="Tidak Ada/Terbuka",1,0)+IF(P95="Rusak Berat",1,0)+IF(P95="Tidak Layak",1,0))&gt;=2),"Tinggi",IF(AS95&gt;=65,"Tinggi",IF(AS95&gt;=50,"Sedang","Rendah")))))</x:f>
        <x:v>Belum Dapat Ditentukan</x:v>
      </x:c>
      <x:c r="AU95" s="240" t="str">
        <x:v>Lengkap</x:v>
      </x:c>
      <x:c r="AV95" s="240" t="str">
        <x:v>Sudah Diverifikasi</x:v>
      </x:c>
      <x:c r="AW95" s="240" t="str">
        <x:v>Belum Ditangani</x:v>
      </x:c>
      <x:c r="AX95" s="240"/>
      <x:c r="AY95" s="240"/>
      <x:c r="AZ95" s="240" t="str">
        <x:v>Belum Diverifikasi</x:v>
      </x:c>
      <x:c r="BA95" s="240"/>
      <x:c r="BB95" s="240"/>
      <x:c r="BC95" s="240" t="n">
        <x:v>2026</x:v>
      </x:c>
      <x:c r="BD95" s="240" t="str">
        <x:v>Usulan Musrenbang/Pokir DPRD</x:v>
      </x:c>
      <x:c r="BE95" s="240" t="n">
        <x:v>46218</x:v>
      </x:c>
      <x:c r="BF95" s="240" t="str">
        <x:v>Dinas Perkim Kota Pangkalpinang</x:v>
      </x:c>
    </x:row>
    <x:row r="96" ht="32" customHeight="1">
      <x:c r="A96" s="314" t="str">
        <x:v>RTLH-0116</x:v>
      </x:c>
      <x:c r="B96" s="315" t="str">
        <x:v>LAIN CUN MOY</x:v>
      </x:c>
      <x:c r="C96" s="316"/>
      <x:c r="D96" s="316"/>
      <x:c r="E96" s="315" t="str">
        <x:v>Belum tersedia</x:v>
      </x:c>
      <x:c r="F96" s="315" t="str">
        <x:v>PASIR PUTIH</x:v>
      </x:c>
      <x:c r="G96" s="315" t="str">
        <x:v>BUKIT INTAN</x:v>
      </x:c>
      <x:c r="H96" s="315" t="str">
        <x:v>Belum Ditentukan</x:v>
      </x:c>
      <x:c r="I96" s="317" t="str">
        <x:v>BELUM PRIORITAS, LOKASI RUMAH DI PINGGIR DAS</x:v>
      </x:c>
      <x:c r="J96" s="315" t="str">
        <x:v>Belum Dapat Ditentukan</x:v>
      </x:c>
      <x:c r="K96" s="315" t="str">
        <x:v>Belum Diidentifikasi</x:v>
      </x:c>
      <x:c r="L96" s="315" t="str">
        <x:v>Belum Dinilai</x:v>
      </x:c>
      <x:c r="M96" s="367" t="str">
        <x:v>Belum Diidentifikasi</x:v>
      </x:c>
      <x:c r="N96" s="315" t="str">
        <x:v>Belum Dinilai</x:v>
      </x:c>
      <x:c r="O96" s="316" t="str">
        <x:v>Belum Diidentifikasi</x:v>
      </x:c>
      <x:c r="P96" s="349" t="str">
        <x:v>Belum Dinilai</x:v>
      </x:c>
      <x:c r="Q96" s="707" t="str">
        <x:v>Belum Dinilai</x:v>
      </x:c>
      <x:c r="R96" s="707" t="str">
        <x:v>Belum Dinilai</x:v>
      </x:c>
      <x:c r="S96" s="708" t="str">
        <x:v>Belum Dinilai</x:v>
      </x:c>
      <x:c r="T96" s="709" t="str">
        <x:v>Belum Dinilai</x:v>
      </x:c>
      <x:c r="U96" s="704" t="str">
        <x:v>Belum Dinilai</x:v>
      </x:c>
      <x:c r="V96" s="704" t="str">
        <x:v>Belum Dinilai</x:v>
      </x:c>
      <x:c r="W96" s="704" t="str"/>
      <x:c r="X96" s="704" t="str">
        <x:f>IF(COUNTIF(R96:V96,"Belum Dinilai")&gt;0,"Belum Dinilai",IF(COUNTIF(R96:V96,"Ya")=0,"Tidak ada faktor rentan",TEXTJOIN(", ",TRUE,IF(R96="Ya","Lansia",""),IF(S96="Ya","Penyandang disabilitas",""),IF(T96="Ya","Kepala keluarga perempuan",""),IF(U96="Ya","Balita",""),IF(V96="Ya","Anggota keluarga dengan ketergantungan tinggi",""))))</x:f>
        <x:v>Belum Dinilai</x:v>
      </x:c>
      <x:c r="Y96" s="704" t="str">
        <x:f>IF(COUNTIF(R96:V96,"Belum Dinilai")&gt;0,"Belum Dinilai",IF(COUNTIF(R96:V96,"Ya")=0,"Tidak Ada Faktor Rentan",IF(COUNTIF(R96:V96,"Ya")=1,"1 Faktor Rentan","2 atau Lebih Faktor Rentan")))</x:f>
        <x:v>Belum Dinilai</x:v>
      </x:c>
      <x:c r="Z96" s="704" t="str">
        <x:f>IF(OR(Q96="",Q96="Belum Dinilai"),"",IF(Q96="Terverifikasi DTKS/P3KE/MBR",10,IF(Q96="Diusulkan, Belum Terverifikasi",5,0)))</x:f>
      </x:c>
      <x:c r="AA96" s="705" t="str">
        <x:f>IF(COUNTIF(R96:V96,"Belum Dinilai")&gt;0,"",IF(COUNTIF(R96:V96,"Ya")=0,0,IF(COUNTIF(R96:V96,"Ya")=1,5,10)))</x:f>
      </x:c>
      <x:c r="AB96" s="706" t="str">
        <x:f>IF(OR(Z96="",AA96=""),"",Z96+AA96)</x:f>
      </x:c>
      <x:c r="AC96" s="713" t="str">
        <x:v>Belum Dinilai</x:v>
      </x:c>
      <x:c r="AD96" s="713" t="str">
        <x:v>Belum Dinilai</x:v>
      </x:c>
      <x:c r="AE96" s="714" t="str">
        <x:v>Belum Dinilai</x:v>
      </x:c>
      <x:c r="AF96" s="713" t="str">
        <x:v>Belum Dinilai</x:v>
      </x:c>
      <x:c r="AG96" s="713" t="str">
        <x:v>Belum Dinilai</x:v>
      </x:c>
      <x:c r="AH96" s="715" t="str">
        <x:v>Belum Dinilai</x:v>
      </x:c>
      <x:c r="AI96" s="714" t="str">
        <x:v>Belum Dinilai</x:v>
      </x:c>
      <x:c r="AJ96" s="713" t="str">
        <x:v>Belum Dinilai</x:v>
      </x:c>
      <x:c r="AK96" s="715" t="str">
        <x:v>Belum Dinilai</x:v>
      </x:c>
      <x:c r="AL96" s="713" t="str"/>
      <x:c r="AM96" s="716" t="str">
        <x:v>Belum Dinilai</x:v>
      </x:c>
      <x:c r="AN96" s="716" t="str">
        <x:f>IF(AND(COUNTIF(AC96:AK96,"Ya")=0,AL96=""),IF(COUNTIF(AC96:AK96,"Belum Dinilai")&gt;0,"Belum Dinilai","Tidak ada risiko khusus"),TEXTJOIN(", ",TRUE,IF(AC96="Ya","Bangunan berpotensi roboh",""),IF(AD96="Ya","Bekas kebakaran dan tidak aman dihuni",""),IF(AE96="Ya","Atap atau dinding utama hampir runtuh",""),IF(AF96="Ya","Genangan yang membahayakan",""),IF(AG96="Ya","Struktur rumah tidak stabil",""),IF(AH96="Ya","Instalasi listrik berbahaya",""),IF(AI96="Ya","Komponen bangunan lepas atau lapuk",""),IF(AJ96="Ya","Akses keluar atau evakuasi terbatas",""),IF(AK96="Ya","Lokasi rawan bencana",""),IF(AL96&lt;&gt;"","Lainnya: "&amp;AL96,"")))</x:f>
        <x:v>Belum Dinilai</x:v>
      </x:c>
      <x:c r="AO96" s="716" t="str">
        <x:f>IF(AR96="","Belum Dinilai",IF(AR96=10,"Risiko Tinggi/Darurat",IF(AR96=5,"Risiko Sedang","Tidak Ada Risiko Khusus")))</x:f>
        <x:v>Belum Dinilai</x:v>
      </x:c>
      <x:c r="AP96" s="716" t="str"/>
      <x:c r="AQ96" s="719" t="str">
        <x:f>IF(OR(J96="",J96="Belum Dapat Ditentukan",L96="",L96="Belum Dinilai",N96="",N96="Belum Dinilai",P96="",P96="Belum Dinilai"),"",IF(J96="Permanen",0,IF(J96="Semipermanen",8,IF(J96="Nonpermanen",15,0)))+IF(L96="Baik",0,IF(L96="Rusak Ringan",5,IF(L96="Rusak Sedang",10,IF(L96="Rusak Berat",15,IF(L96="Tidak Ada/Terbuka",20,0)))))+IF(N96="Baik",0,IF(N96="Rusak Ringan",5,IF(N96="Rusak Sedang",10,IF(N96="Rusak Berat",15,IF(N96="Tidak Ada/Terbuka",20,0)))))+IF(P96="Baik",0,IF(P96="Rusak Ringan",4,IF(P96="Rusak Sedang",8,IF(P96="Rusak Berat",12,IF(P96="Tidak Layak",15,0))))))</x:f>
      </x:c>
      <x:c r="AR96" s="719" t="str">
        <x:f>IF(COUNTIF(AC96:AH96,"Ya")&gt;0,10,IF(COUNTIF(AI96:AK96,"Ya")&gt;=2,10,IF(COUNTIF(AI96:AK96,"Ya")=1,MAX(5,IF(AM96="Risiko Tinggi/Darurat",10,IF(AM96="Risiko Sedang",5,0))),IF(AL96&lt;&gt;"",IF(AM96="Risiko Tinggi/Darurat",10,IF(AM96="Risiko Sedang",5,"")),IF(COUNTIF(AC96:AK96,"Belum Dinilai")&gt;0,"",0)))))</x:f>
      </x:c>
      <x:c r="AS96" s="719" t="str">
        <x:f>IF(OR(AQ96="",AB96="",AR96=""),"",AQ96+AB96+AR96)</x:f>
      </x:c>
      <x:c r="AT96" s="719" t="str">
        <x:f>IF(AS96="","Belum Dapat Ditentukan",IF(AS96&gt;=80,"Sangat Tinggi",IF(OR(AO96="Risiko Tinggi/Darurat",(IF(L96="Rusak Berat",1,0)+IF(L96="Tidak Ada/Terbuka",1,0)+IF(N96="Rusak Berat",1,0)+IF(N96="Tidak Ada/Terbuka",1,0)+IF(P96="Rusak Berat",1,0)+IF(P96="Tidak Layak",1,0))&gt;=2),"Tinggi",IF(AS96&gt;=65,"Tinggi",IF(AS96&gt;=50,"Sedang","Rendah")))))</x:f>
        <x:v>Belum Dapat Ditentukan</x:v>
      </x:c>
      <x:c r="AU96" s="240" t="str">
        <x:v>Lengkap</x:v>
      </x:c>
      <x:c r="AV96" s="240" t="str">
        <x:v>Sudah Diverifikasi</x:v>
      </x:c>
      <x:c r="AW96" s="240" t="str">
        <x:v>Belum Ditangani</x:v>
      </x:c>
      <x:c r="AX96" s="240"/>
      <x:c r="AY96" s="240"/>
      <x:c r="AZ96" s="240" t="str">
        <x:v>Belum Diverifikasi</x:v>
      </x:c>
      <x:c r="BA96" s="240"/>
      <x:c r="BB96" s="240"/>
      <x:c r="BC96" s="240" t="n">
        <x:v>2026</x:v>
      </x:c>
      <x:c r="BD96" s="240" t="str">
        <x:v>Usulan Musrenbang/Pokir DPRD</x:v>
      </x:c>
      <x:c r="BE96" s="240" t="n">
        <x:v>46218</x:v>
      </x:c>
      <x:c r="BF96" s="240" t="str">
        <x:v>Dinas Perkim Kota Pangkalpinang</x:v>
      </x:c>
    </x:row>
    <x:row r="97" ht="32" customHeight="1">
      <x:c r="A97" s="314" t="str">
        <x:v>RTLH-0117</x:v>
      </x:c>
      <x:c r="B97" s="315" t="str">
        <x:v>SILAWATI</x:v>
      </x:c>
      <x:c r="C97" s="316"/>
      <x:c r="D97" s="316"/>
      <x:c r="E97" s="315" t="str">
        <x:v>JL.VETERAN RT/RW 003/001</x:v>
      </x:c>
      <x:c r="F97" s="315" t="str">
        <x:v>PARITLALANG</x:v>
      </x:c>
      <x:c r="G97" s="315" t="str">
        <x:v>RANGKUI</x:v>
      </x:c>
      <x:c r="H97" s="315" t="str">
        <x:v>Belum Ditentukan</x:v>
      </x:c>
      <x:c r="I97" s="317" t="str">
        <x:v>RUMAH ROBOH KURANG LEBIH 1TAHUN, SEKARANG TINGGAL DI KONTRAKAN</x:v>
      </x:c>
      <x:c r="J97" s="315" t="str">
        <x:v>Belum Dapat Ditentukan</x:v>
      </x:c>
      <x:c r="K97" s="315" t="str">
        <x:v>Belum Diidentifikasi</x:v>
      </x:c>
      <x:c r="L97" s="315" t="str">
        <x:v>Belum Dinilai</x:v>
      </x:c>
      <x:c r="M97" s="367" t="str">
        <x:v>Belum Diidentifikasi</x:v>
      </x:c>
      <x:c r="N97" s="315" t="str">
        <x:v>Belum Dinilai</x:v>
      </x:c>
      <x:c r="O97" s="316" t="str">
        <x:v>Belum Diidentifikasi</x:v>
      </x:c>
      <x:c r="P97" s="349" t="str">
        <x:v>Belum Dinilai</x:v>
      </x:c>
      <x:c r="Q97" s="707" t="str">
        <x:v>Belum Dinilai</x:v>
      </x:c>
      <x:c r="R97" s="707" t="str">
        <x:v>Belum Dinilai</x:v>
      </x:c>
      <x:c r="S97" s="708" t="str">
        <x:v>Belum Dinilai</x:v>
      </x:c>
      <x:c r="T97" s="709" t="str">
        <x:v>Belum Dinilai</x:v>
      </x:c>
      <x:c r="U97" s="704" t="str">
        <x:v>Belum Dinilai</x:v>
      </x:c>
      <x:c r="V97" s="704" t="str">
        <x:v>Belum Dinilai</x:v>
      </x:c>
      <x:c r="W97" s="704" t="str"/>
      <x:c r="X97" s="704" t="str">
        <x:f>IF(COUNTIF(R97:V97,"Belum Dinilai")&gt;0,"Belum Dinilai",IF(COUNTIF(R97:V97,"Ya")=0,"Tidak ada faktor rentan",TEXTJOIN(", ",TRUE,IF(R97="Ya","Lansia",""),IF(S97="Ya","Penyandang disabilitas",""),IF(T97="Ya","Kepala keluarga perempuan",""),IF(U97="Ya","Balita",""),IF(V97="Ya","Anggota keluarga dengan ketergantungan tinggi",""))))</x:f>
        <x:v>Belum Dinilai</x:v>
      </x:c>
      <x:c r="Y97" s="704" t="str">
        <x:f>IF(COUNTIF(R97:V97,"Belum Dinilai")&gt;0,"Belum Dinilai",IF(COUNTIF(R97:V97,"Ya")=0,"Tidak Ada Faktor Rentan",IF(COUNTIF(R97:V97,"Ya")=1,"1 Faktor Rentan","2 atau Lebih Faktor Rentan")))</x:f>
        <x:v>Belum Dinilai</x:v>
      </x:c>
      <x:c r="Z97" s="704" t="str">
        <x:f>IF(OR(Q97="",Q97="Belum Dinilai"),"",IF(Q97="Terverifikasi DTKS/P3KE/MBR",10,IF(Q97="Diusulkan, Belum Terverifikasi",5,0)))</x:f>
      </x:c>
      <x:c r="AA97" s="705" t="str">
        <x:f>IF(COUNTIF(R97:V97,"Belum Dinilai")&gt;0,"",IF(COUNTIF(R97:V97,"Ya")=0,0,IF(COUNTIF(R97:V97,"Ya")=1,5,10)))</x:f>
      </x:c>
      <x:c r="AB97" s="706" t="str">
        <x:f>IF(OR(Z97="",AA97=""),"",Z97+AA97)</x:f>
      </x:c>
      <x:c r="AC97" s="713" t="str">
        <x:v>Belum Dinilai</x:v>
      </x:c>
      <x:c r="AD97" s="713" t="str">
        <x:v>Belum Dinilai</x:v>
      </x:c>
      <x:c r="AE97" s="714" t="str">
        <x:v>Belum Dinilai</x:v>
      </x:c>
      <x:c r="AF97" s="713" t="str">
        <x:v>Belum Dinilai</x:v>
      </x:c>
      <x:c r="AG97" s="713" t="str">
        <x:v>Belum Dinilai</x:v>
      </x:c>
      <x:c r="AH97" s="715" t="str">
        <x:v>Belum Dinilai</x:v>
      </x:c>
      <x:c r="AI97" s="714" t="str">
        <x:v>Belum Dinilai</x:v>
      </x:c>
      <x:c r="AJ97" s="713" t="str">
        <x:v>Belum Dinilai</x:v>
      </x:c>
      <x:c r="AK97" s="715" t="str">
        <x:v>Belum Dinilai</x:v>
      </x:c>
      <x:c r="AL97" s="713" t="str"/>
      <x:c r="AM97" s="716" t="str">
        <x:v>Belum Dinilai</x:v>
      </x:c>
      <x:c r="AN97" s="716" t="str">
        <x:f>IF(AND(COUNTIF(AC97:AK97,"Ya")=0,AL97=""),IF(COUNTIF(AC97:AK97,"Belum Dinilai")&gt;0,"Belum Dinilai","Tidak ada risiko khusus"),TEXTJOIN(", ",TRUE,IF(AC97="Ya","Bangunan berpotensi roboh",""),IF(AD97="Ya","Bekas kebakaran dan tidak aman dihuni",""),IF(AE97="Ya","Atap atau dinding utama hampir runtuh",""),IF(AF97="Ya","Genangan yang membahayakan",""),IF(AG97="Ya","Struktur rumah tidak stabil",""),IF(AH97="Ya","Instalasi listrik berbahaya",""),IF(AI97="Ya","Komponen bangunan lepas atau lapuk",""),IF(AJ97="Ya","Akses keluar atau evakuasi terbatas",""),IF(AK97="Ya","Lokasi rawan bencana",""),IF(AL97&lt;&gt;"","Lainnya: "&amp;AL97,"")))</x:f>
        <x:v>Belum Dinilai</x:v>
      </x:c>
      <x:c r="AO97" s="716" t="str">
        <x:f>IF(AR97="","Belum Dinilai",IF(AR97=10,"Risiko Tinggi/Darurat",IF(AR97=5,"Risiko Sedang","Tidak Ada Risiko Khusus")))</x:f>
        <x:v>Belum Dinilai</x:v>
      </x:c>
      <x:c r="AP97" s="716" t="str"/>
      <x:c r="AQ97" s="719" t="str">
        <x:f>IF(OR(J97="",J97="Belum Dapat Ditentukan",L97="",L97="Belum Dinilai",N97="",N97="Belum Dinilai",P97="",P97="Belum Dinilai"),"",IF(J97="Permanen",0,IF(J97="Semipermanen",8,IF(J97="Nonpermanen",15,0)))+IF(L97="Baik",0,IF(L97="Rusak Ringan",5,IF(L97="Rusak Sedang",10,IF(L97="Rusak Berat",15,IF(L97="Tidak Ada/Terbuka",20,0)))))+IF(N97="Baik",0,IF(N97="Rusak Ringan",5,IF(N97="Rusak Sedang",10,IF(N97="Rusak Berat",15,IF(N97="Tidak Ada/Terbuka",20,0)))))+IF(P97="Baik",0,IF(P97="Rusak Ringan",4,IF(P97="Rusak Sedang",8,IF(P97="Rusak Berat",12,IF(P97="Tidak Layak",15,0))))))</x:f>
      </x:c>
      <x:c r="AR97" s="719" t="str">
        <x:f>IF(COUNTIF(AC97:AH97,"Ya")&gt;0,10,IF(COUNTIF(AI97:AK97,"Ya")&gt;=2,10,IF(COUNTIF(AI97:AK97,"Ya")=1,MAX(5,IF(AM97="Risiko Tinggi/Darurat",10,IF(AM97="Risiko Sedang",5,0))),IF(AL97&lt;&gt;"",IF(AM97="Risiko Tinggi/Darurat",10,IF(AM97="Risiko Sedang",5,"")),IF(COUNTIF(AC97:AK97,"Belum Dinilai")&gt;0,"",0)))))</x:f>
      </x:c>
      <x:c r="AS97" s="719" t="str">
        <x:f>IF(OR(AQ97="",AB97="",AR97=""),"",AQ97+AB97+AR97)</x:f>
      </x:c>
      <x:c r="AT97" s="719" t="str">
        <x:f>IF(AS97="","Belum Dapat Ditentukan",IF(AS97&gt;=80,"Sangat Tinggi",IF(OR(AO97="Risiko Tinggi/Darurat",(IF(L97="Rusak Berat",1,0)+IF(L97="Tidak Ada/Terbuka",1,0)+IF(N97="Rusak Berat",1,0)+IF(N97="Tidak Ada/Terbuka",1,0)+IF(P97="Rusak Berat",1,0)+IF(P97="Tidak Layak",1,0))&gt;=2),"Tinggi",IF(AS97&gt;=65,"Tinggi",IF(AS97&gt;=50,"Sedang","Rendah")))))</x:f>
        <x:v>Belum Dapat Ditentukan</x:v>
      </x:c>
      <x:c r="AU97" s="240" t="str">
        <x:v>Lengkap</x:v>
      </x:c>
      <x:c r="AV97" s="240" t="str">
        <x:v>Sudah Diverifikasi</x:v>
      </x:c>
      <x:c r="AW97" s="240" t="str">
        <x:v>Belum Ditangani</x:v>
      </x:c>
      <x:c r="AX97" s="240"/>
      <x:c r="AY97" s="240"/>
      <x:c r="AZ97" s="240" t="str">
        <x:v>Sewa/Kontrak</x:v>
      </x:c>
      <x:c r="BA97" s="240"/>
      <x:c r="BB97" s="240"/>
      <x:c r="BC97" s="240" t="n">
        <x:v>2026</x:v>
      </x:c>
      <x:c r="BD97" s="240" t="str">
        <x:v>Usulan Musrenbang/Pokir DPRD</x:v>
      </x:c>
      <x:c r="BE97" s="240" t="n">
        <x:v>46218</x:v>
      </x:c>
      <x:c r="BF97" s="240" t="str">
        <x:v>Dinas Perkim Kota Pangkalpinang</x:v>
      </x:c>
    </x:row>
    <x:row r="98" ht="32" customHeight="1">
      <x:c r="A98" s="314" t="str">
        <x:v>RTLH-0118</x:v>
      </x:c>
      <x:c r="B98" s="315" t="str">
        <x:v>MARZUKI</x:v>
      </x:c>
      <x:c r="C98" s="316"/>
      <x:c r="D98" s="316"/>
      <x:c r="E98" s="315" t="str">
        <x:v>Belum tersedia</x:v>
      </x:c>
      <x:c r="F98" s="315" t="str">
        <x:v>PARITLALANG</x:v>
      </x:c>
      <x:c r="G98" s="315" t="str">
        <x:v>RANGKUI</x:v>
      </x:c>
      <x:c r="H98" s="315" t="str">
        <x:v>Belum Ditentukan</x:v>
      </x:c>
      <x:c r="I98" s="317" t="str">
        <x:v>RUMAH FULL PAPAN, LANTAI FLOOR, ATAP RUSAK PARAH, TANAH BERMASALAH DENGAN SAUDARA</x:v>
      </x:c>
      <x:c r="J98" s="315" t="str">
        <x:v>Nonpermanen</x:v>
      </x:c>
      <x:c r="K98" s="315" t="str">
        <x:v>Belum Diidentifikasi</x:v>
      </x:c>
      <x:c r="L98" s="315" t="str">
        <x:v>Rusak Berat</x:v>
      </x:c>
      <x:c r="M98" s="367" t="str">
        <x:v>Papan/Kayu</x:v>
      </x:c>
      <x:c r="N98" s="315" t="str">
        <x:v>Rusak Berat</x:v>
      </x:c>
      <x:c r="O98" s="316" t="str">
        <x:v>Semen/Plester</x:v>
      </x:c>
      <x:c r="P98" s="349" t="str">
        <x:v>Rusak Berat</x:v>
      </x:c>
      <x:c r="Q98" s="707" t="str">
        <x:v>Belum Dinilai</x:v>
      </x:c>
      <x:c r="R98" s="707" t="str">
        <x:v>Belum Dinilai</x:v>
      </x:c>
      <x:c r="S98" s="708" t="str">
        <x:v>Belum Dinilai</x:v>
      </x:c>
      <x:c r="T98" s="709" t="str">
        <x:v>Belum Dinilai</x:v>
      </x:c>
      <x:c r="U98" s="704" t="str">
        <x:v>Belum Dinilai</x:v>
      </x:c>
      <x:c r="V98" s="704" t="str">
        <x:v>Belum Dinilai</x:v>
      </x:c>
      <x:c r="W98" s="704" t="str"/>
      <x:c r="X98" s="704" t="str">
        <x:f>IF(COUNTIF(R98:V98,"Belum Dinilai")&gt;0,"Belum Dinilai",IF(COUNTIF(R98:V98,"Ya")=0,"Tidak ada faktor rentan",TEXTJOIN(", ",TRUE,IF(R98="Ya","Lansia",""),IF(S98="Ya","Penyandang disabilitas",""),IF(T98="Ya","Kepala keluarga perempuan",""),IF(U98="Ya","Balita",""),IF(V98="Ya","Anggota keluarga dengan ketergantungan tinggi",""))))</x:f>
        <x:v>Belum Dinilai</x:v>
      </x:c>
      <x:c r="Y98" s="704" t="str">
        <x:f>IF(COUNTIF(R98:V98,"Belum Dinilai")&gt;0,"Belum Dinilai",IF(COUNTIF(R98:V98,"Ya")=0,"Tidak Ada Faktor Rentan",IF(COUNTIF(R98:V98,"Ya")=1,"1 Faktor Rentan","2 atau Lebih Faktor Rentan")))</x:f>
        <x:v>Belum Dinilai</x:v>
      </x:c>
      <x:c r="Z98" s="704" t="str">
        <x:f>IF(OR(Q98="",Q98="Belum Dinilai"),"",IF(Q98="Terverifikasi DTKS/P3KE/MBR",10,IF(Q98="Diusulkan, Belum Terverifikasi",5,0)))</x:f>
      </x:c>
      <x:c r="AA98" s="705" t="str">
        <x:f>IF(COUNTIF(R98:V98,"Belum Dinilai")&gt;0,"",IF(COUNTIF(R98:V98,"Ya")=0,0,IF(COUNTIF(R98:V98,"Ya")=1,5,10)))</x:f>
      </x:c>
      <x:c r="AB98" s="706" t="str">
        <x:f>IF(OR(Z98="",AA98=""),"",Z98+AA98)</x:f>
      </x:c>
      <x:c r="AC98" s="713" t="str">
        <x:v>Belum Dinilai</x:v>
      </x:c>
      <x:c r="AD98" s="713" t="str">
        <x:v>Belum Dinilai</x:v>
      </x:c>
      <x:c r="AE98" s="714" t="str">
        <x:v>Belum Dinilai</x:v>
      </x:c>
      <x:c r="AF98" s="713" t="str">
        <x:v>Belum Dinilai</x:v>
      </x:c>
      <x:c r="AG98" s="713" t="str">
        <x:v>Belum Dinilai</x:v>
      </x:c>
      <x:c r="AH98" s="715" t="str">
        <x:v>Belum Dinilai</x:v>
      </x:c>
      <x:c r="AI98" s="714" t="str">
        <x:v>Belum Dinilai</x:v>
      </x:c>
      <x:c r="AJ98" s="713" t="str">
        <x:v>Belum Dinilai</x:v>
      </x:c>
      <x:c r="AK98" s="715" t="str">
        <x:v>Belum Dinilai</x:v>
      </x:c>
      <x:c r="AL98" s="713" t="str"/>
      <x:c r="AM98" s="716" t="str">
        <x:v>Belum Dinilai</x:v>
      </x:c>
      <x:c r="AN98" s="716" t="str">
        <x:f>IF(AND(COUNTIF(AC98:AK98,"Ya")=0,AL98=""),IF(COUNTIF(AC98:AK98,"Belum Dinilai")&gt;0,"Belum Dinilai","Tidak ada risiko khusus"),TEXTJOIN(", ",TRUE,IF(AC98="Ya","Bangunan berpotensi roboh",""),IF(AD98="Ya","Bekas kebakaran dan tidak aman dihuni",""),IF(AE98="Ya","Atap atau dinding utama hampir runtuh",""),IF(AF98="Ya","Genangan yang membahayakan",""),IF(AG98="Ya","Struktur rumah tidak stabil",""),IF(AH98="Ya","Instalasi listrik berbahaya",""),IF(AI98="Ya","Komponen bangunan lepas atau lapuk",""),IF(AJ98="Ya","Akses keluar atau evakuasi terbatas",""),IF(AK98="Ya","Lokasi rawan bencana",""),IF(AL98&lt;&gt;"","Lainnya: "&amp;AL98,"")))</x:f>
        <x:v>Belum Dinilai</x:v>
      </x:c>
      <x:c r="AO98" s="716" t="str">
        <x:f>IF(AR98="","Belum Dinilai",IF(AR98=10,"Risiko Tinggi/Darurat",IF(AR98=5,"Risiko Sedang","Tidak Ada Risiko Khusus")))</x:f>
        <x:v>Belum Dinilai</x:v>
      </x:c>
      <x:c r="AP98" s="716" t="str"/>
      <x:c r="AQ98" s="719" t="n">
        <x:f>IF(OR(J98="",J98="Belum Dapat Ditentukan",L98="",L98="Belum Dinilai",N98="",N98="Belum Dinilai",P98="",P98="Belum Dinilai"),"",IF(J98="Permanen",0,IF(J98="Semipermanen",8,IF(J98="Nonpermanen",15,0)))+IF(L98="Baik",0,IF(L98="Rusak Ringan",5,IF(L98="Rusak Sedang",10,IF(L98="Rusak Berat",15,IF(L98="Tidak Ada/Terbuka",20,0)))))+IF(N98="Baik",0,IF(N98="Rusak Ringan",5,IF(N98="Rusak Sedang",10,IF(N98="Rusak Berat",15,IF(N98="Tidak Ada/Terbuka",20,0)))))+IF(P98="Baik",0,IF(P98="Rusak Ringan",4,IF(P98="Rusak Sedang",8,IF(P98="Rusak Berat",12,IF(P98="Tidak Layak",15,0))))))</x:f>
        <x:v>57</x:v>
      </x:c>
      <x:c r="AR98" s="719" t="str">
        <x:f>IF(COUNTIF(AC98:AH98,"Ya")&gt;0,10,IF(COUNTIF(AI98:AK98,"Ya")&gt;=2,10,IF(COUNTIF(AI98:AK98,"Ya")=1,MAX(5,IF(AM98="Risiko Tinggi/Darurat",10,IF(AM98="Risiko Sedang",5,0))),IF(AL98&lt;&gt;"",IF(AM98="Risiko Tinggi/Darurat",10,IF(AM98="Risiko Sedang",5,"")),IF(COUNTIF(AC98:AK98,"Belum Dinilai")&gt;0,"",0)))))</x:f>
      </x:c>
      <x:c r="AS98" s="719" t="str">
        <x:f>IF(OR(AQ98="",AB98="",AR98=""),"",AQ98+AB98+AR98)</x:f>
      </x:c>
      <x:c r="AT98" s="719" t="str">
        <x:f>IF(AS98="","Belum Dapat Ditentukan",IF(AS98&gt;=80,"Sangat Tinggi",IF(OR(AO98="Risiko Tinggi/Darurat",(IF(L98="Rusak Berat",1,0)+IF(L98="Tidak Ada/Terbuka",1,0)+IF(N98="Rusak Berat",1,0)+IF(N98="Tidak Ada/Terbuka",1,0)+IF(P98="Rusak Berat",1,0)+IF(P98="Tidak Layak",1,0))&gt;=2),"Tinggi",IF(AS98&gt;=65,"Tinggi",IF(AS98&gt;=50,"Sedang","Rendah")))))</x:f>
        <x:v>Belum Dapat Ditentukan</x:v>
      </x:c>
      <x:c r="AU98" s="240" t="str">
        <x:v>Lengkap</x:v>
      </x:c>
      <x:c r="AV98" s="240" t="str">
        <x:v>Sudah Diverifikasi</x:v>
      </x:c>
      <x:c r="AW98" s="240" t="str">
        <x:v>Belum Ditangani</x:v>
      </x:c>
      <x:c r="AX98" s="240"/>
      <x:c r="AY98" s="240"/>
      <x:c r="AZ98" s="240" t="str">
        <x:v>Kepemilikan Keluarga</x:v>
      </x:c>
      <x:c r="BA98" s="240"/>
      <x:c r="BB98" s="240"/>
      <x:c r="BC98" s="240" t="n">
        <x:v>2026</x:v>
      </x:c>
      <x:c r="BD98" s="240" t="str">
        <x:v>Usulan Musrenbang/Pokir DPRD</x:v>
      </x:c>
      <x:c r="BE98" s="240" t="n">
        <x:v>46218</x:v>
      </x:c>
      <x:c r="BF98" s="240" t="str">
        <x:v>Dinas Perkim Kota Pangkalpinang</x:v>
      </x:c>
    </x:row>
    <x:row r="99" ht="32" customHeight="1">
      <x:c r="A99" s="314" t="str">
        <x:v>RTLH-0119</x:v>
      </x:c>
      <x:c r="B99" s="315" t="str">
        <x:v>SOLEHA</x:v>
      </x:c>
      <x:c r="C99" s="316"/>
      <x:c r="D99" s="316"/>
      <x:c r="E99" s="315" t="str">
        <x:v>JL.VETERAN RT/RW 001/003</x:v>
      </x:c>
      <x:c r="F99" s="315" t="str">
        <x:v>PARITLALANG</x:v>
      </x:c>
      <x:c r="G99" s="315" t="str">
        <x:v>RANGKUI</x:v>
      </x:c>
      <x:c r="H99" s="315" t="str">
        <x:v>Pembangunan Baru</x:v>
      </x:c>
      <x:c r="I99" s="317" t="str">
        <x:v>RUMAH FULL PAPAN, LANTAI FLOOR</x:v>
      </x:c>
      <x:c r="J99" s="315" t="str">
        <x:v>Nonpermanen</x:v>
      </x:c>
      <x:c r="K99" s="315" t="str">
        <x:v>Belum Diidentifikasi</x:v>
      </x:c>
      <x:c r="L99" s="315" t="str">
        <x:v>Belum Dinilai</x:v>
      </x:c>
      <x:c r="M99" s="367" t="str">
        <x:v>Papan/Kayu</x:v>
      </x:c>
      <x:c r="N99" s="315" t="str">
        <x:v>Belum Dinilai</x:v>
      </x:c>
      <x:c r="O99" s="316" t="str">
        <x:v>Semen/Plester</x:v>
      </x:c>
      <x:c r="P99" s="349" t="str">
        <x:v>Belum Dinilai</x:v>
      </x:c>
      <x:c r="Q99" s="707" t="str">
        <x:v>Belum Dinilai</x:v>
      </x:c>
      <x:c r="R99" s="707" t="str">
        <x:v>Belum Dinilai</x:v>
      </x:c>
      <x:c r="S99" s="708" t="str">
        <x:v>Belum Dinilai</x:v>
      </x:c>
      <x:c r="T99" s="709" t="str">
        <x:v>Belum Dinilai</x:v>
      </x:c>
      <x:c r="U99" s="704" t="str">
        <x:v>Belum Dinilai</x:v>
      </x:c>
      <x:c r="V99" s="704" t="str">
        <x:v>Belum Dinilai</x:v>
      </x:c>
      <x:c r="W99" s="704" t="str"/>
      <x:c r="X99" s="704" t="str">
        <x:f>IF(COUNTIF(R99:V99,"Belum Dinilai")&gt;0,"Belum Dinilai",IF(COUNTIF(R99:V99,"Ya")=0,"Tidak ada faktor rentan",TEXTJOIN(", ",TRUE,IF(R99="Ya","Lansia",""),IF(S99="Ya","Penyandang disabilitas",""),IF(T99="Ya","Kepala keluarga perempuan",""),IF(U99="Ya","Balita",""),IF(V99="Ya","Anggota keluarga dengan ketergantungan tinggi",""))))</x:f>
        <x:v>Belum Dinilai</x:v>
      </x:c>
      <x:c r="Y99" s="704" t="str">
        <x:f>IF(COUNTIF(R99:V99,"Belum Dinilai")&gt;0,"Belum Dinilai",IF(COUNTIF(R99:V99,"Ya")=0,"Tidak Ada Faktor Rentan",IF(COUNTIF(R99:V99,"Ya")=1,"1 Faktor Rentan","2 atau Lebih Faktor Rentan")))</x:f>
        <x:v>Belum Dinilai</x:v>
      </x:c>
      <x:c r="Z99" s="704" t="str">
        <x:f>IF(OR(Q99="",Q99="Belum Dinilai"),"",IF(Q99="Terverifikasi DTKS/P3KE/MBR",10,IF(Q99="Diusulkan, Belum Terverifikasi",5,0)))</x:f>
      </x:c>
      <x:c r="AA99" s="705" t="str">
        <x:f>IF(COUNTIF(R99:V99,"Belum Dinilai")&gt;0,"",IF(COUNTIF(R99:V99,"Ya")=0,0,IF(COUNTIF(R99:V99,"Ya")=1,5,10)))</x:f>
      </x:c>
      <x:c r="AB99" s="706" t="str">
        <x:f>IF(OR(Z99="",AA99=""),"",Z99+AA99)</x:f>
      </x:c>
      <x:c r="AC99" s="713" t="str">
        <x:v>Belum Dinilai</x:v>
      </x:c>
      <x:c r="AD99" s="713" t="str">
        <x:v>Belum Dinilai</x:v>
      </x:c>
      <x:c r="AE99" s="714" t="str">
        <x:v>Belum Dinilai</x:v>
      </x:c>
      <x:c r="AF99" s="713" t="str">
        <x:v>Belum Dinilai</x:v>
      </x:c>
      <x:c r="AG99" s="713" t="str">
        <x:v>Belum Dinilai</x:v>
      </x:c>
      <x:c r="AH99" s="715" t="str">
        <x:v>Belum Dinilai</x:v>
      </x:c>
      <x:c r="AI99" s="714" t="str">
        <x:v>Belum Dinilai</x:v>
      </x:c>
      <x:c r="AJ99" s="713" t="str">
        <x:v>Belum Dinilai</x:v>
      </x:c>
      <x:c r="AK99" s="715" t="str">
        <x:v>Belum Dinilai</x:v>
      </x:c>
      <x:c r="AL99" s="713" t="str"/>
      <x:c r="AM99" s="716" t="str">
        <x:v>Belum Dinilai</x:v>
      </x:c>
      <x:c r="AN99" s="716" t="str">
        <x:f>IF(AND(COUNTIF(AC99:AK99,"Ya")=0,AL99=""),IF(COUNTIF(AC99:AK99,"Belum Dinilai")&gt;0,"Belum Dinilai","Tidak ada risiko khusus"),TEXTJOIN(", ",TRUE,IF(AC99="Ya","Bangunan berpotensi roboh",""),IF(AD99="Ya","Bekas kebakaran dan tidak aman dihuni",""),IF(AE99="Ya","Atap atau dinding utama hampir runtuh",""),IF(AF99="Ya","Genangan yang membahayakan",""),IF(AG99="Ya","Struktur rumah tidak stabil",""),IF(AH99="Ya","Instalasi listrik berbahaya",""),IF(AI99="Ya","Komponen bangunan lepas atau lapuk",""),IF(AJ99="Ya","Akses keluar atau evakuasi terbatas",""),IF(AK99="Ya","Lokasi rawan bencana",""),IF(AL99&lt;&gt;"","Lainnya: "&amp;AL99,"")))</x:f>
        <x:v>Belum Dinilai</x:v>
      </x:c>
      <x:c r="AO99" s="716" t="str">
        <x:f>IF(AR99="","Belum Dinilai",IF(AR99=10,"Risiko Tinggi/Darurat",IF(AR99=5,"Risiko Sedang","Tidak Ada Risiko Khusus")))</x:f>
        <x:v>Belum Dinilai</x:v>
      </x:c>
      <x:c r="AP99" s="716" t="str"/>
      <x:c r="AQ99" s="719" t="str">
        <x:f>IF(OR(J99="",J99="Belum Dapat Ditentukan",L99="",L99="Belum Dinilai",N99="",N99="Belum Dinilai",P99="",P99="Belum Dinilai"),"",IF(J99="Permanen",0,IF(J99="Semipermanen",8,IF(J99="Nonpermanen",15,0)))+IF(L99="Baik",0,IF(L99="Rusak Ringan",5,IF(L99="Rusak Sedang",10,IF(L99="Rusak Berat",15,IF(L99="Tidak Ada/Terbuka",20,0)))))+IF(N99="Baik",0,IF(N99="Rusak Ringan",5,IF(N99="Rusak Sedang",10,IF(N99="Rusak Berat",15,IF(N99="Tidak Ada/Terbuka",20,0)))))+IF(P99="Baik",0,IF(P99="Rusak Ringan",4,IF(P99="Rusak Sedang",8,IF(P99="Rusak Berat",12,IF(P99="Tidak Layak",15,0))))))</x:f>
      </x:c>
      <x:c r="AR99" s="719" t="str">
        <x:f>IF(COUNTIF(AC99:AH99,"Ya")&gt;0,10,IF(COUNTIF(AI99:AK99,"Ya")&gt;=2,10,IF(COUNTIF(AI99:AK99,"Ya")=1,MAX(5,IF(AM99="Risiko Tinggi/Darurat",10,IF(AM99="Risiko Sedang",5,0))),IF(AL99&lt;&gt;"",IF(AM99="Risiko Tinggi/Darurat",10,IF(AM99="Risiko Sedang",5,"")),IF(COUNTIF(AC99:AK99,"Belum Dinilai")&gt;0,"",0)))))</x:f>
      </x:c>
      <x:c r="AS99" s="719" t="str">
        <x:f>IF(OR(AQ99="",AB99="",AR99=""),"",AQ99+AB99+AR99)</x:f>
      </x:c>
      <x:c r="AT99" s="719" t="str">
        <x:f>IF(AS99="","Belum Dapat Ditentukan",IF(AS99&gt;=80,"Sangat Tinggi",IF(OR(AO99="Risiko Tinggi/Darurat",(IF(L99="Rusak Berat",1,0)+IF(L99="Tidak Ada/Terbuka",1,0)+IF(N99="Rusak Berat",1,0)+IF(N99="Tidak Ada/Terbuka",1,0)+IF(P99="Rusak Berat",1,0)+IF(P99="Tidak Layak",1,0))&gt;=2),"Tinggi",IF(AS99&gt;=65,"Tinggi",IF(AS99&gt;=50,"Sedang","Rendah")))))</x:f>
        <x:v>Belum Dapat Ditentukan</x:v>
      </x:c>
      <x:c r="AU99" s="240" t="str">
        <x:v>Belum Lengkap</x:v>
      </x:c>
      <x:c r="AV99" s="240" t="str">
        <x:v>Sudah Diverifikasi</x:v>
      </x:c>
      <x:c r="AW99" s="240" t="str">
        <x:v>Selesai</x:v>
      </x:c>
      <x:c r="AX99" s="240" t="str">
        <x:v>APBD Provinsi</x:v>
      </x:c>
      <x:c r="AY99" s="240" t="n">
        <x:v>2023</x:v>
      </x:c>
      <x:c r="AZ99" s="240" t="str">
        <x:v>Belum Diverifikasi</x:v>
      </x:c>
      <x:c r="BA99" s="240"/>
      <x:c r="BB99" s="240"/>
      <x:c r="BC99" s="240" t="n">
        <x:v>2026</x:v>
      </x:c>
      <x:c r="BD99" s="240" t="str">
        <x:v>Usulan Musrenbang/Pokir DPRD</x:v>
      </x:c>
      <x:c r="BE99" s="240" t="n">
        <x:v>46218</x:v>
      </x:c>
      <x:c r="BF99" s="240" t="str">
        <x:v>Dinas Perkim Kota Pangkalpinang</x:v>
      </x:c>
    </x:row>
    <x:row r="100" ht="32" customHeight="1">
      <x:c r="A100" s="314" t="str">
        <x:v>RTLH-0120</x:v>
      </x:c>
      <x:c r="B100" s="315" t="str">
        <x:v>HERMAN</x:v>
      </x:c>
      <x:c r="C100" s="316"/>
      <x:c r="D100" s="316"/>
      <x:c r="E100" s="315" t="str">
        <x:v>Belum tersedia</x:v>
      </x:c>
      <x:c r="F100" s="315" t="str">
        <x:v>PARITLALANG</x:v>
      </x:c>
      <x:c r="G100" s="315" t="str">
        <x:v>RANGKUI</x:v>
      </x:c>
      <x:c r="H100" s="315" t="str">
        <x:v>Pembangunan Baru</x:v>
      </x:c>
      <x:c r="I100" s="317" t="str">
        <x:v>RUMAH FULL PAPAN, LANTAI FLOOR, ATAP RUSAK PARAH, DAN ADA ASET LAIN</x:v>
      </x:c>
      <x:c r="J100" s="315" t="str">
        <x:v>Nonpermanen</x:v>
      </x:c>
      <x:c r="K100" s="315" t="str">
        <x:v>Belum Diidentifikasi</x:v>
      </x:c>
      <x:c r="L100" s="315" t="str">
        <x:v>Rusak Berat</x:v>
      </x:c>
      <x:c r="M100" s="367" t="str">
        <x:v>Papan/Kayu</x:v>
      </x:c>
      <x:c r="N100" s="315" t="str">
        <x:v>Rusak Berat</x:v>
      </x:c>
      <x:c r="O100" s="316" t="str">
        <x:v>Semen/Plester</x:v>
      </x:c>
      <x:c r="P100" s="349" t="str">
        <x:v>Rusak Berat</x:v>
      </x:c>
      <x:c r="Q100" s="707" t="str">
        <x:v>Belum Dinilai</x:v>
      </x:c>
      <x:c r="R100" s="707" t="str">
        <x:v>Belum Dinilai</x:v>
      </x:c>
      <x:c r="S100" s="708" t="str">
        <x:v>Belum Dinilai</x:v>
      </x:c>
      <x:c r="T100" s="709" t="str">
        <x:v>Belum Dinilai</x:v>
      </x:c>
      <x:c r="U100" s="704" t="str">
        <x:v>Belum Dinilai</x:v>
      </x:c>
      <x:c r="V100" s="704" t="str">
        <x:v>Belum Dinilai</x:v>
      </x:c>
      <x:c r="W100" s="704" t="str"/>
      <x:c r="X100" s="704" t="str">
        <x:f>IF(COUNTIF(R100:V100,"Belum Dinilai")&gt;0,"Belum Dinilai",IF(COUNTIF(R100:V100,"Ya")=0,"Tidak ada faktor rentan",TEXTJOIN(", ",TRUE,IF(R100="Ya","Lansia",""),IF(S100="Ya","Penyandang disabilitas",""),IF(T100="Ya","Kepala keluarga perempuan",""),IF(U100="Ya","Balita",""),IF(V100="Ya","Anggota keluarga dengan ketergantungan tinggi",""))))</x:f>
        <x:v>Belum Dinilai</x:v>
      </x:c>
      <x:c r="Y100" s="704" t="str">
        <x:f>IF(COUNTIF(R100:V100,"Belum Dinilai")&gt;0,"Belum Dinilai",IF(COUNTIF(R100:V100,"Ya")=0,"Tidak Ada Faktor Rentan",IF(COUNTIF(R100:V100,"Ya")=1,"1 Faktor Rentan","2 atau Lebih Faktor Rentan")))</x:f>
        <x:v>Belum Dinilai</x:v>
      </x:c>
      <x:c r="Z100" s="704" t="str">
        <x:f>IF(OR(Q100="",Q100="Belum Dinilai"),"",IF(Q100="Terverifikasi DTKS/P3KE/MBR",10,IF(Q100="Diusulkan, Belum Terverifikasi",5,0)))</x:f>
      </x:c>
      <x:c r="AA100" s="705" t="str">
        <x:f>IF(COUNTIF(R100:V100,"Belum Dinilai")&gt;0,"",IF(COUNTIF(R100:V100,"Ya")=0,0,IF(COUNTIF(R100:V100,"Ya")=1,5,10)))</x:f>
      </x:c>
      <x:c r="AB100" s="706" t="str">
        <x:f>IF(OR(Z100="",AA100=""),"",Z100+AA100)</x:f>
      </x:c>
      <x:c r="AC100" s="713" t="str">
        <x:v>Belum Dinilai</x:v>
      </x:c>
      <x:c r="AD100" s="713" t="str">
        <x:v>Belum Dinilai</x:v>
      </x:c>
      <x:c r="AE100" s="714" t="str">
        <x:v>Belum Dinilai</x:v>
      </x:c>
      <x:c r="AF100" s="713" t="str">
        <x:v>Belum Dinilai</x:v>
      </x:c>
      <x:c r="AG100" s="713" t="str">
        <x:v>Belum Dinilai</x:v>
      </x:c>
      <x:c r="AH100" s="715" t="str">
        <x:v>Belum Dinilai</x:v>
      </x:c>
      <x:c r="AI100" s="714" t="str">
        <x:v>Belum Dinilai</x:v>
      </x:c>
      <x:c r="AJ100" s="713" t="str">
        <x:v>Belum Dinilai</x:v>
      </x:c>
      <x:c r="AK100" s="715" t="str">
        <x:v>Belum Dinilai</x:v>
      </x:c>
      <x:c r="AL100" s="713" t="str"/>
      <x:c r="AM100" s="716" t="str">
        <x:v>Belum Dinilai</x:v>
      </x:c>
      <x:c r="AN100" s="716" t="str">
        <x:f>IF(AND(COUNTIF(AC100:AK100,"Ya")=0,AL100=""),IF(COUNTIF(AC100:AK100,"Belum Dinilai")&gt;0,"Belum Dinilai","Tidak ada risiko khusus"),TEXTJOIN(", ",TRUE,IF(AC100="Ya","Bangunan berpotensi roboh",""),IF(AD100="Ya","Bekas kebakaran dan tidak aman dihuni",""),IF(AE100="Ya","Atap atau dinding utama hampir runtuh",""),IF(AF100="Ya","Genangan yang membahayakan",""),IF(AG100="Ya","Struktur rumah tidak stabil",""),IF(AH100="Ya","Instalasi listrik berbahaya",""),IF(AI100="Ya","Komponen bangunan lepas atau lapuk",""),IF(AJ100="Ya","Akses keluar atau evakuasi terbatas",""),IF(AK100="Ya","Lokasi rawan bencana",""),IF(AL100&lt;&gt;"","Lainnya: "&amp;AL100,"")))</x:f>
        <x:v>Belum Dinilai</x:v>
      </x:c>
      <x:c r="AO100" s="716" t="str">
        <x:f>IF(AR100="","Belum Dinilai",IF(AR100=10,"Risiko Tinggi/Darurat",IF(AR100=5,"Risiko Sedang","Tidak Ada Risiko Khusus")))</x:f>
        <x:v>Belum Dinilai</x:v>
      </x:c>
      <x:c r="AP100" s="716" t="str"/>
      <x:c r="AQ100" s="719" t="n">
        <x:f>IF(OR(J100="",J100="Belum Dapat Ditentukan",L100="",L100="Belum Dinilai",N100="",N100="Belum Dinilai",P100="",P100="Belum Dinilai"),"",IF(J100="Permanen",0,IF(J100="Semipermanen",8,IF(J100="Nonpermanen",15,0)))+IF(L100="Baik",0,IF(L100="Rusak Ringan",5,IF(L100="Rusak Sedang",10,IF(L100="Rusak Berat",15,IF(L100="Tidak Ada/Terbuka",20,0)))))+IF(N100="Baik",0,IF(N100="Rusak Ringan",5,IF(N100="Rusak Sedang",10,IF(N100="Rusak Berat",15,IF(N100="Tidak Ada/Terbuka",20,0)))))+IF(P100="Baik",0,IF(P100="Rusak Ringan",4,IF(P100="Rusak Sedang",8,IF(P100="Rusak Berat",12,IF(P100="Tidak Layak",15,0))))))</x:f>
        <x:v>57</x:v>
      </x:c>
      <x:c r="AR100" s="719" t="str">
        <x:f>IF(COUNTIF(AC100:AH100,"Ya")&gt;0,10,IF(COUNTIF(AI100:AK100,"Ya")&gt;=2,10,IF(COUNTIF(AI100:AK100,"Ya")=1,MAX(5,IF(AM100="Risiko Tinggi/Darurat",10,IF(AM100="Risiko Sedang",5,0))),IF(AL100&lt;&gt;"",IF(AM100="Risiko Tinggi/Darurat",10,IF(AM100="Risiko Sedang",5,"")),IF(COUNTIF(AC100:AK100,"Belum Dinilai")&gt;0,"",0)))))</x:f>
      </x:c>
      <x:c r="AS100" s="719" t="str">
        <x:f>IF(OR(AQ100="",AB100="",AR100=""),"",AQ100+AB100+AR100)</x:f>
      </x:c>
      <x:c r="AT100" s="719" t="str">
        <x:f>IF(AS100="","Belum Dapat Ditentukan",IF(AS100&gt;=80,"Sangat Tinggi",IF(OR(AO100="Risiko Tinggi/Darurat",(IF(L100="Rusak Berat",1,0)+IF(L100="Tidak Ada/Terbuka",1,0)+IF(N100="Rusak Berat",1,0)+IF(N100="Tidak Ada/Terbuka",1,0)+IF(P100="Rusak Berat",1,0)+IF(P100="Tidak Layak",1,0))&gt;=2),"Tinggi",IF(AS100&gt;=65,"Tinggi",IF(AS100&gt;=50,"Sedang","Rendah")))))</x:f>
        <x:v>Belum Dapat Ditentukan</x:v>
      </x:c>
      <x:c r="AU100" s="240" t="str">
        <x:v>Belum Lengkap</x:v>
      </x:c>
      <x:c r="AV100" s="240" t="str">
        <x:v>Sudah Diverifikasi</x:v>
      </x:c>
      <x:c r="AW100" s="240" t="str">
        <x:v>Belum Ditangani</x:v>
      </x:c>
      <x:c r="AX100" s="240"/>
      <x:c r="AY100" s="240"/>
      <x:c r="AZ100" s="240" t="str">
        <x:v>Belum Diverifikasi</x:v>
      </x:c>
      <x:c r="BA100" s="240"/>
      <x:c r="BB100" s="240"/>
      <x:c r="BC100" s="240" t="n">
        <x:v>2026</x:v>
      </x:c>
      <x:c r="BD100" s="240" t="str">
        <x:v>Usulan Musrenbang/Pokir DPRD</x:v>
      </x:c>
      <x:c r="BE100" s="240" t="n">
        <x:v>46218</x:v>
      </x:c>
      <x:c r="BF100" s="240" t="str">
        <x:v>Dinas Perkim Kota Pangkalpinang</x:v>
      </x:c>
    </x:row>
    <x:row r="101" ht="32" customHeight="1">
      <x:c r="A101" s="314" t="str">
        <x:v>RTLH-0121</x:v>
      </x:c>
      <x:c r="B101" s="315" t="str">
        <x:v>ROSIAH</x:v>
      </x:c>
      <x:c r="C101" s="316"/>
      <x:c r="D101" s="316"/>
      <x:c r="E101" s="315" t="str">
        <x:v>JL.PASIR PADI RT/RW 006/002</x:v>
      </x:c>
      <x:c r="F101" s="315" t="str">
        <x:v>AIR ITAM</x:v>
      </x:c>
      <x:c r="G101" s="315" t="str">
        <x:v>BUKIT INTAN</x:v>
      </x:c>
      <x:c r="H101" s="315" t="str">
        <x:v>Peningkatan Kualitas</x:v>
      </x:c>
      <x:c r="I101" s="317" t="str">
        <x:v>RUMAH SETENGAH BETON , LANTAI FULL FLOOR</x:v>
      </x:c>
      <x:c r="J101" s="315" t="str">
        <x:v>Permanen</x:v>
      </x:c>
      <x:c r="K101" s="315" t="str">
        <x:v>Belum Diidentifikasi</x:v>
      </x:c>
      <x:c r="L101" s="315" t="str">
        <x:v>Belum Dinilai</x:v>
      </x:c>
      <x:c r="M101" s="367" t="str">
        <x:v>Beton</x:v>
      </x:c>
      <x:c r="N101" s="315" t="str">
        <x:v>Belum Dinilai</x:v>
      </x:c>
      <x:c r="O101" s="316" t="str">
        <x:v>Semen/Plester</x:v>
      </x:c>
      <x:c r="P101" s="349" t="str">
        <x:v>Belum Dinilai</x:v>
      </x:c>
      <x:c r="Q101" s="707" t="str">
        <x:v>Belum Dinilai</x:v>
      </x:c>
      <x:c r="R101" s="707" t="str">
        <x:v>Belum Dinilai</x:v>
      </x:c>
      <x:c r="S101" s="708" t="str">
        <x:v>Belum Dinilai</x:v>
      </x:c>
      <x:c r="T101" s="709" t="str">
        <x:v>Belum Dinilai</x:v>
      </x:c>
      <x:c r="U101" s="704" t="str">
        <x:v>Belum Dinilai</x:v>
      </x:c>
      <x:c r="V101" s="704" t="str">
        <x:v>Belum Dinilai</x:v>
      </x:c>
      <x:c r="W101" s="704" t="str"/>
      <x:c r="X101" s="704" t="str">
        <x:f>IF(COUNTIF(R101:V101,"Belum Dinilai")&gt;0,"Belum Dinilai",IF(COUNTIF(R101:V101,"Ya")=0,"Tidak ada faktor rentan",TEXTJOIN(", ",TRUE,IF(R101="Ya","Lansia",""),IF(S101="Ya","Penyandang disabilitas",""),IF(T101="Ya","Kepala keluarga perempuan",""),IF(U101="Ya","Balita",""),IF(V101="Ya","Anggota keluarga dengan ketergantungan tinggi",""))))</x:f>
        <x:v>Belum Dinilai</x:v>
      </x:c>
      <x:c r="Y101" s="704" t="str">
        <x:f>IF(COUNTIF(R101:V101,"Belum Dinilai")&gt;0,"Belum Dinilai",IF(COUNTIF(R101:V101,"Ya")=0,"Tidak Ada Faktor Rentan",IF(COUNTIF(R101:V101,"Ya")=1,"1 Faktor Rentan","2 atau Lebih Faktor Rentan")))</x:f>
        <x:v>Belum Dinilai</x:v>
      </x:c>
      <x:c r="Z101" s="704" t="str">
        <x:f>IF(OR(Q101="",Q101="Belum Dinilai"),"",IF(Q101="Terverifikasi DTKS/P3KE/MBR",10,IF(Q101="Diusulkan, Belum Terverifikasi",5,0)))</x:f>
      </x:c>
      <x:c r="AA101" s="705" t="str">
        <x:f>IF(COUNTIF(R101:V101,"Belum Dinilai")&gt;0,"",IF(COUNTIF(R101:V101,"Ya")=0,0,IF(COUNTIF(R101:V101,"Ya")=1,5,10)))</x:f>
      </x:c>
      <x:c r="AB101" s="706" t="str">
        <x:f>IF(OR(Z101="",AA101=""),"",Z101+AA101)</x:f>
      </x:c>
      <x:c r="AC101" s="713" t="str">
        <x:v>Belum Dinilai</x:v>
      </x:c>
      <x:c r="AD101" s="713" t="str">
        <x:v>Belum Dinilai</x:v>
      </x:c>
      <x:c r="AE101" s="714" t="str">
        <x:v>Belum Dinilai</x:v>
      </x:c>
      <x:c r="AF101" s="713" t="str">
        <x:v>Belum Dinilai</x:v>
      </x:c>
      <x:c r="AG101" s="713" t="str">
        <x:v>Belum Dinilai</x:v>
      </x:c>
      <x:c r="AH101" s="715" t="str">
        <x:v>Belum Dinilai</x:v>
      </x:c>
      <x:c r="AI101" s="714" t="str">
        <x:v>Belum Dinilai</x:v>
      </x:c>
      <x:c r="AJ101" s="713" t="str">
        <x:v>Belum Dinilai</x:v>
      </x:c>
      <x:c r="AK101" s="715" t="str">
        <x:v>Belum Dinilai</x:v>
      </x:c>
      <x:c r="AL101" s="713" t="str"/>
      <x:c r="AM101" s="716" t="str">
        <x:v>Belum Dinilai</x:v>
      </x:c>
      <x:c r="AN101" s="716" t="str">
        <x:f>IF(AND(COUNTIF(AC101:AK101,"Ya")=0,AL101=""),IF(COUNTIF(AC101:AK101,"Belum Dinilai")&gt;0,"Belum Dinilai","Tidak ada risiko khusus"),TEXTJOIN(", ",TRUE,IF(AC101="Ya","Bangunan berpotensi roboh",""),IF(AD101="Ya","Bekas kebakaran dan tidak aman dihuni",""),IF(AE101="Ya","Atap atau dinding utama hampir runtuh",""),IF(AF101="Ya","Genangan yang membahayakan",""),IF(AG101="Ya","Struktur rumah tidak stabil",""),IF(AH101="Ya","Instalasi listrik berbahaya",""),IF(AI101="Ya","Komponen bangunan lepas atau lapuk",""),IF(AJ101="Ya","Akses keluar atau evakuasi terbatas",""),IF(AK101="Ya","Lokasi rawan bencana",""),IF(AL101&lt;&gt;"","Lainnya: "&amp;AL101,"")))</x:f>
        <x:v>Belum Dinilai</x:v>
      </x:c>
      <x:c r="AO101" s="716" t="str">
        <x:f>IF(AR101="","Belum Dinilai",IF(AR101=10,"Risiko Tinggi/Darurat",IF(AR101=5,"Risiko Sedang","Tidak Ada Risiko Khusus")))</x:f>
        <x:v>Belum Dinilai</x:v>
      </x:c>
      <x:c r="AP101" s="716" t="str"/>
      <x:c r="AQ101" s="719" t="str">
        <x:f>IF(OR(J101="",J101="Belum Dapat Ditentukan",L101="",L101="Belum Dinilai",N101="",N101="Belum Dinilai",P101="",P101="Belum Dinilai"),"",IF(J101="Permanen",0,IF(J101="Semipermanen",8,IF(J101="Nonpermanen",15,0)))+IF(L101="Baik",0,IF(L101="Rusak Ringan",5,IF(L101="Rusak Sedang",10,IF(L101="Rusak Berat",15,IF(L101="Tidak Ada/Terbuka",20,0)))))+IF(N101="Baik",0,IF(N101="Rusak Ringan",5,IF(N101="Rusak Sedang",10,IF(N101="Rusak Berat",15,IF(N101="Tidak Ada/Terbuka",20,0)))))+IF(P101="Baik",0,IF(P101="Rusak Ringan",4,IF(P101="Rusak Sedang",8,IF(P101="Rusak Berat",12,IF(P101="Tidak Layak",15,0))))))</x:f>
      </x:c>
      <x:c r="AR101" s="719" t="str">
        <x:f>IF(COUNTIF(AC101:AH101,"Ya")&gt;0,10,IF(COUNTIF(AI101:AK101,"Ya")&gt;=2,10,IF(COUNTIF(AI101:AK101,"Ya")=1,MAX(5,IF(AM101="Risiko Tinggi/Darurat",10,IF(AM101="Risiko Sedang",5,0))),IF(AL101&lt;&gt;"",IF(AM101="Risiko Tinggi/Darurat",10,IF(AM101="Risiko Sedang",5,"")),IF(COUNTIF(AC101:AK101,"Belum Dinilai")&gt;0,"",0)))))</x:f>
      </x:c>
      <x:c r="AS101" s="719" t="str">
        <x:f>IF(OR(AQ101="",AB101="",AR101=""),"",AQ101+AB101+AR101)</x:f>
      </x:c>
      <x:c r="AT101" s="719" t="str">
        <x:f>IF(AS101="","Belum Dapat Ditentukan",IF(AS101&gt;=80,"Sangat Tinggi",IF(OR(AO101="Risiko Tinggi/Darurat",(IF(L101="Rusak Berat",1,0)+IF(L101="Tidak Ada/Terbuka",1,0)+IF(N101="Rusak Berat",1,0)+IF(N101="Tidak Ada/Terbuka",1,0)+IF(P101="Rusak Berat",1,0)+IF(P101="Tidak Layak",1,0))&gt;=2),"Tinggi",IF(AS101&gt;=65,"Tinggi",IF(AS101&gt;=50,"Sedang","Rendah")))))</x:f>
        <x:v>Belum Dapat Ditentukan</x:v>
      </x:c>
      <x:c r="AU101" s="240" t="str">
        <x:v>Lengkap</x:v>
      </x:c>
      <x:c r="AV101" s="240" t="str">
        <x:v>Sudah Diverifikasi</x:v>
      </x:c>
      <x:c r="AW101" s="240" t="str">
        <x:v>Selesai</x:v>
      </x:c>
      <x:c r="AX101" s="240" t="str">
        <x:v>APBD Kota</x:v>
      </x:c>
      <x:c r="AY101" s="240" t="n">
        <x:v>2021</x:v>
      </x:c>
      <x:c r="AZ101" s="240" t="str">
        <x:v>Belum Diverifikasi</x:v>
      </x:c>
      <x:c r="BA101" s="240"/>
      <x:c r="BB101" s="240"/>
      <x:c r="BC101" s="240" t="n">
        <x:v>2026</x:v>
      </x:c>
      <x:c r="BD101" s="240" t="str">
        <x:v>Usulan Musrenbang/Pokir DPRD</x:v>
      </x:c>
      <x:c r="BE101" s="240" t="n">
        <x:v>46218</x:v>
      </x:c>
      <x:c r="BF101" s="240" t="str">
        <x:v>Dinas Perkim Kota Pangkalpinang</x:v>
      </x:c>
    </x:row>
    <x:row r="102" ht="32" customHeight="1">
      <x:c r="A102" s="314" t="str">
        <x:v>RTLH-0123</x:v>
      </x:c>
      <x:c r="B102" s="315" t="str">
        <x:v>NUR TIA</x:v>
      </x:c>
      <x:c r="C102" s="316"/>
      <x:c r="D102" s="316"/>
      <x:c r="E102" s="315" t="str">
        <x:v>JL.HIDAYATUSSALIKIN DALAM RT/RW 004/002</x:v>
      </x:c>
      <x:c r="F102" s="315" t="str">
        <x:v>AIR ITAM</x:v>
      </x:c>
      <x:c r="G102" s="315" t="str">
        <x:v>BUKIT INTAN</x:v>
      </x:c>
      <x:c r="H102" s="315" t="str">
        <x:v>Belum Ditentukan</x:v>
      </x:c>
      <x:c r="I102" s="317" t="str">
        <x:v>FULL PAPAN</x:v>
      </x:c>
      <x:c r="J102" s="315" t="str">
        <x:v>Nonpermanen</x:v>
      </x:c>
      <x:c r="K102" s="315" t="str">
        <x:v>Belum Diidentifikasi</x:v>
      </x:c>
      <x:c r="L102" s="315" t="str">
        <x:v>Belum Dinilai</x:v>
      </x:c>
      <x:c r="M102" s="367" t="str">
        <x:v>Papan/Kayu</x:v>
      </x:c>
      <x:c r="N102" s="315" t="str">
        <x:v>Belum Dinilai</x:v>
      </x:c>
      <x:c r="O102" s="316" t="str">
        <x:v>Belum Diidentifikasi</x:v>
      </x:c>
      <x:c r="P102" s="349" t="str">
        <x:v>Belum Dinilai</x:v>
      </x:c>
      <x:c r="Q102" s="707" t="str">
        <x:v>Belum Dinilai</x:v>
      </x:c>
      <x:c r="R102" s="707" t="str">
        <x:v>Belum Dinilai</x:v>
      </x:c>
      <x:c r="S102" s="708" t="str">
        <x:v>Belum Dinilai</x:v>
      </x:c>
      <x:c r="T102" s="709" t="str">
        <x:v>Belum Dinilai</x:v>
      </x:c>
      <x:c r="U102" s="704" t="str">
        <x:v>Belum Dinilai</x:v>
      </x:c>
      <x:c r="V102" s="704" t="str">
        <x:v>Belum Dinilai</x:v>
      </x:c>
      <x:c r="W102" s="704" t="str"/>
      <x:c r="X102" s="704" t="str">
        <x:f>IF(COUNTIF(R102:V102,"Belum Dinilai")&gt;0,"Belum Dinilai",IF(COUNTIF(R102:V102,"Ya")=0,"Tidak ada faktor rentan",TEXTJOIN(", ",TRUE,IF(R102="Ya","Lansia",""),IF(S102="Ya","Penyandang disabilitas",""),IF(T102="Ya","Kepala keluarga perempuan",""),IF(U102="Ya","Balita",""),IF(V102="Ya","Anggota keluarga dengan ketergantungan tinggi",""))))</x:f>
        <x:v>Belum Dinilai</x:v>
      </x:c>
      <x:c r="Y102" s="704" t="str">
        <x:f>IF(COUNTIF(R102:V102,"Belum Dinilai")&gt;0,"Belum Dinilai",IF(COUNTIF(R102:V102,"Ya")=0,"Tidak Ada Faktor Rentan",IF(COUNTIF(R102:V102,"Ya")=1,"1 Faktor Rentan","2 atau Lebih Faktor Rentan")))</x:f>
        <x:v>Belum Dinilai</x:v>
      </x:c>
      <x:c r="Z102" s="704" t="str">
        <x:f>IF(OR(Q102="",Q102="Belum Dinilai"),"",IF(Q102="Terverifikasi DTKS/P3KE/MBR",10,IF(Q102="Diusulkan, Belum Terverifikasi",5,0)))</x:f>
      </x:c>
      <x:c r="AA102" s="705" t="str">
        <x:f>IF(COUNTIF(R102:V102,"Belum Dinilai")&gt;0,"",IF(COUNTIF(R102:V102,"Ya")=0,0,IF(COUNTIF(R102:V102,"Ya")=1,5,10)))</x:f>
      </x:c>
      <x:c r="AB102" s="706" t="str">
        <x:f>IF(OR(Z102="",AA102=""),"",Z102+AA102)</x:f>
      </x:c>
      <x:c r="AC102" s="713" t="str">
        <x:v>Belum Dinilai</x:v>
      </x:c>
      <x:c r="AD102" s="713" t="str">
        <x:v>Belum Dinilai</x:v>
      </x:c>
      <x:c r="AE102" s="714" t="str">
        <x:v>Belum Dinilai</x:v>
      </x:c>
      <x:c r="AF102" s="713" t="str">
        <x:v>Belum Dinilai</x:v>
      </x:c>
      <x:c r="AG102" s="713" t="str">
        <x:v>Belum Dinilai</x:v>
      </x:c>
      <x:c r="AH102" s="715" t="str">
        <x:v>Belum Dinilai</x:v>
      </x:c>
      <x:c r="AI102" s="714" t="str">
        <x:v>Belum Dinilai</x:v>
      </x:c>
      <x:c r="AJ102" s="713" t="str">
        <x:v>Belum Dinilai</x:v>
      </x:c>
      <x:c r="AK102" s="715" t="str">
        <x:v>Belum Dinilai</x:v>
      </x:c>
      <x:c r="AL102" s="713" t="str"/>
      <x:c r="AM102" s="716" t="str">
        <x:v>Belum Dinilai</x:v>
      </x:c>
      <x:c r="AN102" s="716" t="str">
        <x:f>IF(AND(COUNTIF(AC102:AK102,"Ya")=0,AL102=""),IF(COUNTIF(AC102:AK102,"Belum Dinilai")&gt;0,"Belum Dinilai","Tidak ada risiko khusus"),TEXTJOIN(", ",TRUE,IF(AC102="Ya","Bangunan berpotensi roboh",""),IF(AD102="Ya","Bekas kebakaran dan tidak aman dihuni",""),IF(AE102="Ya","Atap atau dinding utama hampir runtuh",""),IF(AF102="Ya","Genangan yang membahayakan",""),IF(AG102="Ya","Struktur rumah tidak stabil",""),IF(AH102="Ya","Instalasi listrik berbahaya",""),IF(AI102="Ya","Komponen bangunan lepas atau lapuk",""),IF(AJ102="Ya","Akses keluar atau evakuasi terbatas",""),IF(AK102="Ya","Lokasi rawan bencana",""),IF(AL102&lt;&gt;"","Lainnya: "&amp;AL102,"")))</x:f>
        <x:v>Belum Dinilai</x:v>
      </x:c>
      <x:c r="AO102" s="716" t="str">
        <x:f>IF(AR102="","Belum Dinilai",IF(AR102=10,"Risiko Tinggi/Darurat",IF(AR102=5,"Risiko Sedang","Tidak Ada Risiko Khusus")))</x:f>
        <x:v>Belum Dinilai</x:v>
      </x:c>
      <x:c r="AP102" s="716" t="str"/>
      <x:c r="AQ102" s="719" t="str">
        <x:f>IF(OR(J102="",J102="Belum Dapat Ditentukan",L102="",L102="Belum Dinilai",N102="",N102="Belum Dinilai",P102="",P102="Belum Dinilai"),"",IF(J102="Permanen",0,IF(J102="Semipermanen",8,IF(J102="Nonpermanen",15,0)))+IF(L102="Baik",0,IF(L102="Rusak Ringan",5,IF(L102="Rusak Sedang",10,IF(L102="Rusak Berat",15,IF(L102="Tidak Ada/Terbuka",20,0)))))+IF(N102="Baik",0,IF(N102="Rusak Ringan",5,IF(N102="Rusak Sedang",10,IF(N102="Rusak Berat",15,IF(N102="Tidak Ada/Terbuka",20,0)))))+IF(P102="Baik",0,IF(P102="Rusak Ringan",4,IF(P102="Rusak Sedang",8,IF(P102="Rusak Berat",12,IF(P102="Tidak Layak",15,0))))))</x:f>
      </x:c>
      <x:c r="AR102" s="719" t="str">
        <x:f>IF(COUNTIF(AC102:AH102,"Ya")&gt;0,10,IF(COUNTIF(AI102:AK102,"Ya")&gt;=2,10,IF(COUNTIF(AI102:AK102,"Ya")=1,MAX(5,IF(AM102="Risiko Tinggi/Darurat",10,IF(AM102="Risiko Sedang",5,0))),IF(AL102&lt;&gt;"",IF(AM102="Risiko Tinggi/Darurat",10,IF(AM102="Risiko Sedang",5,"")),IF(COUNTIF(AC102:AK102,"Belum Dinilai")&gt;0,"",0)))))</x:f>
      </x:c>
      <x:c r="AS102" s="719" t="str">
        <x:f>IF(OR(AQ102="",AB102="",AR102=""),"",AQ102+AB102+AR102)</x:f>
      </x:c>
      <x:c r="AT102" s="719" t="str">
        <x:f>IF(AS102="","Belum Dapat Ditentukan",IF(AS102&gt;=80,"Sangat Tinggi",IF(OR(AO102="Risiko Tinggi/Darurat",(IF(L102="Rusak Berat",1,0)+IF(L102="Tidak Ada/Terbuka",1,0)+IF(N102="Rusak Berat",1,0)+IF(N102="Tidak Ada/Terbuka",1,0)+IF(P102="Rusak Berat",1,0)+IF(P102="Tidak Layak",1,0))&gt;=2),"Tinggi",IF(AS102&gt;=65,"Tinggi",IF(AS102&gt;=50,"Sedang","Rendah")))))</x:f>
        <x:v>Belum Dapat Ditentukan</x:v>
      </x:c>
      <x:c r="AU102" s="240" t="str">
        <x:v>Belum Lengkap</x:v>
      </x:c>
      <x:c r="AV102" s="240" t="str">
        <x:v>Sudah Diverifikasi</x:v>
      </x:c>
      <x:c r="AW102" s="240" t="str">
        <x:v>Belum Ditangani</x:v>
      </x:c>
      <x:c r="AX102" s="240"/>
      <x:c r="AY102" s="240"/>
      <x:c r="AZ102" s="240" t="str">
        <x:v>Belum Diverifikasi</x:v>
      </x:c>
      <x:c r="BA102" s="240"/>
      <x:c r="BB102" s="240"/>
      <x:c r="BC102" s="240" t="n">
        <x:v>2026</x:v>
      </x:c>
      <x:c r="BD102" s="240" t="str">
        <x:v>Usulan Musrenbang/Pokir DPRD</x:v>
      </x:c>
      <x:c r="BE102" s="240" t="n">
        <x:v>46218</x:v>
      </x:c>
      <x:c r="BF102" s="240" t="str">
        <x:v>Dinas Perkim Kota Pangkalpinang</x:v>
      </x:c>
    </x:row>
    <x:row r="103" ht="32" customHeight="1">
      <x:c r="A103" s="314" t="str">
        <x:v>RTLH-0124</x:v>
      </x:c>
      <x:c r="B103" s="315" t="str">
        <x:v>AGUS SUTANTO</x:v>
      </x:c>
      <x:c r="C103" s="316"/>
      <x:c r="D103" s="316"/>
      <x:c r="E103" s="315" t="str">
        <x:v>JL.PASIR PADI RT/RW 006/002</x:v>
      </x:c>
      <x:c r="F103" s="315" t="str">
        <x:v>AIR ITAM</x:v>
      </x:c>
      <x:c r="G103" s="315" t="str">
        <x:v>BUKIT INTAN</x:v>
      </x:c>
      <x:c r="H103" s="315" t="str">
        <x:v>Pembangunan Baru</x:v>
      </x:c>
      <x:c r="I103" s="317" t="str">
        <x:v>RUMAH SETENGAH BETON.</x:v>
      </x:c>
      <x:c r="J103" s="315" t="str">
        <x:v>Permanen</x:v>
      </x:c>
      <x:c r="K103" s="315" t="str">
        <x:v>Belum Diidentifikasi</x:v>
      </x:c>
      <x:c r="L103" s="315" t="str">
        <x:v>Belum Dinilai</x:v>
      </x:c>
      <x:c r="M103" s="367" t="str">
        <x:v>Beton</x:v>
      </x:c>
      <x:c r="N103" s="315" t="str">
        <x:v>Belum Dinilai</x:v>
      </x:c>
      <x:c r="O103" s="316" t="str">
        <x:v>Belum Diidentifikasi</x:v>
      </x:c>
      <x:c r="P103" s="349" t="str">
        <x:v>Belum Dinilai</x:v>
      </x:c>
      <x:c r="Q103" s="707" t="str">
        <x:v>Belum Dinilai</x:v>
      </x:c>
      <x:c r="R103" s="707" t="str">
        <x:v>Belum Dinilai</x:v>
      </x:c>
      <x:c r="S103" s="708" t="str">
        <x:v>Belum Dinilai</x:v>
      </x:c>
      <x:c r="T103" s="709" t="str">
        <x:v>Belum Dinilai</x:v>
      </x:c>
      <x:c r="U103" s="704" t="str">
        <x:v>Belum Dinilai</x:v>
      </x:c>
      <x:c r="V103" s="704" t="str">
        <x:v>Belum Dinilai</x:v>
      </x:c>
      <x:c r="W103" s="704" t="str"/>
      <x:c r="X103" s="704" t="str">
        <x:f>IF(COUNTIF(R103:V103,"Belum Dinilai")&gt;0,"Belum Dinilai",IF(COUNTIF(R103:V103,"Ya")=0,"Tidak ada faktor rentan",TEXTJOIN(", ",TRUE,IF(R103="Ya","Lansia",""),IF(S103="Ya","Penyandang disabilitas",""),IF(T103="Ya","Kepala keluarga perempuan",""),IF(U103="Ya","Balita",""),IF(V103="Ya","Anggota keluarga dengan ketergantungan tinggi",""))))</x:f>
        <x:v>Belum Dinilai</x:v>
      </x:c>
      <x:c r="Y103" s="704" t="str">
        <x:f>IF(COUNTIF(R103:V103,"Belum Dinilai")&gt;0,"Belum Dinilai",IF(COUNTIF(R103:V103,"Ya")=0,"Tidak Ada Faktor Rentan",IF(COUNTIF(R103:V103,"Ya")=1,"1 Faktor Rentan","2 atau Lebih Faktor Rentan")))</x:f>
        <x:v>Belum Dinilai</x:v>
      </x:c>
      <x:c r="Z103" s="704" t="str">
        <x:f>IF(OR(Q103="",Q103="Belum Dinilai"),"",IF(Q103="Terverifikasi DTKS/P3KE/MBR",10,IF(Q103="Diusulkan, Belum Terverifikasi",5,0)))</x:f>
      </x:c>
      <x:c r="AA103" s="705" t="str">
        <x:f>IF(COUNTIF(R103:V103,"Belum Dinilai")&gt;0,"",IF(COUNTIF(R103:V103,"Ya")=0,0,IF(COUNTIF(R103:V103,"Ya")=1,5,10)))</x:f>
      </x:c>
      <x:c r="AB103" s="706" t="str">
        <x:f>IF(OR(Z103="",AA103=""),"",Z103+AA103)</x:f>
      </x:c>
      <x:c r="AC103" s="713" t="str">
        <x:v>Belum Dinilai</x:v>
      </x:c>
      <x:c r="AD103" s="713" t="str">
        <x:v>Belum Dinilai</x:v>
      </x:c>
      <x:c r="AE103" s="714" t="str">
        <x:v>Belum Dinilai</x:v>
      </x:c>
      <x:c r="AF103" s="713" t="str">
        <x:v>Belum Dinilai</x:v>
      </x:c>
      <x:c r="AG103" s="713" t="str">
        <x:v>Belum Dinilai</x:v>
      </x:c>
      <x:c r="AH103" s="715" t="str">
        <x:v>Belum Dinilai</x:v>
      </x:c>
      <x:c r="AI103" s="714" t="str">
        <x:v>Belum Dinilai</x:v>
      </x:c>
      <x:c r="AJ103" s="713" t="str">
        <x:v>Belum Dinilai</x:v>
      </x:c>
      <x:c r="AK103" s="715" t="str">
        <x:v>Belum Dinilai</x:v>
      </x:c>
      <x:c r="AL103" s="713" t="str"/>
      <x:c r="AM103" s="716" t="str">
        <x:v>Belum Dinilai</x:v>
      </x:c>
      <x:c r="AN103" s="716" t="str">
        <x:f>IF(AND(COUNTIF(AC103:AK103,"Ya")=0,AL103=""),IF(COUNTIF(AC103:AK103,"Belum Dinilai")&gt;0,"Belum Dinilai","Tidak ada risiko khusus"),TEXTJOIN(", ",TRUE,IF(AC103="Ya","Bangunan berpotensi roboh",""),IF(AD103="Ya","Bekas kebakaran dan tidak aman dihuni",""),IF(AE103="Ya","Atap atau dinding utama hampir runtuh",""),IF(AF103="Ya","Genangan yang membahayakan",""),IF(AG103="Ya","Struktur rumah tidak stabil",""),IF(AH103="Ya","Instalasi listrik berbahaya",""),IF(AI103="Ya","Komponen bangunan lepas atau lapuk",""),IF(AJ103="Ya","Akses keluar atau evakuasi terbatas",""),IF(AK103="Ya","Lokasi rawan bencana",""),IF(AL103&lt;&gt;"","Lainnya: "&amp;AL103,"")))</x:f>
        <x:v>Belum Dinilai</x:v>
      </x:c>
      <x:c r="AO103" s="716" t="str">
        <x:f>IF(AR103="","Belum Dinilai",IF(AR103=10,"Risiko Tinggi/Darurat",IF(AR103=5,"Risiko Sedang","Tidak Ada Risiko Khusus")))</x:f>
        <x:v>Belum Dinilai</x:v>
      </x:c>
      <x:c r="AP103" s="716" t="str"/>
      <x:c r="AQ103" s="719" t="str">
        <x:f>IF(OR(J103="",J103="Belum Dapat Ditentukan",L103="",L103="Belum Dinilai",N103="",N103="Belum Dinilai",P103="",P103="Belum Dinilai"),"",IF(J103="Permanen",0,IF(J103="Semipermanen",8,IF(J103="Nonpermanen",15,0)))+IF(L103="Baik",0,IF(L103="Rusak Ringan",5,IF(L103="Rusak Sedang",10,IF(L103="Rusak Berat",15,IF(L103="Tidak Ada/Terbuka",20,0)))))+IF(N103="Baik",0,IF(N103="Rusak Ringan",5,IF(N103="Rusak Sedang",10,IF(N103="Rusak Berat",15,IF(N103="Tidak Ada/Terbuka",20,0)))))+IF(P103="Baik",0,IF(P103="Rusak Ringan",4,IF(P103="Rusak Sedang",8,IF(P103="Rusak Berat",12,IF(P103="Tidak Layak",15,0))))))</x:f>
      </x:c>
      <x:c r="AR103" s="719" t="str">
        <x:f>IF(COUNTIF(AC103:AH103,"Ya")&gt;0,10,IF(COUNTIF(AI103:AK103,"Ya")&gt;=2,10,IF(COUNTIF(AI103:AK103,"Ya")=1,MAX(5,IF(AM103="Risiko Tinggi/Darurat",10,IF(AM103="Risiko Sedang",5,0))),IF(AL103&lt;&gt;"",IF(AM103="Risiko Tinggi/Darurat",10,IF(AM103="Risiko Sedang",5,"")),IF(COUNTIF(AC103:AK103,"Belum Dinilai")&gt;0,"",0)))))</x:f>
      </x:c>
      <x:c r="AS103" s="719" t="str">
        <x:f>IF(OR(AQ103="",AB103="",AR103=""),"",AQ103+AB103+AR103)</x:f>
      </x:c>
      <x:c r="AT103" s="719" t="str">
        <x:f>IF(AS103="","Belum Dapat Ditentukan",IF(AS103&gt;=80,"Sangat Tinggi",IF(OR(AO103="Risiko Tinggi/Darurat",(IF(L103="Rusak Berat",1,0)+IF(L103="Tidak Ada/Terbuka",1,0)+IF(N103="Rusak Berat",1,0)+IF(N103="Tidak Ada/Terbuka",1,0)+IF(P103="Rusak Berat",1,0)+IF(P103="Tidak Layak",1,0))&gt;=2),"Tinggi",IF(AS103&gt;=65,"Tinggi",IF(AS103&gt;=50,"Sedang","Rendah")))))</x:f>
        <x:v>Belum Dapat Ditentukan</x:v>
      </x:c>
      <x:c r="AU103" s="240" t="str">
        <x:v>Lengkap</x:v>
      </x:c>
      <x:c r="AV103" s="240" t="str">
        <x:v>Sudah Diverifikasi</x:v>
      </x:c>
      <x:c r="AW103" s="240" t="str">
        <x:v>Selesai</x:v>
      </x:c>
      <x:c r="AX103" s="240" t="str">
        <x:v>APBD Kota</x:v>
      </x:c>
      <x:c r="AY103" s="240" t="n">
        <x:v>2021</x:v>
      </x:c>
      <x:c r="AZ103" s="240" t="str">
        <x:v>Belum Diverifikasi</x:v>
      </x:c>
      <x:c r="BA103" s="240"/>
      <x:c r="BB103" s="240"/>
      <x:c r="BC103" s="240" t="n">
        <x:v>2026</x:v>
      </x:c>
      <x:c r="BD103" s="240" t="str">
        <x:v>Usulan Musrenbang/Pokir DPRD</x:v>
      </x:c>
      <x:c r="BE103" s="240" t="n">
        <x:v>46218</x:v>
      </x:c>
      <x:c r="BF103" s="240" t="str">
        <x:v>Dinas Perkim Kota Pangkalpinang</x:v>
      </x:c>
    </x:row>
    <x:row r="104" ht="32" customHeight="1">
      <x:c r="A104" s="314" t="str">
        <x:v>RTLH-0125</x:v>
      </x:c>
      <x:c r="B104" s="315" t="str">
        <x:v>AGUSTIAR FERNANDI</x:v>
      </x:c>
      <x:c r="C104" s="316"/>
      <x:c r="D104" s="316"/>
      <x:c r="E104" s="315" t="str">
        <x:v>RT/02 SAMPING RUMAH PAK RT</x:v>
      </x:c>
      <x:c r="F104" s="315" t="str">
        <x:v>AIR ITAM</x:v>
      </x:c>
      <x:c r="G104" s="315" t="str">
        <x:v>BUKIT INTAN</x:v>
      </x:c>
      <x:c r="H104" s="315" t="str">
        <x:v>Peningkatan Kualitas</x:v>
      </x:c>
      <x:c r="I104" s="317" t="str">
        <x:v>FULL PAPAN</x:v>
      </x:c>
      <x:c r="J104" s="315" t="str">
        <x:v>Nonpermanen</x:v>
      </x:c>
      <x:c r="K104" s="315" t="str">
        <x:v>Belum Diidentifikasi</x:v>
      </x:c>
      <x:c r="L104" s="315" t="str">
        <x:v>Belum Dinilai</x:v>
      </x:c>
      <x:c r="M104" s="367" t="str">
        <x:v>Papan/Kayu</x:v>
      </x:c>
      <x:c r="N104" s="315" t="str">
        <x:v>Belum Dinilai</x:v>
      </x:c>
      <x:c r="O104" s="316" t="str">
        <x:v>Belum Diidentifikasi</x:v>
      </x:c>
      <x:c r="P104" s="349" t="str">
        <x:v>Belum Dinilai</x:v>
      </x:c>
      <x:c r="Q104" s="707" t="str">
        <x:v>Belum Dinilai</x:v>
      </x:c>
      <x:c r="R104" s="707" t="str">
        <x:v>Belum Dinilai</x:v>
      </x:c>
      <x:c r="S104" s="708" t="str">
        <x:v>Belum Dinilai</x:v>
      </x:c>
      <x:c r="T104" s="709" t="str">
        <x:v>Belum Dinilai</x:v>
      </x:c>
      <x:c r="U104" s="704" t="str">
        <x:v>Belum Dinilai</x:v>
      </x:c>
      <x:c r="V104" s="704" t="str">
        <x:v>Belum Dinilai</x:v>
      </x:c>
      <x:c r="W104" s="704" t="str"/>
      <x:c r="X104" s="704" t="str">
        <x:f>IF(COUNTIF(R104:V104,"Belum Dinilai")&gt;0,"Belum Dinilai",IF(COUNTIF(R104:V104,"Ya")=0,"Tidak ada faktor rentan",TEXTJOIN(", ",TRUE,IF(R104="Ya","Lansia",""),IF(S104="Ya","Penyandang disabilitas",""),IF(T104="Ya","Kepala keluarga perempuan",""),IF(U104="Ya","Balita",""),IF(V104="Ya","Anggota keluarga dengan ketergantungan tinggi",""))))</x:f>
        <x:v>Belum Dinilai</x:v>
      </x:c>
      <x:c r="Y104" s="704" t="str">
        <x:f>IF(COUNTIF(R104:V104,"Belum Dinilai")&gt;0,"Belum Dinilai",IF(COUNTIF(R104:V104,"Ya")=0,"Tidak Ada Faktor Rentan",IF(COUNTIF(R104:V104,"Ya")=1,"1 Faktor Rentan","2 atau Lebih Faktor Rentan")))</x:f>
        <x:v>Belum Dinilai</x:v>
      </x:c>
      <x:c r="Z104" s="704" t="str">
        <x:f>IF(OR(Q104="",Q104="Belum Dinilai"),"",IF(Q104="Terverifikasi DTKS/P3KE/MBR",10,IF(Q104="Diusulkan, Belum Terverifikasi",5,0)))</x:f>
      </x:c>
      <x:c r="AA104" s="705" t="str">
        <x:f>IF(COUNTIF(R104:V104,"Belum Dinilai")&gt;0,"",IF(COUNTIF(R104:V104,"Ya")=0,0,IF(COUNTIF(R104:V104,"Ya")=1,5,10)))</x:f>
      </x:c>
      <x:c r="AB104" s="706" t="str">
        <x:f>IF(OR(Z104="",AA104=""),"",Z104+AA104)</x:f>
      </x:c>
      <x:c r="AC104" s="713" t="str">
        <x:v>Belum Dinilai</x:v>
      </x:c>
      <x:c r="AD104" s="713" t="str">
        <x:v>Belum Dinilai</x:v>
      </x:c>
      <x:c r="AE104" s="714" t="str">
        <x:v>Belum Dinilai</x:v>
      </x:c>
      <x:c r="AF104" s="713" t="str">
        <x:v>Belum Dinilai</x:v>
      </x:c>
      <x:c r="AG104" s="713" t="str">
        <x:v>Belum Dinilai</x:v>
      </x:c>
      <x:c r="AH104" s="715" t="str">
        <x:v>Belum Dinilai</x:v>
      </x:c>
      <x:c r="AI104" s="714" t="str">
        <x:v>Belum Dinilai</x:v>
      </x:c>
      <x:c r="AJ104" s="713" t="str">
        <x:v>Belum Dinilai</x:v>
      </x:c>
      <x:c r="AK104" s="715" t="str">
        <x:v>Belum Dinilai</x:v>
      </x:c>
      <x:c r="AL104" s="713" t="str"/>
      <x:c r="AM104" s="716" t="str">
        <x:v>Belum Dinilai</x:v>
      </x:c>
      <x:c r="AN104" s="716" t="str">
        <x:f>IF(AND(COUNTIF(AC104:AK104,"Ya")=0,AL104=""),IF(COUNTIF(AC104:AK104,"Belum Dinilai")&gt;0,"Belum Dinilai","Tidak ada risiko khusus"),TEXTJOIN(", ",TRUE,IF(AC104="Ya","Bangunan berpotensi roboh",""),IF(AD104="Ya","Bekas kebakaran dan tidak aman dihuni",""),IF(AE104="Ya","Atap atau dinding utama hampir runtuh",""),IF(AF104="Ya","Genangan yang membahayakan",""),IF(AG104="Ya","Struktur rumah tidak stabil",""),IF(AH104="Ya","Instalasi listrik berbahaya",""),IF(AI104="Ya","Komponen bangunan lepas atau lapuk",""),IF(AJ104="Ya","Akses keluar atau evakuasi terbatas",""),IF(AK104="Ya","Lokasi rawan bencana",""),IF(AL104&lt;&gt;"","Lainnya: "&amp;AL104,"")))</x:f>
        <x:v>Belum Dinilai</x:v>
      </x:c>
      <x:c r="AO104" s="716" t="str">
        <x:f>IF(AR104="","Belum Dinilai",IF(AR104=10,"Risiko Tinggi/Darurat",IF(AR104=5,"Risiko Sedang","Tidak Ada Risiko Khusus")))</x:f>
        <x:v>Belum Dinilai</x:v>
      </x:c>
      <x:c r="AP104" s="716" t="str"/>
      <x:c r="AQ104" s="719" t="str">
        <x:f>IF(OR(J104="",J104="Belum Dapat Ditentukan",L104="",L104="Belum Dinilai",N104="",N104="Belum Dinilai",P104="",P104="Belum Dinilai"),"",IF(J104="Permanen",0,IF(J104="Semipermanen",8,IF(J104="Nonpermanen",15,0)))+IF(L104="Baik",0,IF(L104="Rusak Ringan",5,IF(L104="Rusak Sedang",10,IF(L104="Rusak Berat",15,IF(L104="Tidak Ada/Terbuka",20,0)))))+IF(N104="Baik",0,IF(N104="Rusak Ringan",5,IF(N104="Rusak Sedang",10,IF(N104="Rusak Berat",15,IF(N104="Tidak Ada/Terbuka",20,0)))))+IF(P104="Baik",0,IF(P104="Rusak Ringan",4,IF(P104="Rusak Sedang",8,IF(P104="Rusak Berat",12,IF(P104="Tidak Layak",15,0))))))</x:f>
      </x:c>
      <x:c r="AR104" s="719" t="str">
        <x:f>IF(COUNTIF(AC104:AH104,"Ya")&gt;0,10,IF(COUNTIF(AI104:AK104,"Ya")&gt;=2,10,IF(COUNTIF(AI104:AK104,"Ya")=1,MAX(5,IF(AM104="Risiko Tinggi/Darurat",10,IF(AM104="Risiko Sedang",5,0))),IF(AL104&lt;&gt;"",IF(AM104="Risiko Tinggi/Darurat",10,IF(AM104="Risiko Sedang",5,"")),IF(COUNTIF(AC104:AK104,"Belum Dinilai")&gt;0,"",0)))))</x:f>
      </x:c>
      <x:c r="AS104" s="719" t="str">
        <x:f>IF(OR(AQ104="",AB104="",AR104=""),"",AQ104+AB104+AR104)</x:f>
      </x:c>
      <x:c r="AT104" s="719" t="str">
        <x:f>IF(AS104="","Belum Dapat Ditentukan",IF(AS104&gt;=80,"Sangat Tinggi",IF(OR(AO104="Risiko Tinggi/Darurat",(IF(L104="Rusak Berat",1,0)+IF(L104="Tidak Ada/Terbuka",1,0)+IF(N104="Rusak Berat",1,0)+IF(N104="Tidak Ada/Terbuka",1,0)+IF(P104="Rusak Berat",1,0)+IF(P104="Tidak Layak",1,0))&gt;=2),"Tinggi",IF(AS104&gt;=65,"Tinggi",IF(AS104&gt;=50,"Sedang","Rendah")))))</x:f>
        <x:v>Belum Dapat Ditentukan</x:v>
      </x:c>
      <x:c r="AU104" s="240" t="str">
        <x:v>Lengkap</x:v>
      </x:c>
      <x:c r="AV104" s="240" t="str">
        <x:v>Sudah Diverifikasi</x:v>
      </x:c>
      <x:c r="AW104" s="240" t="str">
        <x:v>Selesai</x:v>
      </x:c>
      <x:c r="AX104" s="240" t="str">
        <x:v>APBD Kota</x:v>
      </x:c>
      <x:c r="AY104" s="240" t="n">
        <x:v>2022</x:v>
      </x:c>
      <x:c r="AZ104" s="240" t="str">
        <x:v>Belum Diverifikasi</x:v>
      </x:c>
      <x:c r="BA104" s="240"/>
      <x:c r="BB104" s="240"/>
      <x:c r="BC104" s="240" t="n">
        <x:v>2026</x:v>
      </x:c>
      <x:c r="BD104" s="240" t="str">
        <x:v>Usulan Musrenbang/Pokir DPRD</x:v>
      </x:c>
      <x:c r="BE104" s="240" t="n">
        <x:v>46218</x:v>
      </x:c>
      <x:c r="BF104" s="240" t="str">
        <x:v>Dinas Perkim Kota Pangkalpinang</x:v>
      </x:c>
    </x:row>
    <x:row r="105" ht="32" customHeight="1">
      <x:c r="A105" s="314" t="str">
        <x:v>RTLH-0127</x:v>
      </x:c>
      <x:c r="B105" s="315" t="str">
        <x:v>ACUNG</x:v>
      </x:c>
      <x:c r="C105" s="316"/>
      <x:c r="D105" s="316"/>
      <x:c r="E105" s="315" t="str">
        <x:v>JL.ALEXANDER RT/RW 002/003</x:v>
      </x:c>
      <x:c r="F105" s="315" t="str">
        <x:v>BACANG</x:v>
      </x:c>
      <x:c r="G105" s="315" t="str">
        <x:v>BUKIT INTAN</x:v>
      </x:c>
      <x:c r="H105" s="315" t="str">
        <x:v>Pembangunan Baru</x:v>
      </x:c>
      <x:c r="I105" s="317" t="str">
        <x:v>FULL PAPAN</x:v>
      </x:c>
      <x:c r="J105" s="315" t="str">
        <x:v>Nonpermanen</x:v>
      </x:c>
      <x:c r="K105" s="315" t="str">
        <x:v>Belum Diidentifikasi</x:v>
      </x:c>
      <x:c r="L105" s="315" t="str">
        <x:v>Belum Dinilai</x:v>
      </x:c>
      <x:c r="M105" s="367" t="str">
        <x:v>Papan/Kayu</x:v>
      </x:c>
      <x:c r="N105" s="315" t="str">
        <x:v>Belum Dinilai</x:v>
      </x:c>
      <x:c r="O105" s="316" t="str">
        <x:v>Belum Diidentifikasi</x:v>
      </x:c>
      <x:c r="P105" s="349" t="str">
        <x:v>Belum Dinilai</x:v>
      </x:c>
      <x:c r="Q105" s="707" t="str">
        <x:v>Belum Dinilai</x:v>
      </x:c>
      <x:c r="R105" s="707" t="str">
        <x:v>Belum Dinilai</x:v>
      </x:c>
      <x:c r="S105" s="708" t="str">
        <x:v>Belum Dinilai</x:v>
      </x:c>
      <x:c r="T105" s="709" t="str">
        <x:v>Belum Dinilai</x:v>
      </x:c>
      <x:c r="U105" s="704" t="str">
        <x:v>Belum Dinilai</x:v>
      </x:c>
      <x:c r="V105" s="704" t="str">
        <x:v>Belum Dinilai</x:v>
      </x:c>
      <x:c r="W105" s="704" t="str"/>
      <x:c r="X105" s="704" t="str">
        <x:f>IF(COUNTIF(R105:V105,"Belum Dinilai")&gt;0,"Belum Dinilai",IF(COUNTIF(R105:V105,"Ya")=0,"Tidak ada faktor rentan",TEXTJOIN(", ",TRUE,IF(R105="Ya","Lansia",""),IF(S105="Ya","Penyandang disabilitas",""),IF(T105="Ya","Kepala keluarga perempuan",""),IF(U105="Ya","Balita",""),IF(V105="Ya","Anggota keluarga dengan ketergantungan tinggi",""))))</x:f>
        <x:v>Belum Dinilai</x:v>
      </x:c>
      <x:c r="Y105" s="704" t="str">
        <x:f>IF(COUNTIF(R105:V105,"Belum Dinilai")&gt;0,"Belum Dinilai",IF(COUNTIF(R105:V105,"Ya")=0,"Tidak Ada Faktor Rentan",IF(COUNTIF(R105:V105,"Ya")=1,"1 Faktor Rentan","2 atau Lebih Faktor Rentan")))</x:f>
        <x:v>Belum Dinilai</x:v>
      </x:c>
      <x:c r="Z105" s="704" t="str">
        <x:f>IF(OR(Q105="",Q105="Belum Dinilai"),"",IF(Q105="Terverifikasi DTKS/P3KE/MBR",10,IF(Q105="Diusulkan, Belum Terverifikasi",5,0)))</x:f>
      </x:c>
      <x:c r="AA105" s="705" t="str">
        <x:f>IF(COUNTIF(R105:V105,"Belum Dinilai")&gt;0,"",IF(COUNTIF(R105:V105,"Ya")=0,0,IF(COUNTIF(R105:V105,"Ya")=1,5,10)))</x:f>
      </x:c>
      <x:c r="AB105" s="706" t="str">
        <x:f>IF(OR(Z105="",AA105=""),"",Z105+AA105)</x:f>
      </x:c>
      <x:c r="AC105" s="713" t="str">
        <x:v>Belum Dinilai</x:v>
      </x:c>
      <x:c r="AD105" s="713" t="str">
        <x:v>Belum Dinilai</x:v>
      </x:c>
      <x:c r="AE105" s="714" t="str">
        <x:v>Belum Dinilai</x:v>
      </x:c>
      <x:c r="AF105" s="713" t="str">
        <x:v>Belum Dinilai</x:v>
      </x:c>
      <x:c r="AG105" s="713" t="str">
        <x:v>Belum Dinilai</x:v>
      </x:c>
      <x:c r="AH105" s="715" t="str">
        <x:v>Belum Dinilai</x:v>
      </x:c>
      <x:c r="AI105" s="714" t="str">
        <x:v>Belum Dinilai</x:v>
      </x:c>
      <x:c r="AJ105" s="713" t="str">
        <x:v>Belum Dinilai</x:v>
      </x:c>
      <x:c r="AK105" s="715" t="str">
        <x:v>Belum Dinilai</x:v>
      </x:c>
      <x:c r="AL105" s="713" t="str"/>
      <x:c r="AM105" s="716" t="str">
        <x:v>Belum Dinilai</x:v>
      </x:c>
      <x:c r="AN105" s="716" t="str">
        <x:f>IF(AND(COUNTIF(AC105:AK105,"Ya")=0,AL105=""),IF(COUNTIF(AC105:AK105,"Belum Dinilai")&gt;0,"Belum Dinilai","Tidak ada risiko khusus"),TEXTJOIN(", ",TRUE,IF(AC105="Ya","Bangunan berpotensi roboh",""),IF(AD105="Ya","Bekas kebakaran dan tidak aman dihuni",""),IF(AE105="Ya","Atap atau dinding utama hampir runtuh",""),IF(AF105="Ya","Genangan yang membahayakan",""),IF(AG105="Ya","Struktur rumah tidak stabil",""),IF(AH105="Ya","Instalasi listrik berbahaya",""),IF(AI105="Ya","Komponen bangunan lepas atau lapuk",""),IF(AJ105="Ya","Akses keluar atau evakuasi terbatas",""),IF(AK105="Ya","Lokasi rawan bencana",""),IF(AL105&lt;&gt;"","Lainnya: "&amp;AL105,"")))</x:f>
        <x:v>Belum Dinilai</x:v>
      </x:c>
      <x:c r="AO105" s="716" t="str">
        <x:f>IF(AR105="","Belum Dinilai",IF(AR105=10,"Risiko Tinggi/Darurat",IF(AR105=5,"Risiko Sedang","Tidak Ada Risiko Khusus")))</x:f>
        <x:v>Belum Dinilai</x:v>
      </x:c>
      <x:c r="AP105" s="716" t="str"/>
      <x:c r="AQ105" s="719" t="str">
        <x:f>IF(OR(J105="",J105="Belum Dapat Ditentukan",L105="",L105="Belum Dinilai",N105="",N105="Belum Dinilai",P105="",P105="Belum Dinilai"),"",IF(J105="Permanen",0,IF(J105="Semipermanen",8,IF(J105="Nonpermanen",15,0)))+IF(L105="Baik",0,IF(L105="Rusak Ringan",5,IF(L105="Rusak Sedang",10,IF(L105="Rusak Berat",15,IF(L105="Tidak Ada/Terbuka",20,0)))))+IF(N105="Baik",0,IF(N105="Rusak Ringan",5,IF(N105="Rusak Sedang",10,IF(N105="Rusak Berat",15,IF(N105="Tidak Ada/Terbuka",20,0)))))+IF(P105="Baik",0,IF(P105="Rusak Ringan",4,IF(P105="Rusak Sedang",8,IF(P105="Rusak Berat",12,IF(P105="Tidak Layak",15,0))))))</x:f>
      </x:c>
      <x:c r="AR105" s="719" t="str">
        <x:f>IF(COUNTIF(AC105:AH105,"Ya")&gt;0,10,IF(COUNTIF(AI105:AK105,"Ya")&gt;=2,10,IF(COUNTIF(AI105:AK105,"Ya")=1,MAX(5,IF(AM105="Risiko Tinggi/Darurat",10,IF(AM105="Risiko Sedang",5,0))),IF(AL105&lt;&gt;"",IF(AM105="Risiko Tinggi/Darurat",10,IF(AM105="Risiko Sedang",5,"")),IF(COUNTIF(AC105:AK105,"Belum Dinilai")&gt;0,"",0)))))</x:f>
      </x:c>
      <x:c r="AS105" s="719" t="str">
        <x:f>IF(OR(AQ105="",AB105="",AR105=""),"",AQ105+AB105+AR105)</x:f>
      </x:c>
      <x:c r="AT105" s="719" t="str">
        <x:f>IF(AS105="","Belum Dapat Ditentukan",IF(AS105&gt;=80,"Sangat Tinggi",IF(OR(AO105="Risiko Tinggi/Darurat",(IF(L105="Rusak Berat",1,0)+IF(L105="Tidak Ada/Terbuka",1,0)+IF(N105="Rusak Berat",1,0)+IF(N105="Tidak Ada/Terbuka",1,0)+IF(P105="Rusak Berat",1,0)+IF(P105="Tidak Layak",1,0))&gt;=2),"Tinggi",IF(AS105&gt;=65,"Tinggi",IF(AS105&gt;=50,"Sedang","Rendah")))))</x:f>
        <x:v>Belum Dapat Ditentukan</x:v>
      </x:c>
      <x:c r="AU105" s="240" t="str">
        <x:v>Lengkap</x:v>
      </x:c>
      <x:c r="AV105" s="240" t="str">
        <x:v>Sudah Diverifikasi</x:v>
      </x:c>
      <x:c r="AW105" s="240" t="str">
        <x:v>Selesai</x:v>
      </x:c>
      <x:c r="AX105" s="240" t="str">
        <x:v>APBD Kota</x:v>
      </x:c>
      <x:c r="AY105" s="240" t="n">
        <x:v>2023</x:v>
      </x:c>
      <x:c r="AZ105" s="240" t="str">
        <x:v>Belum Diverifikasi</x:v>
      </x:c>
      <x:c r="BA105" s="240"/>
      <x:c r="BB105" s="240"/>
      <x:c r="BC105" s="240" t="n">
        <x:v>2026</x:v>
      </x:c>
      <x:c r="BD105" s="240" t="str">
        <x:v>Usulan Musrenbang/Pokir DPRD</x:v>
      </x:c>
      <x:c r="BE105" s="240" t="n">
        <x:v>46218</x:v>
      </x:c>
      <x:c r="BF105" s="240" t="str">
        <x:v>Dinas Perkim Kota Pangkalpinang</x:v>
      </x:c>
    </x:row>
    <x:row r="106" ht="32" customHeight="1">
      <x:c r="A106" s="314" t="str">
        <x:v>RTLH-0128</x:v>
      </x:c>
      <x:c r="B106" s="315" t="str">
        <x:v>LEO SANDI</x:v>
      </x:c>
      <x:c r="C106" s="316"/>
      <x:c r="D106" s="316"/>
      <x:c r="E106" s="315" t="str">
        <x:v>GG.ALEKSANDER II RT/RW 007/003</x:v>
      </x:c>
      <x:c r="F106" s="315" t="str">
        <x:v>BACANG</x:v>
      </x:c>
      <x:c r="G106" s="315" t="str">
        <x:v>BUKIT INTAN</x:v>
      </x:c>
      <x:c r="H106" s="315" t="str">
        <x:v>Peningkatan Kualitas</x:v>
      </x:c>
      <x:c r="I106" s="317" t="str">
        <x:v>RUMAH KORBAN KEBAKARAN, ATAP RUSAK BERAT</x:v>
      </x:c>
      <x:c r="J106" s="315" t="str">
        <x:v>Belum Dapat Ditentukan</x:v>
      </x:c>
      <x:c r="K106" s="315" t="str">
        <x:v>Belum Diidentifikasi</x:v>
      </x:c>
      <x:c r="L106" s="315" t="str">
        <x:v>Rusak Berat</x:v>
      </x:c>
      <x:c r="M106" s="367" t="str">
        <x:v>Belum Diidentifikasi</x:v>
      </x:c>
      <x:c r="N106" s="315" t="str">
        <x:v>Belum Dinilai</x:v>
      </x:c>
      <x:c r="O106" s="316" t="str">
        <x:v>Belum Diidentifikasi</x:v>
      </x:c>
      <x:c r="P106" s="349" t="str">
        <x:v>Belum Dinilai</x:v>
      </x:c>
      <x:c r="Q106" s="707" t="str">
        <x:v>Belum Dinilai</x:v>
      </x:c>
      <x:c r="R106" s="707" t="str">
        <x:v>Belum Dinilai</x:v>
      </x:c>
      <x:c r="S106" s="708" t="str">
        <x:v>Belum Dinilai</x:v>
      </x:c>
      <x:c r="T106" s="709" t="str">
        <x:v>Belum Dinilai</x:v>
      </x:c>
      <x:c r="U106" s="704" t="str">
        <x:v>Belum Dinilai</x:v>
      </x:c>
      <x:c r="V106" s="704" t="str">
        <x:v>Belum Dinilai</x:v>
      </x:c>
      <x:c r="W106" s="704" t="str"/>
      <x:c r="X106" s="704" t="str">
        <x:f>IF(COUNTIF(R106:V106,"Belum Dinilai")&gt;0,"Belum Dinilai",IF(COUNTIF(R106:V106,"Ya")=0,"Tidak ada faktor rentan",TEXTJOIN(", ",TRUE,IF(R106="Ya","Lansia",""),IF(S106="Ya","Penyandang disabilitas",""),IF(T106="Ya","Kepala keluarga perempuan",""),IF(U106="Ya","Balita",""),IF(V106="Ya","Anggota keluarga dengan ketergantungan tinggi",""))))</x:f>
        <x:v>Belum Dinilai</x:v>
      </x:c>
      <x:c r="Y106" s="704" t="str">
        <x:f>IF(COUNTIF(R106:V106,"Belum Dinilai")&gt;0,"Belum Dinilai",IF(COUNTIF(R106:V106,"Ya")=0,"Tidak Ada Faktor Rentan",IF(COUNTIF(R106:V106,"Ya")=1,"1 Faktor Rentan","2 atau Lebih Faktor Rentan")))</x:f>
        <x:v>Belum Dinilai</x:v>
      </x:c>
      <x:c r="Z106" s="704" t="str">
        <x:f>IF(OR(Q106="",Q106="Belum Dinilai"),"",IF(Q106="Terverifikasi DTKS/P3KE/MBR",10,IF(Q106="Diusulkan, Belum Terverifikasi",5,0)))</x:f>
      </x:c>
      <x:c r="AA106" s="705" t="str">
        <x:f>IF(COUNTIF(R106:V106,"Belum Dinilai")&gt;0,"",IF(COUNTIF(R106:V106,"Ya")=0,0,IF(COUNTIF(R106:V106,"Ya")=1,5,10)))</x:f>
      </x:c>
      <x:c r="AB106" s="706" t="str">
        <x:f>IF(OR(Z106="",AA106=""),"",Z106+AA106)</x:f>
      </x:c>
      <x:c r="AC106" s="713" t="str">
        <x:v>Belum Dinilai</x:v>
      </x:c>
      <x:c r="AD106" s="713" t="str">
        <x:v>Belum Dinilai</x:v>
      </x:c>
      <x:c r="AE106" s="714" t="str">
        <x:v>Belum Dinilai</x:v>
      </x:c>
      <x:c r="AF106" s="713" t="str">
        <x:v>Belum Dinilai</x:v>
      </x:c>
      <x:c r="AG106" s="713" t="str">
        <x:v>Belum Dinilai</x:v>
      </x:c>
      <x:c r="AH106" s="715" t="str">
        <x:v>Belum Dinilai</x:v>
      </x:c>
      <x:c r="AI106" s="714" t="str">
        <x:v>Belum Dinilai</x:v>
      </x:c>
      <x:c r="AJ106" s="713" t="str">
        <x:v>Belum Dinilai</x:v>
      </x:c>
      <x:c r="AK106" s="715" t="str">
        <x:v>Belum Dinilai</x:v>
      </x:c>
      <x:c r="AL106" s="713" t="str"/>
      <x:c r="AM106" s="716" t="str">
        <x:v>Belum Dinilai</x:v>
      </x:c>
      <x:c r="AN106" s="716" t="str">
        <x:f>IF(AND(COUNTIF(AC106:AK106,"Ya")=0,AL106=""),IF(COUNTIF(AC106:AK106,"Belum Dinilai")&gt;0,"Belum Dinilai","Tidak ada risiko khusus"),TEXTJOIN(", ",TRUE,IF(AC106="Ya","Bangunan berpotensi roboh",""),IF(AD106="Ya","Bekas kebakaran dan tidak aman dihuni",""),IF(AE106="Ya","Atap atau dinding utama hampir runtuh",""),IF(AF106="Ya","Genangan yang membahayakan",""),IF(AG106="Ya","Struktur rumah tidak stabil",""),IF(AH106="Ya","Instalasi listrik berbahaya",""),IF(AI106="Ya","Komponen bangunan lepas atau lapuk",""),IF(AJ106="Ya","Akses keluar atau evakuasi terbatas",""),IF(AK106="Ya","Lokasi rawan bencana",""),IF(AL106&lt;&gt;"","Lainnya: "&amp;AL106,"")))</x:f>
        <x:v>Belum Dinilai</x:v>
      </x:c>
      <x:c r="AO106" s="716" t="str">
        <x:f>IF(AR106="","Belum Dinilai",IF(AR106=10,"Risiko Tinggi/Darurat",IF(AR106=5,"Risiko Sedang","Tidak Ada Risiko Khusus")))</x:f>
        <x:v>Belum Dinilai</x:v>
      </x:c>
      <x:c r="AP106" s="716" t="str"/>
      <x:c r="AQ106" s="719" t="str">
        <x:f>IF(OR(J106="",J106="Belum Dapat Ditentukan",L106="",L106="Belum Dinilai",N106="",N106="Belum Dinilai",P106="",P106="Belum Dinilai"),"",IF(J106="Permanen",0,IF(J106="Semipermanen",8,IF(J106="Nonpermanen",15,0)))+IF(L106="Baik",0,IF(L106="Rusak Ringan",5,IF(L106="Rusak Sedang",10,IF(L106="Rusak Berat",15,IF(L106="Tidak Ada/Terbuka",20,0)))))+IF(N106="Baik",0,IF(N106="Rusak Ringan",5,IF(N106="Rusak Sedang",10,IF(N106="Rusak Berat",15,IF(N106="Tidak Ada/Terbuka",20,0)))))+IF(P106="Baik",0,IF(P106="Rusak Ringan",4,IF(P106="Rusak Sedang",8,IF(P106="Rusak Berat",12,IF(P106="Tidak Layak",15,0))))))</x:f>
      </x:c>
      <x:c r="AR106" s="719" t="str">
        <x:f>IF(COUNTIF(AC106:AH106,"Ya")&gt;0,10,IF(COUNTIF(AI106:AK106,"Ya")&gt;=2,10,IF(COUNTIF(AI106:AK106,"Ya")=1,MAX(5,IF(AM106="Risiko Tinggi/Darurat",10,IF(AM106="Risiko Sedang",5,0))),IF(AL106&lt;&gt;"",IF(AM106="Risiko Tinggi/Darurat",10,IF(AM106="Risiko Sedang",5,"")),IF(COUNTIF(AC106:AK106,"Belum Dinilai")&gt;0,"",0)))))</x:f>
      </x:c>
      <x:c r="AS106" s="719" t="str">
        <x:f>IF(OR(AQ106="",AB106="",AR106=""),"",AQ106+AB106+AR106)</x:f>
      </x:c>
      <x:c r="AT106" s="719" t="str">
        <x:f>IF(AS106="","Belum Dapat Ditentukan",IF(AS106&gt;=80,"Sangat Tinggi",IF(OR(AO106="Risiko Tinggi/Darurat",(IF(L106="Rusak Berat",1,0)+IF(L106="Tidak Ada/Terbuka",1,0)+IF(N106="Rusak Berat",1,0)+IF(N106="Tidak Ada/Terbuka",1,0)+IF(P106="Rusak Berat",1,0)+IF(P106="Tidak Layak",1,0))&gt;=2),"Tinggi",IF(AS106&gt;=65,"Tinggi",IF(AS106&gt;=50,"Sedang","Rendah")))))</x:f>
        <x:v>Belum Dapat Ditentukan</x:v>
      </x:c>
      <x:c r="AU106" s="240" t="str">
        <x:v>Belum Lengkap</x:v>
      </x:c>
      <x:c r="AV106" s="240" t="str">
        <x:v>Sudah Diverifikasi</x:v>
      </x:c>
      <x:c r="AW106" s="240" t="str">
        <x:v>Belum Ditangani</x:v>
      </x:c>
      <x:c r="AX106" s="240"/>
      <x:c r="AY106" s="240"/>
      <x:c r="AZ106" s="240" t="str">
        <x:v>Belum Diverifikasi</x:v>
      </x:c>
      <x:c r="BA106" s="240"/>
      <x:c r="BB106" s="240"/>
      <x:c r="BC106" s="240" t="n">
        <x:v>2026</x:v>
      </x:c>
      <x:c r="BD106" s="240" t="str">
        <x:v>Usulan Musrenbang/Pokir DPRD</x:v>
      </x:c>
      <x:c r="BE106" s="240" t="n">
        <x:v>46218</x:v>
      </x:c>
      <x:c r="BF106" s="240" t="str">
        <x:v>Dinas Perkim Kota Pangkalpinang</x:v>
      </x:c>
    </x:row>
    <x:row r="107" ht="32" customHeight="1">
      <x:c r="A107" s="314" t="str">
        <x:v>RTLH-0129</x:v>
      </x:c>
      <x:c r="B107" s="315" t="str">
        <x:v>APO</x:v>
      </x:c>
      <x:c r="C107" s="316"/>
      <x:c r="D107" s="316"/>
      <x:c r="E107" s="315" t="str">
        <x:v>Belum tersedia</x:v>
      </x:c>
      <x:c r="F107" s="315" t="str">
        <x:v>BACANG</x:v>
      </x:c>
      <x:c r="G107" s="315" t="str">
        <x:v>BUKIT INTAN</x:v>
      </x:c>
      <x:c r="H107" s="315" t="str">
        <x:v>Belum Ditentukan</x:v>
      </x:c>
      <x:c r="I107" s="317" t="str">
        <x:v>RUMAH PERMANEN</x:v>
      </x:c>
      <x:c r="J107" s="315" t="str">
        <x:v>Permanen</x:v>
      </x:c>
      <x:c r="K107" s="315" t="str">
        <x:v>Belum Diidentifikasi</x:v>
      </x:c>
      <x:c r="L107" s="315" t="str">
        <x:v>Belum Dinilai</x:v>
      </x:c>
      <x:c r="M107" s="367" t="str">
        <x:v>Dinding Permanen (Material tidak dirinci)</x:v>
      </x:c>
      <x:c r="N107" s="315" t="str">
        <x:v>Belum Dinilai</x:v>
      </x:c>
      <x:c r="O107" s="316" t="str">
        <x:v>Belum Diidentifikasi</x:v>
      </x:c>
      <x:c r="P107" s="349" t="str">
        <x:v>Belum Dinilai</x:v>
      </x:c>
      <x:c r="Q107" s="707" t="str">
        <x:v>Belum Dinilai</x:v>
      </x:c>
      <x:c r="R107" s="707" t="str">
        <x:v>Belum Dinilai</x:v>
      </x:c>
      <x:c r="S107" s="708" t="str">
        <x:v>Belum Dinilai</x:v>
      </x:c>
      <x:c r="T107" s="709" t="str">
        <x:v>Belum Dinilai</x:v>
      </x:c>
      <x:c r="U107" s="704" t="str">
        <x:v>Belum Dinilai</x:v>
      </x:c>
      <x:c r="V107" s="704" t="str">
        <x:v>Belum Dinilai</x:v>
      </x:c>
      <x:c r="W107" s="704" t="str"/>
      <x:c r="X107" s="704" t="str">
        <x:f>IF(COUNTIF(R107:V107,"Belum Dinilai")&gt;0,"Belum Dinilai",IF(COUNTIF(R107:V107,"Ya")=0,"Tidak ada faktor rentan",TEXTJOIN(", ",TRUE,IF(R107="Ya","Lansia",""),IF(S107="Ya","Penyandang disabilitas",""),IF(T107="Ya","Kepala keluarga perempuan",""),IF(U107="Ya","Balita",""),IF(V107="Ya","Anggota keluarga dengan ketergantungan tinggi",""))))</x:f>
        <x:v>Belum Dinilai</x:v>
      </x:c>
      <x:c r="Y107" s="704" t="str">
        <x:f>IF(COUNTIF(R107:V107,"Belum Dinilai")&gt;0,"Belum Dinilai",IF(COUNTIF(R107:V107,"Ya")=0,"Tidak Ada Faktor Rentan",IF(COUNTIF(R107:V107,"Ya")=1,"1 Faktor Rentan","2 atau Lebih Faktor Rentan")))</x:f>
        <x:v>Belum Dinilai</x:v>
      </x:c>
      <x:c r="Z107" s="704" t="str">
        <x:f>IF(OR(Q107="",Q107="Belum Dinilai"),"",IF(Q107="Terverifikasi DTKS/P3KE/MBR",10,IF(Q107="Diusulkan, Belum Terverifikasi",5,0)))</x:f>
      </x:c>
      <x:c r="AA107" s="705" t="str">
        <x:f>IF(COUNTIF(R107:V107,"Belum Dinilai")&gt;0,"",IF(COUNTIF(R107:V107,"Ya")=0,0,IF(COUNTIF(R107:V107,"Ya")=1,5,10)))</x:f>
      </x:c>
      <x:c r="AB107" s="706" t="str">
        <x:f>IF(OR(Z107="",AA107=""),"",Z107+AA107)</x:f>
      </x:c>
      <x:c r="AC107" s="713" t="str">
        <x:v>Belum Dinilai</x:v>
      </x:c>
      <x:c r="AD107" s="713" t="str">
        <x:v>Belum Dinilai</x:v>
      </x:c>
      <x:c r="AE107" s="714" t="str">
        <x:v>Belum Dinilai</x:v>
      </x:c>
      <x:c r="AF107" s="713" t="str">
        <x:v>Belum Dinilai</x:v>
      </x:c>
      <x:c r="AG107" s="713" t="str">
        <x:v>Belum Dinilai</x:v>
      </x:c>
      <x:c r="AH107" s="715" t="str">
        <x:v>Belum Dinilai</x:v>
      </x:c>
      <x:c r="AI107" s="714" t="str">
        <x:v>Belum Dinilai</x:v>
      </x:c>
      <x:c r="AJ107" s="713" t="str">
        <x:v>Belum Dinilai</x:v>
      </x:c>
      <x:c r="AK107" s="715" t="str">
        <x:v>Belum Dinilai</x:v>
      </x:c>
      <x:c r="AL107" s="713" t="str"/>
      <x:c r="AM107" s="716" t="str">
        <x:v>Belum Dinilai</x:v>
      </x:c>
      <x:c r="AN107" s="716" t="str">
        <x:f>IF(AND(COUNTIF(AC107:AK107,"Ya")=0,AL107=""),IF(COUNTIF(AC107:AK107,"Belum Dinilai")&gt;0,"Belum Dinilai","Tidak ada risiko khusus"),TEXTJOIN(", ",TRUE,IF(AC107="Ya","Bangunan berpotensi roboh",""),IF(AD107="Ya","Bekas kebakaran dan tidak aman dihuni",""),IF(AE107="Ya","Atap atau dinding utama hampir runtuh",""),IF(AF107="Ya","Genangan yang membahayakan",""),IF(AG107="Ya","Struktur rumah tidak stabil",""),IF(AH107="Ya","Instalasi listrik berbahaya",""),IF(AI107="Ya","Komponen bangunan lepas atau lapuk",""),IF(AJ107="Ya","Akses keluar atau evakuasi terbatas",""),IF(AK107="Ya","Lokasi rawan bencana",""),IF(AL107&lt;&gt;"","Lainnya: "&amp;AL107,"")))</x:f>
        <x:v>Belum Dinilai</x:v>
      </x:c>
      <x:c r="AO107" s="716" t="str">
        <x:f>IF(AR107="","Belum Dinilai",IF(AR107=10,"Risiko Tinggi/Darurat",IF(AR107=5,"Risiko Sedang","Tidak Ada Risiko Khusus")))</x:f>
        <x:v>Belum Dinilai</x:v>
      </x:c>
      <x:c r="AP107" s="716" t="str"/>
      <x:c r="AQ107" s="719" t="str">
        <x:f>IF(OR(J107="",J107="Belum Dapat Ditentukan",L107="",L107="Belum Dinilai",N107="",N107="Belum Dinilai",P107="",P107="Belum Dinilai"),"",IF(J107="Permanen",0,IF(J107="Semipermanen",8,IF(J107="Nonpermanen",15,0)))+IF(L107="Baik",0,IF(L107="Rusak Ringan",5,IF(L107="Rusak Sedang",10,IF(L107="Rusak Berat",15,IF(L107="Tidak Ada/Terbuka",20,0)))))+IF(N107="Baik",0,IF(N107="Rusak Ringan",5,IF(N107="Rusak Sedang",10,IF(N107="Rusak Berat",15,IF(N107="Tidak Ada/Terbuka",20,0)))))+IF(P107="Baik",0,IF(P107="Rusak Ringan",4,IF(P107="Rusak Sedang",8,IF(P107="Rusak Berat",12,IF(P107="Tidak Layak",15,0))))))</x:f>
      </x:c>
      <x:c r="AR107" s="719" t="str">
        <x:f>IF(COUNTIF(AC107:AH107,"Ya")&gt;0,10,IF(COUNTIF(AI107:AK107,"Ya")&gt;=2,10,IF(COUNTIF(AI107:AK107,"Ya")=1,MAX(5,IF(AM107="Risiko Tinggi/Darurat",10,IF(AM107="Risiko Sedang",5,0))),IF(AL107&lt;&gt;"",IF(AM107="Risiko Tinggi/Darurat",10,IF(AM107="Risiko Sedang",5,"")),IF(COUNTIF(AC107:AK107,"Belum Dinilai")&gt;0,"",0)))))</x:f>
      </x:c>
      <x:c r="AS107" s="719" t="str">
        <x:f>IF(OR(AQ107="",AB107="",AR107=""),"",AQ107+AB107+AR107)</x:f>
      </x:c>
      <x:c r="AT107" s="719" t="str">
        <x:f>IF(AS107="","Belum Dapat Ditentukan",IF(AS107&gt;=80,"Sangat Tinggi",IF(OR(AO107="Risiko Tinggi/Darurat",(IF(L107="Rusak Berat",1,0)+IF(L107="Tidak Ada/Terbuka",1,0)+IF(N107="Rusak Berat",1,0)+IF(N107="Tidak Ada/Terbuka",1,0)+IF(P107="Rusak Berat",1,0)+IF(P107="Tidak Layak",1,0))&gt;=2),"Tinggi",IF(AS107&gt;=65,"Tinggi",IF(AS107&gt;=50,"Sedang","Rendah")))))</x:f>
        <x:v>Belum Dapat Ditentukan</x:v>
      </x:c>
      <x:c r="AU107" s="240" t="str">
        <x:v>Belum Lengkap</x:v>
      </x:c>
      <x:c r="AV107" s="240" t="str">
        <x:v>Sudah Diverifikasi</x:v>
      </x:c>
      <x:c r="AW107" s="240" t="str">
        <x:v>Belum Ditangani</x:v>
      </x:c>
      <x:c r="AX107" s="240"/>
      <x:c r="AY107" s="240"/>
      <x:c r="AZ107" s="240" t="str">
        <x:v>Belum Diverifikasi</x:v>
      </x:c>
      <x:c r="BA107" s="240"/>
      <x:c r="BB107" s="240"/>
      <x:c r="BC107" s="240" t="n">
        <x:v>2026</x:v>
      </x:c>
      <x:c r="BD107" s="240" t="str">
        <x:v>Usulan Musrenbang/Pokir DPRD</x:v>
      </x:c>
      <x:c r="BE107" s="240" t="n">
        <x:v>46218</x:v>
      </x:c>
      <x:c r="BF107" s="240" t="str">
        <x:v>Dinas Perkim Kota Pangkalpinang</x:v>
      </x:c>
    </x:row>
    <x:row r="108" ht="32" customHeight="1">
      <x:c r="A108" s="314" t="str">
        <x:v>RTLH-0130</x:v>
      </x:c>
      <x:c r="B108" s="315" t="str">
        <x:v>BELUM DIISI</x:v>
      </x:c>
      <x:c r="C108" s="316"/>
      <x:c r="D108" s="316"/>
      <x:c r="E108" s="315" t="str">
        <x:v>Belum tersedia</x:v>
      </x:c>
      <x:c r="F108" s="315" t="str">
        <x:v>SEMABUNG LAMA</x:v>
      </x:c>
      <x:c r="G108" s="315" t="str">
        <x:v>BUKIT INTAN</x:v>
      </x:c>
      <x:c r="H108" s="315" t="str">
        <x:v>Belum Ditentukan</x:v>
      </x:c>
      <x:c r="I108" s="317" t="str">
        <x:v>RUMAH FULL PAPAN, DAN LANTAI TANAH</x:v>
      </x:c>
      <x:c r="J108" s="315" t="str">
        <x:v>Nonpermanen</x:v>
      </x:c>
      <x:c r="K108" s="315" t="str">
        <x:v>Belum Diidentifikasi</x:v>
      </x:c>
      <x:c r="L108" s="315" t="str">
        <x:v>Belum Dinilai</x:v>
      </x:c>
      <x:c r="M108" s="367" t="str">
        <x:v>Papan/Kayu</x:v>
      </x:c>
      <x:c r="N108" s="315" t="str">
        <x:v>Belum Dinilai</x:v>
      </x:c>
      <x:c r="O108" s="316" t="str">
        <x:v>Tanah</x:v>
      </x:c>
      <x:c r="P108" s="349" t="str">
        <x:v>Tidak Layak</x:v>
      </x:c>
      <x:c r="Q108" s="707" t="str">
        <x:v>Belum Dinilai</x:v>
      </x:c>
      <x:c r="R108" s="707" t="str">
        <x:v>Belum Dinilai</x:v>
      </x:c>
      <x:c r="S108" s="708" t="str">
        <x:v>Belum Dinilai</x:v>
      </x:c>
      <x:c r="T108" s="709" t="str">
        <x:v>Belum Dinilai</x:v>
      </x:c>
      <x:c r="U108" s="704" t="str">
        <x:v>Belum Dinilai</x:v>
      </x:c>
      <x:c r="V108" s="704" t="str">
        <x:v>Belum Dinilai</x:v>
      </x:c>
      <x:c r="W108" s="704" t="str"/>
      <x:c r="X108" s="704" t="str">
        <x:f>IF(COUNTIF(R108:V108,"Belum Dinilai")&gt;0,"Belum Dinilai",IF(COUNTIF(R108:V108,"Ya")=0,"Tidak ada faktor rentan",TEXTJOIN(", ",TRUE,IF(R108="Ya","Lansia",""),IF(S108="Ya","Penyandang disabilitas",""),IF(T108="Ya","Kepala keluarga perempuan",""),IF(U108="Ya","Balita",""),IF(V108="Ya","Anggota keluarga dengan ketergantungan tinggi",""))))</x:f>
        <x:v>Belum Dinilai</x:v>
      </x:c>
      <x:c r="Y108" s="704" t="str">
        <x:f>IF(COUNTIF(R108:V108,"Belum Dinilai")&gt;0,"Belum Dinilai",IF(COUNTIF(R108:V108,"Ya")=0,"Tidak Ada Faktor Rentan",IF(COUNTIF(R108:V108,"Ya")=1,"1 Faktor Rentan","2 atau Lebih Faktor Rentan")))</x:f>
        <x:v>Belum Dinilai</x:v>
      </x:c>
      <x:c r="Z108" s="704" t="str">
        <x:f>IF(OR(Q108="",Q108="Belum Dinilai"),"",IF(Q108="Terverifikasi DTKS/P3KE/MBR",10,IF(Q108="Diusulkan, Belum Terverifikasi",5,0)))</x:f>
      </x:c>
      <x:c r="AA108" s="705" t="str">
        <x:f>IF(COUNTIF(R108:V108,"Belum Dinilai")&gt;0,"",IF(COUNTIF(R108:V108,"Ya")=0,0,IF(COUNTIF(R108:V108,"Ya")=1,5,10)))</x:f>
      </x:c>
      <x:c r="AB108" s="706" t="str">
        <x:f>IF(OR(Z108="",AA108=""),"",Z108+AA108)</x:f>
      </x:c>
      <x:c r="AC108" s="713" t="str">
        <x:v>Belum Dinilai</x:v>
      </x:c>
      <x:c r="AD108" s="713" t="str">
        <x:v>Belum Dinilai</x:v>
      </x:c>
      <x:c r="AE108" s="714" t="str">
        <x:v>Belum Dinilai</x:v>
      </x:c>
      <x:c r="AF108" s="713" t="str">
        <x:v>Belum Dinilai</x:v>
      </x:c>
      <x:c r="AG108" s="713" t="str">
        <x:v>Belum Dinilai</x:v>
      </x:c>
      <x:c r="AH108" s="715" t="str">
        <x:v>Belum Dinilai</x:v>
      </x:c>
      <x:c r="AI108" s="714" t="str">
        <x:v>Belum Dinilai</x:v>
      </x:c>
      <x:c r="AJ108" s="713" t="str">
        <x:v>Belum Dinilai</x:v>
      </x:c>
      <x:c r="AK108" s="715" t="str">
        <x:v>Belum Dinilai</x:v>
      </x:c>
      <x:c r="AL108" s="713" t="str"/>
      <x:c r="AM108" s="716" t="str">
        <x:v>Belum Dinilai</x:v>
      </x:c>
      <x:c r="AN108" s="716" t="str">
        <x:f>IF(AND(COUNTIF(AC108:AK108,"Ya")=0,AL108=""),IF(COUNTIF(AC108:AK108,"Belum Dinilai")&gt;0,"Belum Dinilai","Tidak ada risiko khusus"),TEXTJOIN(", ",TRUE,IF(AC108="Ya","Bangunan berpotensi roboh",""),IF(AD108="Ya","Bekas kebakaran dan tidak aman dihuni",""),IF(AE108="Ya","Atap atau dinding utama hampir runtuh",""),IF(AF108="Ya","Genangan yang membahayakan",""),IF(AG108="Ya","Struktur rumah tidak stabil",""),IF(AH108="Ya","Instalasi listrik berbahaya",""),IF(AI108="Ya","Komponen bangunan lepas atau lapuk",""),IF(AJ108="Ya","Akses keluar atau evakuasi terbatas",""),IF(AK108="Ya","Lokasi rawan bencana",""),IF(AL108&lt;&gt;"","Lainnya: "&amp;AL108,"")))</x:f>
        <x:v>Belum Dinilai</x:v>
      </x:c>
      <x:c r="AO108" s="716" t="str">
        <x:f>IF(AR108="","Belum Dinilai",IF(AR108=10,"Risiko Tinggi/Darurat",IF(AR108=5,"Risiko Sedang","Tidak Ada Risiko Khusus")))</x:f>
        <x:v>Belum Dinilai</x:v>
      </x:c>
      <x:c r="AP108" s="716" t="str"/>
      <x:c r="AQ108" s="719" t="str">
        <x:f>IF(OR(J108="",J108="Belum Dapat Ditentukan",L108="",L108="Belum Dinilai",N108="",N108="Belum Dinilai",P108="",P108="Belum Dinilai"),"",IF(J108="Permanen",0,IF(J108="Semipermanen",8,IF(J108="Nonpermanen",15,0)))+IF(L108="Baik",0,IF(L108="Rusak Ringan",5,IF(L108="Rusak Sedang",10,IF(L108="Rusak Berat",15,IF(L108="Tidak Ada/Terbuka",20,0)))))+IF(N108="Baik",0,IF(N108="Rusak Ringan",5,IF(N108="Rusak Sedang",10,IF(N108="Rusak Berat",15,IF(N108="Tidak Ada/Terbuka",20,0)))))+IF(P108="Baik",0,IF(P108="Rusak Ringan",4,IF(P108="Rusak Sedang",8,IF(P108="Rusak Berat",12,IF(P108="Tidak Layak",15,0))))))</x:f>
      </x:c>
      <x:c r="AR108" s="719" t="str">
        <x:f>IF(COUNTIF(AC108:AH108,"Ya")&gt;0,10,IF(COUNTIF(AI108:AK108,"Ya")&gt;=2,10,IF(COUNTIF(AI108:AK108,"Ya")=1,MAX(5,IF(AM108="Risiko Tinggi/Darurat",10,IF(AM108="Risiko Sedang",5,0))),IF(AL108&lt;&gt;"",IF(AM108="Risiko Tinggi/Darurat",10,IF(AM108="Risiko Sedang",5,"")),IF(COUNTIF(AC108:AK108,"Belum Dinilai")&gt;0,"",0)))))</x:f>
      </x:c>
      <x:c r="AS108" s="719" t="str">
        <x:f>IF(OR(AQ108="",AB108="",AR108=""),"",AQ108+AB108+AR108)</x:f>
      </x:c>
      <x:c r="AT108" s="719" t="str">
        <x:f>IF(AS108="","Belum Dapat Ditentukan",IF(AS108&gt;=80,"Sangat Tinggi",IF(OR(AO108="Risiko Tinggi/Darurat",(IF(L108="Rusak Berat",1,0)+IF(L108="Tidak Ada/Terbuka",1,0)+IF(N108="Rusak Berat",1,0)+IF(N108="Tidak Ada/Terbuka",1,0)+IF(P108="Rusak Berat",1,0)+IF(P108="Tidak Layak",1,0))&gt;=2),"Tinggi",IF(AS108&gt;=65,"Tinggi",IF(AS108&gt;=50,"Sedang","Rendah")))))</x:f>
        <x:v>Belum Dapat Ditentukan</x:v>
      </x:c>
      <x:c r="AU108" s="240" t="str">
        <x:v>Lengkap</x:v>
      </x:c>
      <x:c r="AV108" s="240" t="str">
        <x:v>Sudah Diverifikasi</x:v>
      </x:c>
      <x:c r="AW108" s="240" t="str">
        <x:v>Belum Ditangani</x:v>
      </x:c>
      <x:c r="AX108" s="240"/>
      <x:c r="AY108" s="240"/>
      <x:c r="AZ108" s="240" t="str">
        <x:v>Belum Diverifikasi</x:v>
      </x:c>
      <x:c r="BA108" s="240"/>
      <x:c r="BB108" s="240"/>
      <x:c r="BC108" s="240" t="n">
        <x:v>2026</x:v>
      </x:c>
      <x:c r="BD108" s="240" t="str">
        <x:v>Usulan Musrenbang/Pokir DPRD</x:v>
      </x:c>
      <x:c r="BE108" s="240" t="n">
        <x:v>46218</x:v>
      </x:c>
      <x:c r="BF108" s="240" t="str">
        <x:v>Dinas Perkim Kota Pangkalpinang</x:v>
      </x:c>
    </x:row>
    <x:row r="109" ht="32" customHeight="1">
      <x:c r="A109" s="314" t="str">
        <x:v>RTLH-0131</x:v>
      </x:c>
      <x:c r="B109" s="315" t="str">
        <x:v>BELUM DIISI</x:v>
      </x:c>
      <x:c r="C109" s="316"/>
      <x:c r="D109" s="316"/>
      <x:c r="E109" s="315" t="str">
        <x:v>Belum tersedia</x:v>
      </x:c>
      <x:c r="F109" s="315" t="str">
        <x:v>SEMABUNG LAMA</x:v>
      </x:c>
      <x:c r="G109" s="315" t="str">
        <x:v>BUKIT INTAN</x:v>
      </x:c>
      <x:c r="H109" s="315" t="str">
        <x:v>Belum Ditentukan</x:v>
      </x:c>
      <x:c r="I109" s="317" t="str">
        <x:v>Belum ada catatan verifikasi</x:v>
      </x:c>
      <x:c r="J109" s="315" t="str">
        <x:v>Belum Dapat Ditentukan</x:v>
      </x:c>
      <x:c r="K109" s="315" t="str">
        <x:v>Belum Diidentifikasi</x:v>
      </x:c>
      <x:c r="L109" s="315" t="str">
        <x:v>Belum Dinilai</x:v>
      </x:c>
      <x:c r="M109" s="367" t="str">
        <x:v>Belum Diidentifikasi</x:v>
      </x:c>
      <x:c r="N109" s="315" t="str">
        <x:v>Belum Dinilai</x:v>
      </x:c>
      <x:c r="O109" s="316" t="str">
        <x:v>Belum Diidentifikasi</x:v>
      </x:c>
      <x:c r="P109" s="349" t="str">
        <x:v>Belum Dinilai</x:v>
      </x:c>
      <x:c r="Q109" s="707" t="str">
        <x:v>Belum Dinilai</x:v>
      </x:c>
      <x:c r="R109" s="707" t="str">
        <x:v>Belum Dinilai</x:v>
      </x:c>
      <x:c r="S109" s="708" t="str">
        <x:v>Belum Dinilai</x:v>
      </x:c>
      <x:c r="T109" s="709" t="str">
        <x:v>Belum Dinilai</x:v>
      </x:c>
      <x:c r="U109" s="704" t="str">
        <x:v>Belum Dinilai</x:v>
      </x:c>
      <x:c r="V109" s="704" t="str">
        <x:v>Belum Dinilai</x:v>
      </x:c>
      <x:c r="W109" s="704" t="str"/>
      <x:c r="X109" s="704" t="str">
        <x:f>IF(COUNTIF(R109:V109,"Belum Dinilai")&gt;0,"Belum Dinilai",IF(COUNTIF(R109:V109,"Ya")=0,"Tidak ada faktor rentan",TEXTJOIN(", ",TRUE,IF(R109="Ya","Lansia",""),IF(S109="Ya","Penyandang disabilitas",""),IF(T109="Ya","Kepala keluarga perempuan",""),IF(U109="Ya","Balita",""),IF(V109="Ya","Anggota keluarga dengan ketergantungan tinggi",""))))</x:f>
        <x:v>Belum Dinilai</x:v>
      </x:c>
      <x:c r="Y109" s="704" t="str">
        <x:f>IF(COUNTIF(R109:V109,"Belum Dinilai")&gt;0,"Belum Dinilai",IF(COUNTIF(R109:V109,"Ya")=0,"Tidak Ada Faktor Rentan",IF(COUNTIF(R109:V109,"Ya")=1,"1 Faktor Rentan","2 atau Lebih Faktor Rentan")))</x:f>
        <x:v>Belum Dinilai</x:v>
      </x:c>
      <x:c r="Z109" s="704" t="str">
        <x:f>IF(OR(Q109="",Q109="Belum Dinilai"),"",IF(Q109="Terverifikasi DTKS/P3KE/MBR",10,IF(Q109="Diusulkan, Belum Terverifikasi",5,0)))</x:f>
      </x:c>
      <x:c r="AA109" s="705" t="str">
        <x:f>IF(COUNTIF(R109:V109,"Belum Dinilai")&gt;0,"",IF(COUNTIF(R109:V109,"Ya")=0,0,IF(COUNTIF(R109:V109,"Ya")=1,5,10)))</x:f>
      </x:c>
      <x:c r="AB109" s="706" t="str">
        <x:f>IF(OR(Z109="",AA109=""),"",Z109+AA109)</x:f>
      </x:c>
      <x:c r="AC109" s="713" t="str">
        <x:v>Belum Dinilai</x:v>
      </x:c>
      <x:c r="AD109" s="713" t="str">
        <x:v>Belum Dinilai</x:v>
      </x:c>
      <x:c r="AE109" s="714" t="str">
        <x:v>Belum Dinilai</x:v>
      </x:c>
      <x:c r="AF109" s="713" t="str">
        <x:v>Belum Dinilai</x:v>
      </x:c>
      <x:c r="AG109" s="713" t="str">
        <x:v>Belum Dinilai</x:v>
      </x:c>
      <x:c r="AH109" s="715" t="str">
        <x:v>Belum Dinilai</x:v>
      </x:c>
      <x:c r="AI109" s="714" t="str">
        <x:v>Belum Dinilai</x:v>
      </x:c>
      <x:c r="AJ109" s="713" t="str">
        <x:v>Belum Dinilai</x:v>
      </x:c>
      <x:c r="AK109" s="715" t="str">
        <x:v>Belum Dinilai</x:v>
      </x:c>
      <x:c r="AL109" s="713" t="str"/>
      <x:c r="AM109" s="716" t="str">
        <x:v>Belum Dinilai</x:v>
      </x:c>
      <x:c r="AN109" s="716" t="str">
        <x:f>IF(AND(COUNTIF(AC109:AK109,"Ya")=0,AL109=""),IF(COUNTIF(AC109:AK109,"Belum Dinilai")&gt;0,"Belum Dinilai","Tidak ada risiko khusus"),TEXTJOIN(", ",TRUE,IF(AC109="Ya","Bangunan berpotensi roboh",""),IF(AD109="Ya","Bekas kebakaran dan tidak aman dihuni",""),IF(AE109="Ya","Atap atau dinding utama hampir runtuh",""),IF(AF109="Ya","Genangan yang membahayakan",""),IF(AG109="Ya","Struktur rumah tidak stabil",""),IF(AH109="Ya","Instalasi listrik berbahaya",""),IF(AI109="Ya","Komponen bangunan lepas atau lapuk",""),IF(AJ109="Ya","Akses keluar atau evakuasi terbatas",""),IF(AK109="Ya","Lokasi rawan bencana",""),IF(AL109&lt;&gt;"","Lainnya: "&amp;AL109,"")))</x:f>
        <x:v>Belum Dinilai</x:v>
      </x:c>
      <x:c r="AO109" s="716" t="str">
        <x:f>IF(AR109="","Belum Dinilai",IF(AR109=10,"Risiko Tinggi/Darurat",IF(AR109=5,"Risiko Sedang","Tidak Ada Risiko Khusus")))</x:f>
        <x:v>Belum Dinilai</x:v>
      </x:c>
      <x:c r="AP109" s="716" t="str"/>
      <x:c r="AQ109" s="719" t="str">
        <x:f>IF(OR(J109="",J109="Belum Dapat Ditentukan",L109="",L109="Belum Dinilai",N109="",N109="Belum Dinilai",P109="",P109="Belum Dinilai"),"",IF(J109="Permanen",0,IF(J109="Semipermanen",8,IF(J109="Nonpermanen",15,0)))+IF(L109="Baik",0,IF(L109="Rusak Ringan",5,IF(L109="Rusak Sedang",10,IF(L109="Rusak Berat",15,IF(L109="Tidak Ada/Terbuka",20,0)))))+IF(N109="Baik",0,IF(N109="Rusak Ringan",5,IF(N109="Rusak Sedang",10,IF(N109="Rusak Berat",15,IF(N109="Tidak Ada/Terbuka",20,0)))))+IF(P109="Baik",0,IF(P109="Rusak Ringan",4,IF(P109="Rusak Sedang",8,IF(P109="Rusak Berat",12,IF(P109="Tidak Layak",15,0))))))</x:f>
      </x:c>
      <x:c r="AR109" s="719" t="str">
        <x:f>IF(COUNTIF(AC109:AH109,"Ya")&gt;0,10,IF(COUNTIF(AI109:AK109,"Ya")&gt;=2,10,IF(COUNTIF(AI109:AK109,"Ya")=1,MAX(5,IF(AM109="Risiko Tinggi/Darurat",10,IF(AM109="Risiko Sedang",5,0))),IF(AL109&lt;&gt;"",IF(AM109="Risiko Tinggi/Darurat",10,IF(AM109="Risiko Sedang",5,"")),IF(COUNTIF(AC109:AK109,"Belum Dinilai")&gt;0,"",0)))))</x:f>
      </x:c>
      <x:c r="AS109" s="719" t="str">
        <x:f>IF(OR(AQ109="",AB109="",AR109=""),"",AQ109+AB109+AR109)</x:f>
      </x:c>
      <x:c r="AT109" s="719" t="str">
        <x:f>IF(AS109="","Belum Dapat Ditentukan",IF(AS109&gt;=80,"Sangat Tinggi",IF(OR(AO109="Risiko Tinggi/Darurat",(IF(L109="Rusak Berat",1,0)+IF(L109="Tidak Ada/Terbuka",1,0)+IF(N109="Rusak Berat",1,0)+IF(N109="Tidak Ada/Terbuka",1,0)+IF(P109="Rusak Berat",1,0)+IF(P109="Tidak Layak",1,0))&gt;=2),"Tinggi",IF(AS109&gt;=65,"Tinggi",IF(AS109&gt;=50,"Sedang","Rendah")))))</x:f>
        <x:v>Belum Dapat Ditentukan</x:v>
      </x:c>
      <x:c r="AU109" s="240" t="str">
        <x:v>Belum Lengkap</x:v>
      </x:c>
      <x:c r="AV109" s="240" t="str">
        <x:v>Sudah Diverifikasi</x:v>
      </x:c>
      <x:c r="AW109" s="240" t="str">
        <x:v>Belum Ditangani</x:v>
      </x:c>
      <x:c r="AX109" s="240"/>
      <x:c r="AY109" s="240"/>
      <x:c r="AZ109" s="240" t="str">
        <x:v>Belum Diverifikasi</x:v>
      </x:c>
      <x:c r="BA109" s="240"/>
      <x:c r="BB109" s="240"/>
      <x:c r="BC109" s="240" t="n">
        <x:v>2026</x:v>
      </x:c>
      <x:c r="BD109" s="240" t="str">
        <x:v>Usulan Musrenbang/Pokir DPRD</x:v>
      </x:c>
      <x:c r="BE109" s="240" t="n">
        <x:v>46218</x:v>
      </x:c>
      <x:c r="BF109" s="240" t="str">
        <x:v>Dinas Perkim Kota Pangkalpinang</x:v>
      </x:c>
    </x:row>
    <x:row r="110" ht="32" customHeight="1">
      <x:c r="A110" s="314" t="str">
        <x:v>RTLH-0132</x:v>
      </x:c>
      <x:c r="B110" s="315" t="str">
        <x:v>FARIZAL</x:v>
      </x:c>
      <x:c r="C110" s="316"/>
      <x:c r="D110" s="316"/>
      <x:c r="E110" s="315" t="str">
        <x:v>GG.KEMILI I RT/RW 002/001</x:v>
      </x:c>
      <x:c r="F110" s="315" t="str">
        <x:v>PARITLALANG</x:v>
      </x:c>
      <x:c r="G110" s="315" t="str">
        <x:v>RANGKUI</x:v>
      </x:c>
      <x:c r="H110" s="315" t="str">
        <x:v>Peningkatan Kualitas</x:v>
      </x:c>
      <x:c r="I110" s="317" t="str">
        <x:v>SEBAGIAN BETON, LANTAI FLOOR</x:v>
      </x:c>
      <x:c r="J110" s="315" t="str">
        <x:v>Permanen</x:v>
      </x:c>
      <x:c r="K110" s="315" t="str">
        <x:v>Belum Diidentifikasi</x:v>
      </x:c>
      <x:c r="L110" s="315" t="str">
        <x:v>Belum Dinilai</x:v>
      </x:c>
      <x:c r="M110" s="367" t="str">
        <x:v>Beton</x:v>
      </x:c>
      <x:c r="N110" s="315" t="str">
        <x:v>Belum Dinilai</x:v>
      </x:c>
      <x:c r="O110" s="316" t="str">
        <x:v>Semen/Plester</x:v>
      </x:c>
      <x:c r="P110" s="349" t="str">
        <x:v>Belum Dinilai</x:v>
      </x:c>
      <x:c r="Q110" s="707" t="str">
        <x:v>Belum Dinilai</x:v>
      </x:c>
      <x:c r="R110" s="707" t="str">
        <x:v>Belum Dinilai</x:v>
      </x:c>
      <x:c r="S110" s="708" t="str">
        <x:v>Belum Dinilai</x:v>
      </x:c>
      <x:c r="T110" s="709" t="str">
        <x:v>Belum Dinilai</x:v>
      </x:c>
      <x:c r="U110" s="704" t="str">
        <x:v>Belum Dinilai</x:v>
      </x:c>
      <x:c r="V110" s="704" t="str">
        <x:v>Belum Dinilai</x:v>
      </x:c>
      <x:c r="W110" s="704" t="str"/>
      <x:c r="X110" s="704" t="str">
        <x:f>IF(COUNTIF(R110:V110,"Belum Dinilai")&gt;0,"Belum Dinilai",IF(COUNTIF(R110:V110,"Ya")=0,"Tidak ada faktor rentan",TEXTJOIN(", ",TRUE,IF(R110="Ya","Lansia",""),IF(S110="Ya","Penyandang disabilitas",""),IF(T110="Ya","Kepala keluarga perempuan",""),IF(U110="Ya","Balita",""),IF(V110="Ya","Anggota keluarga dengan ketergantungan tinggi",""))))</x:f>
        <x:v>Belum Dinilai</x:v>
      </x:c>
      <x:c r="Y110" s="704" t="str">
        <x:f>IF(COUNTIF(R110:V110,"Belum Dinilai")&gt;0,"Belum Dinilai",IF(COUNTIF(R110:V110,"Ya")=0,"Tidak Ada Faktor Rentan",IF(COUNTIF(R110:V110,"Ya")=1,"1 Faktor Rentan","2 atau Lebih Faktor Rentan")))</x:f>
        <x:v>Belum Dinilai</x:v>
      </x:c>
      <x:c r="Z110" s="704" t="str">
        <x:f>IF(OR(Q110="",Q110="Belum Dinilai"),"",IF(Q110="Terverifikasi DTKS/P3KE/MBR",10,IF(Q110="Diusulkan, Belum Terverifikasi",5,0)))</x:f>
      </x:c>
      <x:c r="AA110" s="705" t="str">
        <x:f>IF(COUNTIF(R110:V110,"Belum Dinilai")&gt;0,"",IF(COUNTIF(R110:V110,"Ya")=0,0,IF(COUNTIF(R110:V110,"Ya")=1,5,10)))</x:f>
      </x:c>
      <x:c r="AB110" s="706" t="str">
        <x:f>IF(OR(Z110="",AA110=""),"",Z110+AA110)</x:f>
      </x:c>
      <x:c r="AC110" s="713" t="str">
        <x:v>Belum Dinilai</x:v>
      </x:c>
      <x:c r="AD110" s="713" t="str">
        <x:v>Belum Dinilai</x:v>
      </x:c>
      <x:c r="AE110" s="714" t="str">
        <x:v>Belum Dinilai</x:v>
      </x:c>
      <x:c r="AF110" s="713" t="str">
        <x:v>Belum Dinilai</x:v>
      </x:c>
      <x:c r="AG110" s="713" t="str">
        <x:v>Belum Dinilai</x:v>
      </x:c>
      <x:c r="AH110" s="715" t="str">
        <x:v>Belum Dinilai</x:v>
      </x:c>
      <x:c r="AI110" s="714" t="str">
        <x:v>Belum Dinilai</x:v>
      </x:c>
      <x:c r="AJ110" s="713" t="str">
        <x:v>Belum Dinilai</x:v>
      </x:c>
      <x:c r="AK110" s="715" t="str">
        <x:v>Belum Dinilai</x:v>
      </x:c>
      <x:c r="AL110" s="713" t="str"/>
      <x:c r="AM110" s="716" t="str">
        <x:v>Belum Dinilai</x:v>
      </x:c>
      <x:c r="AN110" s="716" t="str">
        <x:f>IF(AND(COUNTIF(AC110:AK110,"Ya")=0,AL110=""),IF(COUNTIF(AC110:AK110,"Belum Dinilai")&gt;0,"Belum Dinilai","Tidak ada risiko khusus"),TEXTJOIN(", ",TRUE,IF(AC110="Ya","Bangunan berpotensi roboh",""),IF(AD110="Ya","Bekas kebakaran dan tidak aman dihuni",""),IF(AE110="Ya","Atap atau dinding utama hampir runtuh",""),IF(AF110="Ya","Genangan yang membahayakan",""),IF(AG110="Ya","Struktur rumah tidak stabil",""),IF(AH110="Ya","Instalasi listrik berbahaya",""),IF(AI110="Ya","Komponen bangunan lepas atau lapuk",""),IF(AJ110="Ya","Akses keluar atau evakuasi terbatas",""),IF(AK110="Ya","Lokasi rawan bencana",""),IF(AL110&lt;&gt;"","Lainnya: "&amp;AL110,"")))</x:f>
        <x:v>Belum Dinilai</x:v>
      </x:c>
      <x:c r="AO110" s="716" t="str">
        <x:f>IF(AR110="","Belum Dinilai",IF(AR110=10,"Risiko Tinggi/Darurat",IF(AR110=5,"Risiko Sedang","Tidak Ada Risiko Khusus")))</x:f>
        <x:v>Belum Dinilai</x:v>
      </x:c>
      <x:c r="AP110" s="716" t="str"/>
      <x:c r="AQ110" s="719" t="str">
        <x:f>IF(OR(J110="",J110="Belum Dapat Ditentukan",L110="",L110="Belum Dinilai",N110="",N110="Belum Dinilai",P110="",P110="Belum Dinilai"),"",IF(J110="Permanen",0,IF(J110="Semipermanen",8,IF(J110="Nonpermanen",15,0)))+IF(L110="Baik",0,IF(L110="Rusak Ringan",5,IF(L110="Rusak Sedang",10,IF(L110="Rusak Berat",15,IF(L110="Tidak Ada/Terbuka",20,0)))))+IF(N110="Baik",0,IF(N110="Rusak Ringan",5,IF(N110="Rusak Sedang",10,IF(N110="Rusak Berat",15,IF(N110="Tidak Ada/Terbuka",20,0)))))+IF(P110="Baik",0,IF(P110="Rusak Ringan",4,IF(P110="Rusak Sedang",8,IF(P110="Rusak Berat",12,IF(P110="Tidak Layak",15,0))))))</x:f>
      </x:c>
      <x:c r="AR110" s="719" t="str">
        <x:f>IF(COUNTIF(AC110:AH110,"Ya")&gt;0,10,IF(COUNTIF(AI110:AK110,"Ya")&gt;=2,10,IF(COUNTIF(AI110:AK110,"Ya")=1,MAX(5,IF(AM110="Risiko Tinggi/Darurat",10,IF(AM110="Risiko Sedang",5,0))),IF(AL110&lt;&gt;"",IF(AM110="Risiko Tinggi/Darurat",10,IF(AM110="Risiko Sedang",5,"")),IF(COUNTIF(AC110:AK110,"Belum Dinilai")&gt;0,"",0)))))</x:f>
      </x:c>
      <x:c r="AS110" s="719" t="str">
        <x:f>IF(OR(AQ110="",AB110="",AR110=""),"",AQ110+AB110+AR110)</x:f>
      </x:c>
      <x:c r="AT110" s="719" t="str">
        <x:f>IF(AS110="","Belum Dapat Ditentukan",IF(AS110&gt;=80,"Sangat Tinggi",IF(OR(AO110="Risiko Tinggi/Darurat",(IF(L110="Rusak Berat",1,0)+IF(L110="Tidak Ada/Terbuka",1,0)+IF(N110="Rusak Berat",1,0)+IF(N110="Tidak Ada/Terbuka",1,0)+IF(P110="Rusak Berat",1,0)+IF(P110="Tidak Layak",1,0))&gt;=2),"Tinggi",IF(AS110&gt;=65,"Tinggi",IF(AS110&gt;=50,"Sedang","Rendah")))))</x:f>
        <x:v>Belum Dapat Ditentukan</x:v>
      </x:c>
      <x:c r="AU110" s="240" t="str">
        <x:v>Belum Lengkap</x:v>
      </x:c>
      <x:c r="AV110" s="240" t="str">
        <x:v>Sudah Diverifikasi</x:v>
      </x:c>
      <x:c r="AW110" s="240" t="str">
        <x:v>Selesai</x:v>
      </x:c>
      <x:c r="AX110" s="240" t="str">
        <x:v>APBD Provinsi</x:v>
      </x:c>
      <x:c r="AY110" s="240" t="n">
        <x:v>2023</x:v>
      </x:c>
      <x:c r="AZ110" s="240" t="str">
        <x:v>Belum Diverifikasi</x:v>
      </x:c>
      <x:c r="BA110" s="240"/>
      <x:c r="BB110" s="240"/>
      <x:c r="BC110" s="240" t="n">
        <x:v>2026</x:v>
      </x:c>
      <x:c r="BD110" s="240" t="str">
        <x:v>Usulan Musrenbang/Pokir DPRD</x:v>
      </x:c>
      <x:c r="BE110" s="240" t="n">
        <x:v>46218</x:v>
      </x:c>
      <x:c r="BF110" s="240" t="str">
        <x:v>Dinas Perkim Kota Pangkalpinang</x:v>
      </x:c>
    </x:row>
    <x:row r="111" ht="32" customHeight="1">
      <x:c r="A111" s="314" t="str">
        <x:v>RTLH-0135</x:v>
      </x:c>
      <x:c r="B111" s="315" t="str">
        <x:v>TERYANTO</x:v>
      </x:c>
      <x:c r="C111" s="316"/>
      <x:c r="D111" s="316"/>
      <x:c r="E111" s="315" t="str">
        <x:v>Belum tersedia</x:v>
      </x:c>
      <x:c r="F111" s="315" t="str">
        <x:v>PARITLALANG</x:v>
      </x:c>
      <x:c r="G111" s="315" t="str">
        <x:v>RANGKUI</x:v>
      </x:c>
      <x:c r="H111" s="315" t="str">
        <x:v>Peningkatan Kualitas</x:v>
      </x:c>
      <x:c r="I111" s="317" t="str">
        <x:v>RUMAH SETENGAH BETON</x:v>
      </x:c>
      <x:c r="J111" s="315" t="str">
        <x:v>Permanen</x:v>
      </x:c>
      <x:c r="K111" s="315" t="str">
        <x:v>Belum Diidentifikasi</x:v>
      </x:c>
      <x:c r="L111" s="315" t="str">
        <x:v>Belum Dinilai</x:v>
      </x:c>
      <x:c r="M111" s="367" t="str">
        <x:v>Beton</x:v>
      </x:c>
      <x:c r="N111" s="315" t="str">
        <x:v>Belum Dinilai</x:v>
      </x:c>
      <x:c r="O111" s="316" t="str">
        <x:v>Belum Diidentifikasi</x:v>
      </x:c>
      <x:c r="P111" s="349" t="str">
        <x:v>Belum Dinilai</x:v>
      </x:c>
      <x:c r="Q111" s="707" t="str">
        <x:v>Belum Dinilai</x:v>
      </x:c>
      <x:c r="R111" s="707" t="str">
        <x:v>Belum Dinilai</x:v>
      </x:c>
      <x:c r="S111" s="708" t="str">
        <x:v>Belum Dinilai</x:v>
      </x:c>
      <x:c r="T111" s="709" t="str">
        <x:v>Belum Dinilai</x:v>
      </x:c>
      <x:c r="U111" s="704" t="str">
        <x:v>Belum Dinilai</x:v>
      </x:c>
      <x:c r="V111" s="704" t="str">
        <x:v>Belum Dinilai</x:v>
      </x:c>
      <x:c r="W111" s="704" t="str"/>
      <x:c r="X111" s="704" t="str">
        <x:f>IF(COUNTIF(R111:V111,"Belum Dinilai")&gt;0,"Belum Dinilai",IF(COUNTIF(R111:V111,"Ya")=0,"Tidak ada faktor rentan",TEXTJOIN(", ",TRUE,IF(R111="Ya","Lansia",""),IF(S111="Ya","Penyandang disabilitas",""),IF(T111="Ya","Kepala keluarga perempuan",""),IF(U111="Ya","Balita",""),IF(V111="Ya","Anggota keluarga dengan ketergantungan tinggi",""))))</x:f>
        <x:v>Belum Dinilai</x:v>
      </x:c>
      <x:c r="Y111" s="704" t="str">
        <x:f>IF(COUNTIF(R111:V111,"Belum Dinilai")&gt;0,"Belum Dinilai",IF(COUNTIF(R111:V111,"Ya")=0,"Tidak Ada Faktor Rentan",IF(COUNTIF(R111:V111,"Ya")=1,"1 Faktor Rentan","2 atau Lebih Faktor Rentan")))</x:f>
        <x:v>Belum Dinilai</x:v>
      </x:c>
      <x:c r="Z111" s="704" t="str">
        <x:f>IF(OR(Q111="",Q111="Belum Dinilai"),"",IF(Q111="Terverifikasi DTKS/P3KE/MBR",10,IF(Q111="Diusulkan, Belum Terverifikasi",5,0)))</x:f>
      </x:c>
      <x:c r="AA111" s="705" t="str">
        <x:f>IF(COUNTIF(R111:V111,"Belum Dinilai")&gt;0,"",IF(COUNTIF(R111:V111,"Ya")=0,0,IF(COUNTIF(R111:V111,"Ya")=1,5,10)))</x:f>
      </x:c>
      <x:c r="AB111" s="706" t="str">
        <x:f>IF(OR(Z111="",AA111=""),"",Z111+AA111)</x:f>
      </x:c>
      <x:c r="AC111" s="713" t="str">
        <x:v>Belum Dinilai</x:v>
      </x:c>
      <x:c r="AD111" s="713" t="str">
        <x:v>Belum Dinilai</x:v>
      </x:c>
      <x:c r="AE111" s="714" t="str">
        <x:v>Belum Dinilai</x:v>
      </x:c>
      <x:c r="AF111" s="713" t="str">
        <x:v>Belum Dinilai</x:v>
      </x:c>
      <x:c r="AG111" s="713" t="str">
        <x:v>Belum Dinilai</x:v>
      </x:c>
      <x:c r="AH111" s="715" t="str">
        <x:v>Belum Dinilai</x:v>
      </x:c>
      <x:c r="AI111" s="714" t="str">
        <x:v>Belum Dinilai</x:v>
      </x:c>
      <x:c r="AJ111" s="713" t="str">
        <x:v>Belum Dinilai</x:v>
      </x:c>
      <x:c r="AK111" s="715" t="str">
        <x:v>Belum Dinilai</x:v>
      </x:c>
      <x:c r="AL111" s="713" t="str"/>
      <x:c r="AM111" s="716" t="str">
        <x:v>Belum Dinilai</x:v>
      </x:c>
      <x:c r="AN111" s="716" t="str">
        <x:f>IF(AND(COUNTIF(AC111:AK111,"Ya")=0,AL111=""),IF(COUNTIF(AC111:AK111,"Belum Dinilai")&gt;0,"Belum Dinilai","Tidak ada risiko khusus"),TEXTJOIN(", ",TRUE,IF(AC111="Ya","Bangunan berpotensi roboh",""),IF(AD111="Ya","Bekas kebakaran dan tidak aman dihuni",""),IF(AE111="Ya","Atap atau dinding utama hampir runtuh",""),IF(AF111="Ya","Genangan yang membahayakan",""),IF(AG111="Ya","Struktur rumah tidak stabil",""),IF(AH111="Ya","Instalasi listrik berbahaya",""),IF(AI111="Ya","Komponen bangunan lepas atau lapuk",""),IF(AJ111="Ya","Akses keluar atau evakuasi terbatas",""),IF(AK111="Ya","Lokasi rawan bencana",""),IF(AL111&lt;&gt;"","Lainnya: "&amp;AL111,"")))</x:f>
        <x:v>Belum Dinilai</x:v>
      </x:c>
      <x:c r="AO111" s="716" t="str">
        <x:f>IF(AR111="","Belum Dinilai",IF(AR111=10,"Risiko Tinggi/Darurat",IF(AR111=5,"Risiko Sedang","Tidak Ada Risiko Khusus")))</x:f>
        <x:v>Belum Dinilai</x:v>
      </x:c>
      <x:c r="AP111" s="716" t="str"/>
      <x:c r="AQ111" s="719" t="str">
        <x:f>IF(OR(J111="",J111="Belum Dapat Ditentukan",L111="",L111="Belum Dinilai",N111="",N111="Belum Dinilai",P111="",P111="Belum Dinilai"),"",IF(J111="Permanen",0,IF(J111="Semipermanen",8,IF(J111="Nonpermanen",15,0)))+IF(L111="Baik",0,IF(L111="Rusak Ringan",5,IF(L111="Rusak Sedang",10,IF(L111="Rusak Berat",15,IF(L111="Tidak Ada/Terbuka",20,0)))))+IF(N111="Baik",0,IF(N111="Rusak Ringan",5,IF(N111="Rusak Sedang",10,IF(N111="Rusak Berat",15,IF(N111="Tidak Ada/Terbuka",20,0)))))+IF(P111="Baik",0,IF(P111="Rusak Ringan",4,IF(P111="Rusak Sedang",8,IF(P111="Rusak Berat",12,IF(P111="Tidak Layak",15,0))))))</x:f>
      </x:c>
      <x:c r="AR111" s="719" t="str">
        <x:f>IF(COUNTIF(AC111:AH111,"Ya")&gt;0,10,IF(COUNTIF(AI111:AK111,"Ya")&gt;=2,10,IF(COUNTIF(AI111:AK111,"Ya")=1,MAX(5,IF(AM111="Risiko Tinggi/Darurat",10,IF(AM111="Risiko Sedang",5,0))),IF(AL111&lt;&gt;"",IF(AM111="Risiko Tinggi/Darurat",10,IF(AM111="Risiko Sedang",5,"")),IF(COUNTIF(AC111:AK111,"Belum Dinilai")&gt;0,"",0)))))</x:f>
      </x:c>
      <x:c r="AS111" s="719" t="str">
        <x:f>IF(OR(AQ111="",AB111="",AR111=""),"",AQ111+AB111+AR111)</x:f>
      </x:c>
      <x:c r="AT111" s="719" t="str">
        <x:f>IF(AS111="","Belum Dapat Ditentukan",IF(AS111&gt;=80,"Sangat Tinggi",IF(OR(AO111="Risiko Tinggi/Darurat",(IF(L111="Rusak Berat",1,0)+IF(L111="Tidak Ada/Terbuka",1,0)+IF(N111="Rusak Berat",1,0)+IF(N111="Tidak Ada/Terbuka",1,0)+IF(P111="Rusak Berat",1,0)+IF(P111="Tidak Layak",1,0))&gt;=2),"Tinggi",IF(AS111&gt;=65,"Tinggi",IF(AS111&gt;=50,"Sedang","Rendah")))))</x:f>
        <x:v>Belum Dapat Ditentukan</x:v>
      </x:c>
      <x:c r="AU111" s="240" t="str">
        <x:v>Lengkap</x:v>
      </x:c>
      <x:c r="AV111" s="240" t="str">
        <x:v>Sudah Diverifikasi</x:v>
      </x:c>
      <x:c r="AW111" s="240" t="str">
        <x:v>Belum Ditangani</x:v>
      </x:c>
      <x:c r="AX111" s="240"/>
      <x:c r="AY111" s="240"/>
      <x:c r="AZ111" s="240" t="str">
        <x:v>Belum Diverifikasi</x:v>
      </x:c>
      <x:c r="BA111" s="240"/>
      <x:c r="BB111" s="240"/>
      <x:c r="BC111" s="240" t="n">
        <x:v>2026</x:v>
      </x:c>
      <x:c r="BD111" s="240" t="str">
        <x:v>Usulan Musrenbang/Pokir DPRD</x:v>
      </x:c>
      <x:c r="BE111" s="240" t="n">
        <x:v>46218</x:v>
      </x:c>
      <x:c r="BF111" s="240" t="str">
        <x:v>Dinas Perkim Kota Pangkalpinang</x:v>
      </x:c>
    </x:row>
    <x:row r="112" ht="32" customHeight="1">
      <x:c r="A112" s="314" t="str">
        <x:v>RTLH-0136</x:v>
      </x:c>
      <x:c r="B112" s="315" t="str">
        <x:v>ROMLI</x:v>
      </x:c>
      <x:c r="C112" s="316"/>
      <x:c r="D112" s="316"/>
      <x:c r="E112" s="315" t="str">
        <x:v>JL. VETERAN RT/003 RW/003 KEL:PARIT LALANG</x:v>
      </x:c>
      <x:c r="F112" s="315" t="str">
        <x:v>PARITLALANG</x:v>
      </x:c>
      <x:c r="G112" s="315" t="str">
        <x:v>RANGKUI</x:v>
      </x:c>
      <x:c r="H112" s="315" t="str">
        <x:v>Peningkatan Kualitas</x:v>
      </x:c>
      <x:c r="I112" s="317" t="str">
        <x:v>RUMAH SETENGAH BETON</x:v>
      </x:c>
      <x:c r="J112" s="315" t="str">
        <x:v>Permanen</x:v>
      </x:c>
      <x:c r="K112" s="315" t="str">
        <x:v>Belum Diidentifikasi</x:v>
      </x:c>
      <x:c r="L112" s="315" t="str">
        <x:v>Belum Dinilai</x:v>
      </x:c>
      <x:c r="M112" s="367" t="str">
        <x:v>Beton</x:v>
      </x:c>
      <x:c r="N112" s="315" t="str">
        <x:v>Belum Dinilai</x:v>
      </x:c>
      <x:c r="O112" s="316" t="str">
        <x:v>Belum Diidentifikasi</x:v>
      </x:c>
      <x:c r="P112" s="349" t="str">
        <x:v>Belum Dinilai</x:v>
      </x:c>
      <x:c r="Q112" s="707" t="str">
        <x:v>Belum Dinilai</x:v>
      </x:c>
      <x:c r="R112" s="707" t="str">
        <x:v>Belum Dinilai</x:v>
      </x:c>
      <x:c r="S112" s="708" t="str">
        <x:v>Belum Dinilai</x:v>
      </x:c>
      <x:c r="T112" s="709" t="str">
        <x:v>Belum Dinilai</x:v>
      </x:c>
      <x:c r="U112" s="704" t="str">
        <x:v>Belum Dinilai</x:v>
      </x:c>
      <x:c r="V112" s="704" t="str">
        <x:v>Belum Dinilai</x:v>
      </x:c>
      <x:c r="W112" s="704" t="str"/>
      <x:c r="X112" s="704" t="str">
        <x:f>IF(COUNTIF(R112:V112,"Belum Dinilai")&gt;0,"Belum Dinilai",IF(COUNTIF(R112:V112,"Ya")=0,"Tidak ada faktor rentan",TEXTJOIN(", ",TRUE,IF(R112="Ya","Lansia",""),IF(S112="Ya","Penyandang disabilitas",""),IF(T112="Ya","Kepala keluarga perempuan",""),IF(U112="Ya","Balita",""),IF(V112="Ya","Anggota keluarga dengan ketergantungan tinggi",""))))</x:f>
        <x:v>Belum Dinilai</x:v>
      </x:c>
      <x:c r="Y112" s="704" t="str">
        <x:f>IF(COUNTIF(R112:V112,"Belum Dinilai")&gt;0,"Belum Dinilai",IF(COUNTIF(R112:V112,"Ya")=0,"Tidak Ada Faktor Rentan",IF(COUNTIF(R112:V112,"Ya")=1,"1 Faktor Rentan","2 atau Lebih Faktor Rentan")))</x:f>
        <x:v>Belum Dinilai</x:v>
      </x:c>
      <x:c r="Z112" s="704" t="str">
        <x:f>IF(OR(Q112="",Q112="Belum Dinilai"),"",IF(Q112="Terverifikasi DTKS/P3KE/MBR",10,IF(Q112="Diusulkan, Belum Terverifikasi",5,0)))</x:f>
      </x:c>
      <x:c r="AA112" s="705" t="str">
        <x:f>IF(COUNTIF(R112:V112,"Belum Dinilai")&gt;0,"",IF(COUNTIF(R112:V112,"Ya")=0,0,IF(COUNTIF(R112:V112,"Ya")=1,5,10)))</x:f>
      </x:c>
      <x:c r="AB112" s="706" t="str">
        <x:f>IF(OR(Z112="",AA112=""),"",Z112+AA112)</x:f>
      </x:c>
      <x:c r="AC112" s="713" t="str">
        <x:v>Belum Dinilai</x:v>
      </x:c>
      <x:c r="AD112" s="713" t="str">
        <x:v>Belum Dinilai</x:v>
      </x:c>
      <x:c r="AE112" s="714" t="str">
        <x:v>Belum Dinilai</x:v>
      </x:c>
      <x:c r="AF112" s="713" t="str">
        <x:v>Belum Dinilai</x:v>
      </x:c>
      <x:c r="AG112" s="713" t="str">
        <x:v>Belum Dinilai</x:v>
      </x:c>
      <x:c r="AH112" s="715" t="str">
        <x:v>Belum Dinilai</x:v>
      </x:c>
      <x:c r="AI112" s="714" t="str">
        <x:v>Belum Dinilai</x:v>
      </x:c>
      <x:c r="AJ112" s="713" t="str">
        <x:v>Belum Dinilai</x:v>
      </x:c>
      <x:c r="AK112" s="715" t="str">
        <x:v>Belum Dinilai</x:v>
      </x:c>
      <x:c r="AL112" s="713" t="str"/>
      <x:c r="AM112" s="716" t="str">
        <x:v>Belum Dinilai</x:v>
      </x:c>
      <x:c r="AN112" s="716" t="str">
        <x:f>IF(AND(COUNTIF(AC112:AK112,"Ya")=0,AL112=""),IF(COUNTIF(AC112:AK112,"Belum Dinilai")&gt;0,"Belum Dinilai","Tidak ada risiko khusus"),TEXTJOIN(", ",TRUE,IF(AC112="Ya","Bangunan berpotensi roboh",""),IF(AD112="Ya","Bekas kebakaran dan tidak aman dihuni",""),IF(AE112="Ya","Atap atau dinding utama hampir runtuh",""),IF(AF112="Ya","Genangan yang membahayakan",""),IF(AG112="Ya","Struktur rumah tidak stabil",""),IF(AH112="Ya","Instalasi listrik berbahaya",""),IF(AI112="Ya","Komponen bangunan lepas atau lapuk",""),IF(AJ112="Ya","Akses keluar atau evakuasi terbatas",""),IF(AK112="Ya","Lokasi rawan bencana",""),IF(AL112&lt;&gt;"","Lainnya: "&amp;AL112,"")))</x:f>
        <x:v>Belum Dinilai</x:v>
      </x:c>
      <x:c r="AO112" s="716" t="str">
        <x:f>IF(AR112="","Belum Dinilai",IF(AR112=10,"Risiko Tinggi/Darurat",IF(AR112=5,"Risiko Sedang","Tidak Ada Risiko Khusus")))</x:f>
        <x:v>Belum Dinilai</x:v>
      </x:c>
      <x:c r="AP112" s="716" t="str"/>
      <x:c r="AQ112" s="719" t="str">
        <x:f>IF(OR(J112="",J112="Belum Dapat Ditentukan",L112="",L112="Belum Dinilai",N112="",N112="Belum Dinilai",P112="",P112="Belum Dinilai"),"",IF(J112="Permanen",0,IF(J112="Semipermanen",8,IF(J112="Nonpermanen",15,0)))+IF(L112="Baik",0,IF(L112="Rusak Ringan",5,IF(L112="Rusak Sedang",10,IF(L112="Rusak Berat",15,IF(L112="Tidak Ada/Terbuka",20,0)))))+IF(N112="Baik",0,IF(N112="Rusak Ringan",5,IF(N112="Rusak Sedang",10,IF(N112="Rusak Berat",15,IF(N112="Tidak Ada/Terbuka",20,0)))))+IF(P112="Baik",0,IF(P112="Rusak Ringan",4,IF(P112="Rusak Sedang",8,IF(P112="Rusak Berat",12,IF(P112="Tidak Layak",15,0))))))</x:f>
      </x:c>
      <x:c r="AR112" s="719" t="str">
        <x:f>IF(COUNTIF(AC112:AH112,"Ya")&gt;0,10,IF(COUNTIF(AI112:AK112,"Ya")&gt;=2,10,IF(COUNTIF(AI112:AK112,"Ya")=1,MAX(5,IF(AM112="Risiko Tinggi/Darurat",10,IF(AM112="Risiko Sedang",5,0))),IF(AL112&lt;&gt;"",IF(AM112="Risiko Tinggi/Darurat",10,IF(AM112="Risiko Sedang",5,"")),IF(COUNTIF(AC112:AK112,"Belum Dinilai")&gt;0,"",0)))))</x:f>
      </x:c>
      <x:c r="AS112" s="719" t="str">
        <x:f>IF(OR(AQ112="",AB112="",AR112=""),"",AQ112+AB112+AR112)</x:f>
      </x:c>
      <x:c r="AT112" s="719" t="str">
        <x:f>IF(AS112="","Belum Dapat Ditentukan",IF(AS112&gt;=80,"Sangat Tinggi",IF(OR(AO112="Risiko Tinggi/Darurat",(IF(L112="Rusak Berat",1,0)+IF(L112="Tidak Ada/Terbuka",1,0)+IF(N112="Rusak Berat",1,0)+IF(N112="Tidak Ada/Terbuka",1,0)+IF(P112="Rusak Berat",1,0)+IF(P112="Tidak Layak",1,0))&gt;=2),"Tinggi",IF(AS112&gt;=65,"Tinggi",IF(AS112&gt;=50,"Sedang","Rendah")))))</x:f>
        <x:v>Belum Dapat Ditentukan</x:v>
      </x:c>
      <x:c r="AU112" s="240" t="str">
        <x:v>Belum Lengkap</x:v>
      </x:c>
      <x:c r="AV112" s="240" t="str">
        <x:v>Sudah Diverifikasi</x:v>
      </x:c>
      <x:c r="AW112" s="240" t="str">
        <x:v>Belum Ditangani</x:v>
      </x:c>
      <x:c r="AX112" s="240"/>
      <x:c r="AY112" s="240"/>
      <x:c r="AZ112" s="240" t="str">
        <x:v>Belum Diverifikasi</x:v>
      </x:c>
      <x:c r="BA112" s="240"/>
      <x:c r="BB112" s="240"/>
      <x:c r="BC112" s="240" t="n">
        <x:v>2026</x:v>
      </x:c>
      <x:c r="BD112" s="240" t="str">
        <x:v>Usulan Musrenbang/Pokir DPRD</x:v>
      </x:c>
      <x:c r="BE112" s="240" t="n">
        <x:v>46218</x:v>
      </x:c>
      <x:c r="BF112" s="240" t="str">
        <x:v>Dinas Perkim Kota Pangkalpinang</x:v>
      </x:c>
    </x:row>
    <x:row r="113" ht="32" customHeight="1">
      <x:c r="A113" s="314" t="str">
        <x:v>RTLH-0137</x:v>
      </x:c>
      <x:c r="B113" s="315" t="str">
        <x:v>FIRDIANSYAH</x:v>
      </x:c>
      <x:c r="C113" s="316"/>
      <x:c r="D113" s="316"/>
      <x:c r="E113" s="315" t="str">
        <x:v>JL.KELAPA RT/RW :002/001</x:v>
      </x:c>
      <x:c r="F113" s="315" t="str">
        <x:v>PASAR PADI</x:v>
      </x:c>
      <x:c r="G113" s="315" t="str">
        <x:v>GIRIMAYA</x:v>
      </x:c>
      <x:c r="H113" s="315" t="str">
        <x:v>Pembangunan Baru</x:v>
      </x:c>
      <x:c r="I113" s="317" t="str">
        <x:v>RUMAH FULL PAPAN</x:v>
      </x:c>
      <x:c r="J113" s="315" t="str">
        <x:v>Nonpermanen</x:v>
      </x:c>
      <x:c r="K113" s="315" t="str">
        <x:v>Belum Diidentifikasi</x:v>
      </x:c>
      <x:c r="L113" s="315" t="str">
        <x:v>Belum Dinilai</x:v>
      </x:c>
      <x:c r="M113" s="367" t="str">
        <x:v>Papan/Kayu</x:v>
      </x:c>
      <x:c r="N113" s="315" t="str">
        <x:v>Belum Dinilai</x:v>
      </x:c>
      <x:c r="O113" s="316" t="str">
        <x:v>Belum Diidentifikasi</x:v>
      </x:c>
      <x:c r="P113" s="349" t="str">
        <x:v>Belum Dinilai</x:v>
      </x:c>
      <x:c r="Q113" s="707" t="str">
        <x:v>Belum Dinilai</x:v>
      </x:c>
      <x:c r="R113" s="707" t="str">
        <x:v>Belum Dinilai</x:v>
      </x:c>
      <x:c r="S113" s="708" t="str">
        <x:v>Belum Dinilai</x:v>
      </x:c>
      <x:c r="T113" s="709" t="str">
        <x:v>Belum Dinilai</x:v>
      </x:c>
      <x:c r="U113" s="704" t="str">
        <x:v>Belum Dinilai</x:v>
      </x:c>
      <x:c r="V113" s="704" t="str">
        <x:v>Belum Dinilai</x:v>
      </x:c>
      <x:c r="W113" s="704" t="str"/>
      <x:c r="X113" s="704" t="str">
        <x:f>IF(COUNTIF(R113:V113,"Belum Dinilai")&gt;0,"Belum Dinilai",IF(COUNTIF(R113:V113,"Ya")=0,"Tidak ada faktor rentan",TEXTJOIN(", ",TRUE,IF(R113="Ya","Lansia",""),IF(S113="Ya","Penyandang disabilitas",""),IF(T113="Ya","Kepala keluarga perempuan",""),IF(U113="Ya","Balita",""),IF(V113="Ya","Anggota keluarga dengan ketergantungan tinggi",""))))</x:f>
        <x:v>Belum Dinilai</x:v>
      </x:c>
      <x:c r="Y113" s="704" t="str">
        <x:f>IF(COUNTIF(R113:V113,"Belum Dinilai")&gt;0,"Belum Dinilai",IF(COUNTIF(R113:V113,"Ya")=0,"Tidak Ada Faktor Rentan",IF(COUNTIF(R113:V113,"Ya")=1,"1 Faktor Rentan","2 atau Lebih Faktor Rentan")))</x:f>
        <x:v>Belum Dinilai</x:v>
      </x:c>
      <x:c r="Z113" s="704" t="str">
        <x:f>IF(OR(Q113="",Q113="Belum Dinilai"),"",IF(Q113="Terverifikasi DTKS/P3KE/MBR",10,IF(Q113="Diusulkan, Belum Terverifikasi",5,0)))</x:f>
      </x:c>
      <x:c r="AA113" s="705" t="str">
        <x:f>IF(COUNTIF(R113:V113,"Belum Dinilai")&gt;0,"",IF(COUNTIF(R113:V113,"Ya")=0,0,IF(COUNTIF(R113:V113,"Ya")=1,5,10)))</x:f>
      </x:c>
      <x:c r="AB113" s="706" t="str">
        <x:f>IF(OR(Z113="",AA113=""),"",Z113+AA113)</x:f>
      </x:c>
      <x:c r="AC113" s="713" t="str">
        <x:v>Belum Dinilai</x:v>
      </x:c>
      <x:c r="AD113" s="713" t="str">
        <x:v>Belum Dinilai</x:v>
      </x:c>
      <x:c r="AE113" s="714" t="str">
        <x:v>Belum Dinilai</x:v>
      </x:c>
      <x:c r="AF113" s="713" t="str">
        <x:v>Belum Dinilai</x:v>
      </x:c>
      <x:c r="AG113" s="713" t="str">
        <x:v>Belum Dinilai</x:v>
      </x:c>
      <x:c r="AH113" s="715" t="str">
        <x:v>Belum Dinilai</x:v>
      </x:c>
      <x:c r="AI113" s="714" t="str">
        <x:v>Belum Dinilai</x:v>
      </x:c>
      <x:c r="AJ113" s="713" t="str">
        <x:v>Belum Dinilai</x:v>
      </x:c>
      <x:c r="AK113" s="715" t="str">
        <x:v>Belum Dinilai</x:v>
      </x:c>
      <x:c r="AL113" s="713" t="str"/>
      <x:c r="AM113" s="716" t="str">
        <x:v>Belum Dinilai</x:v>
      </x:c>
      <x:c r="AN113" s="716" t="str">
        <x:f>IF(AND(COUNTIF(AC113:AK113,"Ya")=0,AL113=""),IF(COUNTIF(AC113:AK113,"Belum Dinilai")&gt;0,"Belum Dinilai","Tidak ada risiko khusus"),TEXTJOIN(", ",TRUE,IF(AC113="Ya","Bangunan berpotensi roboh",""),IF(AD113="Ya","Bekas kebakaran dan tidak aman dihuni",""),IF(AE113="Ya","Atap atau dinding utama hampir runtuh",""),IF(AF113="Ya","Genangan yang membahayakan",""),IF(AG113="Ya","Struktur rumah tidak stabil",""),IF(AH113="Ya","Instalasi listrik berbahaya",""),IF(AI113="Ya","Komponen bangunan lepas atau lapuk",""),IF(AJ113="Ya","Akses keluar atau evakuasi terbatas",""),IF(AK113="Ya","Lokasi rawan bencana",""),IF(AL113&lt;&gt;"","Lainnya: "&amp;AL113,"")))</x:f>
        <x:v>Belum Dinilai</x:v>
      </x:c>
      <x:c r="AO113" s="716" t="str">
        <x:f>IF(AR113="","Belum Dinilai",IF(AR113=10,"Risiko Tinggi/Darurat",IF(AR113=5,"Risiko Sedang","Tidak Ada Risiko Khusus")))</x:f>
        <x:v>Belum Dinilai</x:v>
      </x:c>
      <x:c r="AP113" s="716" t="str"/>
      <x:c r="AQ113" s="719" t="str">
        <x:f>IF(OR(J113="",J113="Belum Dapat Ditentukan",L113="",L113="Belum Dinilai",N113="",N113="Belum Dinilai",P113="",P113="Belum Dinilai"),"",IF(J113="Permanen",0,IF(J113="Semipermanen",8,IF(J113="Nonpermanen",15,0)))+IF(L113="Baik",0,IF(L113="Rusak Ringan",5,IF(L113="Rusak Sedang",10,IF(L113="Rusak Berat",15,IF(L113="Tidak Ada/Terbuka",20,0)))))+IF(N113="Baik",0,IF(N113="Rusak Ringan",5,IF(N113="Rusak Sedang",10,IF(N113="Rusak Berat",15,IF(N113="Tidak Ada/Terbuka",20,0)))))+IF(P113="Baik",0,IF(P113="Rusak Ringan",4,IF(P113="Rusak Sedang",8,IF(P113="Rusak Berat",12,IF(P113="Tidak Layak",15,0))))))</x:f>
      </x:c>
      <x:c r="AR113" s="719" t="str">
        <x:f>IF(COUNTIF(AC113:AH113,"Ya")&gt;0,10,IF(COUNTIF(AI113:AK113,"Ya")&gt;=2,10,IF(COUNTIF(AI113:AK113,"Ya")=1,MAX(5,IF(AM113="Risiko Tinggi/Darurat",10,IF(AM113="Risiko Sedang",5,0))),IF(AL113&lt;&gt;"",IF(AM113="Risiko Tinggi/Darurat",10,IF(AM113="Risiko Sedang",5,"")),IF(COUNTIF(AC113:AK113,"Belum Dinilai")&gt;0,"",0)))))</x:f>
      </x:c>
      <x:c r="AS113" s="719" t="str">
        <x:f>IF(OR(AQ113="",AB113="",AR113=""),"",AQ113+AB113+AR113)</x:f>
      </x:c>
      <x:c r="AT113" s="719" t="str">
        <x:f>IF(AS113="","Belum Dapat Ditentukan",IF(AS113&gt;=80,"Sangat Tinggi",IF(OR(AO113="Risiko Tinggi/Darurat",(IF(L113="Rusak Berat",1,0)+IF(L113="Tidak Ada/Terbuka",1,0)+IF(N113="Rusak Berat",1,0)+IF(N113="Tidak Ada/Terbuka",1,0)+IF(P113="Rusak Berat",1,0)+IF(P113="Tidak Layak",1,0))&gt;=2),"Tinggi",IF(AS113&gt;=65,"Tinggi",IF(AS113&gt;=50,"Sedang","Rendah")))))</x:f>
        <x:v>Belum Dapat Ditentukan</x:v>
      </x:c>
      <x:c r="AU113" s="240" t="str">
        <x:v>Belum Lengkap</x:v>
      </x:c>
      <x:c r="AV113" s="240" t="str">
        <x:v>Sudah Diverifikasi</x:v>
      </x:c>
      <x:c r="AW113" s="240" t="str">
        <x:v>Belum Ditangani</x:v>
      </x:c>
      <x:c r="AX113" s="240"/>
      <x:c r="AY113" s="240"/>
      <x:c r="AZ113" s="240" t="str">
        <x:v>Belum Diverifikasi</x:v>
      </x:c>
      <x:c r="BA113" s="240"/>
      <x:c r="BB113" s="240"/>
      <x:c r="BC113" s="240" t="n">
        <x:v>2026</x:v>
      </x:c>
      <x:c r="BD113" s="240" t="str">
        <x:v>Usulan Musrenbang/Pokir DPRD</x:v>
      </x:c>
      <x:c r="BE113" s="240" t="n">
        <x:v>46218</x:v>
      </x:c>
      <x:c r="BF113" s="240" t="str">
        <x:v>Dinas Perkim Kota Pangkalpinang</x:v>
      </x:c>
    </x:row>
    <x:row r="114" ht="32" customHeight="1">
      <x:c r="A114" s="314" t="str">
        <x:v>RTLH-0138</x:v>
      </x:c>
      <x:c r="B114" s="315" t="str">
        <x:v>HOLID</x:v>
      </x:c>
      <x:c r="C114" s="316"/>
      <x:c r="D114" s="316"/>
      <x:c r="E114" s="315" t="str">
        <x:v>JL.KELAPA RT/RW :002/001</x:v>
      </x:c>
      <x:c r="F114" s="315" t="str">
        <x:v>PASAR PADI</x:v>
      </x:c>
      <x:c r="G114" s="315" t="str">
        <x:v>GIRIMAYA</x:v>
      </x:c>
      <x:c r="H114" s="315" t="str">
        <x:v>Pembangunan Baru</x:v>
      </x:c>
      <x:c r="I114" s="317" t="str">
        <x:v>RUMAH FULL PAPAN , LANTAI CONBLOK</x:v>
      </x:c>
      <x:c r="J114" s="315" t="str">
        <x:v>Nonpermanen</x:v>
      </x:c>
      <x:c r="K114" s="315" t="str">
        <x:v>Belum Diidentifikasi</x:v>
      </x:c>
      <x:c r="L114" s="315" t="str">
        <x:v>Belum Dinilai</x:v>
      </x:c>
      <x:c r="M114" s="367" t="str">
        <x:v>Papan/Kayu</x:v>
      </x:c>
      <x:c r="N114" s="315" t="str">
        <x:v>Belum Dinilai</x:v>
      </x:c>
      <x:c r="O114" s="316" t="str">
        <x:v>Belum Diidentifikasi</x:v>
      </x:c>
      <x:c r="P114" s="349" t="str">
        <x:v>Belum Dinilai</x:v>
      </x:c>
      <x:c r="Q114" s="707" t="str">
        <x:v>Belum Dinilai</x:v>
      </x:c>
      <x:c r="R114" s="707" t="str">
        <x:v>Belum Dinilai</x:v>
      </x:c>
      <x:c r="S114" s="708" t="str">
        <x:v>Belum Dinilai</x:v>
      </x:c>
      <x:c r="T114" s="709" t="str">
        <x:v>Belum Dinilai</x:v>
      </x:c>
      <x:c r="U114" s="704" t="str">
        <x:v>Belum Dinilai</x:v>
      </x:c>
      <x:c r="V114" s="704" t="str">
        <x:v>Belum Dinilai</x:v>
      </x:c>
      <x:c r="W114" s="704" t="str"/>
      <x:c r="X114" s="704" t="str">
        <x:f>IF(COUNTIF(R114:V114,"Belum Dinilai")&gt;0,"Belum Dinilai",IF(COUNTIF(R114:V114,"Ya")=0,"Tidak ada faktor rentan",TEXTJOIN(", ",TRUE,IF(R114="Ya","Lansia",""),IF(S114="Ya","Penyandang disabilitas",""),IF(T114="Ya","Kepala keluarga perempuan",""),IF(U114="Ya","Balita",""),IF(V114="Ya","Anggota keluarga dengan ketergantungan tinggi",""))))</x:f>
        <x:v>Belum Dinilai</x:v>
      </x:c>
      <x:c r="Y114" s="704" t="str">
        <x:f>IF(COUNTIF(R114:V114,"Belum Dinilai")&gt;0,"Belum Dinilai",IF(COUNTIF(R114:V114,"Ya")=0,"Tidak Ada Faktor Rentan",IF(COUNTIF(R114:V114,"Ya")=1,"1 Faktor Rentan","2 atau Lebih Faktor Rentan")))</x:f>
        <x:v>Belum Dinilai</x:v>
      </x:c>
      <x:c r="Z114" s="704" t="str">
        <x:f>IF(OR(Q114="",Q114="Belum Dinilai"),"",IF(Q114="Terverifikasi DTKS/P3KE/MBR",10,IF(Q114="Diusulkan, Belum Terverifikasi",5,0)))</x:f>
      </x:c>
      <x:c r="AA114" s="705" t="str">
        <x:f>IF(COUNTIF(R114:V114,"Belum Dinilai")&gt;0,"",IF(COUNTIF(R114:V114,"Ya")=0,0,IF(COUNTIF(R114:V114,"Ya")=1,5,10)))</x:f>
      </x:c>
      <x:c r="AB114" s="706" t="str">
        <x:f>IF(OR(Z114="",AA114=""),"",Z114+AA114)</x:f>
      </x:c>
      <x:c r="AC114" s="713" t="str">
        <x:v>Belum Dinilai</x:v>
      </x:c>
      <x:c r="AD114" s="713" t="str">
        <x:v>Belum Dinilai</x:v>
      </x:c>
      <x:c r="AE114" s="714" t="str">
        <x:v>Belum Dinilai</x:v>
      </x:c>
      <x:c r="AF114" s="713" t="str">
        <x:v>Belum Dinilai</x:v>
      </x:c>
      <x:c r="AG114" s="713" t="str">
        <x:v>Belum Dinilai</x:v>
      </x:c>
      <x:c r="AH114" s="715" t="str">
        <x:v>Belum Dinilai</x:v>
      </x:c>
      <x:c r="AI114" s="714" t="str">
        <x:v>Belum Dinilai</x:v>
      </x:c>
      <x:c r="AJ114" s="713" t="str">
        <x:v>Belum Dinilai</x:v>
      </x:c>
      <x:c r="AK114" s="715" t="str">
        <x:v>Belum Dinilai</x:v>
      </x:c>
      <x:c r="AL114" s="713" t="str"/>
      <x:c r="AM114" s="716" t="str">
        <x:v>Belum Dinilai</x:v>
      </x:c>
      <x:c r="AN114" s="716" t="str">
        <x:f>IF(AND(COUNTIF(AC114:AK114,"Ya")=0,AL114=""),IF(COUNTIF(AC114:AK114,"Belum Dinilai")&gt;0,"Belum Dinilai","Tidak ada risiko khusus"),TEXTJOIN(", ",TRUE,IF(AC114="Ya","Bangunan berpotensi roboh",""),IF(AD114="Ya","Bekas kebakaran dan tidak aman dihuni",""),IF(AE114="Ya","Atap atau dinding utama hampir runtuh",""),IF(AF114="Ya","Genangan yang membahayakan",""),IF(AG114="Ya","Struktur rumah tidak stabil",""),IF(AH114="Ya","Instalasi listrik berbahaya",""),IF(AI114="Ya","Komponen bangunan lepas atau lapuk",""),IF(AJ114="Ya","Akses keluar atau evakuasi terbatas",""),IF(AK114="Ya","Lokasi rawan bencana",""),IF(AL114&lt;&gt;"","Lainnya: "&amp;AL114,"")))</x:f>
        <x:v>Belum Dinilai</x:v>
      </x:c>
      <x:c r="AO114" s="716" t="str">
        <x:f>IF(AR114="","Belum Dinilai",IF(AR114=10,"Risiko Tinggi/Darurat",IF(AR114=5,"Risiko Sedang","Tidak Ada Risiko Khusus")))</x:f>
        <x:v>Belum Dinilai</x:v>
      </x:c>
      <x:c r="AP114" s="716" t="str"/>
      <x:c r="AQ114" s="719" t="str">
        <x:f>IF(OR(J114="",J114="Belum Dapat Ditentukan",L114="",L114="Belum Dinilai",N114="",N114="Belum Dinilai",P114="",P114="Belum Dinilai"),"",IF(J114="Permanen",0,IF(J114="Semipermanen",8,IF(J114="Nonpermanen",15,0)))+IF(L114="Baik",0,IF(L114="Rusak Ringan",5,IF(L114="Rusak Sedang",10,IF(L114="Rusak Berat",15,IF(L114="Tidak Ada/Terbuka",20,0)))))+IF(N114="Baik",0,IF(N114="Rusak Ringan",5,IF(N114="Rusak Sedang",10,IF(N114="Rusak Berat",15,IF(N114="Tidak Ada/Terbuka",20,0)))))+IF(P114="Baik",0,IF(P114="Rusak Ringan",4,IF(P114="Rusak Sedang",8,IF(P114="Rusak Berat",12,IF(P114="Tidak Layak",15,0))))))</x:f>
      </x:c>
      <x:c r="AR114" s="719" t="str">
        <x:f>IF(COUNTIF(AC114:AH114,"Ya")&gt;0,10,IF(COUNTIF(AI114:AK114,"Ya")&gt;=2,10,IF(COUNTIF(AI114:AK114,"Ya")=1,MAX(5,IF(AM114="Risiko Tinggi/Darurat",10,IF(AM114="Risiko Sedang",5,0))),IF(AL114&lt;&gt;"",IF(AM114="Risiko Tinggi/Darurat",10,IF(AM114="Risiko Sedang",5,"")),IF(COUNTIF(AC114:AK114,"Belum Dinilai")&gt;0,"",0)))))</x:f>
      </x:c>
      <x:c r="AS114" s="719" t="str">
        <x:f>IF(OR(AQ114="",AB114="",AR114=""),"",AQ114+AB114+AR114)</x:f>
      </x:c>
      <x:c r="AT114" s="719" t="str">
        <x:f>IF(AS114="","Belum Dapat Ditentukan",IF(AS114&gt;=80,"Sangat Tinggi",IF(OR(AO114="Risiko Tinggi/Darurat",(IF(L114="Rusak Berat",1,0)+IF(L114="Tidak Ada/Terbuka",1,0)+IF(N114="Rusak Berat",1,0)+IF(N114="Tidak Ada/Terbuka",1,0)+IF(P114="Rusak Berat",1,0)+IF(P114="Tidak Layak",1,0))&gt;=2),"Tinggi",IF(AS114&gt;=65,"Tinggi",IF(AS114&gt;=50,"Sedang","Rendah")))))</x:f>
        <x:v>Belum Dapat Ditentukan</x:v>
      </x:c>
      <x:c r="AU114" s="240" t="str">
        <x:v>Belum Lengkap</x:v>
      </x:c>
      <x:c r="AV114" s="240" t="str">
        <x:v>Sudah Diverifikasi</x:v>
      </x:c>
      <x:c r="AW114" s="240" t="str">
        <x:v>Belum Ditangani</x:v>
      </x:c>
      <x:c r="AX114" s="240"/>
      <x:c r="AY114" s="240"/>
      <x:c r="AZ114" s="240" t="str">
        <x:v>Belum Diverifikasi</x:v>
      </x:c>
      <x:c r="BA114" s="240"/>
      <x:c r="BB114" s="240"/>
      <x:c r="BC114" s="240" t="n">
        <x:v>2026</x:v>
      </x:c>
      <x:c r="BD114" s="240" t="str">
        <x:v>Usulan Musrenbang/Pokir DPRD</x:v>
      </x:c>
      <x:c r="BE114" s="240" t="n">
        <x:v>46218</x:v>
      </x:c>
      <x:c r="BF114" s="240" t="str">
        <x:v>Dinas Perkim Kota Pangkalpinang</x:v>
      </x:c>
    </x:row>
    <x:row r="115" ht="32" customHeight="1">
      <x:c r="A115" s="314" t="str">
        <x:v>RTLH-0139</x:v>
      </x:c>
      <x:c r="B115" s="315" t="str">
        <x:v>RISNA HERTIAYU</x:v>
      </x:c>
      <x:c r="C115" s="316"/>
      <x:c r="D115" s="316"/>
      <x:c r="E115" s="315" t="str">
        <x:v>JL.KELAPA RT/RW :002/001</x:v>
      </x:c>
      <x:c r="F115" s="315" t="str">
        <x:v>PASAR PADI</x:v>
      </x:c>
      <x:c r="G115" s="315" t="str">
        <x:v>GIRIMAYA</x:v>
      </x:c>
      <x:c r="H115" s="315" t="str">
        <x:v>Pembangunan Baru</x:v>
      </x:c>
      <x:c r="I115" s="317" t="str">
        <x:v>RUMAH FULL PAPAN. LANTAI FLOOR</x:v>
      </x:c>
      <x:c r="J115" s="315" t="str">
        <x:v>Nonpermanen</x:v>
      </x:c>
      <x:c r="K115" s="315" t="str">
        <x:v>Belum Diidentifikasi</x:v>
      </x:c>
      <x:c r="L115" s="315" t="str">
        <x:v>Belum Dinilai</x:v>
      </x:c>
      <x:c r="M115" s="367" t="str">
        <x:v>Papan/Kayu</x:v>
      </x:c>
      <x:c r="N115" s="315" t="str">
        <x:v>Belum Dinilai</x:v>
      </x:c>
      <x:c r="O115" s="316" t="str">
        <x:v>Semen/Plester</x:v>
      </x:c>
      <x:c r="P115" s="349" t="str">
        <x:v>Belum Dinilai</x:v>
      </x:c>
      <x:c r="Q115" s="707" t="str">
        <x:v>Belum Dinilai</x:v>
      </x:c>
      <x:c r="R115" s="707" t="str">
        <x:v>Belum Dinilai</x:v>
      </x:c>
      <x:c r="S115" s="708" t="str">
        <x:v>Belum Dinilai</x:v>
      </x:c>
      <x:c r="T115" s="709" t="str">
        <x:v>Belum Dinilai</x:v>
      </x:c>
      <x:c r="U115" s="704" t="str">
        <x:v>Belum Dinilai</x:v>
      </x:c>
      <x:c r="V115" s="704" t="str">
        <x:v>Belum Dinilai</x:v>
      </x:c>
      <x:c r="W115" s="704" t="str"/>
      <x:c r="X115" s="704" t="str">
        <x:f>IF(COUNTIF(R115:V115,"Belum Dinilai")&gt;0,"Belum Dinilai",IF(COUNTIF(R115:V115,"Ya")=0,"Tidak ada faktor rentan",TEXTJOIN(", ",TRUE,IF(R115="Ya","Lansia",""),IF(S115="Ya","Penyandang disabilitas",""),IF(T115="Ya","Kepala keluarga perempuan",""),IF(U115="Ya","Balita",""),IF(V115="Ya","Anggota keluarga dengan ketergantungan tinggi",""))))</x:f>
        <x:v>Belum Dinilai</x:v>
      </x:c>
      <x:c r="Y115" s="704" t="str">
        <x:f>IF(COUNTIF(R115:V115,"Belum Dinilai")&gt;0,"Belum Dinilai",IF(COUNTIF(R115:V115,"Ya")=0,"Tidak Ada Faktor Rentan",IF(COUNTIF(R115:V115,"Ya")=1,"1 Faktor Rentan","2 atau Lebih Faktor Rentan")))</x:f>
        <x:v>Belum Dinilai</x:v>
      </x:c>
      <x:c r="Z115" s="704" t="str">
        <x:f>IF(OR(Q115="",Q115="Belum Dinilai"),"",IF(Q115="Terverifikasi DTKS/P3KE/MBR",10,IF(Q115="Diusulkan, Belum Terverifikasi",5,0)))</x:f>
      </x:c>
      <x:c r="AA115" s="705" t="str">
        <x:f>IF(COUNTIF(R115:V115,"Belum Dinilai")&gt;0,"",IF(COUNTIF(R115:V115,"Ya")=0,0,IF(COUNTIF(R115:V115,"Ya")=1,5,10)))</x:f>
      </x:c>
      <x:c r="AB115" s="706" t="str">
        <x:f>IF(OR(Z115="",AA115=""),"",Z115+AA115)</x:f>
      </x:c>
      <x:c r="AC115" s="713" t="str">
        <x:v>Belum Dinilai</x:v>
      </x:c>
      <x:c r="AD115" s="713" t="str">
        <x:v>Belum Dinilai</x:v>
      </x:c>
      <x:c r="AE115" s="714" t="str">
        <x:v>Belum Dinilai</x:v>
      </x:c>
      <x:c r="AF115" s="713" t="str">
        <x:v>Belum Dinilai</x:v>
      </x:c>
      <x:c r="AG115" s="713" t="str">
        <x:v>Belum Dinilai</x:v>
      </x:c>
      <x:c r="AH115" s="715" t="str">
        <x:v>Belum Dinilai</x:v>
      </x:c>
      <x:c r="AI115" s="714" t="str">
        <x:v>Belum Dinilai</x:v>
      </x:c>
      <x:c r="AJ115" s="713" t="str">
        <x:v>Belum Dinilai</x:v>
      </x:c>
      <x:c r="AK115" s="715" t="str">
        <x:v>Belum Dinilai</x:v>
      </x:c>
      <x:c r="AL115" s="713" t="str"/>
      <x:c r="AM115" s="716" t="str">
        <x:v>Belum Dinilai</x:v>
      </x:c>
      <x:c r="AN115" s="716" t="str">
        <x:f>IF(AND(COUNTIF(AC115:AK115,"Ya")=0,AL115=""),IF(COUNTIF(AC115:AK115,"Belum Dinilai")&gt;0,"Belum Dinilai","Tidak ada risiko khusus"),TEXTJOIN(", ",TRUE,IF(AC115="Ya","Bangunan berpotensi roboh",""),IF(AD115="Ya","Bekas kebakaran dan tidak aman dihuni",""),IF(AE115="Ya","Atap atau dinding utama hampir runtuh",""),IF(AF115="Ya","Genangan yang membahayakan",""),IF(AG115="Ya","Struktur rumah tidak stabil",""),IF(AH115="Ya","Instalasi listrik berbahaya",""),IF(AI115="Ya","Komponen bangunan lepas atau lapuk",""),IF(AJ115="Ya","Akses keluar atau evakuasi terbatas",""),IF(AK115="Ya","Lokasi rawan bencana",""),IF(AL115&lt;&gt;"","Lainnya: "&amp;AL115,"")))</x:f>
        <x:v>Belum Dinilai</x:v>
      </x:c>
      <x:c r="AO115" s="716" t="str">
        <x:f>IF(AR115="","Belum Dinilai",IF(AR115=10,"Risiko Tinggi/Darurat",IF(AR115=5,"Risiko Sedang","Tidak Ada Risiko Khusus")))</x:f>
        <x:v>Belum Dinilai</x:v>
      </x:c>
      <x:c r="AP115" s="716" t="str"/>
      <x:c r="AQ115" s="719" t="str">
        <x:f>IF(OR(J115="",J115="Belum Dapat Ditentukan",L115="",L115="Belum Dinilai",N115="",N115="Belum Dinilai",P115="",P115="Belum Dinilai"),"",IF(J115="Permanen",0,IF(J115="Semipermanen",8,IF(J115="Nonpermanen",15,0)))+IF(L115="Baik",0,IF(L115="Rusak Ringan",5,IF(L115="Rusak Sedang",10,IF(L115="Rusak Berat",15,IF(L115="Tidak Ada/Terbuka",20,0)))))+IF(N115="Baik",0,IF(N115="Rusak Ringan",5,IF(N115="Rusak Sedang",10,IF(N115="Rusak Berat",15,IF(N115="Tidak Ada/Terbuka",20,0)))))+IF(P115="Baik",0,IF(P115="Rusak Ringan",4,IF(P115="Rusak Sedang",8,IF(P115="Rusak Berat",12,IF(P115="Tidak Layak",15,0))))))</x:f>
      </x:c>
      <x:c r="AR115" s="719" t="str">
        <x:f>IF(COUNTIF(AC115:AH115,"Ya")&gt;0,10,IF(COUNTIF(AI115:AK115,"Ya")&gt;=2,10,IF(COUNTIF(AI115:AK115,"Ya")=1,MAX(5,IF(AM115="Risiko Tinggi/Darurat",10,IF(AM115="Risiko Sedang",5,0))),IF(AL115&lt;&gt;"",IF(AM115="Risiko Tinggi/Darurat",10,IF(AM115="Risiko Sedang",5,"")),IF(COUNTIF(AC115:AK115,"Belum Dinilai")&gt;0,"",0)))))</x:f>
      </x:c>
      <x:c r="AS115" s="719" t="str">
        <x:f>IF(OR(AQ115="",AB115="",AR115=""),"",AQ115+AB115+AR115)</x:f>
      </x:c>
      <x:c r="AT115" s="719" t="str">
        <x:f>IF(AS115="","Belum Dapat Ditentukan",IF(AS115&gt;=80,"Sangat Tinggi",IF(OR(AO115="Risiko Tinggi/Darurat",(IF(L115="Rusak Berat",1,0)+IF(L115="Tidak Ada/Terbuka",1,0)+IF(N115="Rusak Berat",1,0)+IF(N115="Tidak Ada/Terbuka",1,0)+IF(P115="Rusak Berat",1,0)+IF(P115="Tidak Layak",1,0))&gt;=2),"Tinggi",IF(AS115&gt;=65,"Tinggi",IF(AS115&gt;=50,"Sedang","Rendah")))))</x:f>
        <x:v>Belum Dapat Ditentukan</x:v>
      </x:c>
      <x:c r="AU115" s="240" t="str">
        <x:v>Lengkap</x:v>
      </x:c>
      <x:c r="AV115" s="240" t="str">
        <x:v>Sudah Diverifikasi</x:v>
      </x:c>
      <x:c r="AW115" s="240" t="str">
        <x:v>Selesai</x:v>
      </x:c>
      <x:c r="AX115" s="240" t="str">
        <x:v>APBD Kota</x:v>
      </x:c>
      <x:c r="AY115" s="240" t="n">
        <x:v>2021</x:v>
      </x:c>
      <x:c r="AZ115" s="240" t="str">
        <x:v>Belum Diverifikasi</x:v>
      </x:c>
      <x:c r="BA115" s="240"/>
      <x:c r="BB115" s="240"/>
      <x:c r="BC115" s="240" t="n">
        <x:v>2026</x:v>
      </x:c>
      <x:c r="BD115" s="240" t="str">
        <x:v>Usulan Musrenbang/Pokir DPRD</x:v>
      </x:c>
      <x:c r="BE115" s="240" t="n">
        <x:v>46218</x:v>
      </x:c>
      <x:c r="BF115" s="240" t="str">
        <x:v>Dinas Perkim Kota Pangkalpinang</x:v>
      </x:c>
    </x:row>
    <x:row r="116" ht="32" customHeight="1">
      <x:c r="A116" s="314" t="str">
        <x:v>RTLH-0140</x:v>
      </x:c>
      <x:c r="B116" s="315" t="str">
        <x:v>MUHAMMAD UNTUNG</x:v>
      </x:c>
      <x:c r="C116" s="316"/>
      <x:c r="D116" s="316"/>
      <x:c r="E116" s="315" t="str">
        <x:v>JL.KELAPA RT/RW :002/001</x:v>
      </x:c>
      <x:c r="F116" s="315" t="str">
        <x:v>PASAR PADI</x:v>
      </x:c>
      <x:c r="G116" s="315" t="str">
        <x:v>GIRIMAYA</x:v>
      </x:c>
      <x:c r="H116" s="315" t="str">
        <x:v>Pembangunan Baru</x:v>
      </x:c>
      <x:c r="I116" s="317" t="str">
        <x:v>RUMAH FULL PAPAN. LANTAI FLOOR</x:v>
      </x:c>
      <x:c r="J116" s="315" t="str">
        <x:v>Nonpermanen</x:v>
      </x:c>
      <x:c r="K116" s="315" t="str">
        <x:v>Belum Diidentifikasi</x:v>
      </x:c>
      <x:c r="L116" s="315" t="str">
        <x:v>Belum Dinilai</x:v>
      </x:c>
      <x:c r="M116" s="367" t="str">
        <x:v>Papan/Kayu</x:v>
      </x:c>
      <x:c r="N116" s="315" t="str">
        <x:v>Belum Dinilai</x:v>
      </x:c>
      <x:c r="O116" s="316" t="str">
        <x:v>Semen/Plester</x:v>
      </x:c>
      <x:c r="P116" s="349" t="str">
        <x:v>Belum Dinilai</x:v>
      </x:c>
      <x:c r="Q116" s="707" t="str">
        <x:v>Belum Dinilai</x:v>
      </x:c>
      <x:c r="R116" s="707" t="str">
        <x:v>Belum Dinilai</x:v>
      </x:c>
      <x:c r="S116" s="708" t="str">
        <x:v>Belum Dinilai</x:v>
      </x:c>
      <x:c r="T116" s="709" t="str">
        <x:v>Belum Dinilai</x:v>
      </x:c>
      <x:c r="U116" s="704" t="str">
        <x:v>Belum Dinilai</x:v>
      </x:c>
      <x:c r="V116" s="704" t="str">
        <x:v>Belum Dinilai</x:v>
      </x:c>
      <x:c r="W116" s="704" t="str"/>
      <x:c r="X116" s="704" t="str">
        <x:f>IF(COUNTIF(R116:V116,"Belum Dinilai")&gt;0,"Belum Dinilai",IF(COUNTIF(R116:V116,"Ya")=0,"Tidak ada faktor rentan",TEXTJOIN(", ",TRUE,IF(R116="Ya","Lansia",""),IF(S116="Ya","Penyandang disabilitas",""),IF(T116="Ya","Kepala keluarga perempuan",""),IF(U116="Ya","Balita",""),IF(V116="Ya","Anggota keluarga dengan ketergantungan tinggi",""))))</x:f>
        <x:v>Belum Dinilai</x:v>
      </x:c>
      <x:c r="Y116" s="704" t="str">
        <x:f>IF(COUNTIF(R116:V116,"Belum Dinilai")&gt;0,"Belum Dinilai",IF(COUNTIF(R116:V116,"Ya")=0,"Tidak Ada Faktor Rentan",IF(COUNTIF(R116:V116,"Ya")=1,"1 Faktor Rentan","2 atau Lebih Faktor Rentan")))</x:f>
        <x:v>Belum Dinilai</x:v>
      </x:c>
      <x:c r="Z116" s="704" t="str">
        <x:f>IF(OR(Q116="",Q116="Belum Dinilai"),"",IF(Q116="Terverifikasi DTKS/P3KE/MBR",10,IF(Q116="Diusulkan, Belum Terverifikasi",5,0)))</x:f>
      </x:c>
      <x:c r="AA116" s="705" t="str">
        <x:f>IF(COUNTIF(R116:V116,"Belum Dinilai")&gt;0,"",IF(COUNTIF(R116:V116,"Ya")=0,0,IF(COUNTIF(R116:V116,"Ya")=1,5,10)))</x:f>
      </x:c>
      <x:c r="AB116" s="706" t="str">
        <x:f>IF(OR(Z116="",AA116=""),"",Z116+AA116)</x:f>
      </x:c>
      <x:c r="AC116" s="713" t="str">
        <x:v>Belum Dinilai</x:v>
      </x:c>
      <x:c r="AD116" s="713" t="str">
        <x:v>Belum Dinilai</x:v>
      </x:c>
      <x:c r="AE116" s="714" t="str">
        <x:v>Belum Dinilai</x:v>
      </x:c>
      <x:c r="AF116" s="713" t="str">
        <x:v>Belum Dinilai</x:v>
      </x:c>
      <x:c r="AG116" s="713" t="str">
        <x:v>Belum Dinilai</x:v>
      </x:c>
      <x:c r="AH116" s="715" t="str">
        <x:v>Belum Dinilai</x:v>
      </x:c>
      <x:c r="AI116" s="714" t="str">
        <x:v>Belum Dinilai</x:v>
      </x:c>
      <x:c r="AJ116" s="713" t="str">
        <x:v>Belum Dinilai</x:v>
      </x:c>
      <x:c r="AK116" s="715" t="str">
        <x:v>Belum Dinilai</x:v>
      </x:c>
      <x:c r="AL116" s="713" t="str"/>
      <x:c r="AM116" s="716" t="str">
        <x:v>Belum Dinilai</x:v>
      </x:c>
      <x:c r="AN116" s="716" t="str">
        <x:f>IF(AND(COUNTIF(AC116:AK116,"Ya")=0,AL116=""),IF(COUNTIF(AC116:AK116,"Belum Dinilai")&gt;0,"Belum Dinilai","Tidak ada risiko khusus"),TEXTJOIN(", ",TRUE,IF(AC116="Ya","Bangunan berpotensi roboh",""),IF(AD116="Ya","Bekas kebakaran dan tidak aman dihuni",""),IF(AE116="Ya","Atap atau dinding utama hampir runtuh",""),IF(AF116="Ya","Genangan yang membahayakan",""),IF(AG116="Ya","Struktur rumah tidak stabil",""),IF(AH116="Ya","Instalasi listrik berbahaya",""),IF(AI116="Ya","Komponen bangunan lepas atau lapuk",""),IF(AJ116="Ya","Akses keluar atau evakuasi terbatas",""),IF(AK116="Ya","Lokasi rawan bencana",""),IF(AL116&lt;&gt;"","Lainnya: "&amp;AL116,"")))</x:f>
        <x:v>Belum Dinilai</x:v>
      </x:c>
      <x:c r="AO116" s="716" t="str">
        <x:f>IF(AR116="","Belum Dinilai",IF(AR116=10,"Risiko Tinggi/Darurat",IF(AR116=5,"Risiko Sedang","Tidak Ada Risiko Khusus")))</x:f>
        <x:v>Belum Dinilai</x:v>
      </x:c>
      <x:c r="AP116" s="716" t="str"/>
      <x:c r="AQ116" s="719" t="str">
        <x:f>IF(OR(J116="",J116="Belum Dapat Ditentukan",L116="",L116="Belum Dinilai",N116="",N116="Belum Dinilai",P116="",P116="Belum Dinilai"),"",IF(J116="Permanen",0,IF(J116="Semipermanen",8,IF(J116="Nonpermanen",15,0)))+IF(L116="Baik",0,IF(L116="Rusak Ringan",5,IF(L116="Rusak Sedang",10,IF(L116="Rusak Berat",15,IF(L116="Tidak Ada/Terbuka",20,0)))))+IF(N116="Baik",0,IF(N116="Rusak Ringan",5,IF(N116="Rusak Sedang",10,IF(N116="Rusak Berat",15,IF(N116="Tidak Ada/Terbuka",20,0)))))+IF(P116="Baik",0,IF(P116="Rusak Ringan",4,IF(P116="Rusak Sedang",8,IF(P116="Rusak Berat",12,IF(P116="Tidak Layak",15,0))))))</x:f>
      </x:c>
      <x:c r="AR116" s="719" t="str">
        <x:f>IF(COUNTIF(AC116:AH116,"Ya")&gt;0,10,IF(COUNTIF(AI116:AK116,"Ya")&gt;=2,10,IF(COUNTIF(AI116:AK116,"Ya")=1,MAX(5,IF(AM116="Risiko Tinggi/Darurat",10,IF(AM116="Risiko Sedang",5,0))),IF(AL116&lt;&gt;"",IF(AM116="Risiko Tinggi/Darurat",10,IF(AM116="Risiko Sedang",5,"")),IF(COUNTIF(AC116:AK116,"Belum Dinilai")&gt;0,"",0)))))</x:f>
      </x:c>
      <x:c r="AS116" s="719" t="str">
        <x:f>IF(OR(AQ116="",AB116="",AR116=""),"",AQ116+AB116+AR116)</x:f>
      </x:c>
      <x:c r="AT116" s="719" t="str">
        <x:f>IF(AS116="","Belum Dapat Ditentukan",IF(AS116&gt;=80,"Sangat Tinggi",IF(OR(AO116="Risiko Tinggi/Darurat",(IF(L116="Rusak Berat",1,0)+IF(L116="Tidak Ada/Terbuka",1,0)+IF(N116="Rusak Berat",1,0)+IF(N116="Tidak Ada/Terbuka",1,0)+IF(P116="Rusak Berat",1,0)+IF(P116="Tidak Layak",1,0))&gt;=2),"Tinggi",IF(AS116&gt;=65,"Tinggi",IF(AS116&gt;=50,"Sedang","Rendah")))))</x:f>
        <x:v>Belum Dapat Ditentukan</x:v>
      </x:c>
      <x:c r="AU116" s="240" t="str">
        <x:v>Lengkap</x:v>
      </x:c>
      <x:c r="AV116" s="240" t="str">
        <x:v>Sudah Diverifikasi</x:v>
      </x:c>
      <x:c r="AW116" s="240" t="str">
        <x:v>Belum Ditangani</x:v>
      </x:c>
      <x:c r="AX116" s="240"/>
      <x:c r="AY116" s="240"/>
      <x:c r="AZ116" s="240" t="str">
        <x:v>Belum Diverifikasi</x:v>
      </x:c>
      <x:c r="BA116" s="240"/>
      <x:c r="BB116" s="240"/>
      <x:c r="BC116" s="240" t="n">
        <x:v>2026</x:v>
      </x:c>
      <x:c r="BD116" s="240" t="str">
        <x:v>Usulan Musrenbang/Pokir DPRD</x:v>
      </x:c>
      <x:c r="BE116" s="240" t="n">
        <x:v>46218</x:v>
      </x:c>
      <x:c r="BF116" s="240" t="str">
        <x:v>Dinas Perkim Kota Pangkalpinang</x:v>
      </x:c>
    </x:row>
    <x:row r="117" ht="32" customHeight="1">
      <x:c r="A117" s="314" t="str">
        <x:v>RTLH-0141</x:v>
      </x:c>
      <x:c r="B117" s="315" t="str">
        <x:v>SOBRI SUGARI PUTRA</x:v>
      </x:c>
      <x:c r="C117" s="316"/>
      <x:c r="D117" s="316"/>
      <x:c r="E117" s="315" t="str">
        <x:v>JL.KELAPA RT/RW :002/001</x:v>
      </x:c>
      <x:c r="F117" s="315" t="str">
        <x:v>PASAR PADI</x:v>
      </x:c>
      <x:c r="G117" s="315" t="str">
        <x:v>GIRIMAYA</x:v>
      </x:c>
      <x:c r="H117" s="315" t="str">
        <x:v>Pembangunan Baru</x:v>
      </x:c>
      <x:c r="I117" s="317" t="str">
        <x:v>RUMAH FULL PAPAN, LANTAI PAPAN</x:v>
      </x:c>
      <x:c r="J117" s="315" t="str">
        <x:v>Nonpermanen</x:v>
      </x:c>
      <x:c r="K117" s="315" t="str">
        <x:v>Belum Diidentifikasi</x:v>
      </x:c>
      <x:c r="L117" s="315" t="str">
        <x:v>Belum Dinilai</x:v>
      </x:c>
      <x:c r="M117" s="367" t="str">
        <x:v>Papan/Kayu</x:v>
      </x:c>
      <x:c r="N117" s="315" t="str">
        <x:v>Belum Dinilai</x:v>
      </x:c>
      <x:c r="O117" s="316" t="str">
        <x:v>Papan/Kayu</x:v>
      </x:c>
      <x:c r="P117" s="349" t="str">
        <x:v>Belum Dinilai</x:v>
      </x:c>
      <x:c r="Q117" s="707" t="str">
        <x:v>Belum Dinilai</x:v>
      </x:c>
      <x:c r="R117" s="707" t="str">
        <x:v>Belum Dinilai</x:v>
      </x:c>
      <x:c r="S117" s="708" t="str">
        <x:v>Belum Dinilai</x:v>
      </x:c>
      <x:c r="T117" s="709" t="str">
        <x:v>Belum Dinilai</x:v>
      </x:c>
      <x:c r="U117" s="704" t="str">
        <x:v>Belum Dinilai</x:v>
      </x:c>
      <x:c r="V117" s="704" t="str">
        <x:v>Belum Dinilai</x:v>
      </x:c>
      <x:c r="W117" s="704" t="str"/>
      <x:c r="X117" s="704" t="str">
        <x:f>IF(COUNTIF(R117:V117,"Belum Dinilai")&gt;0,"Belum Dinilai",IF(COUNTIF(R117:V117,"Ya")=0,"Tidak ada faktor rentan",TEXTJOIN(", ",TRUE,IF(R117="Ya","Lansia",""),IF(S117="Ya","Penyandang disabilitas",""),IF(T117="Ya","Kepala keluarga perempuan",""),IF(U117="Ya","Balita",""),IF(V117="Ya","Anggota keluarga dengan ketergantungan tinggi",""))))</x:f>
        <x:v>Belum Dinilai</x:v>
      </x:c>
      <x:c r="Y117" s="704" t="str">
        <x:f>IF(COUNTIF(R117:V117,"Belum Dinilai")&gt;0,"Belum Dinilai",IF(COUNTIF(R117:V117,"Ya")=0,"Tidak Ada Faktor Rentan",IF(COUNTIF(R117:V117,"Ya")=1,"1 Faktor Rentan","2 atau Lebih Faktor Rentan")))</x:f>
        <x:v>Belum Dinilai</x:v>
      </x:c>
      <x:c r="Z117" s="704" t="str">
        <x:f>IF(OR(Q117="",Q117="Belum Dinilai"),"",IF(Q117="Terverifikasi DTKS/P3KE/MBR",10,IF(Q117="Diusulkan, Belum Terverifikasi",5,0)))</x:f>
      </x:c>
      <x:c r="AA117" s="705" t="str">
        <x:f>IF(COUNTIF(R117:V117,"Belum Dinilai")&gt;0,"",IF(COUNTIF(R117:V117,"Ya")=0,0,IF(COUNTIF(R117:V117,"Ya")=1,5,10)))</x:f>
      </x:c>
      <x:c r="AB117" s="706" t="str">
        <x:f>IF(OR(Z117="",AA117=""),"",Z117+AA117)</x:f>
      </x:c>
      <x:c r="AC117" s="713" t="str">
        <x:v>Belum Dinilai</x:v>
      </x:c>
      <x:c r="AD117" s="713" t="str">
        <x:v>Belum Dinilai</x:v>
      </x:c>
      <x:c r="AE117" s="714" t="str">
        <x:v>Belum Dinilai</x:v>
      </x:c>
      <x:c r="AF117" s="713" t="str">
        <x:v>Belum Dinilai</x:v>
      </x:c>
      <x:c r="AG117" s="713" t="str">
        <x:v>Belum Dinilai</x:v>
      </x:c>
      <x:c r="AH117" s="715" t="str">
        <x:v>Belum Dinilai</x:v>
      </x:c>
      <x:c r="AI117" s="714" t="str">
        <x:v>Belum Dinilai</x:v>
      </x:c>
      <x:c r="AJ117" s="713" t="str">
        <x:v>Belum Dinilai</x:v>
      </x:c>
      <x:c r="AK117" s="715" t="str">
        <x:v>Belum Dinilai</x:v>
      </x:c>
      <x:c r="AL117" s="713" t="str"/>
      <x:c r="AM117" s="716" t="str">
        <x:v>Belum Dinilai</x:v>
      </x:c>
      <x:c r="AN117" s="716" t="str">
        <x:f>IF(AND(COUNTIF(AC117:AK117,"Ya")=0,AL117=""),IF(COUNTIF(AC117:AK117,"Belum Dinilai")&gt;0,"Belum Dinilai","Tidak ada risiko khusus"),TEXTJOIN(", ",TRUE,IF(AC117="Ya","Bangunan berpotensi roboh",""),IF(AD117="Ya","Bekas kebakaran dan tidak aman dihuni",""),IF(AE117="Ya","Atap atau dinding utama hampir runtuh",""),IF(AF117="Ya","Genangan yang membahayakan",""),IF(AG117="Ya","Struktur rumah tidak stabil",""),IF(AH117="Ya","Instalasi listrik berbahaya",""),IF(AI117="Ya","Komponen bangunan lepas atau lapuk",""),IF(AJ117="Ya","Akses keluar atau evakuasi terbatas",""),IF(AK117="Ya","Lokasi rawan bencana",""),IF(AL117&lt;&gt;"","Lainnya: "&amp;AL117,"")))</x:f>
        <x:v>Belum Dinilai</x:v>
      </x:c>
      <x:c r="AO117" s="716" t="str">
        <x:f>IF(AR117="","Belum Dinilai",IF(AR117=10,"Risiko Tinggi/Darurat",IF(AR117=5,"Risiko Sedang","Tidak Ada Risiko Khusus")))</x:f>
        <x:v>Belum Dinilai</x:v>
      </x:c>
      <x:c r="AP117" s="716" t="str"/>
      <x:c r="AQ117" s="719" t="str">
        <x:f>IF(OR(J117="",J117="Belum Dapat Ditentukan",L117="",L117="Belum Dinilai",N117="",N117="Belum Dinilai",P117="",P117="Belum Dinilai"),"",IF(J117="Permanen",0,IF(J117="Semipermanen",8,IF(J117="Nonpermanen",15,0)))+IF(L117="Baik",0,IF(L117="Rusak Ringan",5,IF(L117="Rusak Sedang",10,IF(L117="Rusak Berat",15,IF(L117="Tidak Ada/Terbuka",20,0)))))+IF(N117="Baik",0,IF(N117="Rusak Ringan",5,IF(N117="Rusak Sedang",10,IF(N117="Rusak Berat",15,IF(N117="Tidak Ada/Terbuka",20,0)))))+IF(P117="Baik",0,IF(P117="Rusak Ringan",4,IF(P117="Rusak Sedang",8,IF(P117="Rusak Berat",12,IF(P117="Tidak Layak",15,0))))))</x:f>
      </x:c>
      <x:c r="AR117" s="719" t="str">
        <x:f>IF(COUNTIF(AC117:AH117,"Ya")&gt;0,10,IF(COUNTIF(AI117:AK117,"Ya")&gt;=2,10,IF(COUNTIF(AI117:AK117,"Ya")=1,MAX(5,IF(AM117="Risiko Tinggi/Darurat",10,IF(AM117="Risiko Sedang",5,0))),IF(AL117&lt;&gt;"",IF(AM117="Risiko Tinggi/Darurat",10,IF(AM117="Risiko Sedang",5,"")),IF(COUNTIF(AC117:AK117,"Belum Dinilai")&gt;0,"",0)))))</x:f>
      </x:c>
      <x:c r="AS117" s="719" t="str">
        <x:f>IF(OR(AQ117="",AB117="",AR117=""),"",AQ117+AB117+AR117)</x:f>
      </x:c>
      <x:c r="AT117" s="719" t="str">
        <x:f>IF(AS117="","Belum Dapat Ditentukan",IF(AS117&gt;=80,"Sangat Tinggi",IF(OR(AO117="Risiko Tinggi/Darurat",(IF(L117="Rusak Berat",1,0)+IF(L117="Tidak Ada/Terbuka",1,0)+IF(N117="Rusak Berat",1,0)+IF(N117="Tidak Ada/Terbuka",1,0)+IF(P117="Rusak Berat",1,0)+IF(P117="Tidak Layak",1,0))&gt;=2),"Tinggi",IF(AS117&gt;=65,"Tinggi",IF(AS117&gt;=50,"Sedang","Rendah")))))</x:f>
        <x:v>Belum Dapat Ditentukan</x:v>
      </x:c>
      <x:c r="AU117" s="240" t="str">
        <x:v>Lengkap</x:v>
      </x:c>
      <x:c r="AV117" s="240" t="str">
        <x:v>Sudah Diverifikasi</x:v>
      </x:c>
      <x:c r="AW117" s="240" t="str">
        <x:v>Belum Ditangani</x:v>
      </x:c>
      <x:c r="AX117" s="240"/>
      <x:c r="AY117" s="240"/>
      <x:c r="AZ117" s="240" t="str">
        <x:v>Belum Diverifikasi</x:v>
      </x:c>
      <x:c r="BA117" s="240"/>
      <x:c r="BB117" s="240"/>
      <x:c r="BC117" s="240" t="n">
        <x:v>2026</x:v>
      </x:c>
      <x:c r="BD117" s="240" t="str">
        <x:v>Usulan Musrenbang/Pokir DPRD</x:v>
      </x:c>
      <x:c r="BE117" s="240" t="n">
        <x:v>46218</x:v>
      </x:c>
      <x:c r="BF117" s="240" t="str">
        <x:v>Dinas Perkim Kota Pangkalpinang</x:v>
      </x:c>
    </x:row>
    <x:row r="118" ht="32" customHeight="1">
      <x:c r="A118" s="314" t="str">
        <x:v>RTLH-0142</x:v>
      </x:c>
      <x:c r="B118" s="315" t="str">
        <x:v>SOLEH</x:v>
      </x:c>
      <x:c r="C118" s="316"/>
      <x:c r="D118" s="316"/>
      <x:c r="E118" s="315" t="str">
        <x:v>JL.GIRIMAYA NO 66 RT/RW 05/02</x:v>
      </x:c>
      <x:c r="F118" s="315" t="str">
        <x:v>BUKIT BESAR</x:v>
      </x:c>
      <x:c r="G118" s="315" t="str">
        <x:v>GIRIMAYA</x:v>
      </x:c>
      <x:c r="H118" s="315" t="str">
        <x:v>Pembangunan Baru</x:v>
      </x:c>
      <x:c r="I118" s="317" t="str">
        <x:v>RUMAH FULLPAPAN, LANTAI FLOOR</x:v>
      </x:c>
      <x:c r="J118" s="315" t="str">
        <x:v>Belum Dapat Ditentukan</x:v>
      </x:c>
      <x:c r="K118" s="315" t="str">
        <x:v>Belum Diidentifikasi</x:v>
      </x:c>
      <x:c r="L118" s="315" t="str">
        <x:v>Belum Dinilai</x:v>
      </x:c>
      <x:c r="M118" s="367" t="str">
        <x:v>Belum Diidentifikasi</x:v>
      </x:c>
      <x:c r="N118" s="315" t="str">
        <x:v>Belum Dinilai</x:v>
      </x:c>
      <x:c r="O118" s="316" t="str">
        <x:v>Semen/Plester</x:v>
      </x:c>
      <x:c r="P118" s="349" t="str">
        <x:v>Belum Dinilai</x:v>
      </x:c>
      <x:c r="Q118" s="707" t="str">
        <x:v>Belum Dinilai</x:v>
      </x:c>
      <x:c r="R118" s="707" t="str">
        <x:v>Belum Dinilai</x:v>
      </x:c>
      <x:c r="S118" s="708" t="str">
        <x:v>Belum Dinilai</x:v>
      </x:c>
      <x:c r="T118" s="709" t="str">
        <x:v>Belum Dinilai</x:v>
      </x:c>
      <x:c r="U118" s="704" t="str">
        <x:v>Belum Dinilai</x:v>
      </x:c>
      <x:c r="V118" s="704" t="str">
        <x:v>Belum Dinilai</x:v>
      </x:c>
      <x:c r="W118" s="704" t="str"/>
      <x:c r="X118" s="704" t="str">
        <x:f>IF(COUNTIF(R118:V118,"Belum Dinilai")&gt;0,"Belum Dinilai",IF(COUNTIF(R118:V118,"Ya")=0,"Tidak ada faktor rentan",TEXTJOIN(", ",TRUE,IF(R118="Ya","Lansia",""),IF(S118="Ya","Penyandang disabilitas",""),IF(T118="Ya","Kepala keluarga perempuan",""),IF(U118="Ya","Balita",""),IF(V118="Ya","Anggota keluarga dengan ketergantungan tinggi",""))))</x:f>
        <x:v>Belum Dinilai</x:v>
      </x:c>
      <x:c r="Y118" s="704" t="str">
        <x:f>IF(COUNTIF(R118:V118,"Belum Dinilai")&gt;0,"Belum Dinilai",IF(COUNTIF(R118:V118,"Ya")=0,"Tidak Ada Faktor Rentan",IF(COUNTIF(R118:V118,"Ya")=1,"1 Faktor Rentan","2 atau Lebih Faktor Rentan")))</x:f>
        <x:v>Belum Dinilai</x:v>
      </x:c>
      <x:c r="Z118" s="704" t="str">
        <x:f>IF(OR(Q118="",Q118="Belum Dinilai"),"",IF(Q118="Terverifikasi DTKS/P3KE/MBR",10,IF(Q118="Diusulkan, Belum Terverifikasi",5,0)))</x:f>
      </x:c>
      <x:c r="AA118" s="705" t="str">
        <x:f>IF(COUNTIF(R118:V118,"Belum Dinilai")&gt;0,"",IF(COUNTIF(R118:V118,"Ya")=0,0,IF(COUNTIF(R118:V118,"Ya")=1,5,10)))</x:f>
      </x:c>
      <x:c r="AB118" s="706" t="str">
        <x:f>IF(OR(Z118="",AA118=""),"",Z118+AA118)</x:f>
      </x:c>
      <x:c r="AC118" s="713" t="str">
        <x:v>Belum Dinilai</x:v>
      </x:c>
      <x:c r="AD118" s="713" t="str">
        <x:v>Belum Dinilai</x:v>
      </x:c>
      <x:c r="AE118" s="714" t="str">
        <x:v>Belum Dinilai</x:v>
      </x:c>
      <x:c r="AF118" s="713" t="str">
        <x:v>Belum Dinilai</x:v>
      </x:c>
      <x:c r="AG118" s="713" t="str">
        <x:v>Belum Dinilai</x:v>
      </x:c>
      <x:c r="AH118" s="715" t="str">
        <x:v>Belum Dinilai</x:v>
      </x:c>
      <x:c r="AI118" s="714" t="str">
        <x:v>Belum Dinilai</x:v>
      </x:c>
      <x:c r="AJ118" s="713" t="str">
        <x:v>Belum Dinilai</x:v>
      </x:c>
      <x:c r="AK118" s="715" t="str">
        <x:v>Belum Dinilai</x:v>
      </x:c>
      <x:c r="AL118" s="713" t="str"/>
      <x:c r="AM118" s="716" t="str">
        <x:v>Belum Dinilai</x:v>
      </x:c>
      <x:c r="AN118" s="716" t="str">
        <x:f>IF(AND(COUNTIF(AC118:AK118,"Ya")=0,AL118=""),IF(COUNTIF(AC118:AK118,"Belum Dinilai")&gt;0,"Belum Dinilai","Tidak ada risiko khusus"),TEXTJOIN(", ",TRUE,IF(AC118="Ya","Bangunan berpotensi roboh",""),IF(AD118="Ya","Bekas kebakaran dan tidak aman dihuni",""),IF(AE118="Ya","Atap atau dinding utama hampir runtuh",""),IF(AF118="Ya","Genangan yang membahayakan",""),IF(AG118="Ya","Struktur rumah tidak stabil",""),IF(AH118="Ya","Instalasi listrik berbahaya",""),IF(AI118="Ya","Komponen bangunan lepas atau lapuk",""),IF(AJ118="Ya","Akses keluar atau evakuasi terbatas",""),IF(AK118="Ya","Lokasi rawan bencana",""),IF(AL118&lt;&gt;"","Lainnya: "&amp;AL118,"")))</x:f>
        <x:v>Belum Dinilai</x:v>
      </x:c>
      <x:c r="AO118" s="716" t="str">
        <x:f>IF(AR118="","Belum Dinilai",IF(AR118=10,"Risiko Tinggi/Darurat",IF(AR118=5,"Risiko Sedang","Tidak Ada Risiko Khusus")))</x:f>
        <x:v>Belum Dinilai</x:v>
      </x:c>
      <x:c r="AP118" s="716" t="str"/>
      <x:c r="AQ118" s="719" t="str">
        <x:f>IF(OR(J118="",J118="Belum Dapat Ditentukan",L118="",L118="Belum Dinilai",N118="",N118="Belum Dinilai",P118="",P118="Belum Dinilai"),"",IF(J118="Permanen",0,IF(J118="Semipermanen",8,IF(J118="Nonpermanen",15,0)))+IF(L118="Baik",0,IF(L118="Rusak Ringan",5,IF(L118="Rusak Sedang",10,IF(L118="Rusak Berat",15,IF(L118="Tidak Ada/Terbuka",20,0)))))+IF(N118="Baik",0,IF(N118="Rusak Ringan",5,IF(N118="Rusak Sedang",10,IF(N118="Rusak Berat",15,IF(N118="Tidak Ada/Terbuka",20,0)))))+IF(P118="Baik",0,IF(P118="Rusak Ringan",4,IF(P118="Rusak Sedang",8,IF(P118="Rusak Berat",12,IF(P118="Tidak Layak",15,0))))))</x:f>
      </x:c>
      <x:c r="AR118" s="719" t="str">
        <x:f>IF(COUNTIF(AC118:AH118,"Ya")&gt;0,10,IF(COUNTIF(AI118:AK118,"Ya")&gt;=2,10,IF(COUNTIF(AI118:AK118,"Ya")=1,MAX(5,IF(AM118="Risiko Tinggi/Darurat",10,IF(AM118="Risiko Sedang",5,0))),IF(AL118&lt;&gt;"",IF(AM118="Risiko Tinggi/Darurat",10,IF(AM118="Risiko Sedang",5,"")),IF(COUNTIF(AC118:AK118,"Belum Dinilai")&gt;0,"",0)))))</x:f>
      </x:c>
      <x:c r="AS118" s="719" t="str">
        <x:f>IF(OR(AQ118="",AB118="",AR118=""),"",AQ118+AB118+AR118)</x:f>
      </x:c>
      <x:c r="AT118" s="719" t="str">
        <x:f>IF(AS118="","Belum Dapat Ditentukan",IF(AS118&gt;=80,"Sangat Tinggi",IF(OR(AO118="Risiko Tinggi/Darurat",(IF(L118="Rusak Berat",1,0)+IF(L118="Tidak Ada/Terbuka",1,0)+IF(N118="Rusak Berat",1,0)+IF(N118="Tidak Ada/Terbuka",1,0)+IF(P118="Rusak Berat",1,0)+IF(P118="Tidak Layak",1,0))&gt;=2),"Tinggi",IF(AS118&gt;=65,"Tinggi",IF(AS118&gt;=50,"Sedang","Rendah")))))</x:f>
        <x:v>Belum Dapat Ditentukan</x:v>
      </x:c>
      <x:c r="AU118" s="240" t="str">
        <x:v>Lengkap</x:v>
      </x:c>
      <x:c r="AV118" s="240" t="str">
        <x:v>Sudah Diverifikasi</x:v>
      </x:c>
      <x:c r="AW118" s="240" t="str">
        <x:v>Selesai</x:v>
      </x:c>
      <x:c r="AX118" s="240" t="str">
        <x:v>APBD Kota</x:v>
      </x:c>
      <x:c r="AY118" s="240" t="n">
        <x:v>2021</x:v>
      </x:c>
      <x:c r="AZ118" s="240" t="str">
        <x:v>Belum Diverifikasi</x:v>
      </x:c>
      <x:c r="BA118" s="240"/>
      <x:c r="BB118" s="240"/>
      <x:c r="BC118" s="240" t="n">
        <x:v>2026</x:v>
      </x:c>
      <x:c r="BD118" s="240" t="str">
        <x:v>Usulan Musrenbang/Pokir DPRD</x:v>
      </x:c>
      <x:c r="BE118" s="240" t="n">
        <x:v>46218</x:v>
      </x:c>
      <x:c r="BF118" s="240" t="str">
        <x:v>Dinas Perkim Kota Pangkalpinang</x:v>
      </x:c>
    </x:row>
    <x:row r="119" ht="32" customHeight="1">
      <x:c r="A119" s="314" t="str">
        <x:v>RTLH-0143</x:v>
      </x:c>
      <x:c r="B119" s="315" t="str">
        <x:v>THAM KIM SIAN</x:v>
      </x:c>
      <x:c r="C119" s="316"/>
      <x:c r="D119" s="316"/>
      <x:c r="E119" s="315" t="str">
        <x:v>JL.RASAKUNDA RT/RW: 003/001 KEL: BUKIT BESAR</x:v>
      </x:c>
      <x:c r="F119" s="315" t="str">
        <x:v>BUKIT BESAR</x:v>
      </x:c>
      <x:c r="G119" s="315" t="str">
        <x:v>GIRIMAYA</x:v>
      </x:c>
      <x:c r="H119" s="315" t="str">
        <x:v>Peningkatan Kualitas</x:v>
      </x:c>
      <x:c r="I119" s="317" t="str">
        <x:v>DEPAN BETON, DAN BAGIAN DALAM KAYU, LANTAI FLOOR .</x:v>
      </x:c>
      <x:c r="J119" s="315" t="str">
        <x:v>Semipermanen</x:v>
      </x:c>
      <x:c r="K119" s="315" t="str">
        <x:v>Belum Diidentifikasi</x:v>
      </x:c>
      <x:c r="L119" s="315" t="str">
        <x:v>Belum Dinilai</x:v>
      </x:c>
      <x:c r="M119" s="367" t="str">
        <x:v>Campuran Permanen dan Papan</x:v>
      </x:c>
      <x:c r="N119" s="315" t="str">
        <x:v>Belum Dinilai</x:v>
      </x:c>
      <x:c r="O119" s="316" t="str">
        <x:v>Semen/Plester</x:v>
      </x:c>
      <x:c r="P119" s="349" t="str">
        <x:v>Belum Dinilai</x:v>
      </x:c>
      <x:c r="Q119" s="707" t="str">
        <x:v>Belum Dinilai</x:v>
      </x:c>
      <x:c r="R119" s="707" t="str">
        <x:v>Belum Dinilai</x:v>
      </x:c>
      <x:c r="S119" s="708" t="str">
        <x:v>Belum Dinilai</x:v>
      </x:c>
      <x:c r="T119" s="709" t="str">
        <x:v>Belum Dinilai</x:v>
      </x:c>
      <x:c r="U119" s="704" t="str">
        <x:v>Belum Dinilai</x:v>
      </x:c>
      <x:c r="V119" s="704" t="str">
        <x:v>Belum Dinilai</x:v>
      </x:c>
      <x:c r="W119" s="704" t="str"/>
      <x:c r="X119" s="704" t="str">
        <x:f>IF(COUNTIF(R119:V119,"Belum Dinilai")&gt;0,"Belum Dinilai",IF(COUNTIF(R119:V119,"Ya")=0,"Tidak ada faktor rentan",TEXTJOIN(", ",TRUE,IF(R119="Ya","Lansia",""),IF(S119="Ya","Penyandang disabilitas",""),IF(T119="Ya","Kepala keluarga perempuan",""),IF(U119="Ya","Balita",""),IF(V119="Ya","Anggota keluarga dengan ketergantungan tinggi",""))))</x:f>
        <x:v>Belum Dinilai</x:v>
      </x:c>
      <x:c r="Y119" s="704" t="str">
        <x:f>IF(COUNTIF(R119:V119,"Belum Dinilai")&gt;0,"Belum Dinilai",IF(COUNTIF(R119:V119,"Ya")=0,"Tidak Ada Faktor Rentan",IF(COUNTIF(R119:V119,"Ya")=1,"1 Faktor Rentan","2 atau Lebih Faktor Rentan")))</x:f>
        <x:v>Belum Dinilai</x:v>
      </x:c>
      <x:c r="Z119" s="704" t="str">
        <x:f>IF(OR(Q119="",Q119="Belum Dinilai"),"",IF(Q119="Terverifikasi DTKS/P3KE/MBR",10,IF(Q119="Diusulkan, Belum Terverifikasi",5,0)))</x:f>
      </x:c>
      <x:c r="AA119" s="705" t="str">
        <x:f>IF(COUNTIF(R119:V119,"Belum Dinilai")&gt;0,"",IF(COUNTIF(R119:V119,"Ya")=0,0,IF(COUNTIF(R119:V119,"Ya")=1,5,10)))</x:f>
      </x:c>
      <x:c r="AB119" s="706" t="str">
        <x:f>IF(OR(Z119="",AA119=""),"",Z119+AA119)</x:f>
      </x:c>
      <x:c r="AC119" s="713" t="str">
        <x:v>Belum Dinilai</x:v>
      </x:c>
      <x:c r="AD119" s="713" t="str">
        <x:v>Belum Dinilai</x:v>
      </x:c>
      <x:c r="AE119" s="714" t="str">
        <x:v>Belum Dinilai</x:v>
      </x:c>
      <x:c r="AF119" s="713" t="str">
        <x:v>Belum Dinilai</x:v>
      </x:c>
      <x:c r="AG119" s="713" t="str">
        <x:v>Belum Dinilai</x:v>
      </x:c>
      <x:c r="AH119" s="715" t="str">
        <x:v>Belum Dinilai</x:v>
      </x:c>
      <x:c r="AI119" s="714" t="str">
        <x:v>Belum Dinilai</x:v>
      </x:c>
      <x:c r="AJ119" s="713" t="str">
        <x:v>Belum Dinilai</x:v>
      </x:c>
      <x:c r="AK119" s="715" t="str">
        <x:v>Belum Dinilai</x:v>
      </x:c>
      <x:c r="AL119" s="713" t="str"/>
      <x:c r="AM119" s="716" t="str">
        <x:v>Belum Dinilai</x:v>
      </x:c>
      <x:c r="AN119" s="716" t="str">
        <x:f>IF(AND(COUNTIF(AC119:AK119,"Ya")=0,AL119=""),IF(COUNTIF(AC119:AK119,"Belum Dinilai")&gt;0,"Belum Dinilai","Tidak ada risiko khusus"),TEXTJOIN(", ",TRUE,IF(AC119="Ya","Bangunan berpotensi roboh",""),IF(AD119="Ya","Bekas kebakaran dan tidak aman dihuni",""),IF(AE119="Ya","Atap atau dinding utama hampir runtuh",""),IF(AF119="Ya","Genangan yang membahayakan",""),IF(AG119="Ya","Struktur rumah tidak stabil",""),IF(AH119="Ya","Instalasi listrik berbahaya",""),IF(AI119="Ya","Komponen bangunan lepas atau lapuk",""),IF(AJ119="Ya","Akses keluar atau evakuasi terbatas",""),IF(AK119="Ya","Lokasi rawan bencana",""),IF(AL119&lt;&gt;"","Lainnya: "&amp;AL119,"")))</x:f>
        <x:v>Belum Dinilai</x:v>
      </x:c>
      <x:c r="AO119" s="716" t="str">
        <x:f>IF(AR119="","Belum Dinilai",IF(AR119=10,"Risiko Tinggi/Darurat",IF(AR119=5,"Risiko Sedang","Tidak Ada Risiko Khusus")))</x:f>
        <x:v>Belum Dinilai</x:v>
      </x:c>
      <x:c r="AP119" s="716" t="str"/>
      <x:c r="AQ119" s="719" t="str">
        <x:f>IF(OR(J119="",J119="Belum Dapat Ditentukan",L119="",L119="Belum Dinilai",N119="",N119="Belum Dinilai",P119="",P119="Belum Dinilai"),"",IF(J119="Permanen",0,IF(J119="Semipermanen",8,IF(J119="Nonpermanen",15,0)))+IF(L119="Baik",0,IF(L119="Rusak Ringan",5,IF(L119="Rusak Sedang",10,IF(L119="Rusak Berat",15,IF(L119="Tidak Ada/Terbuka",20,0)))))+IF(N119="Baik",0,IF(N119="Rusak Ringan",5,IF(N119="Rusak Sedang",10,IF(N119="Rusak Berat",15,IF(N119="Tidak Ada/Terbuka",20,0)))))+IF(P119="Baik",0,IF(P119="Rusak Ringan",4,IF(P119="Rusak Sedang",8,IF(P119="Rusak Berat",12,IF(P119="Tidak Layak",15,0))))))</x:f>
      </x:c>
      <x:c r="AR119" s="719" t="str">
        <x:f>IF(COUNTIF(AC119:AH119,"Ya")&gt;0,10,IF(COUNTIF(AI119:AK119,"Ya")&gt;=2,10,IF(COUNTIF(AI119:AK119,"Ya")=1,MAX(5,IF(AM119="Risiko Tinggi/Darurat",10,IF(AM119="Risiko Sedang",5,0))),IF(AL119&lt;&gt;"",IF(AM119="Risiko Tinggi/Darurat",10,IF(AM119="Risiko Sedang",5,"")),IF(COUNTIF(AC119:AK119,"Belum Dinilai")&gt;0,"",0)))))</x:f>
      </x:c>
      <x:c r="AS119" s="719" t="str">
        <x:f>IF(OR(AQ119="",AB119="",AR119=""),"",AQ119+AB119+AR119)</x:f>
      </x:c>
      <x:c r="AT119" s="719" t="str">
        <x:f>IF(AS119="","Belum Dapat Ditentukan",IF(AS119&gt;=80,"Sangat Tinggi",IF(OR(AO119="Risiko Tinggi/Darurat",(IF(L119="Rusak Berat",1,0)+IF(L119="Tidak Ada/Terbuka",1,0)+IF(N119="Rusak Berat",1,0)+IF(N119="Tidak Ada/Terbuka",1,0)+IF(P119="Rusak Berat",1,0)+IF(P119="Tidak Layak",1,0))&gt;=2),"Tinggi",IF(AS119&gt;=65,"Tinggi",IF(AS119&gt;=50,"Sedang","Rendah")))))</x:f>
        <x:v>Belum Dapat Ditentukan</x:v>
      </x:c>
      <x:c r="AU119" s="240" t="str">
        <x:v>Lengkap</x:v>
      </x:c>
      <x:c r="AV119" s="240" t="str">
        <x:v>Sudah Diverifikasi</x:v>
      </x:c>
      <x:c r="AW119" s="240" t="str">
        <x:v>Selesai</x:v>
      </x:c>
      <x:c r="AX119" s="240" t="str">
        <x:v>APBD Kota</x:v>
      </x:c>
      <x:c r="AY119" s="240" t="n">
        <x:v>2021</x:v>
      </x:c>
      <x:c r="AZ119" s="240" t="str">
        <x:v>Belum Diverifikasi</x:v>
      </x:c>
      <x:c r="BA119" s="240"/>
      <x:c r="BB119" s="240"/>
      <x:c r="BC119" s="240" t="n">
        <x:v>2026</x:v>
      </x:c>
      <x:c r="BD119" s="240" t="str">
        <x:v>Usulan Musrenbang/Pokir DPRD</x:v>
      </x:c>
      <x:c r="BE119" s="240" t="n">
        <x:v>46218</x:v>
      </x:c>
      <x:c r="BF119" s="240" t="str">
        <x:v>Dinas Perkim Kota Pangkalpinang</x:v>
      </x:c>
    </x:row>
    <x:row r="120" ht="32" customHeight="1">
      <x:c r="A120" s="314" t="str">
        <x:v>RTLH-0144</x:v>
      </x:c>
      <x:c r="B120" s="315" t="str">
        <x:v>ASNAWI</x:v>
      </x:c>
      <x:c r="C120" s="316"/>
      <x:c r="D120" s="316"/>
      <x:c r="E120" s="315" t="str">
        <x:v>JL.BATU RUBI 11 RT/RW 003/001</x:v>
      </x:c>
      <x:c r="F120" s="315" t="str">
        <x:v>BUKIT BESAR</x:v>
      </x:c>
      <x:c r="G120" s="315" t="str">
        <x:v>GIRIMAYA</x:v>
      </x:c>
      <x:c r="H120" s="315" t="str">
        <x:v>Pembangunan Baru</x:v>
      </x:c>
      <x:c r="I120" s="317" t="str">
        <x:v>FULL PAPAN , LANTAI FLOOR DAN BAGIAN BELAKANG BETON.</x:v>
      </x:c>
      <x:c r="J120" s="315" t="str">
        <x:v>Semipermanen</x:v>
      </x:c>
      <x:c r="K120" s="315" t="str">
        <x:v>Belum Diidentifikasi</x:v>
      </x:c>
      <x:c r="L120" s="315" t="str">
        <x:v>Belum Dinilai</x:v>
      </x:c>
      <x:c r="M120" s="367" t="str">
        <x:v>Campuran Permanen dan Papan</x:v>
      </x:c>
      <x:c r="N120" s="315" t="str">
        <x:v>Belum Dinilai</x:v>
      </x:c>
      <x:c r="O120" s="316" t="str">
        <x:v>Semen/Plester</x:v>
      </x:c>
      <x:c r="P120" s="349" t="str">
        <x:v>Belum Dinilai</x:v>
      </x:c>
      <x:c r="Q120" s="707" t="str">
        <x:v>Belum Dinilai</x:v>
      </x:c>
      <x:c r="R120" s="707" t="str">
        <x:v>Belum Dinilai</x:v>
      </x:c>
      <x:c r="S120" s="708" t="str">
        <x:v>Belum Dinilai</x:v>
      </x:c>
      <x:c r="T120" s="709" t="str">
        <x:v>Belum Dinilai</x:v>
      </x:c>
      <x:c r="U120" s="704" t="str">
        <x:v>Belum Dinilai</x:v>
      </x:c>
      <x:c r="V120" s="704" t="str">
        <x:v>Belum Dinilai</x:v>
      </x:c>
      <x:c r="W120" s="704" t="str"/>
      <x:c r="X120" s="704" t="str">
        <x:f>IF(COUNTIF(R120:V120,"Belum Dinilai")&gt;0,"Belum Dinilai",IF(COUNTIF(R120:V120,"Ya")=0,"Tidak ada faktor rentan",TEXTJOIN(", ",TRUE,IF(R120="Ya","Lansia",""),IF(S120="Ya","Penyandang disabilitas",""),IF(T120="Ya","Kepala keluarga perempuan",""),IF(U120="Ya","Balita",""),IF(V120="Ya","Anggota keluarga dengan ketergantungan tinggi",""))))</x:f>
        <x:v>Belum Dinilai</x:v>
      </x:c>
      <x:c r="Y120" s="704" t="str">
        <x:f>IF(COUNTIF(R120:V120,"Belum Dinilai")&gt;0,"Belum Dinilai",IF(COUNTIF(R120:V120,"Ya")=0,"Tidak Ada Faktor Rentan",IF(COUNTIF(R120:V120,"Ya")=1,"1 Faktor Rentan","2 atau Lebih Faktor Rentan")))</x:f>
        <x:v>Belum Dinilai</x:v>
      </x:c>
      <x:c r="Z120" s="704" t="str">
        <x:f>IF(OR(Q120="",Q120="Belum Dinilai"),"",IF(Q120="Terverifikasi DTKS/P3KE/MBR",10,IF(Q120="Diusulkan, Belum Terverifikasi",5,0)))</x:f>
      </x:c>
      <x:c r="AA120" s="705" t="str">
        <x:f>IF(COUNTIF(R120:V120,"Belum Dinilai")&gt;0,"",IF(COUNTIF(R120:V120,"Ya")=0,0,IF(COUNTIF(R120:V120,"Ya")=1,5,10)))</x:f>
      </x:c>
      <x:c r="AB120" s="706" t="str">
        <x:f>IF(OR(Z120="",AA120=""),"",Z120+AA120)</x:f>
      </x:c>
      <x:c r="AC120" s="713" t="str">
        <x:v>Belum Dinilai</x:v>
      </x:c>
      <x:c r="AD120" s="713" t="str">
        <x:v>Belum Dinilai</x:v>
      </x:c>
      <x:c r="AE120" s="714" t="str">
        <x:v>Belum Dinilai</x:v>
      </x:c>
      <x:c r="AF120" s="713" t="str">
        <x:v>Belum Dinilai</x:v>
      </x:c>
      <x:c r="AG120" s="713" t="str">
        <x:v>Belum Dinilai</x:v>
      </x:c>
      <x:c r="AH120" s="715" t="str">
        <x:v>Belum Dinilai</x:v>
      </x:c>
      <x:c r="AI120" s="714" t="str">
        <x:v>Belum Dinilai</x:v>
      </x:c>
      <x:c r="AJ120" s="713" t="str">
        <x:v>Belum Dinilai</x:v>
      </x:c>
      <x:c r="AK120" s="715" t="str">
        <x:v>Belum Dinilai</x:v>
      </x:c>
      <x:c r="AL120" s="713" t="str"/>
      <x:c r="AM120" s="716" t="str">
        <x:v>Belum Dinilai</x:v>
      </x:c>
      <x:c r="AN120" s="716" t="str">
        <x:f>IF(AND(COUNTIF(AC120:AK120,"Ya")=0,AL120=""),IF(COUNTIF(AC120:AK120,"Belum Dinilai")&gt;0,"Belum Dinilai","Tidak ada risiko khusus"),TEXTJOIN(", ",TRUE,IF(AC120="Ya","Bangunan berpotensi roboh",""),IF(AD120="Ya","Bekas kebakaran dan tidak aman dihuni",""),IF(AE120="Ya","Atap atau dinding utama hampir runtuh",""),IF(AF120="Ya","Genangan yang membahayakan",""),IF(AG120="Ya","Struktur rumah tidak stabil",""),IF(AH120="Ya","Instalasi listrik berbahaya",""),IF(AI120="Ya","Komponen bangunan lepas atau lapuk",""),IF(AJ120="Ya","Akses keluar atau evakuasi terbatas",""),IF(AK120="Ya","Lokasi rawan bencana",""),IF(AL120&lt;&gt;"","Lainnya: "&amp;AL120,"")))</x:f>
        <x:v>Belum Dinilai</x:v>
      </x:c>
      <x:c r="AO120" s="716" t="str">
        <x:f>IF(AR120="","Belum Dinilai",IF(AR120=10,"Risiko Tinggi/Darurat",IF(AR120=5,"Risiko Sedang","Tidak Ada Risiko Khusus")))</x:f>
        <x:v>Belum Dinilai</x:v>
      </x:c>
      <x:c r="AP120" s="716" t="str"/>
      <x:c r="AQ120" s="719" t="str">
        <x:f>IF(OR(J120="",J120="Belum Dapat Ditentukan",L120="",L120="Belum Dinilai",N120="",N120="Belum Dinilai",P120="",P120="Belum Dinilai"),"",IF(J120="Permanen",0,IF(J120="Semipermanen",8,IF(J120="Nonpermanen",15,0)))+IF(L120="Baik",0,IF(L120="Rusak Ringan",5,IF(L120="Rusak Sedang",10,IF(L120="Rusak Berat",15,IF(L120="Tidak Ada/Terbuka",20,0)))))+IF(N120="Baik",0,IF(N120="Rusak Ringan",5,IF(N120="Rusak Sedang",10,IF(N120="Rusak Berat",15,IF(N120="Tidak Ada/Terbuka",20,0)))))+IF(P120="Baik",0,IF(P120="Rusak Ringan",4,IF(P120="Rusak Sedang",8,IF(P120="Rusak Berat",12,IF(P120="Tidak Layak",15,0))))))</x:f>
      </x:c>
      <x:c r="AR120" s="719" t="str">
        <x:f>IF(COUNTIF(AC120:AH120,"Ya")&gt;0,10,IF(COUNTIF(AI120:AK120,"Ya")&gt;=2,10,IF(COUNTIF(AI120:AK120,"Ya")=1,MAX(5,IF(AM120="Risiko Tinggi/Darurat",10,IF(AM120="Risiko Sedang",5,0))),IF(AL120&lt;&gt;"",IF(AM120="Risiko Tinggi/Darurat",10,IF(AM120="Risiko Sedang",5,"")),IF(COUNTIF(AC120:AK120,"Belum Dinilai")&gt;0,"",0)))))</x:f>
      </x:c>
      <x:c r="AS120" s="719" t="str">
        <x:f>IF(OR(AQ120="",AB120="",AR120=""),"",AQ120+AB120+AR120)</x:f>
      </x:c>
      <x:c r="AT120" s="719" t="str">
        <x:f>IF(AS120="","Belum Dapat Ditentukan",IF(AS120&gt;=80,"Sangat Tinggi",IF(OR(AO120="Risiko Tinggi/Darurat",(IF(L120="Rusak Berat",1,0)+IF(L120="Tidak Ada/Terbuka",1,0)+IF(N120="Rusak Berat",1,0)+IF(N120="Tidak Ada/Terbuka",1,0)+IF(P120="Rusak Berat",1,0)+IF(P120="Tidak Layak",1,0))&gt;=2),"Tinggi",IF(AS120&gt;=65,"Tinggi",IF(AS120&gt;=50,"Sedang","Rendah")))))</x:f>
        <x:v>Belum Dapat Ditentukan</x:v>
      </x:c>
      <x:c r="AU120" s="240" t="str">
        <x:v>Lengkap</x:v>
      </x:c>
      <x:c r="AV120" s="240" t="str">
        <x:v>Sudah Diverifikasi</x:v>
      </x:c>
      <x:c r="AW120" s="240" t="str">
        <x:v>Selesai</x:v>
      </x:c>
      <x:c r="AX120" s="240" t="str">
        <x:v>APBD Kota</x:v>
      </x:c>
      <x:c r="AY120" s="240" t="n">
        <x:v>2023</x:v>
      </x:c>
      <x:c r="AZ120" s="240" t="str">
        <x:v>Belum Diverifikasi</x:v>
      </x:c>
      <x:c r="BA120" s="240"/>
      <x:c r="BB120" s="240"/>
      <x:c r="BC120" s="240" t="n">
        <x:v>2026</x:v>
      </x:c>
      <x:c r="BD120" s="240" t="str">
        <x:v>Usulan Musrenbang/Pokir DPRD</x:v>
      </x:c>
      <x:c r="BE120" s="240" t="n">
        <x:v>46218</x:v>
      </x:c>
      <x:c r="BF120" s="240" t="str">
        <x:v>Dinas Perkim Kota Pangkalpinang</x:v>
      </x:c>
    </x:row>
    <x:row r="121" ht="32" customHeight="1">
      <x:c r="A121" s="314" t="str">
        <x:v>RTLH-0145</x:v>
      </x:c>
      <x:c r="B121" s="315" t="str">
        <x:v>ABDUR RAWI</x:v>
      </x:c>
      <x:c r="C121" s="316"/>
      <x:c r="D121" s="316"/>
      <x:c r="E121" s="315" t="str">
        <x:v>JL.BATU RUBI 11 RT/RW 003/001</x:v>
      </x:c>
      <x:c r="F121" s="315" t="str">
        <x:v>BUKIT BESAR</x:v>
      </x:c>
      <x:c r="G121" s="315" t="str">
        <x:v>GIRIMAYA</x:v>
      </x:c>
      <x:c r="H121" s="315" t="str">
        <x:v>Pembangunan Baru</x:v>
      </x:c>
      <x:c r="I121" s="317" t="str">
        <x:v>FULL PAPAN , LANTAI FLOOR DAN BAGIAN BELAKANG BETON.</x:v>
      </x:c>
      <x:c r="J121" s="315" t="str">
        <x:v>Semipermanen</x:v>
      </x:c>
      <x:c r="K121" s="315" t="str">
        <x:v>Belum Diidentifikasi</x:v>
      </x:c>
      <x:c r="L121" s="315" t="str">
        <x:v>Belum Dinilai</x:v>
      </x:c>
      <x:c r="M121" s="367" t="str">
        <x:v>Campuran Permanen dan Papan</x:v>
      </x:c>
      <x:c r="N121" s="315" t="str">
        <x:v>Belum Dinilai</x:v>
      </x:c>
      <x:c r="O121" s="316" t="str">
        <x:v>Semen/Plester</x:v>
      </x:c>
      <x:c r="P121" s="349" t="str">
        <x:v>Belum Dinilai</x:v>
      </x:c>
      <x:c r="Q121" s="707" t="str">
        <x:v>Belum Dinilai</x:v>
      </x:c>
      <x:c r="R121" s="707" t="str">
        <x:v>Belum Dinilai</x:v>
      </x:c>
      <x:c r="S121" s="708" t="str">
        <x:v>Belum Dinilai</x:v>
      </x:c>
      <x:c r="T121" s="709" t="str">
        <x:v>Belum Dinilai</x:v>
      </x:c>
      <x:c r="U121" s="704" t="str">
        <x:v>Belum Dinilai</x:v>
      </x:c>
      <x:c r="V121" s="704" t="str">
        <x:v>Belum Dinilai</x:v>
      </x:c>
      <x:c r="W121" s="704" t="str"/>
      <x:c r="X121" s="704" t="str">
        <x:f>IF(COUNTIF(R121:V121,"Belum Dinilai")&gt;0,"Belum Dinilai",IF(COUNTIF(R121:V121,"Ya")=0,"Tidak ada faktor rentan",TEXTJOIN(", ",TRUE,IF(R121="Ya","Lansia",""),IF(S121="Ya","Penyandang disabilitas",""),IF(T121="Ya","Kepala keluarga perempuan",""),IF(U121="Ya","Balita",""),IF(V121="Ya","Anggota keluarga dengan ketergantungan tinggi",""))))</x:f>
        <x:v>Belum Dinilai</x:v>
      </x:c>
      <x:c r="Y121" s="704" t="str">
        <x:f>IF(COUNTIF(R121:V121,"Belum Dinilai")&gt;0,"Belum Dinilai",IF(COUNTIF(R121:V121,"Ya")=0,"Tidak Ada Faktor Rentan",IF(COUNTIF(R121:V121,"Ya")=1,"1 Faktor Rentan","2 atau Lebih Faktor Rentan")))</x:f>
        <x:v>Belum Dinilai</x:v>
      </x:c>
      <x:c r="Z121" s="704" t="str">
        <x:f>IF(OR(Q121="",Q121="Belum Dinilai"),"",IF(Q121="Terverifikasi DTKS/P3KE/MBR",10,IF(Q121="Diusulkan, Belum Terverifikasi",5,0)))</x:f>
      </x:c>
      <x:c r="AA121" s="705" t="str">
        <x:f>IF(COUNTIF(R121:V121,"Belum Dinilai")&gt;0,"",IF(COUNTIF(R121:V121,"Ya")=0,0,IF(COUNTIF(R121:V121,"Ya")=1,5,10)))</x:f>
      </x:c>
      <x:c r="AB121" s="706" t="str">
        <x:f>IF(OR(Z121="",AA121=""),"",Z121+AA121)</x:f>
      </x:c>
      <x:c r="AC121" s="713" t="str">
        <x:v>Belum Dinilai</x:v>
      </x:c>
      <x:c r="AD121" s="713" t="str">
        <x:v>Belum Dinilai</x:v>
      </x:c>
      <x:c r="AE121" s="714" t="str">
        <x:v>Belum Dinilai</x:v>
      </x:c>
      <x:c r="AF121" s="713" t="str">
        <x:v>Belum Dinilai</x:v>
      </x:c>
      <x:c r="AG121" s="713" t="str">
        <x:v>Belum Dinilai</x:v>
      </x:c>
      <x:c r="AH121" s="715" t="str">
        <x:v>Belum Dinilai</x:v>
      </x:c>
      <x:c r="AI121" s="714" t="str">
        <x:v>Belum Dinilai</x:v>
      </x:c>
      <x:c r="AJ121" s="713" t="str">
        <x:v>Belum Dinilai</x:v>
      </x:c>
      <x:c r="AK121" s="715" t="str">
        <x:v>Belum Dinilai</x:v>
      </x:c>
      <x:c r="AL121" s="713" t="str"/>
      <x:c r="AM121" s="716" t="str">
        <x:v>Belum Dinilai</x:v>
      </x:c>
      <x:c r="AN121" s="716" t="str">
        <x:f>IF(AND(COUNTIF(AC121:AK121,"Ya")=0,AL121=""),IF(COUNTIF(AC121:AK121,"Belum Dinilai")&gt;0,"Belum Dinilai","Tidak ada risiko khusus"),TEXTJOIN(", ",TRUE,IF(AC121="Ya","Bangunan berpotensi roboh",""),IF(AD121="Ya","Bekas kebakaran dan tidak aman dihuni",""),IF(AE121="Ya","Atap atau dinding utama hampir runtuh",""),IF(AF121="Ya","Genangan yang membahayakan",""),IF(AG121="Ya","Struktur rumah tidak stabil",""),IF(AH121="Ya","Instalasi listrik berbahaya",""),IF(AI121="Ya","Komponen bangunan lepas atau lapuk",""),IF(AJ121="Ya","Akses keluar atau evakuasi terbatas",""),IF(AK121="Ya","Lokasi rawan bencana",""),IF(AL121&lt;&gt;"","Lainnya: "&amp;AL121,"")))</x:f>
        <x:v>Belum Dinilai</x:v>
      </x:c>
      <x:c r="AO121" s="716" t="str">
        <x:f>IF(AR121="","Belum Dinilai",IF(AR121=10,"Risiko Tinggi/Darurat",IF(AR121=5,"Risiko Sedang","Tidak Ada Risiko Khusus")))</x:f>
        <x:v>Belum Dinilai</x:v>
      </x:c>
      <x:c r="AP121" s="716" t="str"/>
      <x:c r="AQ121" s="719" t="str">
        <x:f>IF(OR(J121="",J121="Belum Dapat Ditentukan",L121="",L121="Belum Dinilai",N121="",N121="Belum Dinilai",P121="",P121="Belum Dinilai"),"",IF(J121="Permanen",0,IF(J121="Semipermanen",8,IF(J121="Nonpermanen",15,0)))+IF(L121="Baik",0,IF(L121="Rusak Ringan",5,IF(L121="Rusak Sedang",10,IF(L121="Rusak Berat",15,IF(L121="Tidak Ada/Terbuka",20,0)))))+IF(N121="Baik",0,IF(N121="Rusak Ringan",5,IF(N121="Rusak Sedang",10,IF(N121="Rusak Berat",15,IF(N121="Tidak Ada/Terbuka",20,0)))))+IF(P121="Baik",0,IF(P121="Rusak Ringan",4,IF(P121="Rusak Sedang",8,IF(P121="Rusak Berat",12,IF(P121="Tidak Layak",15,0))))))</x:f>
      </x:c>
      <x:c r="AR121" s="719" t="str">
        <x:f>IF(COUNTIF(AC121:AH121,"Ya")&gt;0,10,IF(COUNTIF(AI121:AK121,"Ya")&gt;=2,10,IF(COUNTIF(AI121:AK121,"Ya")=1,MAX(5,IF(AM121="Risiko Tinggi/Darurat",10,IF(AM121="Risiko Sedang",5,0))),IF(AL121&lt;&gt;"",IF(AM121="Risiko Tinggi/Darurat",10,IF(AM121="Risiko Sedang",5,"")),IF(COUNTIF(AC121:AK121,"Belum Dinilai")&gt;0,"",0)))))</x:f>
      </x:c>
      <x:c r="AS121" s="719" t="str">
        <x:f>IF(OR(AQ121="",AB121="",AR121=""),"",AQ121+AB121+AR121)</x:f>
      </x:c>
      <x:c r="AT121" s="719" t="str">
        <x:f>IF(AS121="","Belum Dapat Ditentukan",IF(AS121&gt;=80,"Sangat Tinggi",IF(OR(AO121="Risiko Tinggi/Darurat",(IF(L121="Rusak Berat",1,0)+IF(L121="Tidak Ada/Terbuka",1,0)+IF(N121="Rusak Berat",1,0)+IF(N121="Tidak Ada/Terbuka",1,0)+IF(P121="Rusak Berat",1,0)+IF(P121="Tidak Layak",1,0))&gt;=2),"Tinggi",IF(AS121&gt;=65,"Tinggi",IF(AS121&gt;=50,"Sedang","Rendah")))))</x:f>
        <x:v>Belum Dapat Ditentukan</x:v>
      </x:c>
      <x:c r="AU121" s="240" t="str">
        <x:v>Lengkap</x:v>
      </x:c>
      <x:c r="AV121" s="240" t="str">
        <x:v>Sudah Diverifikasi</x:v>
      </x:c>
      <x:c r="AW121" s="240" t="str">
        <x:v>Selesai</x:v>
      </x:c>
      <x:c r="AX121" s="240" t="str">
        <x:v>APBD Kota</x:v>
      </x:c>
      <x:c r="AY121" s="240" t="n">
        <x:v>2023</x:v>
      </x:c>
      <x:c r="AZ121" s="240" t="str">
        <x:v>Belum Diverifikasi</x:v>
      </x:c>
      <x:c r="BA121" s="240"/>
      <x:c r="BB121" s="240"/>
      <x:c r="BC121" s="240" t="n">
        <x:v>2026</x:v>
      </x:c>
      <x:c r="BD121" s="240" t="str">
        <x:v>Usulan Musrenbang/Pokir DPRD</x:v>
      </x:c>
      <x:c r="BE121" s="240" t="n">
        <x:v>46218</x:v>
      </x:c>
      <x:c r="BF121" s="240" t="str">
        <x:v>Dinas Perkim Kota Pangkalpinang</x:v>
      </x:c>
    </x:row>
    <x:row r="122" ht="32" customHeight="1">
      <x:c r="A122" s="314" t="str">
        <x:v>RTLH-0146</x:v>
      </x:c>
      <x:c r="B122" s="315" t="str">
        <x:v>MARTAWAN</x:v>
      </x:c>
      <x:c r="C122" s="316"/>
      <x:c r="D122" s="316"/>
      <x:c r="E122" s="315" t="str">
        <x:v>JL,PERBAKIN RT/RW 007/003</x:v>
      </x:c>
      <x:c r="F122" s="315" t="str">
        <x:v>SRIWIJAYA</x:v>
      </x:c>
      <x:c r="G122" s="315" t="str">
        <x:v>GIRIMAYA</x:v>
      </x:c>
      <x:c r="H122" s="315" t="str">
        <x:v>Pembangunan Baru</x:v>
      </x:c>
      <x:c r="I122" s="317" t="str">
        <x:v>FULL PAPAN , LANTAI FLOOR</x:v>
      </x:c>
      <x:c r="J122" s="315" t="str">
        <x:v>Nonpermanen</x:v>
      </x:c>
      <x:c r="K122" s="315" t="str">
        <x:v>Belum Diidentifikasi</x:v>
      </x:c>
      <x:c r="L122" s="315" t="str">
        <x:v>Belum Dinilai</x:v>
      </x:c>
      <x:c r="M122" s="367" t="str">
        <x:v>Papan/Kayu</x:v>
      </x:c>
      <x:c r="N122" s="315" t="str">
        <x:v>Belum Dinilai</x:v>
      </x:c>
      <x:c r="O122" s="316" t="str">
        <x:v>Semen/Plester</x:v>
      </x:c>
      <x:c r="P122" s="349" t="str">
        <x:v>Belum Dinilai</x:v>
      </x:c>
      <x:c r="Q122" s="707" t="str">
        <x:v>Belum Dinilai</x:v>
      </x:c>
      <x:c r="R122" s="707" t="str">
        <x:v>Belum Dinilai</x:v>
      </x:c>
      <x:c r="S122" s="708" t="str">
        <x:v>Belum Dinilai</x:v>
      </x:c>
      <x:c r="T122" s="709" t="str">
        <x:v>Belum Dinilai</x:v>
      </x:c>
      <x:c r="U122" s="704" t="str">
        <x:v>Belum Dinilai</x:v>
      </x:c>
      <x:c r="V122" s="704" t="str">
        <x:v>Belum Dinilai</x:v>
      </x:c>
      <x:c r="W122" s="704" t="str"/>
      <x:c r="X122" s="704" t="str">
        <x:f>IF(COUNTIF(R122:V122,"Belum Dinilai")&gt;0,"Belum Dinilai",IF(COUNTIF(R122:V122,"Ya")=0,"Tidak ada faktor rentan",TEXTJOIN(", ",TRUE,IF(R122="Ya","Lansia",""),IF(S122="Ya","Penyandang disabilitas",""),IF(T122="Ya","Kepala keluarga perempuan",""),IF(U122="Ya","Balita",""),IF(V122="Ya","Anggota keluarga dengan ketergantungan tinggi",""))))</x:f>
        <x:v>Belum Dinilai</x:v>
      </x:c>
      <x:c r="Y122" s="704" t="str">
        <x:f>IF(COUNTIF(R122:V122,"Belum Dinilai")&gt;0,"Belum Dinilai",IF(COUNTIF(R122:V122,"Ya")=0,"Tidak Ada Faktor Rentan",IF(COUNTIF(R122:V122,"Ya")=1,"1 Faktor Rentan","2 atau Lebih Faktor Rentan")))</x:f>
        <x:v>Belum Dinilai</x:v>
      </x:c>
      <x:c r="Z122" s="704" t="str">
        <x:f>IF(OR(Q122="",Q122="Belum Dinilai"),"",IF(Q122="Terverifikasi DTKS/P3KE/MBR",10,IF(Q122="Diusulkan, Belum Terverifikasi",5,0)))</x:f>
      </x:c>
      <x:c r="AA122" s="705" t="str">
        <x:f>IF(COUNTIF(R122:V122,"Belum Dinilai")&gt;0,"",IF(COUNTIF(R122:V122,"Ya")=0,0,IF(COUNTIF(R122:V122,"Ya")=1,5,10)))</x:f>
      </x:c>
      <x:c r="AB122" s="706" t="str">
        <x:f>IF(OR(Z122="",AA122=""),"",Z122+AA122)</x:f>
      </x:c>
      <x:c r="AC122" s="713" t="str">
        <x:v>Belum Dinilai</x:v>
      </x:c>
      <x:c r="AD122" s="713" t="str">
        <x:v>Belum Dinilai</x:v>
      </x:c>
      <x:c r="AE122" s="714" t="str">
        <x:v>Belum Dinilai</x:v>
      </x:c>
      <x:c r="AF122" s="713" t="str">
        <x:v>Belum Dinilai</x:v>
      </x:c>
      <x:c r="AG122" s="713" t="str">
        <x:v>Belum Dinilai</x:v>
      </x:c>
      <x:c r="AH122" s="715" t="str">
        <x:v>Belum Dinilai</x:v>
      </x:c>
      <x:c r="AI122" s="714" t="str">
        <x:v>Belum Dinilai</x:v>
      </x:c>
      <x:c r="AJ122" s="713" t="str">
        <x:v>Belum Dinilai</x:v>
      </x:c>
      <x:c r="AK122" s="715" t="str">
        <x:v>Belum Dinilai</x:v>
      </x:c>
      <x:c r="AL122" s="713" t="str"/>
      <x:c r="AM122" s="716" t="str">
        <x:v>Belum Dinilai</x:v>
      </x:c>
      <x:c r="AN122" s="716" t="str">
        <x:f>IF(AND(COUNTIF(AC122:AK122,"Ya")=0,AL122=""),IF(COUNTIF(AC122:AK122,"Belum Dinilai")&gt;0,"Belum Dinilai","Tidak ada risiko khusus"),TEXTJOIN(", ",TRUE,IF(AC122="Ya","Bangunan berpotensi roboh",""),IF(AD122="Ya","Bekas kebakaran dan tidak aman dihuni",""),IF(AE122="Ya","Atap atau dinding utama hampir runtuh",""),IF(AF122="Ya","Genangan yang membahayakan",""),IF(AG122="Ya","Struktur rumah tidak stabil",""),IF(AH122="Ya","Instalasi listrik berbahaya",""),IF(AI122="Ya","Komponen bangunan lepas atau lapuk",""),IF(AJ122="Ya","Akses keluar atau evakuasi terbatas",""),IF(AK122="Ya","Lokasi rawan bencana",""),IF(AL122&lt;&gt;"","Lainnya: "&amp;AL122,"")))</x:f>
        <x:v>Belum Dinilai</x:v>
      </x:c>
      <x:c r="AO122" s="716" t="str">
        <x:f>IF(AR122="","Belum Dinilai",IF(AR122=10,"Risiko Tinggi/Darurat",IF(AR122=5,"Risiko Sedang","Tidak Ada Risiko Khusus")))</x:f>
        <x:v>Belum Dinilai</x:v>
      </x:c>
      <x:c r="AP122" s="716" t="str"/>
      <x:c r="AQ122" s="719" t="str">
        <x:f>IF(OR(J122="",J122="Belum Dapat Ditentukan",L122="",L122="Belum Dinilai",N122="",N122="Belum Dinilai",P122="",P122="Belum Dinilai"),"",IF(J122="Permanen",0,IF(J122="Semipermanen",8,IF(J122="Nonpermanen",15,0)))+IF(L122="Baik",0,IF(L122="Rusak Ringan",5,IF(L122="Rusak Sedang",10,IF(L122="Rusak Berat",15,IF(L122="Tidak Ada/Terbuka",20,0)))))+IF(N122="Baik",0,IF(N122="Rusak Ringan",5,IF(N122="Rusak Sedang",10,IF(N122="Rusak Berat",15,IF(N122="Tidak Ada/Terbuka",20,0)))))+IF(P122="Baik",0,IF(P122="Rusak Ringan",4,IF(P122="Rusak Sedang",8,IF(P122="Rusak Berat",12,IF(P122="Tidak Layak",15,0))))))</x:f>
      </x:c>
      <x:c r="AR122" s="719" t="str">
        <x:f>IF(COUNTIF(AC122:AH122,"Ya")&gt;0,10,IF(COUNTIF(AI122:AK122,"Ya")&gt;=2,10,IF(COUNTIF(AI122:AK122,"Ya")=1,MAX(5,IF(AM122="Risiko Tinggi/Darurat",10,IF(AM122="Risiko Sedang",5,0))),IF(AL122&lt;&gt;"",IF(AM122="Risiko Tinggi/Darurat",10,IF(AM122="Risiko Sedang",5,"")),IF(COUNTIF(AC122:AK122,"Belum Dinilai")&gt;0,"",0)))))</x:f>
      </x:c>
      <x:c r="AS122" s="719" t="str">
        <x:f>IF(OR(AQ122="",AB122="",AR122=""),"",AQ122+AB122+AR122)</x:f>
      </x:c>
      <x:c r="AT122" s="719" t="str">
        <x:f>IF(AS122="","Belum Dapat Ditentukan",IF(AS122&gt;=80,"Sangat Tinggi",IF(OR(AO122="Risiko Tinggi/Darurat",(IF(L122="Rusak Berat",1,0)+IF(L122="Tidak Ada/Terbuka",1,0)+IF(N122="Rusak Berat",1,0)+IF(N122="Tidak Ada/Terbuka",1,0)+IF(P122="Rusak Berat",1,0)+IF(P122="Tidak Layak",1,0))&gt;=2),"Tinggi",IF(AS122&gt;=65,"Tinggi",IF(AS122&gt;=50,"Sedang","Rendah")))))</x:f>
        <x:v>Belum Dapat Ditentukan</x:v>
      </x:c>
      <x:c r="AU122" s="240" t="str">
        <x:v>Belum Lengkap</x:v>
      </x:c>
      <x:c r="AV122" s="240" t="str">
        <x:v>Sudah Diverifikasi</x:v>
      </x:c>
      <x:c r="AW122" s="240" t="str">
        <x:v>Belum Ditangani</x:v>
      </x:c>
      <x:c r="AX122" s="240"/>
      <x:c r="AY122" s="240"/>
      <x:c r="AZ122" s="240" t="str">
        <x:v>Belum Diverifikasi</x:v>
      </x:c>
      <x:c r="BA122" s="240"/>
      <x:c r="BB122" s="240"/>
      <x:c r="BC122" s="240" t="n">
        <x:v>2026</x:v>
      </x:c>
      <x:c r="BD122" s="240" t="str">
        <x:v>Usulan Musrenbang/Pokir DPRD</x:v>
      </x:c>
      <x:c r="BE122" s="240" t="n">
        <x:v>46218</x:v>
      </x:c>
      <x:c r="BF122" s="240" t="str">
        <x:v>Dinas Perkim Kota Pangkalpinang</x:v>
      </x:c>
    </x:row>
    <x:row r="123" ht="32" customHeight="1">
      <x:c r="A123" s="314" t="str">
        <x:v>RTLH-0147</x:v>
      </x:c>
      <x:c r="B123" s="315" t="str">
        <x:v>ZULKIFLI HASYIM</x:v>
      </x:c>
      <x:c r="C123" s="316"/>
      <x:c r="D123" s="316"/>
      <x:c r="E123" s="315" t="str">
        <x:v>JL,BERLIAN IV RT/RW 004/001</x:v>
      </x:c>
      <x:c r="F123" s="315" t="str">
        <x:v>SRIWIJAYA</x:v>
      </x:c>
      <x:c r="G123" s="315" t="str">
        <x:v>GIRIMAYA</x:v>
      </x:c>
      <x:c r="H123" s="315" t="str">
        <x:v>Pembangunan Baru</x:v>
      </x:c>
      <x:c r="I123" s="317" t="str">
        <x:v>RUMAH FULL PAPAN, ATAP SENG, LANTIA FLOOR / RUMAH BAGI DUA DENGAN SAUDARA</x:v>
      </x:c>
      <x:c r="J123" s="315" t="str">
        <x:v>Nonpermanen</x:v>
      </x:c>
      <x:c r="K123" s="315" t="str">
        <x:v>Seng</x:v>
      </x:c>
      <x:c r="L123" s="315" t="str">
        <x:v>Belum Dinilai</x:v>
      </x:c>
      <x:c r="M123" s="367" t="str">
        <x:v>Papan/Kayu</x:v>
      </x:c>
      <x:c r="N123" s="315" t="str">
        <x:v>Belum Dinilai</x:v>
      </x:c>
      <x:c r="O123" s="316" t="str">
        <x:v>Belum Diidentifikasi</x:v>
      </x:c>
      <x:c r="P123" s="349" t="str">
        <x:v>Belum Dinilai</x:v>
      </x:c>
      <x:c r="Q123" s="707" t="str">
        <x:v>Belum Dinilai</x:v>
      </x:c>
      <x:c r="R123" s="707" t="str">
        <x:v>Belum Dinilai</x:v>
      </x:c>
      <x:c r="S123" s="708" t="str">
        <x:v>Belum Dinilai</x:v>
      </x:c>
      <x:c r="T123" s="709" t="str">
        <x:v>Belum Dinilai</x:v>
      </x:c>
      <x:c r="U123" s="704" t="str">
        <x:v>Belum Dinilai</x:v>
      </x:c>
      <x:c r="V123" s="704" t="str">
        <x:v>Belum Dinilai</x:v>
      </x:c>
      <x:c r="W123" s="704" t="str"/>
      <x:c r="X123" s="704" t="str">
        <x:f>IF(COUNTIF(R123:V123,"Belum Dinilai")&gt;0,"Belum Dinilai",IF(COUNTIF(R123:V123,"Ya")=0,"Tidak ada faktor rentan",TEXTJOIN(", ",TRUE,IF(R123="Ya","Lansia",""),IF(S123="Ya","Penyandang disabilitas",""),IF(T123="Ya","Kepala keluarga perempuan",""),IF(U123="Ya","Balita",""),IF(V123="Ya","Anggota keluarga dengan ketergantungan tinggi",""))))</x:f>
        <x:v>Belum Dinilai</x:v>
      </x:c>
      <x:c r="Y123" s="704" t="str">
        <x:f>IF(COUNTIF(R123:V123,"Belum Dinilai")&gt;0,"Belum Dinilai",IF(COUNTIF(R123:V123,"Ya")=0,"Tidak Ada Faktor Rentan",IF(COUNTIF(R123:V123,"Ya")=1,"1 Faktor Rentan","2 atau Lebih Faktor Rentan")))</x:f>
        <x:v>Belum Dinilai</x:v>
      </x:c>
      <x:c r="Z123" s="704" t="str">
        <x:f>IF(OR(Q123="",Q123="Belum Dinilai"),"",IF(Q123="Terverifikasi DTKS/P3KE/MBR",10,IF(Q123="Diusulkan, Belum Terverifikasi",5,0)))</x:f>
      </x:c>
      <x:c r="AA123" s="705" t="str">
        <x:f>IF(COUNTIF(R123:V123,"Belum Dinilai")&gt;0,"",IF(COUNTIF(R123:V123,"Ya")=0,0,IF(COUNTIF(R123:V123,"Ya")=1,5,10)))</x:f>
      </x:c>
      <x:c r="AB123" s="706" t="str">
        <x:f>IF(OR(Z123="",AA123=""),"",Z123+AA123)</x:f>
      </x:c>
      <x:c r="AC123" s="713" t="str">
        <x:v>Belum Dinilai</x:v>
      </x:c>
      <x:c r="AD123" s="713" t="str">
        <x:v>Belum Dinilai</x:v>
      </x:c>
      <x:c r="AE123" s="714" t="str">
        <x:v>Belum Dinilai</x:v>
      </x:c>
      <x:c r="AF123" s="713" t="str">
        <x:v>Belum Dinilai</x:v>
      </x:c>
      <x:c r="AG123" s="713" t="str">
        <x:v>Belum Dinilai</x:v>
      </x:c>
      <x:c r="AH123" s="715" t="str">
        <x:v>Belum Dinilai</x:v>
      </x:c>
      <x:c r="AI123" s="714" t="str">
        <x:v>Belum Dinilai</x:v>
      </x:c>
      <x:c r="AJ123" s="713" t="str">
        <x:v>Belum Dinilai</x:v>
      </x:c>
      <x:c r="AK123" s="715" t="str">
        <x:v>Belum Dinilai</x:v>
      </x:c>
      <x:c r="AL123" s="713" t="str"/>
      <x:c r="AM123" s="716" t="str">
        <x:v>Belum Dinilai</x:v>
      </x:c>
      <x:c r="AN123" s="716" t="str">
        <x:f>IF(AND(COUNTIF(AC123:AK123,"Ya")=0,AL123=""),IF(COUNTIF(AC123:AK123,"Belum Dinilai")&gt;0,"Belum Dinilai","Tidak ada risiko khusus"),TEXTJOIN(", ",TRUE,IF(AC123="Ya","Bangunan berpotensi roboh",""),IF(AD123="Ya","Bekas kebakaran dan tidak aman dihuni",""),IF(AE123="Ya","Atap atau dinding utama hampir runtuh",""),IF(AF123="Ya","Genangan yang membahayakan",""),IF(AG123="Ya","Struktur rumah tidak stabil",""),IF(AH123="Ya","Instalasi listrik berbahaya",""),IF(AI123="Ya","Komponen bangunan lepas atau lapuk",""),IF(AJ123="Ya","Akses keluar atau evakuasi terbatas",""),IF(AK123="Ya","Lokasi rawan bencana",""),IF(AL123&lt;&gt;"","Lainnya: "&amp;AL123,"")))</x:f>
        <x:v>Belum Dinilai</x:v>
      </x:c>
      <x:c r="AO123" s="716" t="str">
        <x:f>IF(AR123="","Belum Dinilai",IF(AR123=10,"Risiko Tinggi/Darurat",IF(AR123=5,"Risiko Sedang","Tidak Ada Risiko Khusus")))</x:f>
        <x:v>Belum Dinilai</x:v>
      </x:c>
      <x:c r="AP123" s="716" t="str"/>
      <x:c r="AQ123" s="719" t="str">
        <x:f>IF(OR(J123="",J123="Belum Dapat Ditentukan",L123="",L123="Belum Dinilai",N123="",N123="Belum Dinilai",P123="",P123="Belum Dinilai"),"",IF(J123="Permanen",0,IF(J123="Semipermanen",8,IF(J123="Nonpermanen",15,0)))+IF(L123="Baik",0,IF(L123="Rusak Ringan",5,IF(L123="Rusak Sedang",10,IF(L123="Rusak Berat",15,IF(L123="Tidak Ada/Terbuka",20,0)))))+IF(N123="Baik",0,IF(N123="Rusak Ringan",5,IF(N123="Rusak Sedang",10,IF(N123="Rusak Berat",15,IF(N123="Tidak Ada/Terbuka",20,0)))))+IF(P123="Baik",0,IF(P123="Rusak Ringan",4,IF(P123="Rusak Sedang",8,IF(P123="Rusak Berat",12,IF(P123="Tidak Layak",15,0))))))</x:f>
      </x:c>
      <x:c r="AR123" s="719" t="str">
        <x:f>IF(COUNTIF(AC123:AH123,"Ya")&gt;0,10,IF(COUNTIF(AI123:AK123,"Ya")&gt;=2,10,IF(COUNTIF(AI123:AK123,"Ya")=1,MAX(5,IF(AM123="Risiko Tinggi/Darurat",10,IF(AM123="Risiko Sedang",5,0))),IF(AL123&lt;&gt;"",IF(AM123="Risiko Tinggi/Darurat",10,IF(AM123="Risiko Sedang",5,"")),IF(COUNTIF(AC123:AK123,"Belum Dinilai")&gt;0,"",0)))))</x:f>
      </x:c>
      <x:c r="AS123" s="719" t="str">
        <x:f>IF(OR(AQ123="",AB123="",AR123=""),"",AQ123+AB123+AR123)</x:f>
      </x:c>
      <x:c r="AT123" s="719" t="str">
        <x:f>IF(AS123="","Belum Dapat Ditentukan",IF(AS123&gt;=80,"Sangat Tinggi",IF(OR(AO123="Risiko Tinggi/Darurat",(IF(L123="Rusak Berat",1,0)+IF(L123="Tidak Ada/Terbuka",1,0)+IF(N123="Rusak Berat",1,0)+IF(N123="Tidak Ada/Terbuka",1,0)+IF(P123="Rusak Berat",1,0)+IF(P123="Tidak Layak",1,0))&gt;=2),"Tinggi",IF(AS123&gt;=65,"Tinggi",IF(AS123&gt;=50,"Sedang","Rendah")))))</x:f>
        <x:v>Belum Dapat Ditentukan</x:v>
      </x:c>
      <x:c r="AU123" s="240" t="str">
        <x:v>Lengkap</x:v>
      </x:c>
      <x:c r="AV123" s="240" t="str">
        <x:v>Sudah Diverifikasi</x:v>
      </x:c>
      <x:c r="AW123" s="240" t="str">
        <x:v>Selesai</x:v>
      </x:c>
      <x:c r="AX123" s="240" t="str">
        <x:v>APBD Kota</x:v>
      </x:c>
      <x:c r="AY123" s="240" t="n">
        <x:v>2022</x:v>
      </x:c>
      <x:c r="AZ123" s="240" t="str">
        <x:v>Kepemilikan Keluarga</x:v>
      </x:c>
      <x:c r="BA123" s="240"/>
      <x:c r="BB123" s="240"/>
      <x:c r="BC123" s="240" t="n">
        <x:v>2026</x:v>
      </x:c>
      <x:c r="BD123" s="240" t="str">
        <x:v>Usulan Musrenbang/Pokir DPRD</x:v>
      </x:c>
      <x:c r="BE123" s="240" t="n">
        <x:v>46218</x:v>
      </x:c>
      <x:c r="BF123" s="240" t="str">
        <x:v>Dinas Perkim Kota Pangkalpinang</x:v>
      </x:c>
    </x:row>
    <x:row r="124" ht="32" customHeight="1">
      <x:c r="A124" s="314" t="str">
        <x:v>RTLH-0148</x:v>
      </x:c>
      <x:c r="B124" s="315" t="str">
        <x:v>MASKUR</x:v>
      </x:c>
      <x:c r="C124" s="316"/>
      <x:c r="D124" s="316"/>
      <x:c r="E124" s="315" t="str">
        <x:v>Belum tersedia</x:v>
      </x:c>
      <x:c r="F124" s="315" t="str">
        <x:v>SEMABUNG LAMA</x:v>
      </x:c>
      <x:c r="G124" s="315" t="str">
        <x:v>BUKIT INTAN</x:v>
      </x:c>
      <x:c r="H124" s="315" t="str">
        <x:v>Peningkatan Kualitas</x:v>
      </x:c>
      <x:c r="I124" s="317" t="str">
        <x:v>RUMAH FULL BETON,LANTAI FULL FLOOR, ATAP SENG</x:v>
      </x:c>
      <x:c r="J124" s="315" t="str">
        <x:v>Permanen</x:v>
      </x:c>
      <x:c r="K124" s="315" t="str">
        <x:v>Seng</x:v>
      </x:c>
      <x:c r="L124" s="315" t="str">
        <x:v>Belum Dinilai</x:v>
      </x:c>
      <x:c r="M124" s="367" t="str">
        <x:v>Beton</x:v>
      </x:c>
      <x:c r="N124" s="315" t="str">
        <x:v>Belum Dinilai</x:v>
      </x:c>
      <x:c r="O124" s="316" t="str">
        <x:v>Semen/Plester</x:v>
      </x:c>
      <x:c r="P124" s="349" t="str">
        <x:v>Belum Dinilai</x:v>
      </x:c>
      <x:c r="Q124" s="707" t="str">
        <x:v>Belum Dinilai</x:v>
      </x:c>
      <x:c r="R124" s="707" t="str">
        <x:v>Belum Dinilai</x:v>
      </x:c>
      <x:c r="S124" s="708" t="str">
        <x:v>Belum Dinilai</x:v>
      </x:c>
      <x:c r="T124" s="709" t="str">
        <x:v>Belum Dinilai</x:v>
      </x:c>
      <x:c r="U124" s="704" t="str">
        <x:v>Belum Dinilai</x:v>
      </x:c>
      <x:c r="V124" s="704" t="str">
        <x:v>Belum Dinilai</x:v>
      </x:c>
      <x:c r="W124" s="704" t="str"/>
      <x:c r="X124" s="704" t="str">
        <x:f>IF(COUNTIF(R124:V124,"Belum Dinilai")&gt;0,"Belum Dinilai",IF(COUNTIF(R124:V124,"Ya")=0,"Tidak ada faktor rentan",TEXTJOIN(", ",TRUE,IF(R124="Ya","Lansia",""),IF(S124="Ya","Penyandang disabilitas",""),IF(T124="Ya","Kepala keluarga perempuan",""),IF(U124="Ya","Balita",""),IF(V124="Ya","Anggota keluarga dengan ketergantungan tinggi",""))))</x:f>
        <x:v>Belum Dinilai</x:v>
      </x:c>
      <x:c r="Y124" s="704" t="str">
        <x:f>IF(COUNTIF(R124:V124,"Belum Dinilai")&gt;0,"Belum Dinilai",IF(COUNTIF(R124:V124,"Ya")=0,"Tidak Ada Faktor Rentan",IF(COUNTIF(R124:V124,"Ya")=1,"1 Faktor Rentan","2 atau Lebih Faktor Rentan")))</x:f>
        <x:v>Belum Dinilai</x:v>
      </x:c>
      <x:c r="Z124" s="704" t="str">
        <x:f>IF(OR(Q124="",Q124="Belum Dinilai"),"",IF(Q124="Terverifikasi DTKS/P3KE/MBR",10,IF(Q124="Diusulkan, Belum Terverifikasi",5,0)))</x:f>
      </x:c>
      <x:c r="AA124" s="705" t="str">
        <x:f>IF(COUNTIF(R124:V124,"Belum Dinilai")&gt;0,"",IF(COUNTIF(R124:V124,"Ya")=0,0,IF(COUNTIF(R124:V124,"Ya")=1,5,10)))</x:f>
      </x:c>
      <x:c r="AB124" s="706" t="str">
        <x:f>IF(OR(Z124="",AA124=""),"",Z124+AA124)</x:f>
      </x:c>
      <x:c r="AC124" s="713" t="str">
        <x:v>Belum Dinilai</x:v>
      </x:c>
      <x:c r="AD124" s="713" t="str">
        <x:v>Belum Dinilai</x:v>
      </x:c>
      <x:c r="AE124" s="714" t="str">
        <x:v>Belum Dinilai</x:v>
      </x:c>
      <x:c r="AF124" s="713" t="str">
        <x:v>Belum Dinilai</x:v>
      </x:c>
      <x:c r="AG124" s="713" t="str">
        <x:v>Belum Dinilai</x:v>
      </x:c>
      <x:c r="AH124" s="715" t="str">
        <x:v>Belum Dinilai</x:v>
      </x:c>
      <x:c r="AI124" s="714" t="str">
        <x:v>Belum Dinilai</x:v>
      </x:c>
      <x:c r="AJ124" s="713" t="str">
        <x:v>Belum Dinilai</x:v>
      </x:c>
      <x:c r="AK124" s="715" t="str">
        <x:v>Belum Dinilai</x:v>
      </x:c>
      <x:c r="AL124" s="713" t="str"/>
      <x:c r="AM124" s="716" t="str">
        <x:v>Belum Dinilai</x:v>
      </x:c>
      <x:c r="AN124" s="716" t="str">
        <x:f>IF(AND(COUNTIF(AC124:AK124,"Ya")=0,AL124=""),IF(COUNTIF(AC124:AK124,"Belum Dinilai")&gt;0,"Belum Dinilai","Tidak ada risiko khusus"),TEXTJOIN(", ",TRUE,IF(AC124="Ya","Bangunan berpotensi roboh",""),IF(AD124="Ya","Bekas kebakaran dan tidak aman dihuni",""),IF(AE124="Ya","Atap atau dinding utama hampir runtuh",""),IF(AF124="Ya","Genangan yang membahayakan",""),IF(AG124="Ya","Struktur rumah tidak stabil",""),IF(AH124="Ya","Instalasi listrik berbahaya",""),IF(AI124="Ya","Komponen bangunan lepas atau lapuk",""),IF(AJ124="Ya","Akses keluar atau evakuasi terbatas",""),IF(AK124="Ya","Lokasi rawan bencana",""),IF(AL124&lt;&gt;"","Lainnya: "&amp;AL124,"")))</x:f>
        <x:v>Belum Dinilai</x:v>
      </x:c>
      <x:c r="AO124" s="716" t="str">
        <x:f>IF(AR124="","Belum Dinilai",IF(AR124=10,"Risiko Tinggi/Darurat",IF(AR124=5,"Risiko Sedang","Tidak Ada Risiko Khusus")))</x:f>
        <x:v>Belum Dinilai</x:v>
      </x:c>
      <x:c r="AP124" s="716" t="str"/>
      <x:c r="AQ124" s="719" t="str">
        <x:f>IF(OR(J124="",J124="Belum Dapat Ditentukan",L124="",L124="Belum Dinilai",N124="",N124="Belum Dinilai",P124="",P124="Belum Dinilai"),"",IF(J124="Permanen",0,IF(J124="Semipermanen",8,IF(J124="Nonpermanen",15,0)))+IF(L124="Baik",0,IF(L124="Rusak Ringan",5,IF(L124="Rusak Sedang",10,IF(L124="Rusak Berat",15,IF(L124="Tidak Ada/Terbuka",20,0)))))+IF(N124="Baik",0,IF(N124="Rusak Ringan",5,IF(N124="Rusak Sedang",10,IF(N124="Rusak Berat",15,IF(N124="Tidak Ada/Terbuka",20,0)))))+IF(P124="Baik",0,IF(P124="Rusak Ringan",4,IF(P124="Rusak Sedang",8,IF(P124="Rusak Berat",12,IF(P124="Tidak Layak",15,0))))))</x:f>
      </x:c>
      <x:c r="AR124" s="719" t="str">
        <x:f>IF(COUNTIF(AC124:AH124,"Ya")&gt;0,10,IF(COUNTIF(AI124:AK124,"Ya")&gt;=2,10,IF(COUNTIF(AI124:AK124,"Ya")=1,MAX(5,IF(AM124="Risiko Tinggi/Darurat",10,IF(AM124="Risiko Sedang",5,0))),IF(AL124&lt;&gt;"",IF(AM124="Risiko Tinggi/Darurat",10,IF(AM124="Risiko Sedang",5,"")),IF(COUNTIF(AC124:AK124,"Belum Dinilai")&gt;0,"",0)))))</x:f>
      </x:c>
      <x:c r="AS124" s="719" t="str">
        <x:f>IF(OR(AQ124="",AB124="",AR124=""),"",AQ124+AB124+AR124)</x:f>
      </x:c>
      <x:c r="AT124" s="719" t="str">
        <x:f>IF(AS124="","Belum Dapat Ditentukan",IF(AS124&gt;=80,"Sangat Tinggi",IF(OR(AO124="Risiko Tinggi/Darurat",(IF(L124="Rusak Berat",1,0)+IF(L124="Tidak Ada/Terbuka",1,0)+IF(N124="Rusak Berat",1,0)+IF(N124="Tidak Ada/Terbuka",1,0)+IF(P124="Rusak Berat",1,0)+IF(P124="Tidak Layak",1,0))&gt;=2),"Tinggi",IF(AS124&gt;=65,"Tinggi",IF(AS124&gt;=50,"Sedang","Rendah")))))</x:f>
        <x:v>Belum Dapat Ditentukan</x:v>
      </x:c>
      <x:c r="AU124" s="240" t="str">
        <x:v>Lengkap</x:v>
      </x:c>
      <x:c r="AV124" s="240" t="str">
        <x:v>Sudah Diverifikasi</x:v>
      </x:c>
      <x:c r="AW124" s="240" t="str">
        <x:v>Selesai</x:v>
      </x:c>
      <x:c r="AX124" s="240" t="str">
        <x:v>APBD Kota</x:v>
      </x:c>
      <x:c r="AY124" s="240" t="n">
        <x:v>2021</x:v>
      </x:c>
      <x:c r="AZ124" s="240" t="str">
        <x:v>Belum Diverifikasi</x:v>
      </x:c>
      <x:c r="BA124" s="240"/>
      <x:c r="BB124" s="240"/>
      <x:c r="BC124" s="240" t="n">
        <x:v>2026</x:v>
      </x:c>
      <x:c r="BD124" s="240" t="str">
        <x:v>Usulan Musrenbang/Pokir DPRD</x:v>
      </x:c>
      <x:c r="BE124" s="240" t="n">
        <x:v>46218</x:v>
      </x:c>
      <x:c r="BF124" s="240" t="str">
        <x:v>Dinas Perkim Kota Pangkalpinang</x:v>
      </x:c>
    </x:row>
    <x:row r="125" ht="32" customHeight="1">
      <x:c r="A125" s="314" t="str">
        <x:v>RTLH-0149</x:v>
      </x:c>
      <x:c r="B125" s="315" t="str">
        <x:v>ASMAD</x:v>
      </x:c>
      <x:c r="C125" s="316"/>
      <x:c r="D125" s="316"/>
      <x:c r="E125" s="315" t="str">
        <x:v>GG,ARUS DALAM RT/RW 03/02</x:v>
      </x:c>
      <x:c r="F125" s="315" t="str">
        <x:v>AIR MAWAR</x:v>
      </x:c>
      <x:c r="G125" s="315" t="str">
        <x:v>BUKIT INTAN</x:v>
      </x:c>
      <x:c r="H125" s="315" t="str">
        <x:v>Pembangunan Baru</x:v>
      </x:c>
      <x:c r="I125" s="317" t="str">
        <x:v>RUMAH FULL PAPAN. DINDING RUSAK RINGAN LANTAI FLOOR, ATAP SENGRUSAK RINGAN</x:v>
      </x:c>
      <x:c r="J125" s="315" t="str">
        <x:v>Nonpermanen</x:v>
      </x:c>
      <x:c r="K125" s="315" t="str">
        <x:v>Belum Diidentifikasi</x:v>
      </x:c>
      <x:c r="L125" s="315" t="str">
        <x:v>Rusak Ringan</x:v>
      </x:c>
      <x:c r="M125" s="367" t="str">
        <x:v>Papan/Kayu</x:v>
      </x:c>
      <x:c r="N125" s="315" t="str">
        <x:v>Rusak Ringan</x:v>
      </x:c>
      <x:c r="O125" s="316" t="str">
        <x:v>Semen/Plester</x:v>
      </x:c>
      <x:c r="P125" s="349" t="str">
        <x:v>Rusak Ringan</x:v>
      </x:c>
      <x:c r="Q125" s="707" t="str">
        <x:v>Belum Dinilai</x:v>
      </x:c>
      <x:c r="R125" s="707" t="str">
        <x:v>Belum Dinilai</x:v>
      </x:c>
      <x:c r="S125" s="708" t="str">
        <x:v>Belum Dinilai</x:v>
      </x:c>
      <x:c r="T125" s="709" t="str">
        <x:v>Belum Dinilai</x:v>
      </x:c>
      <x:c r="U125" s="704" t="str">
        <x:v>Belum Dinilai</x:v>
      </x:c>
      <x:c r="V125" s="704" t="str">
        <x:v>Belum Dinilai</x:v>
      </x:c>
      <x:c r="W125" s="704" t="str"/>
      <x:c r="X125" s="704" t="str">
        <x:f>IF(COUNTIF(R125:V125,"Belum Dinilai")&gt;0,"Belum Dinilai",IF(COUNTIF(R125:V125,"Ya")=0,"Tidak ada faktor rentan",TEXTJOIN(", ",TRUE,IF(R125="Ya","Lansia",""),IF(S125="Ya","Penyandang disabilitas",""),IF(T125="Ya","Kepala keluarga perempuan",""),IF(U125="Ya","Balita",""),IF(V125="Ya","Anggota keluarga dengan ketergantungan tinggi",""))))</x:f>
        <x:v>Belum Dinilai</x:v>
      </x:c>
      <x:c r="Y125" s="704" t="str">
        <x:f>IF(COUNTIF(R125:V125,"Belum Dinilai")&gt;0,"Belum Dinilai",IF(COUNTIF(R125:V125,"Ya")=0,"Tidak Ada Faktor Rentan",IF(COUNTIF(R125:V125,"Ya")=1,"1 Faktor Rentan","2 atau Lebih Faktor Rentan")))</x:f>
        <x:v>Belum Dinilai</x:v>
      </x:c>
      <x:c r="Z125" s="704" t="str">
        <x:f>IF(OR(Q125="",Q125="Belum Dinilai"),"",IF(Q125="Terverifikasi DTKS/P3KE/MBR",10,IF(Q125="Diusulkan, Belum Terverifikasi",5,0)))</x:f>
      </x:c>
      <x:c r="AA125" s="705" t="str">
        <x:f>IF(COUNTIF(R125:V125,"Belum Dinilai")&gt;0,"",IF(COUNTIF(R125:V125,"Ya")=0,0,IF(COUNTIF(R125:V125,"Ya")=1,5,10)))</x:f>
      </x:c>
      <x:c r="AB125" s="706" t="str">
        <x:f>IF(OR(Z125="",AA125=""),"",Z125+AA125)</x:f>
      </x:c>
      <x:c r="AC125" s="713" t="str">
        <x:v>Belum Dinilai</x:v>
      </x:c>
      <x:c r="AD125" s="713" t="str">
        <x:v>Belum Dinilai</x:v>
      </x:c>
      <x:c r="AE125" s="714" t="str">
        <x:v>Belum Dinilai</x:v>
      </x:c>
      <x:c r="AF125" s="713" t="str">
        <x:v>Belum Dinilai</x:v>
      </x:c>
      <x:c r="AG125" s="713" t="str">
        <x:v>Belum Dinilai</x:v>
      </x:c>
      <x:c r="AH125" s="715" t="str">
        <x:v>Belum Dinilai</x:v>
      </x:c>
      <x:c r="AI125" s="714" t="str">
        <x:v>Belum Dinilai</x:v>
      </x:c>
      <x:c r="AJ125" s="713" t="str">
        <x:v>Belum Dinilai</x:v>
      </x:c>
      <x:c r="AK125" s="715" t="str">
        <x:v>Belum Dinilai</x:v>
      </x:c>
      <x:c r="AL125" s="713" t="str"/>
      <x:c r="AM125" s="716" t="str">
        <x:v>Belum Dinilai</x:v>
      </x:c>
      <x:c r="AN125" s="716" t="str">
        <x:f>IF(AND(COUNTIF(AC125:AK125,"Ya")=0,AL125=""),IF(COUNTIF(AC125:AK125,"Belum Dinilai")&gt;0,"Belum Dinilai","Tidak ada risiko khusus"),TEXTJOIN(", ",TRUE,IF(AC125="Ya","Bangunan berpotensi roboh",""),IF(AD125="Ya","Bekas kebakaran dan tidak aman dihuni",""),IF(AE125="Ya","Atap atau dinding utama hampir runtuh",""),IF(AF125="Ya","Genangan yang membahayakan",""),IF(AG125="Ya","Struktur rumah tidak stabil",""),IF(AH125="Ya","Instalasi listrik berbahaya",""),IF(AI125="Ya","Komponen bangunan lepas atau lapuk",""),IF(AJ125="Ya","Akses keluar atau evakuasi terbatas",""),IF(AK125="Ya","Lokasi rawan bencana",""),IF(AL125&lt;&gt;"","Lainnya: "&amp;AL125,"")))</x:f>
        <x:v>Belum Dinilai</x:v>
      </x:c>
      <x:c r="AO125" s="716" t="str">
        <x:f>IF(AR125="","Belum Dinilai",IF(AR125=10,"Risiko Tinggi/Darurat",IF(AR125=5,"Risiko Sedang","Tidak Ada Risiko Khusus")))</x:f>
        <x:v>Belum Dinilai</x:v>
      </x:c>
      <x:c r="AP125" s="716" t="str"/>
      <x:c r="AQ125" s="719" t="n">
        <x:f>IF(OR(J125="",J125="Belum Dapat Ditentukan",L125="",L125="Belum Dinilai",N125="",N125="Belum Dinilai",P125="",P125="Belum Dinilai"),"",IF(J125="Permanen",0,IF(J125="Semipermanen",8,IF(J125="Nonpermanen",15,0)))+IF(L125="Baik",0,IF(L125="Rusak Ringan",5,IF(L125="Rusak Sedang",10,IF(L125="Rusak Berat",15,IF(L125="Tidak Ada/Terbuka",20,0)))))+IF(N125="Baik",0,IF(N125="Rusak Ringan",5,IF(N125="Rusak Sedang",10,IF(N125="Rusak Berat",15,IF(N125="Tidak Ada/Terbuka",20,0)))))+IF(P125="Baik",0,IF(P125="Rusak Ringan",4,IF(P125="Rusak Sedang",8,IF(P125="Rusak Berat",12,IF(P125="Tidak Layak",15,0))))))</x:f>
        <x:v>29</x:v>
      </x:c>
      <x:c r="AR125" s="719" t="str">
        <x:f>IF(COUNTIF(AC125:AH125,"Ya")&gt;0,10,IF(COUNTIF(AI125:AK125,"Ya")&gt;=2,10,IF(COUNTIF(AI125:AK125,"Ya")=1,MAX(5,IF(AM125="Risiko Tinggi/Darurat",10,IF(AM125="Risiko Sedang",5,0))),IF(AL125&lt;&gt;"",IF(AM125="Risiko Tinggi/Darurat",10,IF(AM125="Risiko Sedang",5,"")),IF(COUNTIF(AC125:AK125,"Belum Dinilai")&gt;0,"",0)))))</x:f>
      </x:c>
      <x:c r="AS125" s="719" t="str">
        <x:f>IF(OR(AQ125="",AB125="",AR125=""),"",AQ125+AB125+AR125)</x:f>
      </x:c>
      <x:c r="AT125" s="719" t="str">
        <x:f>IF(AS125="","Belum Dapat Ditentukan",IF(AS125&gt;=80,"Sangat Tinggi",IF(OR(AO125="Risiko Tinggi/Darurat",(IF(L125="Rusak Berat",1,0)+IF(L125="Tidak Ada/Terbuka",1,0)+IF(N125="Rusak Berat",1,0)+IF(N125="Tidak Ada/Terbuka",1,0)+IF(P125="Rusak Berat",1,0)+IF(P125="Tidak Layak",1,0))&gt;=2),"Tinggi",IF(AS125&gt;=65,"Tinggi",IF(AS125&gt;=50,"Sedang","Rendah")))))</x:f>
        <x:v>Belum Dapat Ditentukan</x:v>
      </x:c>
      <x:c r="AU125" s="240" t="str">
        <x:v>Lengkap</x:v>
      </x:c>
      <x:c r="AV125" s="240" t="str">
        <x:v>Sudah Diverifikasi</x:v>
      </x:c>
      <x:c r="AW125" s="240" t="str">
        <x:v>Selesai</x:v>
      </x:c>
      <x:c r="AX125" s="240" t="str">
        <x:v>APBD Kota</x:v>
      </x:c>
      <x:c r="AY125" s="240" t="n">
        <x:v>2022</x:v>
      </x:c>
      <x:c r="AZ125" s="240" t="str">
        <x:v>Belum Diverifikasi</x:v>
      </x:c>
      <x:c r="BA125" s="240"/>
      <x:c r="BB125" s="240"/>
      <x:c r="BC125" s="240" t="n">
        <x:v>2026</x:v>
      </x:c>
      <x:c r="BD125" s="240" t="str">
        <x:v>Usulan Musrenbang/Pokir DPRD</x:v>
      </x:c>
      <x:c r="BE125" s="240" t="n">
        <x:v>46218</x:v>
      </x:c>
      <x:c r="BF125" s="240" t="str">
        <x:v>Dinas Perkim Kota Pangkalpinang</x:v>
      </x:c>
    </x:row>
    <x:row r="126" ht="32" customHeight="1">
      <x:c r="A126" s="314" t="str">
        <x:v>RTLH-0150</x:v>
      </x:c>
      <x:c r="B126" s="315" t="str">
        <x:v>MAINAH</x:v>
      </x:c>
      <x:c r="C126" s="316"/>
      <x:c r="D126" s="316"/>
      <x:c r="E126" s="315" t="str">
        <x:v>JL.AIR MAWAR RT/RW 03/02 KEL.AIR MAWAR</x:v>
      </x:c>
      <x:c r="F126" s="315" t="str">
        <x:v>AIR MAWAR</x:v>
      </x:c>
      <x:c r="G126" s="315" t="str">
        <x:v>BUKIT INTAN</x:v>
      </x:c>
      <x:c r="H126" s="315" t="str">
        <x:v>Peningkatan Kualitas</x:v>
      </x:c>
      <x:c r="I126" s="317" t="str">
        <x:v>RUMAH SEMI,PERMANEN,DIDING PAPAN RUSAK RINGAN, ATAP SENG RUSAK RINGAN,</x:v>
      </x:c>
      <x:c r="J126" s="315" t="str">
        <x:v>Semipermanen</x:v>
      </x:c>
      <x:c r="K126" s="315" t="str">
        <x:v>Seng</x:v>
      </x:c>
      <x:c r="L126" s="315" t="str">
        <x:v>Rusak Ringan</x:v>
      </x:c>
      <x:c r="M126" s="367" t="str">
        <x:v>Papan/Kayu</x:v>
      </x:c>
      <x:c r="N126" s="315" t="str">
        <x:v>Rusak Ringan</x:v>
      </x:c>
      <x:c r="O126" s="316" t="str">
        <x:v>Belum Diidentifikasi</x:v>
      </x:c>
      <x:c r="P126" s="349" t="str">
        <x:v>Belum Dinilai</x:v>
      </x:c>
      <x:c r="Q126" s="707" t="str">
        <x:v>Belum Dinilai</x:v>
      </x:c>
      <x:c r="R126" s="707" t="str">
        <x:v>Belum Dinilai</x:v>
      </x:c>
      <x:c r="S126" s="708" t="str">
        <x:v>Belum Dinilai</x:v>
      </x:c>
      <x:c r="T126" s="709" t="str">
        <x:v>Belum Dinilai</x:v>
      </x:c>
      <x:c r="U126" s="704" t="str">
        <x:v>Belum Dinilai</x:v>
      </x:c>
      <x:c r="V126" s="704" t="str">
        <x:v>Belum Dinilai</x:v>
      </x:c>
      <x:c r="W126" s="704" t="str"/>
      <x:c r="X126" s="704" t="str">
        <x:f>IF(COUNTIF(R126:V126,"Belum Dinilai")&gt;0,"Belum Dinilai",IF(COUNTIF(R126:V126,"Ya")=0,"Tidak ada faktor rentan",TEXTJOIN(", ",TRUE,IF(R126="Ya","Lansia",""),IF(S126="Ya","Penyandang disabilitas",""),IF(T126="Ya","Kepala keluarga perempuan",""),IF(U126="Ya","Balita",""),IF(V126="Ya","Anggota keluarga dengan ketergantungan tinggi",""))))</x:f>
        <x:v>Belum Dinilai</x:v>
      </x:c>
      <x:c r="Y126" s="704" t="str">
        <x:f>IF(COUNTIF(R126:V126,"Belum Dinilai")&gt;0,"Belum Dinilai",IF(COUNTIF(R126:V126,"Ya")=0,"Tidak Ada Faktor Rentan",IF(COUNTIF(R126:V126,"Ya")=1,"1 Faktor Rentan","2 atau Lebih Faktor Rentan")))</x:f>
        <x:v>Belum Dinilai</x:v>
      </x:c>
      <x:c r="Z126" s="704" t="str">
        <x:f>IF(OR(Q126="",Q126="Belum Dinilai"),"",IF(Q126="Terverifikasi DTKS/P3KE/MBR",10,IF(Q126="Diusulkan, Belum Terverifikasi",5,0)))</x:f>
      </x:c>
      <x:c r="AA126" s="705" t="str">
        <x:f>IF(COUNTIF(R126:V126,"Belum Dinilai")&gt;0,"",IF(COUNTIF(R126:V126,"Ya")=0,0,IF(COUNTIF(R126:V126,"Ya")=1,5,10)))</x:f>
      </x:c>
      <x:c r="AB126" s="706" t="str">
        <x:f>IF(OR(Z126="",AA126=""),"",Z126+AA126)</x:f>
      </x:c>
      <x:c r="AC126" s="713" t="str">
        <x:v>Belum Dinilai</x:v>
      </x:c>
      <x:c r="AD126" s="713" t="str">
        <x:v>Belum Dinilai</x:v>
      </x:c>
      <x:c r="AE126" s="714" t="str">
        <x:v>Belum Dinilai</x:v>
      </x:c>
      <x:c r="AF126" s="713" t="str">
        <x:v>Belum Dinilai</x:v>
      </x:c>
      <x:c r="AG126" s="713" t="str">
        <x:v>Belum Dinilai</x:v>
      </x:c>
      <x:c r="AH126" s="715" t="str">
        <x:v>Belum Dinilai</x:v>
      </x:c>
      <x:c r="AI126" s="714" t="str">
        <x:v>Belum Dinilai</x:v>
      </x:c>
      <x:c r="AJ126" s="713" t="str">
        <x:v>Belum Dinilai</x:v>
      </x:c>
      <x:c r="AK126" s="715" t="str">
        <x:v>Belum Dinilai</x:v>
      </x:c>
      <x:c r="AL126" s="713" t="str"/>
      <x:c r="AM126" s="716" t="str">
        <x:v>Belum Dinilai</x:v>
      </x:c>
      <x:c r="AN126" s="716" t="str">
        <x:f>IF(AND(COUNTIF(AC126:AK126,"Ya")=0,AL126=""),IF(COUNTIF(AC126:AK126,"Belum Dinilai")&gt;0,"Belum Dinilai","Tidak ada risiko khusus"),TEXTJOIN(", ",TRUE,IF(AC126="Ya","Bangunan berpotensi roboh",""),IF(AD126="Ya","Bekas kebakaran dan tidak aman dihuni",""),IF(AE126="Ya","Atap atau dinding utama hampir runtuh",""),IF(AF126="Ya","Genangan yang membahayakan",""),IF(AG126="Ya","Struktur rumah tidak stabil",""),IF(AH126="Ya","Instalasi listrik berbahaya",""),IF(AI126="Ya","Komponen bangunan lepas atau lapuk",""),IF(AJ126="Ya","Akses keluar atau evakuasi terbatas",""),IF(AK126="Ya","Lokasi rawan bencana",""),IF(AL126&lt;&gt;"","Lainnya: "&amp;AL126,"")))</x:f>
        <x:v>Belum Dinilai</x:v>
      </x:c>
      <x:c r="AO126" s="716" t="str">
        <x:f>IF(AR126="","Belum Dinilai",IF(AR126=10,"Risiko Tinggi/Darurat",IF(AR126=5,"Risiko Sedang","Tidak Ada Risiko Khusus")))</x:f>
        <x:v>Belum Dinilai</x:v>
      </x:c>
      <x:c r="AP126" s="716" t="str"/>
      <x:c r="AQ126" s="719" t="str">
        <x:f>IF(OR(J126="",J126="Belum Dapat Ditentukan",L126="",L126="Belum Dinilai",N126="",N126="Belum Dinilai",P126="",P126="Belum Dinilai"),"",IF(J126="Permanen",0,IF(J126="Semipermanen",8,IF(J126="Nonpermanen",15,0)))+IF(L126="Baik",0,IF(L126="Rusak Ringan",5,IF(L126="Rusak Sedang",10,IF(L126="Rusak Berat",15,IF(L126="Tidak Ada/Terbuka",20,0)))))+IF(N126="Baik",0,IF(N126="Rusak Ringan",5,IF(N126="Rusak Sedang",10,IF(N126="Rusak Berat",15,IF(N126="Tidak Ada/Terbuka",20,0)))))+IF(P126="Baik",0,IF(P126="Rusak Ringan",4,IF(P126="Rusak Sedang",8,IF(P126="Rusak Berat",12,IF(P126="Tidak Layak",15,0))))))</x:f>
      </x:c>
      <x:c r="AR126" s="719" t="str">
        <x:f>IF(COUNTIF(AC126:AH126,"Ya")&gt;0,10,IF(COUNTIF(AI126:AK126,"Ya")&gt;=2,10,IF(COUNTIF(AI126:AK126,"Ya")=1,MAX(5,IF(AM126="Risiko Tinggi/Darurat",10,IF(AM126="Risiko Sedang",5,0))),IF(AL126&lt;&gt;"",IF(AM126="Risiko Tinggi/Darurat",10,IF(AM126="Risiko Sedang",5,"")),IF(COUNTIF(AC126:AK126,"Belum Dinilai")&gt;0,"",0)))))</x:f>
      </x:c>
      <x:c r="AS126" s="719" t="str">
        <x:f>IF(OR(AQ126="",AB126="",AR126=""),"",AQ126+AB126+AR126)</x:f>
      </x:c>
      <x:c r="AT126" s="719" t="str">
        <x:f>IF(AS126="","Belum Dapat Ditentukan",IF(AS126&gt;=80,"Sangat Tinggi",IF(OR(AO126="Risiko Tinggi/Darurat",(IF(L126="Rusak Berat",1,0)+IF(L126="Tidak Ada/Terbuka",1,0)+IF(N126="Rusak Berat",1,0)+IF(N126="Tidak Ada/Terbuka",1,0)+IF(P126="Rusak Berat",1,0)+IF(P126="Tidak Layak",1,0))&gt;=2),"Tinggi",IF(AS126&gt;=65,"Tinggi",IF(AS126&gt;=50,"Sedang","Rendah")))))</x:f>
        <x:v>Belum Dapat Ditentukan</x:v>
      </x:c>
      <x:c r="AU126" s="240" t="str">
        <x:v>Lengkap</x:v>
      </x:c>
      <x:c r="AV126" s="240" t="str">
        <x:v>Sudah Diverifikasi</x:v>
      </x:c>
      <x:c r="AW126" s="240" t="str">
        <x:v>Belum Ditangani</x:v>
      </x:c>
      <x:c r="AX126" s="240"/>
      <x:c r="AY126" s="240"/>
      <x:c r="AZ126" s="240" t="str">
        <x:v>Belum Diverifikasi</x:v>
      </x:c>
      <x:c r="BA126" s="240"/>
      <x:c r="BB126" s="240"/>
      <x:c r="BC126" s="240" t="n">
        <x:v>2026</x:v>
      </x:c>
      <x:c r="BD126" s="240" t="str">
        <x:v>Usulan Musrenbang/Pokir DPRD</x:v>
      </x:c>
      <x:c r="BE126" s="240" t="n">
        <x:v>46218</x:v>
      </x:c>
      <x:c r="BF126" s="240" t="str">
        <x:v>Dinas Perkim Kota Pangkalpinang</x:v>
      </x:c>
    </x:row>
    <x:row r="127" ht="32" customHeight="1">
      <x:c r="A127" s="314" t="str">
        <x:v>RTLH-0151</x:v>
      </x:c>
      <x:c r="B127" s="315" t="str">
        <x:v>SOLMI</x:v>
      </x:c>
      <x:c r="C127" s="316"/>
      <x:c r="D127" s="316"/>
      <x:c r="E127" s="315" t="str">
        <x:v>Belum tersedia</x:v>
      </x:c>
      <x:c r="F127" s="315" t="str">
        <x:v>ASAM</x:v>
      </x:c>
      <x:c r="G127" s="315" t="str">
        <x:v>RANGKUI</x:v>
      </x:c>
      <x:c r="H127" s="315" t="str">
        <x:v>Pembangunan Baru</x:v>
      </x:c>
      <x:c r="I127" s="317" t="str">
        <x:v>RUMAH FULL PAPAN,LANTAI FULL FLOOR, DINDING RUSAK RINGAN. ATAP RUSAK RINGAN</x:v>
      </x:c>
      <x:c r="J127" s="315" t="str">
        <x:v>Nonpermanen</x:v>
      </x:c>
      <x:c r="K127" s="315" t="str">
        <x:v>Belum Diidentifikasi</x:v>
      </x:c>
      <x:c r="L127" s="315" t="str">
        <x:v>Rusak Ringan</x:v>
      </x:c>
      <x:c r="M127" s="367" t="str">
        <x:v>Papan/Kayu</x:v>
      </x:c>
      <x:c r="N127" s="315" t="str">
        <x:v>Rusak Ringan</x:v>
      </x:c>
      <x:c r="O127" s="316" t="str">
        <x:v>Semen/Plester</x:v>
      </x:c>
      <x:c r="P127" s="349" t="str">
        <x:v>Rusak Ringan</x:v>
      </x:c>
      <x:c r="Q127" s="707" t="str">
        <x:v>Belum Dinilai</x:v>
      </x:c>
      <x:c r="R127" s="707" t="str">
        <x:v>Belum Dinilai</x:v>
      </x:c>
      <x:c r="S127" s="708" t="str">
        <x:v>Belum Dinilai</x:v>
      </x:c>
      <x:c r="T127" s="709" t="str">
        <x:v>Belum Dinilai</x:v>
      </x:c>
      <x:c r="U127" s="704" t="str">
        <x:v>Belum Dinilai</x:v>
      </x:c>
      <x:c r="V127" s="704" t="str">
        <x:v>Belum Dinilai</x:v>
      </x:c>
      <x:c r="W127" s="704" t="str"/>
      <x:c r="X127" s="704" t="str">
        <x:f>IF(COUNTIF(R127:V127,"Belum Dinilai")&gt;0,"Belum Dinilai",IF(COUNTIF(R127:V127,"Ya")=0,"Tidak ada faktor rentan",TEXTJOIN(", ",TRUE,IF(R127="Ya","Lansia",""),IF(S127="Ya","Penyandang disabilitas",""),IF(T127="Ya","Kepala keluarga perempuan",""),IF(U127="Ya","Balita",""),IF(V127="Ya","Anggota keluarga dengan ketergantungan tinggi",""))))</x:f>
        <x:v>Belum Dinilai</x:v>
      </x:c>
      <x:c r="Y127" s="704" t="str">
        <x:f>IF(COUNTIF(R127:V127,"Belum Dinilai")&gt;0,"Belum Dinilai",IF(COUNTIF(R127:V127,"Ya")=0,"Tidak Ada Faktor Rentan",IF(COUNTIF(R127:V127,"Ya")=1,"1 Faktor Rentan","2 atau Lebih Faktor Rentan")))</x:f>
        <x:v>Belum Dinilai</x:v>
      </x:c>
      <x:c r="Z127" s="704" t="str">
        <x:f>IF(OR(Q127="",Q127="Belum Dinilai"),"",IF(Q127="Terverifikasi DTKS/P3KE/MBR",10,IF(Q127="Diusulkan, Belum Terverifikasi",5,0)))</x:f>
      </x:c>
      <x:c r="AA127" s="705" t="str">
        <x:f>IF(COUNTIF(R127:V127,"Belum Dinilai")&gt;0,"",IF(COUNTIF(R127:V127,"Ya")=0,0,IF(COUNTIF(R127:V127,"Ya")=1,5,10)))</x:f>
      </x:c>
      <x:c r="AB127" s="706" t="str">
        <x:f>IF(OR(Z127="",AA127=""),"",Z127+AA127)</x:f>
      </x:c>
      <x:c r="AC127" s="713" t="str">
        <x:v>Belum Dinilai</x:v>
      </x:c>
      <x:c r="AD127" s="713" t="str">
        <x:v>Belum Dinilai</x:v>
      </x:c>
      <x:c r="AE127" s="714" t="str">
        <x:v>Belum Dinilai</x:v>
      </x:c>
      <x:c r="AF127" s="713" t="str">
        <x:v>Belum Dinilai</x:v>
      </x:c>
      <x:c r="AG127" s="713" t="str">
        <x:v>Belum Dinilai</x:v>
      </x:c>
      <x:c r="AH127" s="715" t="str">
        <x:v>Belum Dinilai</x:v>
      </x:c>
      <x:c r="AI127" s="714" t="str">
        <x:v>Belum Dinilai</x:v>
      </x:c>
      <x:c r="AJ127" s="713" t="str">
        <x:v>Belum Dinilai</x:v>
      </x:c>
      <x:c r="AK127" s="715" t="str">
        <x:v>Belum Dinilai</x:v>
      </x:c>
      <x:c r="AL127" s="713" t="str"/>
      <x:c r="AM127" s="716" t="str">
        <x:v>Belum Dinilai</x:v>
      </x:c>
      <x:c r="AN127" s="716" t="str">
        <x:f>IF(AND(COUNTIF(AC127:AK127,"Ya")=0,AL127=""),IF(COUNTIF(AC127:AK127,"Belum Dinilai")&gt;0,"Belum Dinilai","Tidak ada risiko khusus"),TEXTJOIN(", ",TRUE,IF(AC127="Ya","Bangunan berpotensi roboh",""),IF(AD127="Ya","Bekas kebakaran dan tidak aman dihuni",""),IF(AE127="Ya","Atap atau dinding utama hampir runtuh",""),IF(AF127="Ya","Genangan yang membahayakan",""),IF(AG127="Ya","Struktur rumah tidak stabil",""),IF(AH127="Ya","Instalasi listrik berbahaya",""),IF(AI127="Ya","Komponen bangunan lepas atau lapuk",""),IF(AJ127="Ya","Akses keluar atau evakuasi terbatas",""),IF(AK127="Ya","Lokasi rawan bencana",""),IF(AL127&lt;&gt;"","Lainnya: "&amp;AL127,"")))</x:f>
        <x:v>Belum Dinilai</x:v>
      </x:c>
      <x:c r="AO127" s="716" t="str">
        <x:f>IF(AR127="","Belum Dinilai",IF(AR127=10,"Risiko Tinggi/Darurat",IF(AR127=5,"Risiko Sedang","Tidak Ada Risiko Khusus")))</x:f>
        <x:v>Belum Dinilai</x:v>
      </x:c>
      <x:c r="AP127" s="716" t="str"/>
      <x:c r="AQ127" s="719" t="n">
        <x:f>IF(OR(J127="",J127="Belum Dapat Ditentukan",L127="",L127="Belum Dinilai",N127="",N127="Belum Dinilai",P127="",P127="Belum Dinilai"),"",IF(J127="Permanen",0,IF(J127="Semipermanen",8,IF(J127="Nonpermanen",15,0)))+IF(L127="Baik",0,IF(L127="Rusak Ringan",5,IF(L127="Rusak Sedang",10,IF(L127="Rusak Berat",15,IF(L127="Tidak Ada/Terbuka",20,0)))))+IF(N127="Baik",0,IF(N127="Rusak Ringan",5,IF(N127="Rusak Sedang",10,IF(N127="Rusak Berat",15,IF(N127="Tidak Ada/Terbuka",20,0)))))+IF(P127="Baik",0,IF(P127="Rusak Ringan",4,IF(P127="Rusak Sedang",8,IF(P127="Rusak Berat",12,IF(P127="Tidak Layak",15,0))))))</x:f>
        <x:v>29</x:v>
      </x:c>
      <x:c r="AR127" s="719" t="str">
        <x:f>IF(COUNTIF(AC127:AH127,"Ya")&gt;0,10,IF(COUNTIF(AI127:AK127,"Ya")&gt;=2,10,IF(COUNTIF(AI127:AK127,"Ya")=1,MAX(5,IF(AM127="Risiko Tinggi/Darurat",10,IF(AM127="Risiko Sedang",5,0))),IF(AL127&lt;&gt;"",IF(AM127="Risiko Tinggi/Darurat",10,IF(AM127="Risiko Sedang",5,"")),IF(COUNTIF(AC127:AK127,"Belum Dinilai")&gt;0,"",0)))))</x:f>
      </x:c>
      <x:c r="AS127" s="719" t="str">
        <x:f>IF(OR(AQ127="",AB127="",AR127=""),"",AQ127+AB127+AR127)</x:f>
      </x:c>
      <x:c r="AT127" s="719" t="str">
        <x:f>IF(AS127="","Belum Dapat Ditentukan",IF(AS127&gt;=80,"Sangat Tinggi",IF(OR(AO127="Risiko Tinggi/Darurat",(IF(L127="Rusak Berat",1,0)+IF(L127="Tidak Ada/Terbuka",1,0)+IF(N127="Rusak Berat",1,0)+IF(N127="Tidak Ada/Terbuka",1,0)+IF(P127="Rusak Berat",1,0)+IF(P127="Tidak Layak",1,0))&gt;=2),"Tinggi",IF(AS127&gt;=65,"Tinggi",IF(AS127&gt;=50,"Sedang","Rendah")))))</x:f>
        <x:v>Belum Dapat Ditentukan</x:v>
      </x:c>
      <x:c r="AU127" s="240" t="str">
        <x:v>Belum Lengkap</x:v>
      </x:c>
      <x:c r="AV127" s="240" t="str">
        <x:v>Sudah Diverifikasi</x:v>
      </x:c>
      <x:c r="AW127" s="240" t="str">
        <x:v>Belum Ditangani</x:v>
      </x:c>
      <x:c r="AX127" s="240"/>
      <x:c r="AY127" s="240"/>
      <x:c r="AZ127" s="240" t="str">
        <x:v>Belum Diverifikasi</x:v>
      </x:c>
      <x:c r="BA127" s="240"/>
      <x:c r="BB127" s="240"/>
      <x:c r="BC127" s="240" t="n">
        <x:v>2026</x:v>
      </x:c>
      <x:c r="BD127" s="240" t="str">
        <x:v>Usulan Musrenbang/Pokir DPRD</x:v>
      </x:c>
      <x:c r="BE127" s="240" t="n">
        <x:v>46218</x:v>
      </x:c>
      <x:c r="BF127" s="240" t="str">
        <x:v>Dinas Perkim Kota Pangkalpinang</x:v>
      </x:c>
    </x:row>
    <x:row r="128" ht="32" customHeight="1">
      <x:c r="A128" s="314" t="str">
        <x:v>RTLH-0154</x:v>
      </x:c>
      <x:c r="B128" s="315" t="str">
        <x:v>BONG A THIN</x:v>
      </x:c>
      <x:c r="C128" s="316"/>
      <x:c r="D128" s="316"/>
      <x:c r="E128" s="315" t="str">
        <x:v>JL.TELUK BAYUR</x:v>
      </x:c>
      <x:c r="F128" s="315" t="str">
        <x:v>PASIR PUTIH</x:v>
      </x:c>
      <x:c r="G128" s="315" t="str">
        <x:v>BUKIT INTAN</x:v>
      </x:c>
      <x:c r="H128" s="315" t="str">
        <x:v>Pembangunan Baru</x:v>
      </x:c>
      <x:c r="I128" s="317" t="str">
        <x:v>Belum ada catatan verifikasi</x:v>
      </x:c>
      <x:c r="J128" s="315" t="str">
        <x:v>Belum Dapat Ditentukan</x:v>
      </x:c>
      <x:c r="K128" s="315" t="str">
        <x:v>Belum Diidentifikasi</x:v>
      </x:c>
      <x:c r="L128" s="315" t="str">
        <x:v>Belum Dinilai</x:v>
      </x:c>
      <x:c r="M128" s="367" t="str">
        <x:v>Belum Diidentifikasi</x:v>
      </x:c>
      <x:c r="N128" s="315" t="str">
        <x:v>Belum Dinilai</x:v>
      </x:c>
      <x:c r="O128" s="316" t="str">
        <x:v>Belum Diidentifikasi</x:v>
      </x:c>
      <x:c r="P128" s="349" t="str">
        <x:v>Belum Dinilai</x:v>
      </x:c>
      <x:c r="Q128" s="707" t="str">
        <x:v>Belum Dinilai</x:v>
      </x:c>
      <x:c r="R128" s="707" t="str">
        <x:v>Belum Dinilai</x:v>
      </x:c>
      <x:c r="S128" s="708" t="str">
        <x:v>Belum Dinilai</x:v>
      </x:c>
      <x:c r="T128" s="709" t="str">
        <x:v>Belum Dinilai</x:v>
      </x:c>
      <x:c r="U128" s="704" t="str">
        <x:v>Belum Dinilai</x:v>
      </x:c>
      <x:c r="V128" s="704" t="str">
        <x:v>Belum Dinilai</x:v>
      </x:c>
      <x:c r="W128" s="704" t="str"/>
      <x:c r="X128" s="704" t="str">
        <x:f>IF(COUNTIF(R128:V128,"Belum Dinilai")&gt;0,"Belum Dinilai",IF(COUNTIF(R128:V128,"Ya")=0,"Tidak ada faktor rentan",TEXTJOIN(", ",TRUE,IF(R128="Ya","Lansia",""),IF(S128="Ya","Penyandang disabilitas",""),IF(T128="Ya","Kepala keluarga perempuan",""),IF(U128="Ya","Balita",""),IF(V128="Ya","Anggota keluarga dengan ketergantungan tinggi",""))))</x:f>
        <x:v>Belum Dinilai</x:v>
      </x:c>
      <x:c r="Y128" s="704" t="str">
        <x:f>IF(COUNTIF(R128:V128,"Belum Dinilai")&gt;0,"Belum Dinilai",IF(COUNTIF(R128:V128,"Ya")=0,"Tidak Ada Faktor Rentan",IF(COUNTIF(R128:V128,"Ya")=1,"1 Faktor Rentan","2 atau Lebih Faktor Rentan")))</x:f>
        <x:v>Belum Dinilai</x:v>
      </x:c>
      <x:c r="Z128" s="704" t="str">
        <x:f>IF(OR(Q128="",Q128="Belum Dinilai"),"",IF(Q128="Terverifikasi DTKS/P3KE/MBR",10,IF(Q128="Diusulkan, Belum Terverifikasi",5,0)))</x:f>
      </x:c>
      <x:c r="AA128" s="705" t="str">
        <x:f>IF(COUNTIF(R128:V128,"Belum Dinilai")&gt;0,"",IF(COUNTIF(R128:V128,"Ya")=0,0,IF(COUNTIF(R128:V128,"Ya")=1,5,10)))</x:f>
      </x:c>
      <x:c r="AB128" s="706" t="str">
        <x:f>IF(OR(Z128="",AA128=""),"",Z128+AA128)</x:f>
      </x:c>
      <x:c r="AC128" s="713" t="str">
        <x:v>Belum Dinilai</x:v>
      </x:c>
      <x:c r="AD128" s="713" t="str">
        <x:v>Belum Dinilai</x:v>
      </x:c>
      <x:c r="AE128" s="714" t="str">
        <x:v>Belum Dinilai</x:v>
      </x:c>
      <x:c r="AF128" s="713" t="str">
        <x:v>Belum Dinilai</x:v>
      </x:c>
      <x:c r="AG128" s="713" t="str">
        <x:v>Belum Dinilai</x:v>
      </x:c>
      <x:c r="AH128" s="715" t="str">
        <x:v>Belum Dinilai</x:v>
      </x:c>
      <x:c r="AI128" s="714" t="str">
        <x:v>Belum Dinilai</x:v>
      </x:c>
      <x:c r="AJ128" s="713" t="str">
        <x:v>Belum Dinilai</x:v>
      </x:c>
      <x:c r="AK128" s="715" t="str">
        <x:v>Belum Dinilai</x:v>
      </x:c>
      <x:c r="AL128" s="713" t="str"/>
      <x:c r="AM128" s="716" t="str">
        <x:v>Belum Dinilai</x:v>
      </x:c>
      <x:c r="AN128" s="716" t="str">
        <x:f>IF(AND(COUNTIF(AC128:AK128,"Ya")=0,AL128=""),IF(COUNTIF(AC128:AK128,"Belum Dinilai")&gt;0,"Belum Dinilai","Tidak ada risiko khusus"),TEXTJOIN(", ",TRUE,IF(AC128="Ya","Bangunan berpotensi roboh",""),IF(AD128="Ya","Bekas kebakaran dan tidak aman dihuni",""),IF(AE128="Ya","Atap atau dinding utama hampir runtuh",""),IF(AF128="Ya","Genangan yang membahayakan",""),IF(AG128="Ya","Struktur rumah tidak stabil",""),IF(AH128="Ya","Instalasi listrik berbahaya",""),IF(AI128="Ya","Komponen bangunan lepas atau lapuk",""),IF(AJ128="Ya","Akses keluar atau evakuasi terbatas",""),IF(AK128="Ya","Lokasi rawan bencana",""),IF(AL128&lt;&gt;"","Lainnya: "&amp;AL128,"")))</x:f>
        <x:v>Belum Dinilai</x:v>
      </x:c>
      <x:c r="AO128" s="716" t="str">
        <x:f>IF(AR128="","Belum Dinilai",IF(AR128=10,"Risiko Tinggi/Darurat",IF(AR128=5,"Risiko Sedang","Tidak Ada Risiko Khusus")))</x:f>
        <x:v>Belum Dinilai</x:v>
      </x:c>
      <x:c r="AP128" s="716" t="str"/>
      <x:c r="AQ128" s="719" t="str">
        <x:f>IF(OR(J128="",J128="Belum Dapat Ditentukan",L128="",L128="Belum Dinilai",N128="",N128="Belum Dinilai",P128="",P128="Belum Dinilai"),"",IF(J128="Permanen",0,IF(J128="Semipermanen",8,IF(J128="Nonpermanen",15,0)))+IF(L128="Baik",0,IF(L128="Rusak Ringan",5,IF(L128="Rusak Sedang",10,IF(L128="Rusak Berat",15,IF(L128="Tidak Ada/Terbuka",20,0)))))+IF(N128="Baik",0,IF(N128="Rusak Ringan",5,IF(N128="Rusak Sedang",10,IF(N128="Rusak Berat",15,IF(N128="Tidak Ada/Terbuka",20,0)))))+IF(P128="Baik",0,IF(P128="Rusak Ringan",4,IF(P128="Rusak Sedang",8,IF(P128="Rusak Berat",12,IF(P128="Tidak Layak",15,0))))))</x:f>
      </x:c>
      <x:c r="AR128" s="719" t="str">
        <x:f>IF(COUNTIF(AC128:AH128,"Ya")&gt;0,10,IF(COUNTIF(AI128:AK128,"Ya")&gt;=2,10,IF(COUNTIF(AI128:AK128,"Ya")=1,MAX(5,IF(AM128="Risiko Tinggi/Darurat",10,IF(AM128="Risiko Sedang",5,0))),IF(AL128&lt;&gt;"",IF(AM128="Risiko Tinggi/Darurat",10,IF(AM128="Risiko Sedang",5,"")),IF(COUNTIF(AC128:AK128,"Belum Dinilai")&gt;0,"",0)))))</x:f>
      </x:c>
      <x:c r="AS128" s="719" t="str">
        <x:f>IF(OR(AQ128="",AB128="",AR128=""),"",AQ128+AB128+AR128)</x:f>
      </x:c>
      <x:c r="AT128" s="719" t="str">
        <x:f>IF(AS128="","Belum Dapat Ditentukan",IF(AS128&gt;=80,"Sangat Tinggi",IF(OR(AO128="Risiko Tinggi/Darurat",(IF(L128="Rusak Berat",1,0)+IF(L128="Tidak Ada/Terbuka",1,0)+IF(N128="Rusak Berat",1,0)+IF(N128="Tidak Ada/Terbuka",1,0)+IF(P128="Rusak Berat",1,0)+IF(P128="Tidak Layak",1,0))&gt;=2),"Tinggi",IF(AS128&gt;=65,"Tinggi",IF(AS128&gt;=50,"Sedang","Rendah")))))</x:f>
        <x:v>Belum Dapat Ditentukan</x:v>
      </x:c>
      <x:c r="AU128" s="240" t="str">
        <x:v>Lengkap</x:v>
      </x:c>
      <x:c r="AV128" s="240" t="str">
        <x:v>Sudah Diverifikasi</x:v>
      </x:c>
      <x:c r="AW128" s="240" t="str">
        <x:v>Belum Ditangani</x:v>
      </x:c>
      <x:c r="AX128" s="240"/>
      <x:c r="AY128" s="240"/>
      <x:c r="AZ128" s="240" t="str">
        <x:v>Belum Diverifikasi</x:v>
      </x:c>
      <x:c r="BA128" s="240"/>
      <x:c r="BB128" s="240"/>
      <x:c r="BC128" s="240" t="n">
        <x:v>2026</x:v>
      </x:c>
      <x:c r="BD128" s="240" t="str">
        <x:v>Usulan Musrenbang/Pokir DPRD</x:v>
      </x:c>
      <x:c r="BE128" s="240" t="n">
        <x:v>46218</x:v>
      </x:c>
      <x:c r="BF128" s="240" t="str">
        <x:v>Dinas Perkim Kota Pangkalpinang</x:v>
      </x:c>
    </x:row>
    <x:row r="129" ht="32" customHeight="1">
      <x:c r="A129" s="314" t="str">
        <x:v>RTLH-0155</x:v>
      </x:c>
      <x:c r="B129" s="315" t="str">
        <x:v>TJHIN MUK NA</x:v>
      </x:c>
      <x:c r="C129" s="316"/>
      <x:c r="D129" s="316"/>
      <x:c r="E129" s="315" t="str">
        <x:v>JL,TELUK BAYUR</x:v>
      </x:c>
      <x:c r="F129" s="315" t="str">
        <x:v>PASIR PUTIH</x:v>
      </x:c>
      <x:c r="G129" s="315" t="str">
        <x:v>BUKIT INTAN</x:v>
      </x:c>
      <x:c r="H129" s="315" t="str">
        <x:v>Pembangunan Baru</x:v>
      </x:c>
      <x:c r="I129" s="317" t="str">
        <x:v>RUMAH FULL PAPAN, LANTAI KERAMIK,ATAP SENG, DINDING RUSAK RINGAN,ATAP RUSAK RINGAN,</x:v>
      </x:c>
      <x:c r="J129" s="315" t="str">
        <x:v>Nonpermanen</x:v>
      </x:c>
      <x:c r="K129" s="315" t="str">
        <x:v>Seng</x:v>
      </x:c>
      <x:c r="L129" s="315" t="str">
        <x:v>Rusak Ringan</x:v>
      </x:c>
      <x:c r="M129" s="367" t="str">
        <x:v>Papan/Kayu</x:v>
      </x:c>
      <x:c r="N129" s="315" t="str">
        <x:v>Rusak Ringan</x:v>
      </x:c>
      <x:c r="O129" s="316" t="str">
        <x:v>Keramik</x:v>
      </x:c>
      <x:c r="P129" s="349" t="str">
        <x:v>Rusak Ringan</x:v>
      </x:c>
      <x:c r="Q129" s="707" t="str">
        <x:v>Belum Dinilai</x:v>
      </x:c>
      <x:c r="R129" s="707" t="str">
        <x:v>Belum Dinilai</x:v>
      </x:c>
      <x:c r="S129" s="708" t="str">
        <x:v>Belum Dinilai</x:v>
      </x:c>
      <x:c r="T129" s="709" t="str">
        <x:v>Belum Dinilai</x:v>
      </x:c>
      <x:c r="U129" s="704" t="str">
        <x:v>Belum Dinilai</x:v>
      </x:c>
      <x:c r="V129" s="704" t="str">
        <x:v>Belum Dinilai</x:v>
      </x:c>
      <x:c r="W129" s="704" t="str"/>
      <x:c r="X129" s="704" t="str">
        <x:f>IF(COUNTIF(R129:V129,"Belum Dinilai")&gt;0,"Belum Dinilai",IF(COUNTIF(R129:V129,"Ya")=0,"Tidak ada faktor rentan",TEXTJOIN(", ",TRUE,IF(R129="Ya","Lansia",""),IF(S129="Ya","Penyandang disabilitas",""),IF(T129="Ya","Kepala keluarga perempuan",""),IF(U129="Ya","Balita",""),IF(V129="Ya","Anggota keluarga dengan ketergantungan tinggi",""))))</x:f>
        <x:v>Belum Dinilai</x:v>
      </x:c>
      <x:c r="Y129" s="704" t="str">
        <x:f>IF(COUNTIF(R129:V129,"Belum Dinilai")&gt;0,"Belum Dinilai",IF(COUNTIF(R129:V129,"Ya")=0,"Tidak Ada Faktor Rentan",IF(COUNTIF(R129:V129,"Ya")=1,"1 Faktor Rentan","2 atau Lebih Faktor Rentan")))</x:f>
        <x:v>Belum Dinilai</x:v>
      </x:c>
      <x:c r="Z129" s="704" t="str">
        <x:f>IF(OR(Q129="",Q129="Belum Dinilai"),"",IF(Q129="Terverifikasi DTKS/P3KE/MBR",10,IF(Q129="Diusulkan, Belum Terverifikasi",5,0)))</x:f>
      </x:c>
      <x:c r="AA129" s="705" t="str">
        <x:f>IF(COUNTIF(R129:V129,"Belum Dinilai")&gt;0,"",IF(COUNTIF(R129:V129,"Ya")=0,0,IF(COUNTIF(R129:V129,"Ya")=1,5,10)))</x:f>
      </x:c>
      <x:c r="AB129" s="706" t="str">
        <x:f>IF(OR(Z129="",AA129=""),"",Z129+AA129)</x:f>
      </x:c>
      <x:c r="AC129" s="713" t="str">
        <x:v>Belum Dinilai</x:v>
      </x:c>
      <x:c r="AD129" s="713" t="str">
        <x:v>Belum Dinilai</x:v>
      </x:c>
      <x:c r="AE129" s="714" t="str">
        <x:v>Belum Dinilai</x:v>
      </x:c>
      <x:c r="AF129" s="713" t="str">
        <x:v>Belum Dinilai</x:v>
      </x:c>
      <x:c r="AG129" s="713" t="str">
        <x:v>Belum Dinilai</x:v>
      </x:c>
      <x:c r="AH129" s="715" t="str">
        <x:v>Belum Dinilai</x:v>
      </x:c>
      <x:c r="AI129" s="714" t="str">
        <x:v>Belum Dinilai</x:v>
      </x:c>
      <x:c r="AJ129" s="713" t="str">
        <x:v>Belum Dinilai</x:v>
      </x:c>
      <x:c r="AK129" s="715" t="str">
        <x:v>Belum Dinilai</x:v>
      </x:c>
      <x:c r="AL129" s="713" t="str"/>
      <x:c r="AM129" s="716" t="str">
        <x:v>Belum Dinilai</x:v>
      </x:c>
      <x:c r="AN129" s="716" t="str">
        <x:f>IF(AND(COUNTIF(AC129:AK129,"Ya")=0,AL129=""),IF(COUNTIF(AC129:AK129,"Belum Dinilai")&gt;0,"Belum Dinilai","Tidak ada risiko khusus"),TEXTJOIN(", ",TRUE,IF(AC129="Ya","Bangunan berpotensi roboh",""),IF(AD129="Ya","Bekas kebakaran dan tidak aman dihuni",""),IF(AE129="Ya","Atap atau dinding utama hampir runtuh",""),IF(AF129="Ya","Genangan yang membahayakan",""),IF(AG129="Ya","Struktur rumah tidak stabil",""),IF(AH129="Ya","Instalasi listrik berbahaya",""),IF(AI129="Ya","Komponen bangunan lepas atau lapuk",""),IF(AJ129="Ya","Akses keluar atau evakuasi terbatas",""),IF(AK129="Ya","Lokasi rawan bencana",""),IF(AL129&lt;&gt;"","Lainnya: "&amp;AL129,"")))</x:f>
        <x:v>Belum Dinilai</x:v>
      </x:c>
      <x:c r="AO129" s="716" t="str">
        <x:f>IF(AR129="","Belum Dinilai",IF(AR129=10,"Risiko Tinggi/Darurat",IF(AR129=5,"Risiko Sedang","Tidak Ada Risiko Khusus")))</x:f>
        <x:v>Belum Dinilai</x:v>
      </x:c>
      <x:c r="AP129" s="716" t="str"/>
      <x:c r="AQ129" s="719" t="n">
        <x:f>IF(OR(J129="",J129="Belum Dapat Ditentukan",L129="",L129="Belum Dinilai",N129="",N129="Belum Dinilai",P129="",P129="Belum Dinilai"),"",IF(J129="Permanen",0,IF(J129="Semipermanen",8,IF(J129="Nonpermanen",15,0)))+IF(L129="Baik",0,IF(L129="Rusak Ringan",5,IF(L129="Rusak Sedang",10,IF(L129="Rusak Berat",15,IF(L129="Tidak Ada/Terbuka",20,0)))))+IF(N129="Baik",0,IF(N129="Rusak Ringan",5,IF(N129="Rusak Sedang",10,IF(N129="Rusak Berat",15,IF(N129="Tidak Ada/Terbuka",20,0)))))+IF(P129="Baik",0,IF(P129="Rusak Ringan",4,IF(P129="Rusak Sedang",8,IF(P129="Rusak Berat",12,IF(P129="Tidak Layak",15,0))))))</x:f>
        <x:v>29</x:v>
      </x:c>
      <x:c r="AR129" s="719" t="str">
        <x:f>IF(COUNTIF(AC129:AH129,"Ya")&gt;0,10,IF(COUNTIF(AI129:AK129,"Ya")&gt;=2,10,IF(COUNTIF(AI129:AK129,"Ya")=1,MAX(5,IF(AM129="Risiko Tinggi/Darurat",10,IF(AM129="Risiko Sedang",5,0))),IF(AL129&lt;&gt;"",IF(AM129="Risiko Tinggi/Darurat",10,IF(AM129="Risiko Sedang",5,"")),IF(COUNTIF(AC129:AK129,"Belum Dinilai")&gt;0,"",0)))))</x:f>
      </x:c>
      <x:c r="AS129" s="719" t="str">
        <x:f>IF(OR(AQ129="",AB129="",AR129=""),"",AQ129+AB129+AR129)</x:f>
      </x:c>
      <x:c r="AT129" s="719" t="str">
        <x:f>IF(AS129="","Belum Dapat Ditentukan",IF(AS129&gt;=80,"Sangat Tinggi",IF(OR(AO129="Risiko Tinggi/Darurat",(IF(L129="Rusak Berat",1,0)+IF(L129="Tidak Ada/Terbuka",1,0)+IF(N129="Rusak Berat",1,0)+IF(N129="Tidak Ada/Terbuka",1,0)+IF(P129="Rusak Berat",1,0)+IF(P129="Tidak Layak",1,0))&gt;=2),"Tinggi",IF(AS129&gt;=65,"Tinggi",IF(AS129&gt;=50,"Sedang","Rendah")))))</x:f>
        <x:v>Belum Dapat Ditentukan</x:v>
      </x:c>
      <x:c r="AU129" s="240" t="str">
        <x:v>Lengkap</x:v>
      </x:c>
      <x:c r="AV129" s="240" t="str">
        <x:v>Sudah Diverifikasi</x:v>
      </x:c>
      <x:c r="AW129" s="240" t="str">
        <x:v>Belum Ditangani</x:v>
      </x:c>
      <x:c r="AX129" s="240"/>
      <x:c r="AY129" s="240"/>
      <x:c r="AZ129" s="240" t="str">
        <x:v>Belum Diverifikasi</x:v>
      </x:c>
      <x:c r="BA129" s="240"/>
      <x:c r="BB129" s="240"/>
      <x:c r="BC129" s="240" t="n">
        <x:v>2026</x:v>
      </x:c>
      <x:c r="BD129" s="240" t="str">
        <x:v>Usulan Musrenbang/Pokir DPRD</x:v>
      </x:c>
      <x:c r="BE129" s="240" t="n">
        <x:v>46218</x:v>
      </x:c>
      <x:c r="BF129" s="240" t="str">
        <x:v>Dinas Perkim Kota Pangkalpinang</x:v>
      </x:c>
    </x:row>
    <x:row r="130" ht="32" customHeight="1">
      <x:c r="A130" s="314" t="str">
        <x:v>RTLH-0157</x:v>
      </x:c>
      <x:c r="B130" s="315" t="str">
        <x:v>ASHAB</x:v>
      </x:c>
      <x:c r="C130" s="316"/>
      <x:c r="D130" s="316"/>
      <x:c r="E130" s="315" t="str">
        <x:v>JL,KUBIS NO 217 RT/RW 003/001</x:v>
      </x:c>
      <x:c r="F130" s="315" t="str">
        <x:v>PARITLALANG</x:v>
      </x:c>
      <x:c r="G130" s="315" t="str">
        <x:v>RANGKUI</x:v>
      </x:c>
      <x:c r="H130" s="315" t="str">
        <x:v>Peningkatan Kualitas</x:v>
      </x:c>
      <x:c r="I130" s="317" t="str">
        <x:v>RUMAH SEMI PERMANEN,LANTAI FULL FLOOR,ATAP SEBAGIAN GENTENG/SENG LANTAI RUSAK RINGAN,DINDING RUSAK RINGAN,ATAP RUSAK RINGAN</x:v>
      </x:c>
      <x:c r="J130" s="315" t="str">
        <x:v>Semipermanen</x:v>
      </x:c>
      <x:c r="K130" s="315" t="str">
        <x:v>Campuran</x:v>
      </x:c>
      <x:c r="L130" s="315" t="str">
        <x:v>Rusak Ringan</x:v>
      </x:c>
      <x:c r="M130" s="367" t="str">
        <x:v>Campuran Permanen dan Papan</x:v>
      </x:c>
      <x:c r="N130" s="315" t="str">
        <x:v>Rusak Ringan</x:v>
      </x:c>
      <x:c r="O130" s="316" t="str">
        <x:v>Semen/Plester</x:v>
      </x:c>
      <x:c r="P130" s="349" t="str">
        <x:v>Rusak Ringan</x:v>
      </x:c>
      <x:c r="Q130" s="707" t="str">
        <x:v>Belum Dinilai</x:v>
      </x:c>
      <x:c r="R130" s="707" t="str">
        <x:v>Belum Dinilai</x:v>
      </x:c>
      <x:c r="S130" s="708" t="str">
        <x:v>Belum Dinilai</x:v>
      </x:c>
      <x:c r="T130" s="709" t="str">
        <x:v>Belum Dinilai</x:v>
      </x:c>
      <x:c r="U130" s="704" t="str">
        <x:v>Belum Dinilai</x:v>
      </x:c>
      <x:c r="V130" s="704" t="str">
        <x:v>Belum Dinilai</x:v>
      </x:c>
      <x:c r="W130" s="704" t="str"/>
      <x:c r="X130" s="704" t="str">
        <x:f>IF(COUNTIF(R130:V130,"Belum Dinilai")&gt;0,"Belum Dinilai",IF(COUNTIF(R130:V130,"Ya")=0,"Tidak ada faktor rentan",TEXTJOIN(", ",TRUE,IF(R130="Ya","Lansia",""),IF(S130="Ya","Penyandang disabilitas",""),IF(T130="Ya","Kepala keluarga perempuan",""),IF(U130="Ya","Balita",""),IF(V130="Ya","Anggota keluarga dengan ketergantungan tinggi",""))))</x:f>
        <x:v>Belum Dinilai</x:v>
      </x:c>
      <x:c r="Y130" s="704" t="str">
        <x:f>IF(COUNTIF(R130:V130,"Belum Dinilai")&gt;0,"Belum Dinilai",IF(COUNTIF(R130:V130,"Ya")=0,"Tidak Ada Faktor Rentan",IF(COUNTIF(R130:V130,"Ya")=1,"1 Faktor Rentan","2 atau Lebih Faktor Rentan")))</x:f>
        <x:v>Belum Dinilai</x:v>
      </x:c>
      <x:c r="Z130" s="704" t="str">
        <x:f>IF(OR(Q130="",Q130="Belum Dinilai"),"",IF(Q130="Terverifikasi DTKS/P3KE/MBR",10,IF(Q130="Diusulkan, Belum Terverifikasi",5,0)))</x:f>
      </x:c>
      <x:c r="AA130" s="705" t="str">
        <x:f>IF(COUNTIF(R130:V130,"Belum Dinilai")&gt;0,"",IF(COUNTIF(R130:V130,"Ya")=0,0,IF(COUNTIF(R130:V130,"Ya")=1,5,10)))</x:f>
      </x:c>
      <x:c r="AB130" s="706" t="str">
        <x:f>IF(OR(Z130="",AA130=""),"",Z130+AA130)</x:f>
      </x:c>
      <x:c r="AC130" s="713" t="str">
        <x:v>Belum Dinilai</x:v>
      </x:c>
      <x:c r="AD130" s="713" t="str">
        <x:v>Belum Dinilai</x:v>
      </x:c>
      <x:c r="AE130" s="714" t="str">
        <x:v>Belum Dinilai</x:v>
      </x:c>
      <x:c r="AF130" s="713" t="str">
        <x:v>Belum Dinilai</x:v>
      </x:c>
      <x:c r="AG130" s="713" t="str">
        <x:v>Belum Dinilai</x:v>
      </x:c>
      <x:c r="AH130" s="715" t="str">
        <x:v>Belum Dinilai</x:v>
      </x:c>
      <x:c r="AI130" s="714" t="str">
        <x:v>Belum Dinilai</x:v>
      </x:c>
      <x:c r="AJ130" s="713" t="str">
        <x:v>Belum Dinilai</x:v>
      </x:c>
      <x:c r="AK130" s="715" t="str">
        <x:v>Belum Dinilai</x:v>
      </x:c>
      <x:c r="AL130" s="713" t="str"/>
      <x:c r="AM130" s="716" t="str">
        <x:v>Belum Dinilai</x:v>
      </x:c>
      <x:c r="AN130" s="716" t="str">
        <x:f>IF(AND(COUNTIF(AC130:AK130,"Ya")=0,AL130=""),IF(COUNTIF(AC130:AK130,"Belum Dinilai")&gt;0,"Belum Dinilai","Tidak ada risiko khusus"),TEXTJOIN(", ",TRUE,IF(AC130="Ya","Bangunan berpotensi roboh",""),IF(AD130="Ya","Bekas kebakaran dan tidak aman dihuni",""),IF(AE130="Ya","Atap atau dinding utama hampir runtuh",""),IF(AF130="Ya","Genangan yang membahayakan",""),IF(AG130="Ya","Struktur rumah tidak stabil",""),IF(AH130="Ya","Instalasi listrik berbahaya",""),IF(AI130="Ya","Komponen bangunan lepas atau lapuk",""),IF(AJ130="Ya","Akses keluar atau evakuasi terbatas",""),IF(AK130="Ya","Lokasi rawan bencana",""),IF(AL130&lt;&gt;"","Lainnya: "&amp;AL130,"")))</x:f>
        <x:v>Belum Dinilai</x:v>
      </x:c>
      <x:c r="AO130" s="716" t="str">
        <x:f>IF(AR130="","Belum Dinilai",IF(AR130=10,"Risiko Tinggi/Darurat",IF(AR130=5,"Risiko Sedang","Tidak Ada Risiko Khusus")))</x:f>
        <x:v>Belum Dinilai</x:v>
      </x:c>
      <x:c r="AP130" s="716" t="str"/>
      <x:c r="AQ130" s="719" t="n">
        <x:f>IF(OR(J130="",J130="Belum Dapat Ditentukan",L130="",L130="Belum Dinilai",N130="",N130="Belum Dinilai",P130="",P130="Belum Dinilai"),"",IF(J130="Permanen",0,IF(J130="Semipermanen",8,IF(J130="Nonpermanen",15,0)))+IF(L130="Baik",0,IF(L130="Rusak Ringan",5,IF(L130="Rusak Sedang",10,IF(L130="Rusak Berat",15,IF(L130="Tidak Ada/Terbuka",20,0)))))+IF(N130="Baik",0,IF(N130="Rusak Ringan",5,IF(N130="Rusak Sedang",10,IF(N130="Rusak Berat",15,IF(N130="Tidak Ada/Terbuka",20,0)))))+IF(P130="Baik",0,IF(P130="Rusak Ringan",4,IF(P130="Rusak Sedang",8,IF(P130="Rusak Berat",12,IF(P130="Tidak Layak",15,0))))))</x:f>
        <x:v>22</x:v>
      </x:c>
      <x:c r="AR130" s="719" t="str">
        <x:f>IF(COUNTIF(AC130:AH130,"Ya")&gt;0,10,IF(COUNTIF(AI130:AK130,"Ya")&gt;=2,10,IF(COUNTIF(AI130:AK130,"Ya")=1,MAX(5,IF(AM130="Risiko Tinggi/Darurat",10,IF(AM130="Risiko Sedang",5,0))),IF(AL130&lt;&gt;"",IF(AM130="Risiko Tinggi/Darurat",10,IF(AM130="Risiko Sedang",5,"")),IF(COUNTIF(AC130:AK130,"Belum Dinilai")&gt;0,"",0)))))</x:f>
      </x:c>
      <x:c r="AS130" s="719" t="str">
        <x:f>IF(OR(AQ130="",AB130="",AR130=""),"",AQ130+AB130+AR130)</x:f>
      </x:c>
      <x:c r="AT130" s="719" t="str">
        <x:f>IF(AS130="","Belum Dapat Ditentukan",IF(AS130&gt;=80,"Sangat Tinggi",IF(OR(AO130="Risiko Tinggi/Darurat",(IF(L130="Rusak Berat",1,0)+IF(L130="Tidak Ada/Terbuka",1,0)+IF(N130="Rusak Berat",1,0)+IF(N130="Tidak Ada/Terbuka",1,0)+IF(P130="Rusak Berat",1,0)+IF(P130="Tidak Layak",1,0))&gt;=2),"Tinggi",IF(AS130&gt;=65,"Tinggi",IF(AS130&gt;=50,"Sedang","Rendah")))))</x:f>
        <x:v>Belum Dapat Ditentukan</x:v>
      </x:c>
      <x:c r="AU130" s="240" t="str">
        <x:v>Lengkap</x:v>
      </x:c>
      <x:c r="AV130" s="240" t="str">
        <x:v>Sudah Diverifikasi</x:v>
      </x:c>
      <x:c r="AW130" s="240" t="str">
        <x:v>Belum Ditangani</x:v>
      </x:c>
      <x:c r="AX130" s="240"/>
      <x:c r="AY130" s="240"/>
      <x:c r="AZ130" s="240" t="str">
        <x:v>Belum Diverifikasi</x:v>
      </x:c>
      <x:c r="BA130" s="240"/>
      <x:c r="BB130" s="240"/>
      <x:c r="BC130" s="240" t="n">
        <x:v>2026</x:v>
      </x:c>
      <x:c r="BD130" s="240" t="str">
        <x:v>Usulan Musrenbang/Pokir DPRD</x:v>
      </x:c>
      <x:c r="BE130" s="240" t="n">
        <x:v>46218</x:v>
      </x:c>
      <x:c r="BF130" s="240" t="str">
        <x:v>Dinas Perkim Kota Pangkalpinang</x:v>
      </x:c>
    </x:row>
    <x:row r="131" ht="32" customHeight="1">
      <x:c r="A131" s="314" t="str">
        <x:v>RTLH-0158</x:v>
      </x:c>
      <x:c r="B131" s="315" t="str">
        <x:v>MARTALI</x:v>
      </x:c>
      <x:c r="C131" s="316"/>
      <x:c r="D131" s="316"/>
      <x:c r="E131" s="315" t="str">
        <x:v>JL,VETERAN NO 125 RT/RW 003/001</x:v>
      </x:c>
      <x:c r="F131" s="315" t="str">
        <x:v>PARITLALANG</x:v>
      </x:c>
      <x:c r="G131" s="315" t="str">
        <x:v>RANGKUI</x:v>
      </x:c>
      <x:c r="H131" s="315" t="str">
        <x:v>Peningkatan Kualitas</x:v>
      </x:c>
      <x:c r="I131" s="317" t="str">
        <x:v>RUMAH ,SEMI PERMANEN, RUSAK HANYA BAGIAN DAPUR</x:v>
      </x:c>
      <x:c r="J131" s="315" t="str">
        <x:v>Semipermanen</x:v>
      </x:c>
      <x:c r="K131" s="315" t="str">
        <x:v>Belum Diidentifikasi</x:v>
      </x:c>
      <x:c r="L131" s="315" t="str">
        <x:v>Belum Dinilai</x:v>
      </x:c>
      <x:c r="M131" s="367" t="str">
        <x:v>Campuran Permanen dan Papan</x:v>
      </x:c>
      <x:c r="N131" s="315" t="str">
        <x:v>Belum Dinilai</x:v>
      </x:c>
      <x:c r="O131" s="316" t="str">
        <x:v>Belum Diidentifikasi</x:v>
      </x:c>
      <x:c r="P131" s="349" t="str">
        <x:v>Belum Dinilai</x:v>
      </x:c>
      <x:c r="Q131" s="707" t="str">
        <x:v>Belum Dinilai</x:v>
      </x:c>
      <x:c r="R131" s="707" t="str">
        <x:v>Belum Dinilai</x:v>
      </x:c>
      <x:c r="S131" s="708" t="str">
        <x:v>Belum Dinilai</x:v>
      </x:c>
      <x:c r="T131" s="709" t="str">
        <x:v>Belum Dinilai</x:v>
      </x:c>
      <x:c r="U131" s="704" t="str">
        <x:v>Belum Dinilai</x:v>
      </x:c>
      <x:c r="V131" s="704" t="str">
        <x:v>Belum Dinilai</x:v>
      </x:c>
      <x:c r="W131" s="704" t="str"/>
      <x:c r="X131" s="704" t="str">
        <x:f>IF(COUNTIF(R131:V131,"Belum Dinilai")&gt;0,"Belum Dinilai",IF(COUNTIF(R131:V131,"Ya")=0,"Tidak ada faktor rentan",TEXTJOIN(", ",TRUE,IF(R131="Ya","Lansia",""),IF(S131="Ya","Penyandang disabilitas",""),IF(T131="Ya","Kepala keluarga perempuan",""),IF(U131="Ya","Balita",""),IF(V131="Ya","Anggota keluarga dengan ketergantungan tinggi",""))))</x:f>
        <x:v>Belum Dinilai</x:v>
      </x:c>
      <x:c r="Y131" s="704" t="str">
        <x:f>IF(COUNTIF(R131:V131,"Belum Dinilai")&gt;0,"Belum Dinilai",IF(COUNTIF(R131:V131,"Ya")=0,"Tidak Ada Faktor Rentan",IF(COUNTIF(R131:V131,"Ya")=1,"1 Faktor Rentan","2 atau Lebih Faktor Rentan")))</x:f>
        <x:v>Belum Dinilai</x:v>
      </x:c>
      <x:c r="Z131" s="704" t="str">
        <x:f>IF(OR(Q131="",Q131="Belum Dinilai"),"",IF(Q131="Terverifikasi DTKS/P3KE/MBR",10,IF(Q131="Diusulkan, Belum Terverifikasi",5,0)))</x:f>
      </x:c>
      <x:c r="AA131" s="705" t="str">
        <x:f>IF(COUNTIF(R131:V131,"Belum Dinilai")&gt;0,"",IF(COUNTIF(R131:V131,"Ya")=0,0,IF(COUNTIF(R131:V131,"Ya")=1,5,10)))</x:f>
      </x:c>
      <x:c r="AB131" s="706" t="str">
        <x:f>IF(OR(Z131="",AA131=""),"",Z131+AA131)</x:f>
      </x:c>
      <x:c r="AC131" s="713" t="str">
        <x:v>Belum Dinilai</x:v>
      </x:c>
      <x:c r="AD131" s="713" t="str">
        <x:v>Belum Dinilai</x:v>
      </x:c>
      <x:c r="AE131" s="714" t="str">
        <x:v>Belum Dinilai</x:v>
      </x:c>
      <x:c r="AF131" s="713" t="str">
        <x:v>Belum Dinilai</x:v>
      </x:c>
      <x:c r="AG131" s="713" t="str">
        <x:v>Belum Dinilai</x:v>
      </x:c>
      <x:c r="AH131" s="715" t="str">
        <x:v>Belum Dinilai</x:v>
      </x:c>
      <x:c r="AI131" s="714" t="str">
        <x:v>Belum Dinilai</x:v>
      </x:c>
      <x:c r="AJ131" s="713" t="str">
        <x:v>Belum Dinilai</x:v>
      </x:c>
      <x:c r="AK131" s="715" t="str">
        <x:v>Belum Dinilai</x:v>
      </x:c>
      <x:c r="AL131" s="713" t="str"/>
      <x:c r="AM131" s="716" t="str">
        <x:v>Belum Dinilai</x:v>
      </x:c>
      <x:c r="AN131" s="716" t="str">
        <x:f>IF(AND(COUNTIF(AC131:AK131,"Ya")=0,AL131=""),IF(COUNTIF(AC131:AK131,"Belum Dinilai")&gt;0,"Belum Dinilai","Tidak ada risiko khusus"),TEXTJOIN(", ",TRUE,IF(AC131="Ya","Bangunan berpotensi roboh",""),IF(AD131="Ya","Bekas kebakaran dan tidak aman dihuni",""),IF(AE131="Ya","Atap atau dinding utama hampir runtuh",""),IF(AF131="Ya","Genangan yang membahayakan",""),IF(AG131="Ya","Struktur rumah tidak stabil",""),IF(AH131="Ya","Instalasi listrik berbahaya",""),IF(AI131="Ya","Komponen bangunan lepas atau lapuk",""),IF(AJ131="Ya","Akses keluar atau evakuasi terbatas",""),IF(AK131="Ya","Lokasi rawan bencana",""),IF(AL131&lt;&gt;"","Lainnya: "&amp;AL131,"")))</x:f>
        <x:v>Belum Dinilai</x:v>
      </x:c>
      <x:c r="AO131" s="716" t="str">
        <x:f>IF(AR131="","Belum Dinilai",IF(AR131=10,"Risiko Tinggi/Darurat",IF(AR131=5,"Risiko Sedang","Tidak Ada Risiko Khusus")))</x:f>
        <x:v>Belum Dinilai</x:v>
      </x:c>
      <x:c r="AP131" s="716" t="str"/>
      <x:c r="AQ131" s="719" t="str">
        <x:f>IF(OR(J131="",J131="Belum Dapat Ditentukan",L131="",L131="Belum Dinilai",N131="",N131="Belum Dinilai",P131="",P131="Belum Dinilai"),"",IF(J131="Permanen",0,IF(J131="Semipermanen",8,IF(J131="Nonpermanen",15,0)))+IF(L131="Baik",0,IF(L131="Rusak Ringan",5,IF(L131="Rusak Sedang",10,IF(L131="Rusak Berat",15,IF(L131="Tidak Ada/Terbuka",20,0)))))+IF(N131="Baik",0,IF(N131="Rusak Ringan",5,IF(N131="Rusak Sedang",10,IF(N131="Rusak Berat",15,IF(N131="Tidak Ada/Terbuka",20,0)))))+IF(P131="Baik",0,IF(P131="Rusak Ringan",4,IF(P131="Rusak Sedang",8,IF(P131="Rusak Berat",12,IF(P131="Tidak Layak",15,0))))))</x:f>
      </x:c>
      <x:c r="AR131" s="719" t="str">
        <x:f>IF(COUNTIF(AC131:AH131,"Ya")&gt;0,10,IF(COUNTIF(AI131:AK131,"Ya")&gt;=2,10,IF(COUNTIF(AI131:AK131,"Ya")=1,MAX(5,IF(AM131="Risiko Tinggi/Darurat",10,IF(AM131="Risiko Sedang",5,0))),IF(AL131&lt;&gt;"",IF(AM131="Risiko Tinggi/Darurat",10,IF(AM131="Risiko Sedang",5,"")),IF(COUNTIF(AC131:AK131,"Belum Dinilai")&gt;0,"",0)))))</x:f>
      </x:c>
      <x:c r="AS131" s="719" t="str">
        <x:f>IF(OR(AQ131="",AB131="",AR131=""),"",AQ131+AB131+AR131)</x:f>
      </x:c>
      <x:c r="AT131" s="719" t="str">
        <x:f>IF(AS131="","Belum Dapat Ditentukan",IF(AS131&gt;=80,"Sangat Tinggi",IF(OR(AO131="Risiko Tinggi/Darurat",(IF(L131="Rusak Berat",1,0)+IF(L131="Tidak Ada/Terbuka",1,0)+IF(N131="Rusak Berat",1,0)+IF(N131="Tidak Ada/Terbuka",1,0)+IF(P131="Rusak Berat",1,0)+IF(P131="Tidak Layak",1,0))&gt;=2),"Tinggi",IF(AS131&gt;=65,"Tinggi",IF(AS131&gt;=50,"Sedang","Rendah")))))</x:f>
        <x:v>Belum Dapat Ditentukan</x:v>
      </x:c>
      <x:c r="AU131" s="240" t="str">
        <x:v>Lengkap</x:v>
      </x:c>
      <x:c r="AV131" s="240" t="str">
        <x:v>Sudah Diverifikasi</x:v>
      </x:c>
      <x:c r="AW131" s="240" t="str">
        <x:v>Belum Ditangani</x:v>
      </x:c>
      <x:c r="AX131" s="240"/>
      <x:c r="AY131" s="240"/>
      <x:c r="AZ131" s="240" t="str">
        <x:v>Belum Diverifikasi</x:v>
      </x:c>
      <x:c r="BA131" s="240"/>
      <x:c r="BB131" s="240"/>
      <x:c r="BC131" s="240" t="n">
        <x:v>2026</x:v>
      </x:c>
      <x:c r="BD131" s="240" t="str">
        <x:v>Usulan Musrenbang/Pokir DPRD</x:v>
      </x:c>
      <x:c r="BE131" s="240" t="n">
        <x:v>46218</x:v>
      </x:c>
      <x:c r="BF131" s="240" t="str">
        <x:v>Dinas Perkim Kota Pangkalpinang</x:v>
      </x:c>
    </x:row>
    <x:row r="132" ht="32" customHeight="1">
      <x:c r="A132" s="314" t="str">
        <x:v>RTLH-0159</x:v>
      </x:c>
      <x:c r="B132" s="315" t="str">
        <x:v>HAMDANI</x:v>
      </x:c>
      <x:c r="C132" s="316"/>
      <x:c r="D132" s="316"/>
      <x:c r="E132" s="315" t="str">
        <x:v>JL.KUBIS RT/RW 003/001</x:v>
      </x:c>
      <x:c r="F132" s="315" t="str">
        <x:v>PARITLALANG</x:v>
      </x:c>
      <x:c r="G132" s="315" t="str">
        <x:v>RANGKUI</x:v>
      </x:c>
      <x:c r="H132" s="315" t="str">
        <x:v>Pembangunan Baru</x:v>
      </x:c>
      <x:c r="I132" s="317" t="str">
        <x:v>RUMAH SEMI PERMANEN,LANTAI SEBAGIAN KERAMIK,DINDING PAPAN,RUSAK RINGAN, ATAP SENG RUSAK RINGAN.</x:v>
      </x:c>
      <x:c r="J132" s="315" t="str">
        <x:v>Semipermanen</x:v>
      </x:c>
      <x:c r="K132" s="315" t="str">
        <x:v>Seng</x:v>
      </x:c>
      <x:c r="L132" s="315" t="str">
        <x:v>Rusak Ringan</x:v>
      </x:c>
      <x:c r="M132" s="367" t="str">
        <x:v>Papan/Kayu</x:v>
      </x:c>
      <x:c r="N132" s="315" t="str">
        <x:v>Rusak Ringan</x:v>
      </x:c>
      <x:c r="O132" s="316" t="str">
        <x:v>Keramik</x:v>
      </x:c>
      <x:c r="P132" s="349" t="str">
        <x:v>Rusak Ringan</x:v>
      </x:c>
      <x:c r="Q132" s="707" t="str">
        <x:v>Belum Dinilai</x:v>
      </x:c>
      <x:c r="R132" s="707" t="str">
        <x:v>Belum Dinilai</x:v>
      </x:c>
      <x:c r="S132" s="708" t="str">
        <x:v>Belum Dinilai</x:v>
      </x:c>
      <x:c r="T132" s="709" t="str">
        <x:v>Belum Dinilai</x:v>
      </x:c>
      <x:c r="U132" s="704" t="str">
        <x:v>Belum Dinilai</x:v>
      </x:c>
      <x:c r="V132" s="704" t="str">
        <x:v>Belum Dinilai</x:v>
      </x:c>
      <x:c r="W132" s="704" t="str"/>
      <x:c r="X132" s="704" t="str">
        <x:f>IF(COUNTIF(R132:V132,"Belum Dinilai")&gt;0,"Belum Dinilai",IF(COUNTIF(R132:V132,"Ya")=0,"Tidak ada faktor rentan",TEXTJOIN(", ",TRUE,IF(R132="Ya","Lansia",""),IF(S132="Ya","Penyandang disabilitas",""),IF(T132="Ya","Kepala keluarga perempuan",""),IF(U132="Ya","Balita",""),IF(V132="Ya","Anggota keluarga dengan ketergantungan tinggi",""))))</x:f>
        <x:v>Belum Dinilai</x:v>
      </x:c>
      <x:c r="Y132" s="704" t="str">
        <x:f>IF(COUNTIF(R132:V132,"Belum Dinilai")&gt;0,"Belum Dinilai",IF(COUNTIF(R132:V132,"Ya")=0,"Tidak Ada Faktor Rentan",IF(COUNTIF(R132:V132,"Ya")=1,"1 Faktor Rentan","2 atau Lebih Faktor Rentan")))</x:f>
        <x:v>Belum Dinilai</x:v>
      </x:c>
      <x:c r="Z132" s="704" t="str">
        <x:f>IF(OR(Q132="",Q132="Belum Dinilai"),"",IF(Q132="Terverifikasi DTKS/P3KE/MBR",10,IF(Q132="Diusulkan, Belum Terverifikasi",5,0)))</x:f>
      </x:c>
      <x:c r="AA132" s="705" t="str">
        <x:f>IF(COUNTIF(R132:V132,"Belum Dinilai")&gt;0,"",IF(COUNTIF(R132:V132,"Ya")=0,0,IF(COUNTIF(R132:V132,"Ya")=1,5,10)))</x:f>
      </x:c>
      <x:c r="AB132" s="706" t="str">
        <x:f>IF(OR(Z132="",AA132=""),"",Z132+AA132)</x:f>
      </x:c>
      <x:c r="AC132" s="713" t="str">
        <x:v>Belum Dinilai</x:v>
      </x:c>
      <x:c r="AD132" s="713" t="str">
        <x:v>Belum Dinilai</x:v>
      </x:c>
      <x:c r="AE132" s="714" t="str">
        <x:v>Belum Dinilai</x:v>
      </x:c>
      <x:c r="AF132" s="713" t="str">
        <x:v>Belum Dinilai</x:v>
      </x:c>
      <x:c r="AG132" s="713" t="str">
        <x:v>Belum Dinilai</x:v>
      </x:c>
      <x:c r="AH132" s="715" t="str">
        <x:v>Belum Dinilai</x:v>
      </x:c>
      <x:c r="AI132" s="714" t="str">
        <x:v>Belum Dinilai</x:v>
      </x:c>
      <x:c r="AJ132" s="713" t="str">
        <x:v>Belum Dinilai</x:v>
      </x:c>
      <x:c r="AK132" s="715" t="str">
        <x:v>Belum Dinilai</x:v>
      </x:c>
      <x:c r="AL132" s="713" t="str"/>
      <x:c r="AM132" s="716" t="str">
        <x:v>Belum Dinilai</x:v>
      </x:c>
      <x:c r="AN132" s="716" t="str">
        <x:f>IF(AND(COUNTIF(AC132:AK132,"Ya")=0,AL132=""),IF(COUNTIF(AC132:AK132,"Belum Dinilai")&gt;0,"Belum Dinilai","Tidak ada risiko khusus"),TEXTJOIN(", ",TRUE,IF(AC132="Ya","Bangunan berpotensi roboh",""),IF(AD132="Ya","Bekas kebakaran dan tidak aman dihuni",""),IF(AE132="Ya","Atap atau dinding utama hampir runtuh",""),IF(AF132="Ya","Genangan yang membahayakan",""),IF(AG132="Ya","Struktur rumah tidak stabil",""),IF(AH132="Ya","Instalasi listrik berbahaya",""),IF(AI132="Ya","Komponen bangunan lepas atau lapuk",""),IF(AJ132="Ya","Akses keluar atau evakuasi terbatas",""),IF(AK132="Ya","Lokasi rawan bencana",""),IF(AL132&lt;&gt;"","Lainnya: "&amp;AL132,"")))</x:f>
        <x:v>Belum Dinilai</x:v>
      </x:c>
      <x:c r="AO132" s="716" t="str">
        <x:f>IF(AR132="","Belum Dinilai",IF(AR132=10,"Risiko Tinggi/Darurat",IF(AR132=5,"Risiko Sedang","Tidak Ada Risiko Khusus")))</x:f>
        <x:v>Belum Dinilai</x:v>
      </x:c>
      <x:c r="AP132" s="716" t="str"/>
      <x:c r="AQ132" s="719" t="n">
        <x:f>IF(OR(J132="",J132="Belum Dapat Ditentukan",L132="",L132="Belum Dinilai",N132="",N132="Belum Dinilai",P132="",P132="Belum Dinilai"),"",IF(J132="Permanen",0,IF(J132="Semipermanen",8,IF(J132="Nonpermanen",15,0)))+IF(L132="Baik",0,IF(L132="Rusak Ringan",5,IF(L132="Rusak Sedang",10,IF(L132="Rusak Berat",15,IF(L132="Tidak Ada/Terbuka",20,0)))))+IF(N132="Baik",0,IF(N132="Rusak Ringan",5,IF(N132="Rusak Sedang",10,IF(N132="Rusak Berat",15,IF(N132="Tidak Ada/Terbuka",20,0)))))+IF(P132="Baik",0,IF(P132="Rusak Ringan",4,IF(P132="Rusak Sedang",8,IF(P132="Rusak Berat",12,IF(P132="Tidak Layak",15,0))))))</x:f>
        <x:v>22</x:v>
      </x:c>
      <x:c r="AR132" s="719" t="str">
        <x:f>IF(COUNTIF(AC132:AH132,"Ya")&gt;0,10,IF(COUNTIF(AI132:AK132,"Ya")&gt;=2,10,IF(COUNTIF(AI132:AK132,"Ya")=1,MAX(5,IF(AM132="Risiko Tinggi/Darurat",10,IF(AM132="Risiko Sedang",5,0))),IF(AL132&lt;&gt;"",IF(AM132="Risiko Tinggi/Darurat",10,IF(AM132="Risiko Sedang",5,"")),IF(COUNTIF(AC132:AK132,"Belum Dinilai")&gt;0,"",0)))))</x:f>
      </x:c>
      <x:c r="AS132" s="719" t="str">
        <x:f>IF(OR(AQ132="",AB132="",AR132=""),"",AQ132+AB132+AR132)</x:f>
      </x:c>
      <x:c r="AT132" s="719" t="str">
        <x:f>IF(AS132="","Belum Dapat Ditentukan",IF(AS132&gt;=80,"Sangat Tinggi",IF(OR(AO132="Risiko Tinggi/Darurat",(IF(L132="Rusak Berat",1,0)+IF(L132="Tidak Ada/Terbuka",1,0)+IF(N132="Rusak Berat",1,0)+IF(N132="Tidak Ada/Terbuka",1,0)+IF(P132="Rusak Berat",1,0)+IF(P132="Tidak Layak",1,0))&gt;=2),"Tinggi",IF(AS132&gt;=65,"Tinggi",IF(AS132&gt;=50,"Sedang","Rendah")))))</x:f>
        <x:v>Belum Dapat Ditentukan</x:v>
      </x:c>
      <x:c r="AU132" s="240" t="str">
        <x:v>Lengkap</x:v>
      </x:c>
      <x:c r="AV132" s="240" t="str">
        <x:v>Sudah Diverifikasi</x:v>
      </x:c>
      <x:c r="AW132" s="240" t="str">
        <x:v>Belum Ditangani</x:v>
      </x:c>
      <x:c r="AX132" s="240"/>
      <x:c r="AY132" s="240"/>
      <x:c r="AZ132" s="240" t="str">
        <x:v>Belum Diverifikasi</x:v>
      </x:c>
      <x:c r="BA132" s="240"/>
      <x:c r="BB132" s="240"/>
      <x:c r="BC132" s="240" t="n">
        <x:v>2026</x:v>
      </x:c>
      <x:c r="BD132" s="240" t="str">
        <x:v>Usulan Musrenbang/Pokir DPRD</x:v>
      </x:c>
      <x:c r="BE132" s="240" t="n">
        <x:v>46218</x:v>
      </x:c>
      <x:c r="BF132" s="240" t="str">
        <x:v>Dinas Perkim Kota Pangkalpinang</x:v>
      </x:c>
    </x:row>
    <x:row r="133" ht="32" customHeight="1">
      <x:c r="A133" s="314" t="str">
        <x:v>RTLH-0160</x:v>
      </x:c>
      <x:c r="B133" s="315" t="str">
        <x:v>SUJONO</x:v>
      </x:c>
      <x:c r="C133" s="316"/>
      <x:c r="D133" s="316"/>
      <x:c r="E133" s="315" t="str">
        <x:v>JL,PEMEKASAN RT/RW 002/002</x:v>
      </x:c>
      <x:c r="F133" s="315" t="str">
        <x:v>PARITLALANG</x:v>
      </x:c>
      <x:c r="G133" s="315" t="str">
        <x:v>RANGKUI</x:v>
      </x:c>
      <x:c r="H133" s="315" t="str">
        <x:v>Pembangunan Baru</x:v>
      </x:c>
      <x:c r="I133" s="317" t="str">
        <x:v>RUMAH BERDAMPINGAN DENGAN ORANG TUA, LANTAI FUL FLOOR.</x:v>
      </x:c>
      <x:c r="J133" s="315" t="str">
        <x:v>Belum Dapat Ditentukan</x:v>
      </x:c>
      <x:c r="K133" s="315" t="str">
        <x:v>Belum Diidentifikasi</x:v>
      </x:c>
      <x:c r="L133" s="315" t="str">
        <x:v>Belum Dinilai</x:v>
      </x:c>
      <x:c r="M133" s="367" t="str">
        <x:v>Belum Diidentifikasi</x:v>
      </x:c>
      <x:c r="N133" s="315" t="str">
        <x:v>Belum Dinilai</x:v>
      </x:c>
      <x:c r="O133" s="316" t="str">
        <x:v>Belum Diidentifikasi</x:v>
      </x:c>
      <x:c r="P133" s="349" t="str">
        <x:v>Belum Dinilai</x:v>
      </x:c>
      <x:c r="Q133" s="707" t="str">
        <x:v>Belum Dinilai</x:v>
      </x:c>
      <x:c r="R133" s="707" t="str">
        <x:v>Belum Dinilai</x:v>
      </x:c>
      <x:c r="S133" s="708" t="str">
        <x:v>Belum Dinilai</x:v>
      </x:c>
      <x:c r="T133" s="709" t="str">
        <x:v>Belum Dinilai</x:v>
      </x:c>
      <x:c r="U133" s="704" t="str">
        <x:v>Belum Dinilai</x:v>
      </x:c>
      <x:c r="V133" s="704" t="str">
        <x:v>Belum Dinilai</x:v>
      </x:c>
      <x:c r="W133" s="704" t="str"/>
      <x:c r="X133" s="704" t="str">
        <x:f>IF(COUNTIF(R133:V133,"Belum Dinilai")&gt;0,"Belum Dinilai",IF(COUNTIF(R133:V133,"Ya")=0,"Tidak ada faktor rentan",TEXTJOIN(", ",TRUE,IF(R133="Ya","Lansia",""),IF(S133="Ya","Penyandang disabilitas",""),IF(T133="Ya","Kepala keluarga perempuan",""),IF(U133="Ya","Balita",""),IF(V133="Ya","Anggota keluarga dengan ketergantungan tinggi",""))))</x:f>
        <x:v>Belum Dinilai</x:v>
      </x:c>
      <x:c r="Y133" s="704" t="str">
        <x:f>IF(COUNTIF(R133:V133,"Belum Dinilai")&gt;0,"Belum Dinilai",IF(COUNTIF(R133:V133,"Ya")=0,"Tidak Ada Faktor Rentan",IF(COUNTIF(R133:V133,"Ya")=1,"1 Faktor Rentan","2 atau Lebih Faktor Rentan")))</x:f>
        <x:v>Belum Dinilai</x:v>
      </x:c>
      <x:c r="Z133" s="704" t="str">
        <x:f>IF(OR(Q133="",Q133="Belum Dinilai"),"",IF(Q133="Terverifikasi DTKS/P3KE/MBR",10,IF(Q133="Diusulkan, Belum Terverifikasi",5,0)))</x:f>
      </x:c>
      <x:c r="AA133" s="705" t="str">
        <x:f>IF(COUNTIF(R133:V133,"Belum Dinilai")&gt;0,"",IF(COUNTIF(R133:V133,"Ya")=0,0,IF(COUNTIF(R133:V133,"Ya")=1,5,10)))</x:f>
      </x:c>
      <x:c r="AB133" s="706" t="str">
        <x:f>IF(OR(Z133="",AA133=""),"",Z133+AA133)</x:f>
      </x:c>
      <x:c r="AC133" s="713" t="str">
        <x:v>Belum Dinilai</x:v>
      </x:c>
      <x:c r="AD133" s="713" t="str">
        <x:v>Belum Dinilai</x:v>
      </x:c>
      <x:c r="AE133" s="714" t="str">
        <x:v>Belum Dinilai</x:v>
      </x:c>
      <x:c r="AF133" s="713" t="str">
        <x:v>Belum Dinilai</x:v>
      </x:c>
      <x:c r="AG133" s="713" t="str">
        <x:v>Belum Dinilai</x:v>
      </x:c>
      <x:c r="AH133" s="715" t="str">
        <x:v>Belum Dinilai</x:v>
      </x:c>
      <x:c r="AI133" s="714" t="str">
        <x:v>Belum Dinilai</x:v>
      </x:c>
      <x:c r="AJ133" s="713" t="str">
        <x:v>Belum Dinilai</x:v>
      </x:c>
      <x:c r="AK133" s="715" t="str">
        <x:v>Belum Dinilai</x:v>
      </x:c>
      <x:c r="AL133" s="713" t="str"/>
      <x:c r="AM133" s="716" t="str">
        <x:v>Belum Dinilai</x:v>
      </x:c>
      <x:c r="AN133" s="716" t="str">
        <x:f>IF(AND(COUNTIF(AC133:AK133,"Ya")=0,AL133=""),IF(COUNTIF(AC133:AK133,"Belum Dinilai")&gt;0,"Belum Dinilai","Tidak ada risiko khusus"),TEXTJOIN(", ",TRUE,IF(AC133="Ya","Bangunan berpotensi roboh",""),IF(AD133="Ya","Bekas kebakaran dan tidak aman dihuni",""),IF(AE133="Ya","Atap atau dinding utama hampir runtuh",""),IF(AF133="Ya","Genangan yang membahayakan",""),IF(AG133="Ya","Struktur rumah tidak stabil",""),IF(AH133="Ya","Instalasi listrik berbahaya",""),IF(AI133="Ya","Komponen bangunan lepas atau lapuk",""),IF(AJ133="Ya","Akses keluar atau evakuasi terbatas",""),IF(AK133="Ya","Lokasi rawan bencana",""),IF(AL133&lt;&gt;"","Lainnya: "&amp;AL133,"")))</x:f>
        <x:v>Belum Dinilai</x:v>
      </x:c>
      <x:c r="AO133" s="716" t="str">
        <x:f>IF(AR133="","Belum Dinilai",IF(AR133=10,"Risiko Tinggi/Darurat",IF(AR133=5,"Risiko Sedang","Tidak Ada Risiko Khusus")))</x:f>
        <x:v>Belum Dinilai</x:v>
      </x:c>
      <x:c r="AP133" s="716" t="str"/>
      <x:c r="AQ133" s="719" t="str">
        <x:f>IF(OR(J133="",J133="Belum Dapat Ditentukan",L133="",L133="Belum Dinilai",N133="",N133="Belum Dinilai",P133="",P133="Belum Dinilai"),"",IF(J133="Permanen",0,IF(J133="Semipermanen",8,IF(J133="Nonpermanen",15,0)))+IF(L133="Baik",0,IF(L133="Rusak Ringan",5,IF(L133="Rusak Sedang",10,IF(L133="Rusak Berat",15,IF(L133="Tidak Ada/Terbuka",20,0)))))+IF(N133="Baik",0,IF(N133="Rusak Ringan",5,IF(N133="Rusak Sedang",10,IF(N133="Rusak Berat",15,IF(N133="Tidak Ada/Terbuka",20,0)))))+IF(P133="Baik",0,IF(P133="Rusak Ringan",4,IF(P133="Rusak Sedang",8,IF(P133="Rusak Berat",12,IF(P133="Tidak Layak",15,0))))))</x:f>
      </x:c>
      <x:c r="AR133" s="719" t="str">
        <x:f>IF(COUNTIF(AC133:AH133,"Ya")&gt;0,10,IF(COUNTIF(AI133:AK133,"Ya")&gt;=2,10,IF(COUNTIF(AI133:AK133,"Ya")=1,MAX(5,IF(AM133="Risiko Tinggi/Darurat",10,IF(AM133="Risiko Sedang",5,0))),IF(AL133&lt;&gt;"",IF(AM133="Risiko Tinggi/Darurat",10,IF(AM133="Risiko Sedang",5,"")),IF(COUNTIF(AC133:AK133,"Belum Dinilai")&gt;0,"",0)))))</x:f>
      </x:c>
      <x:c r="AS133" s="719" t="str">
        <x:f>IF(OR(AQ133="",AB133="",AR133=""),"",AQ133+AB133+AR133)</x:f>
      </x:c>
      <x:c r="AT133" s="719" t="str">
        <x:f>IF(AS133="","Belum Dapat Ditentukan",IF(AS133&gt;=80,"Sangat Tinggi",IF(OR(AO133="Risiko Tinggi/Darurat",(IF(L133="Rusak Berat",1,0)+IF(L133="Tidak Ada/Terbuka",1,0)+IF(N133="Rusak Berat",1,0)+IF(N133="Tidak Ada/Terbuka",1,0)+IF(P133="Rusak Berat",1,0)+IF(P133="Tidak Layak",1,0))&gt;=2),"Tinggi",IF(AS133&gt;=65,"Tinggi",IF(AS133&gt;=50,"Sedang","Rendah")))))</x:f>
        <x:v>Belum Dapat Ditentukan</x:v>
      </x:c>
      <x:c r="AU133" s="240" t="str">
        <x:v>Lengkap</x:v>
      </x:c>
      <x:c r="AV133" s="240" t="str">
        <x:v>Sudah Diverifikasi</x:v>
      </x:c>
      <x:c r="AW133" s="240" t="str">
        <x:v>Selesai</x:v>
      </x:c>
      <x:c r="AX133" s="240" t="str">
        <x:v>APBD Provinsi</x:v>
      </x:c>
      <x:c r="AY133" s="240" t="n">
        <x:v>2023</x:v>
      </x:c>
      <x:c r="AZ133" s="240" t="str">
        <x:v>Belum Diverifikasi</x:v>
      </x:c>
      <x:c r="BA133" s="240"/>
      <x:c r="BB133" s="240"/>
      <x:c r="BC133" s="240" t="n">
        <x:v>2026</x:v>
      </x:c>
      <x:c r="BD133" s="240" t="str">
        <x:v>Usulan Musrenbang/Pokir DPRD</x:v>
      </x:c>
      <x:c r="BE133" s="240" t="n">
        <x:v>46218</x:v>
      </x:c>
      <x:c r="BF133" s="240" t="str">
        <x:v>Dinas Perkim Kota Pangkalpinang</x:v>
      </x:c>
    </x:row>
    <x:row r="134" ht="32" customHeight="1">
      <x:c r="A134" s="314" t="str">
        <x:v>RTLH-0162</x:v>
      </x:c>
      <x:c r="B134" s="315" t="str">
        <x:v>SUPANDI</x:v>
      </x:c>
      <x:c r="C134" s="316"/>
      <x:c r="D134" s="316"/>
      <x:c r="E134" s="315" t="str">
        <x:v>JL,PEMEKASAN II RT 002 RW 002</x:v>
      </x:c>
      <x:c r="F134" s="315" t="str">
        <x:v>PARITLALANG</x:v>
      </x:c>
      <x:c r="G134" s="315" t="str">
        <x:v>RANGKUI</x:v>
      </x:c>
      <x:c r="H134" s="315" t="str">
        <x:v>Peningkatan Kualitas</x:v>
      </x:c>
      <x:c r="I134" s="317" t="str">
        <x:v>RUMAH SEMI PERMANEN, LANTAI FULL FLOOR DINDING RUSAK RINGAN, ATAP ASBES RUSAK RINGAN</x:v>
      </x:c>
      <x:c r="J134" s="315" t="str">
        <x:v>Semipermanen</x:v>
      </x:c>
      <x:c r="K134" s="315" t="str">
        <x:v>Asbes/Fiber Semen</x:v>
      </x:c>
      <x:c r="L134" s="315" t="str">
        <x:v>Rusak Ringan</x:v>
      </x:c>
      <x:c r="M134" s="367" t="str">
        <x:v>Campuran Permanen dan Papan</x:v>
      </x:c>
      <x:c r="N134" s="315" t="str">
        <x:v>Rusak Ringan</x:v>
      </x:c>
      <x:c r="O134" s="316" t="str">
        <x:v>Semen/Plester</x:v>
      </x:c>
      <x:c r="P134" s="349" t="str">
        <x:v>Rusak Ringan</x:v>
      </x:c>
      <x:c r="Q134" s="707" t="str">
        <x:v>Belum Dinilai</x:v>
      </x:c>
      <x:c r="R134" s="707" t="str">
        <x:v>Belum Dinilai</x:v>
      </x:c>
      <x:c r="S134" s="708" t="str">
        <x:v>Belum Dinilai</x:v>
      </x:c>
      <x:c r="T134" s="709" t="str">
        <x:v>Belum Dinilai</x:v>
      </x:c>
      <x:c r="U134" s="704" t="str">
        <x:v>Belum Dinilai</x:v>
      </x:c>
      <x:c r="V134" s="704" t="str">
        <x:v>Belum Dinilai</x:v>
      </x:c>
      <x:c r="W134" s="704" t="str"/>
      <x:c r="X134" s="704" t="str">
        <x:f>IF(COUNTIF(R134:V134,"Belum Dinilai")&gt;0,"Belum Dinilai",IF(COUNTIF(R134:V134,"Ya")=0,"Tidak ada faktor rentan",TEXTJOIN(", ",TRUE,IF(R134="Ya","Lansia",""),IF(S134="Ya","Penyandang disabilitas",""),IF(T134="Ya","Kepala keluarga perempuan",""),IF(U134="Ya","Balita",""),IF(V134="Ya","Anggota keluarga dengan ketergantungan tinggi",""))))</x:f>
        <x:v>Belum Dinilai</x:v>
      </x:c>
      <x:c r="Y134" s="704" t="str">
        <x:f>IF(COUNTIF(R134:V134,"Belum Dinilai")&gt;0,"Belum Dinilai",IF(COUNTIF(R134:V134,"Ya")=0,"Tidak Ada Faktor Rentan",IF(COUNTIF(R134:V134,"Ya")=1,"1 Faktor Rentan","2 atau Lebih Faktor Rentan")))</x:f>
        <x:v>Belum Dinilai</x:v>
      </x:c>
      <x:c r="Z134" s="704" t="str">
        <x:f>IF(OR(Q134="",Q134="Belum Dinilai"),"",IF(Q134="Terverifikasi DTKS/P3KE/MBR",10,IF(Q134="Diusulkan, Belum Terverifikasi",5,0)))</x:f>
      </x:c>
      <x:c r="AA134" s="705" t="str">
        <x:f>IF(COUNTIF(R134:V134,"Belum Dinilai")&gt;0,"",IF(COUNTIF(R134:V134,"Ya")=0,0,IF(COUNTIF(R134:V134,"Ya")=1,5,10)))</x:f>
      </x:c>
      <x:c r="AB134" s="706" t="str">
        <x:f>IF(OR(Z134="",AA134=""),"",Z134+AA134)</x:f>
      </x:c>
      <x:c r="AC134" s="713" t="str">
        <x:v>Belum Dinilai</x:v>
      </x:c>
      <x:c r="AD134" s="713" t="str">
        <x:v>Belum Dinilai</x:v>
      </x:c>
      <x:c r="AE134" s="714" t="str">
        <x:v>Belum Dinilai</x:v>
      </x:c>
      <x:c r="AF134" s="713" t="str">
        <x:v>Belum Dinilai</x:v>
      </x:c>
      <x:c r="AG134" s="713" t="str">
        <x:v>Belum Dinilai</x:v>
      </x:c>
      <x:c r="AH134" s="715" t="str">
        <x:v>Belum Dinilai</x:v>
      </x:c>
      <x:c r="AI134" s="714" t="str">
        <x:v>Belum Dinilai</x:v>
      </x:c>
      <x:c r="AJ134" s="713" t="str">
        <x:v>Belum Dinilai</x:v>
      </x:c>
      <x:c r="AK134" s="715" t="str">
        <x:v>Belum Dinilai</x:v>
      </x:c>
      <x:c r="AL134" s="713" t="str"/>
      <x:c r="AM134" s="716" t="str">
        <x:v>Belum Dinilai</x:v>
      </x:c>
      <x:c r="AN134" s="716" t="str">
        <x:f>IF(AND(COUNTIF(AC134:AK134,"Ya")=0,AL134=""),IF(COUNTIF(AC134:AK134,"Belum Dinilai")&gt;0,"Belum Dinilai","Tidak ada risiko khusus"),TEXTJOIN(", ",TRUE,IF(AC134="Ya","Bangunan berpotensi roboh",""),IF(AD134="Ya","Bekas kebakaran dan tidak aman dihuni",""),IF(AE134="Ya","Atap atau dinding utama hampir runtuh",""),IF(AF134="Ya","Genangan yang membahayakan",""),IF(AG134="Ya","Struktur rumah tidak stabil",""),IF(AH134="Ya","Instalasi listrik berbahaya",""),IF(AI134="Ya","Komponen bangunan lepas atau lapuk",""),IF(AJ134="Ya","Akses keluar atau evakuasi terbatas",""),IF(AK134="Ya","Lokasi rawan bencana",""),IF(AL134&lt;&gt;"","Lainnya: "&amp;AL134,"")))</x:f>
        <x:v>Belum Dinilai</x:v>
      </x:c>
      <x:c r="AO134" s="716" t="str">
        <x:f>IF(AR134="","Belum Dinilai",IF(AR134=10,"Risiko Tinggi/Darurat",IF(AR134=5,"Risiko Sedang","Tidak Ada Risiko Khusus")))</x:f>
        <x:v>Belum Dinilai</x:v>
      </x:c>
      <x:c r="AP134" s="716" t="str"/>
      <x:c r="AQ134" s="719" t="n">
        <x:f>IF(OR(J134="",J134="Belum Dapat Ditentukan",L134="",L134="Belum Dinilai",N134="",N134="Belum Dinilai",P134="",P134="Belum Dinilai"),"",IF(J134="Permanen",0,IF(J134="Semipermanen",8,IF(J134="Nonpermanen",15,0)))+IF(L134="Baik",0,IF(L134="Rusak Ringan",5,IF(L134="Rusak Sedang",10,IF(L134="Rusak Berat",15,IF(L134="Tidak Ada/Terbuka",20,0)))))+IF(N134="Baik",0,IF(N134="Rusak Ringan",5,IF(N134="Rusak Sedang",10,IF(N134="Rusak Berat",15,IF(N134="Tidak Ada/Terbuka",20,0)))))+IF(P134="Baik",0,IF(P134="Rusak Ringan",4,IF(P134="Rusak Sedang",8,IF(P134="Rusak Berat",12,IF(P134="Tidak Layak",15,0))))))</x:f>
        <x:v>22</x:v>
      </x:c>
      <x:c r="AR134" s="719" t="str">
        <x:f>IF(COUNTIF(AC134:AH134,"Ya")&gt;0,10,IF(COUNTIF(AI134:AK134,"Ya")&gt;=2,10,IF(COUNTIF(AI134:AK134,"Ya")=1,MAX(5,IF(AM134="Risiko Tinggi/Darurat",10,IF(AM134="Risiko Sedang",5,0))),IF(AL134&lt;&gt;"",IF(AM134="Risiko Tinggi/Darurat",10,IF(AM134="Risiko Sedang",5,"")),IF(COUNTIF(AC134:AK134,"Belum Dinilai")&gt;0,"",0)))))</x:f>
      </x:c>
      <x:c r="AS134" s="719" t="str">
        <x:f>IF(OR(AQ134="",AB134="",AR134=""),"",AQ134+AB134+AR134)</x:f>
      </x:c>
      <x:c r="AT134" s="719" t="str">
        <x:f>IF(AS134="","Belum Dapat Ditentukan",IF(AS134&gt;=80,"Sangat Tinggi",IF(OR(AO134="Risiko Tinggi/Darurat",(IF(L134="Rusak Berat",1,0)+IF(L134="Tidak Ada/Terbuka",1,0)+IF(N134="Rusak Berat",1,0)+IF(N134="Tidak Ada/Terbuka",1,0)+IF(P134="Rusak Berat",1,0)+IF(P134="Tidak Layak",1,0))&gt;=2),"Tinggi",IF(AS134&gt;=65,"Tinggi",IF(AS134&gt;=50,"Sedang","Rendah")))))</x:f>
        <x:v>Belum Dapat Ditentukan</x:v>
      </x:c>
      <x:c r="AU134" s="240" t="str">
        <x:v>Lengkap</x:v>
      </x:c>
      <x:c r="AV134" s="240" t="str">
        <x:v>Sudah Diverifikasi</x:v>
      </x:c>
      <x:c r="AW134" s="240" t="str">
        <x:v>Belum Ditangani</x:v>
      </x:c>
      <x:c r="AX134" s="240"/>
      <x:c r="AY134" s="240"/>
      <x:c r="AZ134" s="240" t="str">
        <x:v>Belum Diverifikasi</x:v>
      </x:c>
      <x:c r="BA134" s="240"/>
      <x:c r="BB134" s="240"/>
      <x:c r="BC134" s="240" t="n">
        <x:v>2026</x:v>
      </x:c>
      <x:c r="BD134" s="240" t="str">
        <x:v>Usulan Musrenbang/Pokir DPRD</x:v>
      </x:c>
      <x:c r="BE134" s="240" t="n">
        <x:v>46218</x:v>
      </x:c>
      <x:c r="BF134" s="240" t="str">
        <x:v>Dinas Perkim Kota Pangkalpinang</x:v>
      </x:c>
    </x:row>
    <x:row r="135" ht="32" customHeight="1">
      <x:c r="A135" s="314" t="str">
        <x:v>RTLH-0163</x:v>
      </x:c>
      <x:c r="B135" s="315" t="str">
        <x:v>PUSI</x:v>
      </x:c>
      <x:c r="C135" s="316"/>
      <x:c r="D135" s="316"/>
      <x:c r="E135" s="315" t="str">
        <x:v>JL,VETERAN RT/RW 002/003</x:v>
      </x:c>
      <x:c r="F135" s="315" t="str">
        <x:v>PARITLALANG</x:v>
      </x:c>
      <x:c r="G135" s="315" t="str">
        <x:v>RANGKUI</x:v>
      </x:c>
      <x:c r="H135" s="315" t="str">
        <x:v>Pembangunan Baru</x:v>
      </x:c>
      <x:c r="I135" s="317" t="str">
        <x:v>RUMAH SEMI PERMANEN,BAGIAN DAPUR PERMANEN, LANTAI FULL FLOOR,DINDING PAPAN RUSAK RINGAN,ATAP RUSAK RINGAN.</x:v>
      </x:c>
      <x:c r="J135" s="315" t="str">
        <x:v>Semipermanen</x:v>
      </x:c>
      <x:c r="K135" s="315" t="str">
        <x:v>Belum Diidentifikasi</x:v>
      </x:c>
      <x:c r="L135" s="315" t="str">
        <x:v>Rusak Ringan</x:v>
      </x:c>
      <x:c r="M135" s="367" t="str">
        <x:v>Papan/Kayu</x:v>
      </x:c>
      <x:c r="N135" s="315" t="str">
        <x:v>Rusak Ringan</x:v>
      </x:c>
      <x:c r="O135" s="316" t="str">
        <x:v>Semen/Plester</x:v>
      </x:c>
      <x:c r="P135" s="349" t="str">
        <x:v>Rusak Ringan</x:v>
      </x:c>
      <x:c r="Q135" s="707" t="str">
        <x:v>Belum Dinilai</x:v>
      </x:c>
      <x:c r="R135" s="707" t="str">
        <x:v>Belum Dinilai</x:v>
      </x:c>
      <x:c r="S135" s="708" t="str">
        <x:v>Belum Dinilai</x:v>
      </x:c>
      <x:c r="T135" s="709" t="str">
        <x:v>Belum Dinilai</x:v>
      </x:c>
      <x:c r="U135" s="704" t="str">
        <x:v>Belum Dinilai</x:v>
      </x:c>
      <x:c r="V135" s="704" t="str">
        <x:v>Belum Dinilai</x:v>
      </x:c>
      <x:c r="W135" s="704" t="str"/>
      <x:c r="X135" s="704" t="str">
        <x:f>IF(COUNTIF(R135:V135,"Belum Dinilai")&gt;0,"Belum Dinilai",IF(COUNTIF(R135:V135,"Ya")=0,"Tidak ada faktor rentan",TEXTJOIN(", ",TRUE,IF(R135="Ya","Lansia",""),IF(S135="Ya","Penyandang disabilitas",""),IF(T135="Ya","Kepala keluarga perempuan",""),IF(U135="Ya","Balita",""),IF(V135="Ya","Anggota keluarga dengan ketergantungan tinggi",""))))</x:f>
        <x:v>Belum Dinilai</x:v>
      </x:c>
      <x:c r="Y135" s="704" t="str">
        <x:f>IF(COUNTIF(R135:V135,"Belum Dinilai")&gt;0,"Belum Dinilai",IF(COUNTIF(R135:V135,"Ya")=0,"Tidak Ada Faktor Rentan",IF(COUNTIF(R135:V135,"Ya")=1,"1 Faktor Rentan","2 atau Lebih Faktor Rentan")))</x:f>
        <x:v>Belum Dinilai</x:v>
      </x:c>
      <x:c r="Z135" s="704" t="str">
        <x:f>IF(OR(Q135="",Q135="Belum Dinilai"),"",IF(Q135="Terverifikasi DTKS/P3KE/MBR",10,IF(Q135="Diusulkan, Belum Terverifikasi",5,0)))</x:f>
      </x:c>
      <x:c r="AA135" s="705" t="str">
        <x:f>IF(COUNTIF(R135:V135,"Belum Dinilai")&gt;0,"",IF(COUNTIF(R135:V135,"Ya")=0,0,IF(COUNTIF(R135:V135,"Ya")=1,5,10)))</x:f>
      </x:c>
      <x:c r="AB135" s="706" t="str">
        <x:f>IF(OR(Z135="",AA135=""),"",Z135+AA135)</x:f>
      </x:c>
      <x:c r="AC135" s="713" t="str">
        <x:v>Belum Dinilai</x:v>
      </x:c>
      <x:c r="AD135" s="713" t="str">
        <x:v>Belum Dinilai</x:v>
      </x:c>
      <x:c r="AE135" s="714" t="str">
        <x:v>Belum Dinilai</x:v>
      </x:c>
      <x:c r="AF135" s="713" t="str">
        <x:v>Belum Dinilai</x:v>
      </x:c>
      <x:c r="AG135" s="713" t="str">
        <x:v>Belum Dinilai</x:v>
      </x:c>
      <x:c r="AH135" s="715" t="str">
        <x:v>Belum Dinilai</x:v>
      </x:c>
      <x:c r="AI135" s="714" t="str">
        <x:v>Belum Dinilai</x:v>
      </x:c>
      <x:c r="AJ135" s="713" t="str">
        <x:v>Belum Dinilai</x:v>
      </x:c>
      <x:c r="AK135" s="715" t="str">
        <x:v>Belum Dinilai</x:v>
      </x:c>
      <x:c r="AL135" s="713" t="str"/>
      <x:c r="AM135" s="716" t="str">
        <x:v>Belum Dinilai</x:v>
      </x:c>
      <x:c r="AN135" s="716" t="str">
        <x:f>IF(AND(COUNTIF(AC135:AK135,"Ya")=0,AL135=""),IF(COUNTIF(AC135:AK135,"Belum Dinilai")&gt;0,"Belum Dinilai","Tidak ada risiko khusus"),TEXTJOIN(", ",TRUE,IF(AC135="Ya","Bangunan berpotensi roboh",""),IF(AD135="Ya","Bekas kebakaran dan tidak aman dihuni",""),IF(AE135="Ya","Atap atau dinding utama hampir runtuh",""),IF(AF135="Ya","Genangan yang membahayakan",""),IF(AG135="Ya","Struktur rumah tidak stabil",""),IF(AH135="Ya","Instalasi listrik berbahaya",""),IF(AI135="Ya","Komponen bangunan lepas atau lapuk",""),IF(AJ135="Ya","Akses keluar atau evakuasi terbatas",""),IF(AK135="Ya","Lokasi rawan bencana",""),IF(AL135&lt;&gt;"","Lainnya: "&amp;AL135,"")))</x:f>
        <x:v>Belum Dinilai</x:v>
      </x:c>
      <x:c r="AO135" s="716" t="str">
        <x:f>IF(AR135="","Belum Dinilai",IF(AR135=10,"Risiko Tinggi/Darurat",IF(AR135=5,"Risiko Sedang","Tidak Ada Risiko Khusus")))</x:f>
        <x:v>Belum Dinilai</x:v>
      </x:c>
      <x:c r="AP135" s="716" t="str"/>
      <x:c r="AQ135" s="719" t="n">
        <x:f>IF(OR(J135="",J135="Belum Dapat Ditentukan",L135="",L135="Belum Dinilai",N135="",N135="Belum Dinilai",P135="",P135="Belum Dinilai"),"",IF(J135="Permanen",0,IF(J135="Semipermanen",8,IF(J135="Nonpermanen",15,0)))+IF(L135="Baik",0,IF(L135="Rusak Ringan",5,IF(L135="Rusak Sedang",10,IF(L135="Rusak Berat",15,IF(L135="Tidak Ada/Terbuka",20,0)))))+IF(N135="Baik",0,IF(N135="Rusak Ringan",5,IF(N135="Rusak Sedang",10,IF(N135="Rusak Berat",15,IF(N135="Tidak Ada/Terbuka",20,0)))))+IF(P135="Baik",0,IF(P135="Rusak Ringan",4,IF(P135="Rusak Sedang",8,IF(P135="Rusak Berat",12,IF(P135="Tidak Layak",15,0))))))</x:f>
        <x:v>22</x:v>
      </x:c>
      <x:c r="AR135" s="719" t="str">
        <x:f>IF(COUNTIF(AC135:AH135,"Ya")&gt;0,10,IF(COUNTIF(AI135:AK135,"Ya")&gt;=2,10,IF(COUNTIF(AI135:AK135,"Ya")=1,MAX(5,IF(AM135="Risiko Tinggi/Darurat",10,IF(AM135="Risiko Sedang",5,0))),IF(AL135&lt;&gt;"",IF(AM135="Risiko Tinggi/Darurat",10,IF(AM135="Risiko Sedang",5,"")),IF(COUNTIF(AC135:AK135,"Belum Dinilai")&gt;0,"",0)))))</x:f>
      </x:c>
      <x:c r="AS135" s="719" t="str">
        <x:f>IF(OR(AQ135="",AB135="",AR135=""),"",AQ135+AB135+AR135)</x:f>
      </x:c>
      <x:c r="AT135" s="719" t="str">
        <x:f>IF(AS135="","Belum Dapat Ditentukan",IF(AS135&gt;=80,"Sangat Tinggi",IF(OR(AO135="Risiko Tinggi/Darurat",(IF(L135="Rusak Berat",1,0)+IF(L135="Tidak Ada/Terbuka",1,0)+IF(N135="Rusak Berat",1,0)+IF(N135="Tidak Ada/Terbuka",1,0)+IF(P135="Rusak Berat",1,0)+IF(P135="Tidak Layak",1,0))&gt;=2),"Tinggi",IF(AS135&gt;=65,"Tinggi",IF(AS135&gt;=50,"Sedang","Rendah")))))</x:f>
        <x:v>Belum Dapat Ditentukan</x:v>
      </x:c>
      <x:c r="AU135" s="240" t="str">
        <x:v>Lengkap</x:v>
      </x:c>
      <x:c r="AV135" s="240" t="str">
        <x:v>Sudah Diverifikasi</x:v>
      </x:c>
      <x:c r="AW135" s="240" t="str">
        <x:v>Belum Ditangani</x:v>
      </x:c>
      <x:c r="AX135" s="240"/>
      <x:c r="AY135" s="240"/>
      <x:c r="AZ135" s="240" t="str">
        <x:v>Belum Diverifikasi</x:v>
      </x:c>
      <x:c r="BA135" s="240"/>
      <x:c r="BB135" s="240"/>
      <x:c r="BC135" s="240" t="n">
        <x:v>2026</x:v>
      </x:c>
      <x:c r="BD135" s="240" t="str">
        <x:v>Usulan Musrenbang/Pokir DPRD</x:v>
      </x:c>
      <x:c r="BE135" s="240" t="n">
        <x:v>46218</x:v>
      </x:c>
      <x:c r="BF135" s="240" t="str">
        <x:v>Dinas Perkim Kota Pangkalpinang</x:v>
      </x:c>
    </x:row>
    <x:row r="136" ht="32" customHeight="1">
      <x:c r="A136" s="314" t="str">
        <x:v>RTLH-0164</x:v>
      </x:c>
      <x:c r="B136" s="315" t="str">
        <x:v>YULITAR</x:v>
      </x:c>
      <x:c r="C136" s="316"/>
      <x:c r="D136" s="316"/>
      <x:c r="E136" s="315" t="str">
        <x:v>JL,LAP BOLA RT/RW 002/003</x:v>
      </x:c>
      <x:c r="F136" s="315" t="str">
        <x:v>PARITLALANG</x:v>
      </x:c>
      <x:c r="G136" s="315" t="str">
        <x:v>RANGKUI</x:v>
      </x:c>
      <x:c r="H136" s="315" t="str">
        <x:v>Pembangunan Baru</x:v>
      </x:c>
      <x:c r="I136" s="317" t="str">
        <x:v>RUMAH FULL PAPAN.LANTAI FULL FLOR,DINDING RUSAK RINGAN ATAP SENG RUSAK RINGAN</x:v>
      </x:c>
      <x:c r="J136" s="315" t="str">
        <x:v>Nonpermanen</x:v>
      </x:c>
      <x:c r="K136" s="315" t="str">
        <x:v>Seng</x:v>
      </x:c>
      <x:c r="L136" s="315" t="str">
        <x:v>Rusak Ringan</x:v>
      </x:c>
      <x:c r="M136" s="367" t="str">
        <x:v>Papan/Kayu</x:v>
      </x:c>
      <x:c r="N136" s="315" t="str">
        <x:v>Rusak Ringan</x:v>
      </x:c>
      <x:c r="O136" s="316" t="str">
        <x:v>Belum Diidentifikasi</x:v>
      </x:c>
      <x:c r="P136" s="349" t="str">
        <x:v>Rusak Ringan</x:v>
      </x:c>
      <x:c r="Q136" s="707" t="str">
        <x:v>Belum Dinilai</x:v>
      </x:c>
      <x:c r="R136" s="707" t="str">
        <x:v>Belum Dinilai</x:v>
      </x:c>
      <x:c r="S136" s="708" t="str">
        <x:v>Belum Dinilai</x:v>
      </x:c>
      <x:c r="T136" s="709" t="str">
        <x:v>Belum Dinilai</x:v>
      </x:c>
      <x:c r="U136" s="704" t="str">
        <x:v>Belum Dinilai</x:v>
      </x:c>
      <x:c r="V136" s="704" t="str">
        <x:v>Belum Dinilai</x:v>
      </x:c>
      <x:c r="W136" s="704" t="str"/>
      <x:c r="X136" s="704" t="str">
        <x:f>IF(COUNTIF(R136:V136,"Belum Dinilai")&gt;0,"Belum Dinilai",IF(COUNTIF(R136:V136,"Ya")=0,"Tidak ada faktor rentan",TEXTJOIN(", ",TRUE,IF(R136="Ya","Lansia",""),IF(S136="Ya","Penyandang disabilitas",""),IF(T136="Ya","Kepala keluarga perempuan",""),IF(U136="Ya","Balita",""),IF(V136="Ya","Anggota keluarga dengan ketergantungan tinggi",""))))</x:f>
        <x:v>Belum Dinilai</x:v>
      </x:c>
      <x:c r="Y136" s="704" t="str">
        <x:f>IF(COUNTIF(R136:V136,"Belum Dinilai")&gt;0,"Belum Dinilai",IF(COUNTIF(R136:V136,"Ya")=0,"Tidak Ada Faktor Rentan",IF(COUNTIF(R136:V136,"Ya")=1,"1 Faktor Rentan","2 atau Lebih Faktor Rentan")))</x:f>
        <x:v>Belum Dinilai</x:v>
      </x:c>
      <x:c r="Z136" s="704" t="str">
        <x:f>IF(OR(Q136="",Q136="Belum Dinilai"),"",IF(Q136="Terverifikasi DTKS/P3KE/MBR",10,IF(Q136="Diusulkan, Belum Terverifikasi",5,0)))</x:f>
      </x:c>
      <x:c r="AA136" s="705" t="str">
        <x:f>IF(COUNTIF(R136:V136,"Belum Dinilai")&gt;0,"",IF(COUNTIF(R136:V136,"Ya")=0,0,IF(COUNTIF(R136:V136,"Ya")=1,5,10)))</x:f>
      </x:c>
      <x:c r="AB136" s="706" t="str">
        <x:f>IF(OR(Z136="",AA136=""),"",Z136+AA136)</x:f>
      </x:c>
      <x:c r="AC136" s="713" t="str">
        <x:v>Belum Dinilai</x:v>
      </x:c>
      <x:c r="AD136" s="713" t="str">
        <x:v>Belum Dinilai</x:v>
      </x:c>
      <x:c r="AE136" s="714" t="str">
        <x:v>Belum Dinilai</x:v>
      </x:c>
      <x:c r="AF136" s="713" t="str">
        <x:v>Belum Dinilai</x:v>
      </x:c>
      <x:c r="AG136" s="713" t="str">
        <x:v>Belum Dinilai</x:v>
      </x:c>
      <x:c r="AH136" s="715" t="str">
        <x:v>Belum Dinilai</x:v>
      </x:c>
      <x:c r="AI136" s="714" t="str">
        <x:v>Belum Dinilai</x:v>
      </x:c>
      <x:c r="AJ136" s="713" t="str">
        <x:v>Belum Dinilai</x:v>
      </x:c>
      <x:c r="AK136" s="715" t="str">
        <x:v>Belum Dinilai</x:v>
      </x:c>
      <x:c r="AL136" s="713" t="str"/>
      <x:c r="AM136" s="716" t="str">
        <x:v>Belum Dinilai</x:v>
      </x:c>
      <x:c r="AN136" s="716" t="str">
        <x:f>IF(AND(COUNTIF(AC136:AK136,"Ya")=0,AL136=""),IF(COUNTIF(AC136:AK136,"Belum Dinilai")&gt;0,"Belum Dinilai","Tidak ada risiko khusus"),TEXTJOIN(", ",TRUE,IF(AC136="Ya","Bangunan berpotensi roboh",""),IF(AD136="Ya","Bekas kebakaran dan tidak aman dihuni",""),IF(AE136="Ya","Atap atau dinding utama hampir runtuh",""),IF(AF136="Ya","Genangan yang membahayakan",""),IF(AG136="Ya","Struktur rumah tidak stabil",""),IF(AH136="Ya","Instalasi listrik berbahaya",""),IF(AI136="Ya","Komponen bangunan lepas atau lapuk",""),IF(AJ136="Ya","Akses keluar atau evakuasi terbatas",""),IF(AK136="Ya","Lokasi rawan bencana",""),IF(AL136&lt;&gt;"","Lainnya: "&amp;AL136,"")))</x:f>
        <x:v>Belum Dinilai</x:v>
      </x:c>
      <x:c r="AO136" s="716" t="str">
        <x:f>IF(AR136="","Belum Dinilai",IF(AR136=10,"Risiko Tinggi/Darurat",IF(AR136=5,"Risiko Sedang","Tidak Ada Risiko Khusus")))</x:f>
        <x:v>Belum Dinilai</x:v>
      </x:c>
      <x:c r="AP136" s="716" t="str"/>
      <x:c r="AQ136" s="719" t="n">
        <x:f>IF(OR(J136="",J136="Belum Dapat Ditentukan",L136="",L136="Belum Dinilai",N136="",N136="Belum Dinilai",P136="",P136="Belum Dinilai"),"",IF(J136="Permanen",0,IF(J136="Semipermanen",8,IF(J136="Nonpermanen",15,0)))+IF(L136="Baik",0,IF(L136="Rusak Ringan",5,IF(L136="Rusak Sedang",10,IF(L136="Rusak Berat",15,IF(L136="Tidak Ada/Terbuka",20,0)))))+IF(N136="Baik",0,IF(N136="Rusak Ringan",5,IF(N136="Rusak Sedang",10,IF(N136="Rusak Berat",15,IF(N136="Tidak Ada/Terbuka",20,0)))))+IF(P136="Baik",0,IF(P136="Rusak Ringan",4,IF(P136="Rusak Sedang",8,IF(P136="Rusak Berat",12,IF(P136="Tidak Layak",15,0))))))</x:f>
        <x:v>29</x:v>
      </x:c>
      <x:c r="AR136" s="719" t="str">
        <x:f>IF(COUNTIF(AC136:AH136,"Ya")&gt;0,10,IF(COUNTIF(AI136:AK136,"Ya")&gt;=2,10,IF(COUNTIF(AI136:AK136,"Ya")=1,MAX(5,IF(AM136="Risiko Tinggi/Darurat",10,IF(AM136="Risiko Sedang",5,0))),IF(AL136&lt;&gt;"",IF(AM136="Risiko Tinggi/Darurat",10,IF(AM136="Risiko Sedang",5,"")),IF(COUNTIF(AC136:AK136,"Belum Dinilai")&gt;0,"",0)))))</x:f>
      </x:c>
      <x:c r="AS136" s="719" t="str">
        <x:f>IF(OR(AQ136="",AB136="",AR136=""),"",AQ136+AB136+AR136)</x:f>
      </x:c>
      <x:c r="AT136" s="719" t="str">
        <x:f>IF(AS136="","Belum Dapat Ditentukan",IF(AS136&gt;=80,"Sangat Tinggi",IF(OR(AO136="Risiko Tinggi/Darurat",(IF(L136="Rusak Berat",1,0)+IF(L136="Tidak Ada/Terbuka",1,0)+IF(N136="Rusak Berat",1,0)+IF(N136="Tidak Ada/Terbuka",1,0)+IF(P136="Rusak Berat",1,0)+IF(P136="Tidak Layak",1,0))&gt;=2),"Tinggi",IF(AS136&gt;=65,"Tinggi",IF(AS136&gt;=50,"Sedang","Rendah")))))</x:f>
        <x:v>Belum Dapat Ditentukan</x:v>
      </x:c>
      <x:c r="AU136" s="240" t="str">
        <x:v>Lengkap</x:v>
      </x:c>
      <x:c r="AV136" s="240" t="str">
        <x:v>Sudah Diverifikasi</x:v>
      </x:c>
      <x:c r="AW136" s="240" t="str">
        <x:v>Belum Ditangani</x:v>
      </x:c>
      <x:c r="AX136" s="240"/>
      <x:c r="AY136" s="240"/>
      <x:c r="AZ136" s="240" t="str">
        <x:v>Belum Diverifikasi</x:v>
      </x:c>
      <x:c r="BA136" s="240"/>
      <x:c r="BB136" s="240"/>
      <x:c r="BC136" s="240" t="n">
        <x:v>2026</x:v>
      </x:c>
      <x:c r="BD136" s="240" t="str">
        <x:v>Usulan Musrenbang/Pokir DPRD</x:v>
      </x:c>
      <x:c r="BE136" s="240" t="n">
        <x:v>46218</x:v>
      </x:c>
      <x:c r="BF136" s="240" t="str">
        <x:v>Dinas Perkim Kota Pangkalpinang</x:v>
      </x:c>
    </x:row>
    <x:row r="137" ht="32" customHeight="1">
      <x:c r="A137" s="314" t="str">
        <x:v>RTLH-0165</x:v>
      </x:c>
      <x:c r="B137" s="315" t="str">
        <x:v>KUWATNO</x:v>
      </x:c>
      <x:c r="C137" s="316"/>
      <x:c r="D137" s="316"/>
      <x:c r="E137" s="315" t="str">
        <x:v>JL.LAP BOLA RT/RW 002/003</x:v>
      </x:c>
      <x:c r="F137" s="315" t="str">
        <x:v>PARITLALANG</x:v>
      </x:c>
      <x:c r="G137" s="315" t="str">
        <x:v>RANGKUI</x:v>
      </x:c>
      <x:c r="H137" s="315" t="str">
        <x:v>Belum Ditentukan</x:v>
      </x:c>
      <x:c r="I137" s="317" t="str">
        <x:v>RUMAH FULL PAPAN, DINDING RUSAK RINGAN, LANTAI FULL KERAMIK, ATAP ASBES</x:v>
      </x:c>
      <x:c r="J137" s="315" t="str">
        <x:v>Nonpermanen</x:v>
      </x:c>
      <x:c r="K137" s="315" t="str">
        <x:v>Asbes/Fiber Semen</x:v>
      </x:c>
      <x:c r="L137" s="315" t="str">
        <x:v>Rusak Ringan</x:v>
      </x:c>
      <x:c r="M137" s="367" t="str">
        <x:v>Papan/Kayu</x:v>
      </x:c>
      <x:c r="N137" s="315" t="str">
        <x:v>Rusak Ringan</x:v>
      </x:c>
      <x:c r="O137" s="316" t="str">
        <x:v>Keramik</x:v>
      </x:c>
      <x:c r="P137" s="349" t="str">
        <x:v>Rusak Ringan</x:v>
      </x:c>
      <x:c r="Q137" s="707" t="str">
        <x:v>Belum Dinilai</x:v>
      </x:c>
      <x:c r="R137" s="707" t="str">
        <x:v>Belum Dinilai</x:v>
      </x:c>
      <x:c r="S137" s="708" t="str">
        <x:v>Belum Dinilai</x:v>
      </x:c>
      <x:c r="T137" s="709" t="str">
        <x:v>Belum Dinilai</x:v>
      </x:c>
      <x:c r="U137" s="704" t="str">
        <x:v>Belum Dinilai</x:v>
      </x:c>
      <x:c r="V137" s="704" t="str">
        <x:v>Belum Dinilai</x:v>
      </x:c>
      <x:c r="W137" s="704" t="str"/>
      <x:c r="X137" s="704" t="str">
        <x:f>IF(COUNTIF(R137:V137,"Belum Dinilai")&gt;0,"Belum Dinilai",IF(COUNTIF(R137:V137,"Ya")=0,"Tidak ada faktor rentan",TEXTJOIN(", ",TRUE,IF(R137="Ya","Lansia",""),IF(S137="Ya","Penyandang disabilitas",""),IF(T137="Ya","Kepala keluarga perempuan",""),IF(U137="Ya","Balita",""),IF(V137="Ya","Anggota keluarga dengan ketergantungan tinggi",""))))</x:f>
        <x:v>Belum Dinilai</x:v>
      </x:c>
      <x:c r="Y137" s="704" t="str">
        <x:f>IF(COUNTIF(R137:V137,"Belum Dinilai")&gt;0,"Belum Dinilai",IF(COUNTIF(R137:V137,"Ya")=0,"Tidak Ada Faktor Rentan",IF(COUNTIF(R137:V137,"Ya")=1,"1 Faktor Rentan","2 atau Lebih Faktor Rentan")))</x:f>
        <x:v>Belum Dinilai</x:v>
      </x:c>
      <x:c r="Z137" s="704" t="str">
        <x:f>IF(OR(Q137="",Q137="Belum Dinilai"),"",IF(Q137="Terverifikasi DTKS/P3KE/MBR",10,IF(Q137="Diusulkan, Belum Terverifikasi",5,0)))</x:f>
      </x:c>
      <x:c r="AA137" s="705" t="str">
        <x:f>IF(COUNTIF(R137:V137,"Belum Dinilai")&gt;0,"",IF(COUNTIF(R137:V137,"Ya")=0,0,IF(COUNTIF(R137:V137,"Ya")=1,5,10)))</x:f>
      </x:c>
      <x:c r="AB137" s="706" t="str">
        <x:f>IF(OR(Z137="",AA137=""),"",Z137+AA137)</x:f>
      </x:c>
      <x:c r="AC137" s="713" t="str">
        <x:v>Belum Dinilai</x:v>
      </x:c>
      <x:c r="AD137" s="713" t="str">
        <x:v>Belum Dinilai</x:v>
      </x:c>
      <x:c r="AE137" s="714" t="str">
        <x:v>Belum Dinilai</x:v>
      </x:c>
      <x:c r="AF137" s="713" t="str">
        <x:v>Belum Dinilai</x:v>
      </x:c>
      <x:c r="AG137" s="713" t="str">
        <x:v>Belum Dinilai</x:v>
      </x:c>
      <x:c r="AH137" s="715" t="str">
        <x:v>Belum Dinilai</x:v>
      </x:c>
      <x:c r="AI137" s="714" t="str">
        <x:v>Belum Dinilai</x:v>
      </x:c>
      <x:c r="AJ137" s="713" t="str">
        <x:v>Belum Dinilai</x:v>
      </x:c>
      <x:c r="AK137" s="715" t="str">
        <x:v>Belum Dinilai</x:v>
      </x:c>
      <x:c r="AL137" s="713" t="str"/>
      <x:c r="AM137" s="716" t="str">
        <x:v>Belum Dinilai</x:v>
      </x:c>
      <x:c r="AN137" s="716" t="str">
        <x:f>IF(AND(COUNTIF(AC137:AK137,"Ya")=0,AL137=""),IF(COUNTIF(AC137:AK137,"Belum Dinilai")&gt;0,"Belum Dinilai","Tidak ada risiko khusus"),TEXTJOIN(", ",TRUE,IF(AC137="Ya","Bangunan berpotensi roboh",""),IF(AD137="Ya","Bekas kebakaran dan tidak aman dihuni",""),IF(AE137="Ya","Atap atau dinding utama hampir runtuh",""),IF(AF137="Ya","Genangan yang membahayakan",""),IF(AG137="Ya","Struktur rumah tidak stabil",""),IF(AH137="Ya","Instalasi listrik berbahaya",""),IF(AI137="Ya","Komponen bangunan lepas atau lapuk",""),IF(AJ137="Ya","Akses keluar atau evakuasi terbatas",""),IF(AK137="Ya","Lokasi rawan bencana",""),IF(AL137&lt;&gt;"","Lainnya: "&amp;AL137,"")))</x:f>
        <x:v>Belum Dinilai</x:v>
      </x:c>
      <x:c r="AO137" s="716" t="str">
        <x:f>IF(AR137="","Belum Dinilai",IF(AR137=10,"Risiko Tinggi/Darurat",IF(AR137=5,"Risiko Sedang","Tidak Ada Risiko Khusus")))</x:f>
        <x:v>Belum Dinilai</x:v>
      </x:c>
      <x:c r="AP137" s="716" t="str"/>
      <x:c r="AQ137" s="719" t="n">
        <x:f>IF(OR(J137="",J137="Belum Dapat Ditentukan",L137="",L137="Belum Dinilai",N137="",N137="Belum Dinilai",P137="",P137="Belum Dinilai"),"",IF(J137="Permanen",0,IF(J137="Semipermanen",8,IF(J137="Nonpermanen",15,0)))+IF(L137="Baik",0,IF(L137="Rusak Ringan",5,IF(L137="Rusak Sedang",10,IF(L137="Rusak Berat",15,IF(L137="Tidak Ada/Terbuka",20,0)))))+IF(N137="Baik",0,IF(N137="Rusak Ringan",5,IF(N137="Rusak Sedang",10,IF(N137="Rusak Berat",15,IF(N137="Tidak Ada/Terbuka",20,0)))))+IF(P137="Baik",0,IF(P137="Rusak Ringan",4,IF(P137="Rusak Sedang",8,IF(P137="Rusak Berat",12,IF(P137="Tidak Layak",15,0))))))</x:f>
        <x:v>29</x:v>
      </x:c>
      <x:c r="AR137" s="719" t="str">
        <x:f>IF(COUNTIF(AC137:AH137,"Ya")&gt;0,10,IF(COUNTIF(AI137:AK137,"Ya")&gt;=2,10,IF(COUNTIF(AI137:AK137,"Ya")=1,MAX(5,IF(AM137="Risiko Tinggi/Darurat",10,IF(AM137="Risiko Sedang",5,0))),IF(AL137&lt;&gt;"",IF(AM137="Risiko Tinggi/Darurat",10,IF(AM137="Risiko Sedang",5,"")),IF(COUNTIF(AC137:AK137,"Belum Dinilai")&gt;0,"",0)))))</x:f>
      </x:c>
      <x:c r="AS137" s="719" t="str">
        <x:f>IF(OR(AQ137="",AB137="",AR137=""),"",AQ137+AB137+AR137)</x:f>
      </x:c>
      <x:c r="AT137" s="719" t="str">
        <x:f>IF(AS137="","Belum Dapat Ditentukan",IF(AS137&gt;=80,"Sangat Tinggi",IF(OR(AO137="Risiko Tinggi/Darurat",(IF(L137="Rusak Berat",1,0)+IF(L137="Tidak Ada/Terbuka",1,0)+IF(N137="Rusak Berat",1,0)+IF(N137="Tidak Ada/Terbuka",1,0)+IF(P137="Rusak Berat",1,0)+IF(P137="Tidak Layak",1,0))&gt;=2),"Tinggi",IF(AS137&gt;=65,"Tinggi",IF(AS137&gt;=50,"Sedang","Rendah")))))</x:f>
        <x:v>Belum Dapat Ditentukan</x:v>
      </x:c>
      <x:c r="AU137" s="240" t="str">
        <x:v>Belum Lengkap</x:v>
      </x:c>
      <x:c r="AV137" s="240" t="str">
        <x:v>Sudah Diverifikasi</x:v>
      </x:c>
      <x:c r="AW137" s="240" t="str">
        <x:v>Belum Ditangani</x:v>
      </x:c>
      <x:c r="AX137" s="240"/>
      <x:c r="AY137" s="240"/>
      <x:c r="AZ137" s="240" t="str">
        <x:v>Belum Diverifikasi</x:v>
      </x:c>
      <x:c r="BA137" s="240"/>
      <x:c r="BB137" s="240"/>
      <x:c r="BC137" s="240" t="n">
        <x:v>2026</x:v>
      </x:c>
      <x:c r="BD137" s="240" t="str">
        <x:v>Usulan Musrenbang/Pokir DPRD</x:v>
      </x:c>
      <x:c r="BE137" s="240" t="n">
        <x:v>46218</x:v>
      </x:c>
      <x:c r="BF137" s="240" t="str">
        <x:v>Dinas Perkim Kota Pangkalpinang</x:v>
      </x:c>
    </x:row>
    <x:row r="138" ht="32" customHeight="1">
      <x:c r="A138" s="314" t="str">
        <x:v>RTLH-0167</x:v>
      </x:c>
      <x:c r="B138" s="315" t="str">
        <x:v>ROYADI</x:v>
      </x:c>
      <x:c r="C138" s="316"/>
      <x:c r="D138" s="316"/>
      <x:c r="E138" s="315" t="str">
        <x:v>GG,PELITA RT/RW 009/003</x:v>
      </x:c>
      <x:c r="F138" s="315" t="str">
        <x:v>SINAR BULAN</x:v>
      </x:c>
      <x:c r="G138" s="315" t="str">
        <x:v>BUKIT INTAN</x:v>
      </x:c>
      <x:c r="H138" s="315" t="str">
        <x:v>Belum Ditentukan</x:v>
      </x:c>
      <x:c r="I138" s="317" t="str">
        <x:v>RUMAH SETENGAH JADI,UNTUK SEMNTARA TINGGAL DI BAGIAN DAPUR,</x:v>
      </x:c>
      <x:c r="J138" s="315" t="str">
        <x:v>Belum Dapat Ditentukan</x:v>
      </x:c>
      <x:c r="K138" s="315" t="str">
        <x:v>Belum Diidentifikasi</x:v>
      </x:c>
      <x:c r="L138" s="315" t="str">
        <x:v>Belum Dinilai</x:v>
      </x:c>
      <x:c r="M138" s="367" t="str">
        <x:v>Belum Diidentifikasi</x:v>
      </x:c>
      <x:c r="N138" s="315" t="str">
        <x:v>Belum Dinilai</x:v>
      </x:c>
      <x:c r="O138" s="316" t="str">
        <x:v>Belum Diidentifikasi</x:v>
      </x:c>
      <x:c r="P138" s="349" t="str">
        <x:v>Belum Dinilai</x:v>
      </x:c>
      <x:c r="Q138" s="707" t="str">
        <x:v>Belum Dinilai</x:v>
      </x:c>
      <x:c r="R138" s="707" t="str">
        <x:v>Belum Dinilai</x:v>
      </x:c>
      <x:c r="S138" s="708" t="str">
        <x:v>Belum Dinilai</x:v>
      </x:c>
      <x:c r="T138" s="709" t="str">
        <x:v>Belum Dinilai</x:v>
      </x:c>
      <x:c r="U138" s="704" t="str">
        <x:v>Belum Dinilai</x:v>
      </x:c>
      <x:c r="V138" s="704" t="str">
        <x:v>Belum Dinilai</x:v>
      </x:c>
      <x:c r="W138" s="704" t="str"/>
      <x:c r="X138" s="704" t="str">
        <x:f>IF(COUNTIF(R138:V138,"Belum Dinilai")&gt;0,"Belum Dinilai",IF(COUNTIF(R138:V138,"Ya")=0,"Tidak ada faktor rentan",TEXTJOIN(", ",TRUE,IF(R138="Ya","Lansia",""),IF(S138="Ya","Penyandang disabilitas",""),IF(T138="Ya","Kepala keluarga perempuan",""),IF(U138="Ya","Balita",""),IF(V138="Ya","Anggota keluarga dengan ketergantungan tinggi",""))))</x:f>
        <x:v>Belum Dinilai</x:v>
      </x:c>
      <x:c r="Y138" s="704" t="str">
        <x:f>IF(COUNTIF(R138:V138,"Belum Dinilai")&gt;0,"Belum Dinilai",IF(COUNTIF(R138:V138,"Ya")=0,"Tidak Ada Faktor Rentan",IF(COUNTIF(R138:V138,"Ya")=1,"1 Faktor Rentan","2 atau Lebih Faktor Rentan")))</x:f>
        <x:v>Belum Dinilai</x:v>
      </x:c>
      <x:c r="Z138" s="704" t="str">
        <x:f>IF(OR(Q138="",Q138="Belum Dinilai"),"",IF(Q138="Terverifikasi DTKS/P3KE/MBR",10,IF(Q138="Diusulkan, Belum Terverifikasi",5,0)))</x:f>
      </x:c>
      <x:c r="AA138" s="705" t="str">
        <x:f>IF(COUNTIF(R138:V138,"Belum Dinilai")&gt;0,"",IF(COUNTIF(R138:V138,"Ya")=0,0,IF(COUNTIF(R138:V138,"Ya")=1,5,10)))</x:f>
      </x:c>
      <x:c r="AB138" s="706" t="str">
        <x:f>IF(OR(Z138="",AA138=""),"",Z138+AA138)</x:f>
      </x:c>
      <x:c r="AC138" s="713" t="str">
        <x:v>Belum Dinilai</x:v>
      </x:c>
      <x:c r="AD138" s="713" t="str">
        <x:v>Belum Dinilai</x:v>
      </x:c>
      <x:c r="AE138" s="714" t="str">
        <x:v>Belum Dinilai</x:v>
      </x:c>
      <x:c r="AF138" s="713" t="str">
        <x:v>Belum Dinilai</x:v>
      </x:c>
      <x:c r="AG138" s="713" t="str">
        <x:v>Belum Dinilai</x:v>
      </x:c>
      <x:c r="AH138" s="715" t="str">
        <x:v>Belum Dinilai</x:v>
      </x:c>
      <x:c r="AI138" s="714" t="str">
        <x:v>Belum Dinilai</x:v>
      </x:c>
      <x:c r="AJ138" s="713" t="str">
        <x:v>Belum Dinilai</x:v>
      </x:c>
      <x:c r="AK138" s="715" t="str">
        <x:v>Belum Dinilai</x:v>
      </x:c>
      <x:c r="AL138" s="713" t="str"/>
      <x:c r="AM138" s="716" t="str">
        <x:v>Belum Dinilai</x:v>
      </x:c>
      <x:c r="AN138" s="716" t="str">
        <x:f>IF(AND(COUNTIF(AC138:AK138,"Ya")=0,AL138=""),IF(COUNTIF(AC138:AK138,"Belum Dinilai")&gt;0,"Belum Dinilai","Tidak ada risiko khusus"),TEXTJOIN(", ",TRUE,IF(AC138="Ya","Bangunan berpotensi roboh",""),IF(AD138="Ya","Bekas kebakaran dan tidak aman dihuni",""),IF(AE138="Ya","Atap atau dinding utama hampir runtuh",""),IF(AF138="Ya","Genangan yang membahayakan",""),IF(AG138="Ya","Struktur rumah tidak stabil",""),IF(AH138="Ya","Instalasi listrik berbahaya",""),IF(AI138="Ya","Komponen bangunan lepas atau lapuk",""),IF(AJ138="Ya","Akses keluar atau evakuasi terbatas",""),IF(AK138="Ya","Lokasi rawan bencana",""),IF(AL138&lt;&gt;"","Lainnya: "&amp;AL138,"")))</x:f>
        <x:v>Belum Dinilai</x:v>
      </x:c>
      <x:c r="AO138" s="716" t="str">
        <x:f>IF(AR138="","Belum Dinilai",IF(AR138=10,"Risiko Tinggi/Darurat",IF(AR138=5,"Risiko Sedang","Tidak Ada Risiko Khusus")))</x:f>
        <x:v>Belum Dinilai</x:v>
      </x:c>
      <x:c r="AP138" s="716" t="str"/>
      <x:c r="AQ138" s="719" t="str">
        <x:f>IF(OR(J138="",J138="Belum Dapat Ditentukan",L138="",L138="Belum Dinilai",N138="",N138="Belum Dinilai",P138="",P138="Belum Dinilai"),"",IF(J138="Permanen",0,IF(J138="Semipermanen",8,IF(J138="Nonpermanen",15,0)))+IF(L138="Baik",0,IF(L138="Rusak Ringan",5,IF(L138="Rusak Sedang",10,IF(L138="Rusak Berat",15,IF(L138="Tidak Ada/Terbuka",20,0)))))+IF(N138="Baik",0,IF(N138="Rusak Ringan",5,IF(N138="Rusak Sedang",10,IF(N138="Rusak Berat",15,IF(N138="Tidak Ada/Terbuka",20,0)))))+IF(P138="Baik",0,IF(P138="Rusak Ringan",4,IF(P138="Rusak Sedang",8,IF(P138="Rusak Berat",12,IF(P138="Tidak Layak",15,0))))))</x:f>
      </x:c>
      <x:c r="AR138" s="719" t="str">
        <x:f>IF(COUNTIF(AC138:AH138,"Ya")&gt;0,10,IF(COUNTIF(AI138:AK138,"Ya")&gt;=2,10,IF(COUNTIF(AI138:AK138,"Ya")=1,MAX(5,IF(AM138="Risiko Tinggi/Darurat",10,IF(AM138="Risiko Sedang",5,0))),IF(AL138&lt;&gt;"",IF(AM138="Risiko Tinggi/Darurat",10,IF(AM138="Risiko Sedang",5,"")),IF(COUNTIF(AC138:AK138,"Belum Dinilai")&gt;0,"",0)))))</x:f>
      </x:c>
      <x:c r="AS138" s="719" t="str">
        <x:f>IF(OR(AQ138="",AB138="",AR138=""),"",AQ138+AB138+AR138)</x:f>
      </x:c>
      <x:c r="AT138" s="719" t="str">
        <x:f>IF(AS138="","Belum Dapat Ditentukan",IF(AS138&gt;=80,"Sangat Tinggi",IF(OR(AO138="Risiko Tinggi/Darurat",(IF(L138="Rusak Berat",1,0)+IF(L138="Tidak Ada/Terbuka",1,0)+IF(N138="Rusak Berat",1,0)+IF(N138="Tidak Ada/Terbuka",1,0)+IF(P138="Rusak Berat",1,0)+IF(P138="Tidak Layak",1,0))&gt;=2),"Tinggi",IF(AS138&gt;=65,"Tinggi",IF(AS138&gt;=50,"Sedang","Rendah")))))</x:f>
        <x:v>Belum Dapat Ditentukan</x:v>
      </x:c>
      <x:c r="AU138" s="240" t="str">
        <x:v>Belum Lengkap</x:v>
      </x:c>
      <x:c r="AV138" s="240" t="str">
        <x:v>Sudah Diverifikasi</x:v>
      </x:c>
      <x:c r="AW138" s="240" t="str">
        <x:v>Belum Ditangani</x:v>
      </x:c>
      <x:c r="AX138" s="240"/>
      <x:c r="AY138" s="240"/>
      <x:c r="AZ138" s="240" t="str">
        <x:v>Belum Diverifikasi</x:v>
      </x:c>
      <x:c r="BA138" s="240"/>
      <x:c r="BB138" s="240"/>
      <x:c r="BC138" s="240" t="n">
        <x:v>2026</x:v>
      </x:c>
      <x:c r="BD138" s="240" t="str">
        <x:v>Usulan Musrenbang/Pokir DPRD</x:v>
      </x:c>
      <x:c r="BE138" s="240" t="n">
        <x:v>46218</x:v>
      </x:c>
      <x:c r="BF138" s="240" t="str">
        <x:v>Dinas Perkim Kota Pangkalpinang</x:v>
      </x:c>
    </x:row>
    <x:row r="139" ht="32" customHeight="1">
      <x:c r="A139" s="314" t="str">
        <x:v>RTLH-0168</x:v>
      </x:c>
      <x:c r="B139" s="315" t="str">
        <x:v>SUHAIKAH</x:v>
      </x:c>
      <x:c r="C139" s="316"/>
      <x:c r="D139" s="316"/>
      <x:c r="E139" s="315" t="str">
        <x:v>JL,DELIMA SIAM VIII RT/RW 003/001</x:v>
      </x:c>
      <x:c r="F139" s="315" t="str">
        <x:v>SRIWIJAYA</x:v>
      </x:c>
      <x:c r="G139" s="315" t="str">
        <x:v>GIRIMAYA</x:v>
      </x:c>
      <x:c r="H139" s="315" t="str">
        <x:v>Belum Ditentukan</x:v>
      </x:c>
      <x:c r="I139" s="317" t="str">
        <x:v>RUMAH PERMANEN ( MINTA REHAB BAGIAN DAPIUR)</x:v>
      </x:c>
      <x:c r="J139" s="315" t="str">
        <x:v>Permanen</x:v>
      </x:c>
      <x:c r="K139" s="315" t="str">
        <x:v>Belum Diidentifikasi</x:v>
      </x:c>
      <x:c r="L139" s="315" t="str">
        <x:v>Belum Dinilai</x:v>
      </x:c>
      <x:c r="M139" s="367" t="str">
        <x:v>Dinding Permanen (Material tidak dirinci)</x:v>
      </x:c>
      <x:c r="N139" s="315" t="str">
        <x:v>Belum Dinilai</x:v>
      </x:c>
      <x:c r="O139" s="316" t="str">
        <x:v>Belum Diidentifikasi</x:v>
      </x:c>
      <x:c r="P139" s="349" t="str">
        <x:v>Belum Dinilai</x:v>
      </x:c>
      <x:c r="Q139" s="707" t="str">
        <x:v>Belum Dinilai</x:v>
      </x:c>
      <x:c r="R139" s="707" t="str">
        <x:v>Belum Dinilai</x:v>
      </x:c>
      <x:c r="S139" s="708" t="str">
        <x:v>Belum Dinilai</x:v>
      </x:c>
      <x:c r="T139" s="709" t="str">
        <x:v>Belum Dinilai</x:v>
      </x:c>
      <x:c r="U139" s="704" t="str">
        <x:v>Belum Dinilai</x:v>
      </x:c>
      <x:c r="V139" s="704" t="str">
        <x:v>Belum Dinilai</x:v>
      </x:c>
      <x:c r="W139" s="704" t="str"/>
      <x:c r="X139" s="704" t="str">
        <x:f>IF(COUNTIF(R139:V139,"Belum Dinilai")&gt;0,"Belum Dinilai",IF(COUNTIF(R139:V139,"Ya")=0,"Tidak ada faktor rentan",TEXTJOIN(", ",TRUE,IF(R139="Ya","Lansia",""),IF(S139="Ya","Penyandang disabilitas",""),IF(T139="Ya","Kepala keluarga perempuan",""),IF(U139="Ya","Balita",""),IF(V139="Ya","Anggota keluarga dengan ketergantungan tinggi",""))))</x:f>
        <x:v>Belum Dinilai</x:v>
      </x:c>
      <x:c r="Y139" s="704" t="str">
        <x:f>IF(COUNTIF(R139:V139,"Belum Dinilai")&gt;0,"Belum Dinilai",IF(COUNTIF(R139:V139,"Ya")=0,"Tidak Ada Faktor Rentan",IF(COUNTIF(R139:V139,"Ya")=1,"1 Faktor Rentan","2 atau Lebih Faktor Rentan")))</x:f>
        <x:v>Belum Dinilai</x:v>
      </x:c>
      <x:c r="Z139" s="704" t="str">
        <x:f>IF(OR(Q139="",Q139="Belum Dinilai"),"",IF(Q139="Terverifikasi DTKS/P3KE/MBR",10,IF(Q139="Diusulkan, Belum Terverifikasi",5,0)))</x:f>
      </x:c>
      <x:c r="AA139" s="705" t="str">
        <x:f>IF(COUNTIF(R139:V139,"Belum Dinilai")&gt;0,"",IF(COUNTIF(R139:V139,"Ya")=0,0,IF(COUNTIF(R139:V139,"Ya")=1,5,10)))</x:f>
      </x:c>
      <x:c r="AB139" s="706" t="str">
        <x:f>IF(OR(Z139="",AA139=""),"",Z139+AA139)</x:f>
      </x:c>
      <x:c r="AC139" s="713" t="str">
        <x:v>Belum Dinilai</x:v>
      </x:c>
      <x:c r="AD139" s="713" t="str">
        <x:v>Belum Dinilai</x:v>
      </x:c>
      <x:c r="AE139" s="714" t="str">
        <x:v>Belum Dinilai</x:v>
      </x:c>
      <x:c r="AF139" s="713" t="str">
        <x:v>Belum Dinilai</x:v>
      </x:c>
      <x:c r="AG139" s="713" t="str">
        <x:v>Belum Dinilai</x:v>
      </x:c>
      <x:c r="AH139" s="715" t="str">
        <x:v>Belum Dinilai</x:v>
      </x:c>
      <x:c r="AI139" s="714" t="str">
        <x:v>Belum Dinilai</x:v>
      </x:c>
      <x:c r="AJ139" s="713" t="str">
        <x:v>Belum Dinilai</x:v>
      </x:c>
      <x:c r="AK139" s="715" t="str">
        <x:v>Belum Dinilai</x:v>
      </x:c>
      <x:c r="AL139" s="713" t="str"/>
      <x:c r="AM139" s="716" t="str">
        <x:v>Belum Dinilai</x:v>
      </x:c>
      <x:c r="AN139" s="716" t="str">
        <x:f>IF(AND(COUNTIF(AC139:AK139,"Ya")=0,AL139=""),IF(COUNTIF(AC139:AK139,"Belum Dinilai")&gt;0,"Belum Dinilai","Tidak ada risiko khusus"),TEXTJOIN(", ",TRUE,IF(AC139="Ya","Bangunan berpotensi roboh",""),IF(AD139="Ya","Bekas kebakaran dan tidak aman dihuni",""),IF(AE139="Ya","Atap atau dinding utama hampir runtuh",""),IF(AF139="Ya","Genangan yang membahayakan",""),IF(AG139="Ya","Struktur rumah tidak stabil",""),IF(AH139="Ya","Instalasi listrik berbahaya",""),IF(AI139="Ya","Komponen bangunan lepas atau lapuk",""),IF(AJ139="Ya","Akses keluar atau evakuasi terbatas",""),IF(AK139="Ya","Lokasi rawan bencana",""),IF(AL139&lt;&gt;"","Lainnya: "&amp;AL139,"")))</x:f>
        <x:v>Belum Dinilai</x:v>
      </x:c>
      <x:c r="AO139" s="716" t="str">
        <x:f>IF(AR139="","Belum Dinilai",IF(AR139=10,"Risiko Tinggi/Darurat",IF(AR139=5,"Risiko Sedang","Tidak Ada Risiko Khusus")))</x:f>
        <x:v>Belum Dinilai</x:v>
      </x:c>
      <x:c r="AP139" s="716" t="str"/>
      <x:c r="AQ139" s="719" t="str">
        <x:f>IF(OR(J139="",J139="Belum Dapat Ditentukan",L139="",L139="Belum Dinilai",N139="",N139="Belum Dinilai",P139="",P139="Belum Dinilai"),"",IF(J139="Permanen",0,IF(J139="Semipermanen",8,IF(J139="Nonpermanen",15,0)))+IF(L139="Baik",0,IF(L139="Rusak Ringan",5,IF(L139="Rusak Sedang",10,IF(L139="Rusak Berat",15,IF(L139="Tidak Ada/Terbuka",20,0)))))+IF(N139="Baik",0,IF(N139="Rusak Ringan",5,IF(N139="Rusak Sedang",10,IF(N139="Rusak Berat",15,IF(N139="Tidak Ada/Terbuka",20,0)))))+IF(P139="Baik",0,IF(P139="Rusak Ringan",4,IF(P139="Rusak Sedang",8,IF(P139="Rusak Berat",12,IF(P139="Tidak Layak",15,0))))))</x:f>
      </x:c>
      <x:c r="AR139" s="719" t="str">
        <x:f>IF(COUNTIF(AC139:AH139,"Ya")&gt;0,10,IF(COUNTIF(AI139:AK139,"Ya")&gt;=2,10,IF(COUNTIF(AI139:AK139,"Ya")=1,MAX(5,IF(AM139="Risiko Tinggi/Darurat",10,IF(AM139="Risiko Sedang",5,0))),IF(AL139&lt;&gt;"",IF(AM139="Risiko Tinggi/Darurat",10,IF(AM139="Risiko Sedang",5,"")),IF(COUNTIF(AC139:AK139,"Belum Dinilai")&gt;0,"",0)))))</x:f>
      </x:c>
      <x:c r="AS139" s="719" t="str">
        <x:f>IF(OR(AQ139="",AB139="",AR139=""),"",AQ139+AB139+AR139)</x:f>
      </x:c>
      <x:c r="AT139" s="719" t="str">
        <x:f>IF(AS139="","Belum Dapat Ditentukan",IF(AS139&gt;=80,"Sangat Tinggi",IF(OR(AO139="Risiko Tinggi/Darurat",(IF(L139="Rusak Berat",1,0)+IF(L139="Tidak Ada/Terbuka",1,0)+IF(N139="Rusak Berat",1,0)+IF(N139="Tidak Ada/Terbuka",1,0)+IF(P139="Rusak Berat",1,0)+IF(P139="Tidak Layak",1,0))&gt;=2),"Tinggi",IF(AS139&gt;=65,"Tinggi",IF(AS139&gt;=50,"Sedang","Rendah")))))</x:f>
        <x:v>Belum Dapat Ditentukan</x:v>
      </x:c>
      <x:c r="AU139" s="240" t="str">
        <x:v>Lengkap</x:v>
      </x:c>
      <x:c r="AV139" s="240" t="str">
        <x:v>Sudah Diverifikasi</x:v>
      </x:c>
      <x:c r="AW139" s="240" t="str">
        <x:v>Belum Ditangani</x:v>
      </x:c>
      <x:c r="AX139" s="240"/>
      <x:c r="AY139" s="240"/>
      <x:c r="AZ139" s="240" t="str">
        <x:v>Belum Diverifikasi</x:v>
      </x:c>
      <x:c r="BA139" s="240"/>
      <x:c r="BB139" s="240"/>
      <x:c r="BC139" s="240" t="n">
        <x:v>2026</x:v>
      </x:c>
      <x:c r="BD139" s="240" t="str">
        <x:v>Usulan Musrenbang/Pokir DPRD</x:v>
      </x:c>
      <x:c r="BE139" s="240" t="n">
        <x:v>46218</x:v>
      </x:c>
      <x:c r="BF139" s="240" t="str">
        <x:v>Dinas Perkim Kota Pangkalpinang</x:v>
      </x:c>
    </x:row>
    <x:row r="140" ht="32" customHeight="1">
      <x:c r="A140" s="314" t="str">
        <x:v>RTLH-0169</x:v>
      </x:c>
      <x:c r="B140" s="315" t="str">
        <x:v>MISLIYEH</x:v>
      </x:c>
      <x:c r="C140" s="316"/>
      <x:c r="D140" s="316"/>
      <x:c r="E140" s="315" t="str">
        <x:v>JL,BASUKI RACHMAD UJUNG II RT/RW 008/003</x:v>
      </x:c>
      <x:c r="F140" s="315" t="str">
        <x:v>SRIWIJAYA</x:v>
      </x:c>
      <x:c r="G140" s="315" t="str">
        <x:v>GIRIMAYA</x:v>
      </x:c>
      <x:c r="H140" s="315" t="str">
        <x:v>Belum Ditentukan</x:v>
      </x:c>
      <x:c r="I140" s="317" t="str">
        <x:v>RUMAH FULL PAPAN, SEBAGIAN BETON WC,PERMANEN, LANTAI FULL FLOOR,ATAP ASBES RUSAK RINGAN</x:v>
      </x:c>
      <x:c r="J140" s="315" t="str">
        <x:v>Semipermanen</x:v>
      </x:c>
      <x:c r="K140" s="315" t="str">
        <x:v>Asbes/Fiber Semen</x:v>
      </x:c>
      <x:c r="L140" s="315" t="str">
        <x:v>Rusak Ringan</x:v>
      </x:c>
      <x:c r="M140" s="367" t="str">
        <x:v>Campuran Permanen dan Papan</x:v>
      </x:c>
      <x:c r="N140" s="315" t="str">
        <x:v>Belum Dinilai</x:v>
      </x:c>
      <x:c r="O140" s="316" t="str">
        <x:v>Semen/Plester</x:v>
      </x:c>
      <x:c r="P140" s="349" t="str">
        <x:v>Rusak Ringan</x:v>
      </x:c>
      <x:c r="Q140" s="707" t="str">
        <x:v>Belum Dinilai</x:v>
      </x:c>
      <x:c r="R140" s="707" t="str">
        <x:v>Belum Dinilai</x:v>
      </x:c>
      <x:c r="S140" s="708" t="str">
        <x:v>Belum Dinilai</x:v>
      </x:c>
      <x:c r="T140" s="709" t="str">
        <x:v>Belum Dinilai</x:v>
      </x:c>
      <x:c r="U140" s="704" t="str">
        <x:v>Belum Dinilai</x:v>
      </x:c>
      <x:c r="V140" s="704" t="str">
        <x:v>Belum Dinilai</x:v>
      </x:c>
      <x:c r="W140" s="704" t="str"/>
      <x:c r="X140" s="704" t="str">
        <x:f>IF(COUNTIF(R140:V140,"Belum Dinilai")&gt;0,"Belum Dinilai",IF(COUNTIF(R140:V140,"Ya")=0,"Tidak ada faktor rentan",TEXTJOIN(", ",TRUE,IF(R140="Ya","Lansia",""),IF(S140="Ya","Penyandang disabilitas",""),IF(T140="Ya","Kepala keluarga perempuan",""),IF(U140="Ya","Balita",""),IF(V140="Ya","Anggota keluarga dengan ketergantungan tinggi",""))))</x:f>
        <x:v>Belum Dinilai</x:v>
      </x:c>
      <x:c r="Y140" s="704" t="str">
        <x:f>IF(COUNTIF(R140:V140,"Belum Dinilai")&gt;0,"Belum Dinilai",IF(COUNTIF(R140:V140,"Ya")=0,"Tidak Ada Faktor Rentan",IF(COUNTIF(R140:V140,"Ya")=1,"1 Faktor Rentan","2 atau Lebih Faktor Rentan")))</x:f>
        <x:v>Belum Dinilai</x:v>
      </x:c>
      <x:c r="Z140" s="704" t="str">
        <x:f>IF(OR(Q140="",Q140="Belum Dinilai"),"",IF(Q140="Terverifikasi DTKS/P3KE/MBR",10,IF(Q140="Diusulkan, Belum Terverifikasi",5,0)))</x:f>
      </x:c>
      <x:c r="AA140" s="705" t="str">
        <x:f>IF(COUNTIF(R140:V140,"Belum Dinilai")&gt;0,"",IF(COUNTIF(R140:V140,"Ya")=0,0,IF(COUNTIF(R140:V140,"Ya")=1,5,10)))</x:f>
      </x:c>
      <x:c r="AB140" s="706" t="str">
        <x:f>IF(OR(Z140="",AA140=""),"",Z140+AA140)</x:f>
      </x:c>
      <x:c r="AC140" s="713" t="str">
        <x:v>Belum Dinilai</x:v>
      </x:c>
      <x:c r="AD140" s="713" t="str">
        <x:v>Belum Dinilai</x:v>
      </x:c>
      <x:c r="AE140" s="714" t="str">
        <x:v>Belum Dinilai</x:v>
      </x:c>
      <x:c r="AF140" s="713" t="str">
        <x:v>Belum Dinilai</x:v>
      </x:c>
      <x:c r="AG140" s="713" t="str">
        <x:v>Belum Dinilai</x:v>
      </x:c>
      <x:c r="AH140" s="715" t="str">
        <x:v>Belum Dinilai</x:v>
      </x:c>
      <x:c r="AI140" s="714" t="str">
        <x:v>Belum Dinilai</x:v>
      </x:c>
      <x:c r="AJ140" s="713" t="str">
        <x:v>Belum Dinilai</x:v>
      </x:c>
      <x:c r="AK140" s="715" t="str">
        <x:v>Belum Dinilai</x:v>
      </x:c>
      <x:c r="AL140" s="713" t="str"/>
      <x:c r="AM140" s="716" t="str">
        <x:v>Belum Dinilai</x:v>
      </x:c>
      <x:c r="AN140" s="716" t="str">
        <x:f>IF(AND(COUNTIF(AC140:AK140,"Ya")=0,AL140=""),IF(COUNTIF(AC140:AK140,"Belum Dinilai")&gt;0,"Belum Dinilai","Tidak ada risiko khusus"),TEXTJOIN(", ",TRUE,IF(AC140="Ya","Bangunan berpotensi roboh",""),IF(AD140="Ya","Bekas kebakaran dan tidak aman dihuni",""),IF(AE140="Ya","Atap atau dinding utama hampir runtuh",""),IF(AF140="Ya","Genangan yang membahayakan",""),IF(AG140="Ya","Struktur rumah tidak stabil",""),IF(AH140="Ya","Instalasi listrik berbahaya",""),IF(AI140="Ya","Komponen bangunan lepas atau lapuk",""),IF(AJ140="Ya","Akses keluar atau evakuasi terbatas",""),IF(AK140="Ya","Lokasi rawan bencana",""),IF(AL140&lt;&gt;"","Lainnya: "&amp;AL140,"")))</x:f>
        <x:v>Belum Dinilai</x:v>
      </x:c>
      <x:c r="AO140" s="716" t="str">
        <x:f>IF(AR140="","Belum Dinilai",IF(AR140=10,"Risiko Tinggi/Darurat",IF(AR140=5,"Risiko Sedang","Tidak Ada Risiko Khusus")))</x:f>
        <x:v>Belum Dinilai</x:v>
      </x:c>
      <x:c r="AP140" s="716" t="str"/>
      <x:c r="AQ140" s="719" t="str">
        <x:f>IF(OR(J140="",J140="Belum Dapat Ditentukan",L140="",L140="Belum Dinilai",N140="",N140="Belum Dinilai",P140="",P140="Belum Dinilai"),"",IF(J140="Permanen",0,IF(J140="Semipermanen",8,IF(J140="Nonpermanen",15,0)))+IF(L140="Baik",0,IF(L140="Rusak Ringan",5,IF(L140="Rusak Sedang",10,IF(L140="Rusak Berat",15,IF(L140="Tidak Ada/Terbuka",20,0)))))+IF(N140="Baik",0,IF(N140="Rusak Ringan",5,IF(N140="Rusak Sedang",10,IF(N140="Rusak Berat",15,IF(N140="Tidak Ada/Terbuka",20,0)))))+IF(P140="Baik",0,IF(P140="Rusak Ringan",4,IF(P140="Rusak Sedang",8,IF(P140="Rusak Berat",12,IF(P140="Tidak Layak",15,0))))))</x:f>
      </x:c>
      <x:c r="AR140" s="719" t="str">
        <x:f>IF(COUNTIF(AC140:AH140,"Ya")&gt;0,10,IF(COUNTIF(AI140:AK140,"Ya")&gt;=2,10,IF(COUNTIF(AI140:AK140,"Ya")=1,MAX(5,IF(AM140="Risiko Tinggi/Darurat",10,IF(AM140="Risiko Sedang",5,0))),IF(AL140&lt;&gt;"",IF(AM140="Risiko Tinggi/Darurat",10,IF(AM140="Risiko Sedang",5,"")),IF(COUNTIF(AC140:AK140,"Belum Dinilai")&gt;0,"",0)))))</x:f>
      </x:c>
      <x:c r="AS140" s="719" t="str">
        <x:f>IF(OR(AQ140="",AB140="",AR140=""),"",AQ140+AB140+AR140)</x:f>
      </x:c>
      <x:c r="AT140" s="719" t="str">
        <x:f>IF(AS140="","Belum Dapat Ditentukan",IF(AS140&gt;=80,"Sangat Tinggi",IF(OR(AO140="Risiko Tinggi/Darurat",(IF(L140="Rusak Berat",1,0)+IF(L140="Tidak Ada/Terbuka",1,0)+IF(N140="Rusak Berat",1,0)+IF(N140="Tidak Ada/Terbuka",1,0)+IF(P140="Rusak Berat",1,0)+IF(P140="Tidak Layak",1,0))&gt;=2),"Tinggi",IF(AS140&gt;=65,"Tinggi",IF(AS140&gt;=50,"Sedang","Rendah")))))</x:f>
        <x:v>Belum Dapat Ditentukan</x:v>
      </x:c>
      <x:c r="AU140" s="240" t="str">
        <x:v>Belum Lengkap</x:v>
      </x:c>
      <x:c r="AV140" s="240" t="str">
        <x:v>Sudah Diverifikasi</x:v>
      </x:c>
      <x:c r="AW140" s="240" t="str">
        <x:v>Belum Ditangani</x:v>
      </x:c>
      <x:c r="AX140" s="240"/>
      <x:c r="AY140" s="240"/>
      <x:c r="AZ140" s="240" t="str">
        <x:v>Belum Diverifikasi</x:v>
      </x:c>
      <x:c r="BA140" s="240"/>
      <x:c r="BB140" s="240"/>
      <x:c r="BC140" s="240" t="n">
        <x:v>2026</x:v>
      </x:c>
      <x:c r="BD140" s="240" t="str">
        <x:v>Usulan Musrenbang/Pokir DPRD</x:v>
      </x:c>
      <x:c r="BE140" s="240" t="n">
        <x:v>46218</x:v>
      </x:c>
      <x:c r="BF140" s="240" t="str">
        <x:v>Dinas Perkim Kota Pangkalpinang</x:v>
      </x:c>
    </x:row>
    <x:row r="141" ht="32" customHeight="1">
      <x:c r="A141" s="314" t="str">
        <x:v>RTLH-0170</x:v>
      </x:c>
      <x:c r="B141" s="315" t="str">
        <x:v>NIRAH</x:v>
      </x:c>
      <x:c r="C141" s="316"/>
      <x:c r="D141" s="316"/>
      <x:c r="E141" s="315" t="str">
        <x:v>JL,BASUKI RACHMAD UJUNG II RT/RW 008/003</x:v>
      </x:c>
      <x:c r="F141" s="315" t="str">
        <x:v>SRIWIJAYA</x:v>
      </x:c>
      <x:c r="G141" s="315" t="str">
        <x:v>GIRIMAYA</x:v>
      </x:c>
      <x:c r="H141" s="315" t="str">
        <x:v>Belum Ditentukan</x:v>
      </x:c>
      <x:c r="I141" s="317" t="str">
        <x:v>RUMAH FULL PAPAN, DINDING RUSAK RINGAN, LANTAI FULL FLOOR ATAP SENG, DINDING RUSAK RINGAN, ATAP RUSAK RINGAN LANTAI RUSAK RINGAN</x:v>
      </x:c>
      <x:c r="J141" s="315" t="str">
        <x:v>Nonpermanen</x:v>
      </x:c>
      <x:c r="K141" s="315" t="str">
        <x:v>Seng</x:v>
      </x:c>
      <x:c r="L141" s="315" t="str">
        <x:v>Rusak Ringan</x:v>
      </x:c>
      <x:c r="M141" s="367" t="str">
        <x:v>Papan/Kayu</x:v>
      </x:c>
      <x:c r="N141" s="315" t="str">
        <x:v>Rusak Ringan</x:v>
      </x:c>
      <x:c r="O141" s="316" t="str">
        <x:v>Semen/Plester</x:v>
      </x:c>
      <x:c r="P141" s="349" t="str">
        <x:v>Rusak Ringan</x:v>
      </x:c>
      <x:c r="Q141" s="707" t="str">
        <x:v>Belum Dinilai</x:v>
      </x:c>
      <x:c r="R141" s="707" t="str">
        <x:v>Belum Dinilai</x:v>
      </x:c>
      <x:c r="S141" s="708" t="str">
        <x:v>Belum Dinilai</x:v>
      </x:c>
      <x:c r="T141" s="709" t="str">
        <x:v>Belum Dinilai</x:v>
      </x:c>
      <x:c r="U141" s="704" t="str">
        <x:v>Belum Dinilai</x:v>
      </x:c>
      <x:c r="V141" s="704" t="str">
        <x:v>Belum Dinilai</x:v>
      </x:c>
      <x:c r="W141" s="704" t="str"/>
      <x:c r="X141" s="704" t="str">
        <x:f>IF(COUNTIF(R141:V141,"Belum Dinilai")&gt;0,"Belum Dinilai",IF(COUNTIF(R141:V141,"Ya")=0,"Tidak ada faktor rentan",TEXTJOIN(", ",TRUE,IF(R141="Ya","Lansia",""),IF(S141="Ya","Penyandang disabilitas",""),IF(T141="Ya","Kepala keluarga perempuan",""),IF(U141="Ya","Balita",""),IF(V141="Ya","Anggota keluarga dengan ketergantungan tinggi",""))))</x:f>
        <x:v>Belum Dinilai</x:v>
      </x:c>
      <x:c r="Y141" s="704" t="str">
        <x:f>IF(COUNTIF(R141:V141,"Belum Dinilai")&gt;0,"Belum Dinilai",IF(COUNTIF(R141:V141,"Ya")=0,"Tidak Ada Faktor Rentan",IF(COUNTIF(R141:V141,"Ya")=1,"1 Faktor Rentan","2 atau Lebih Faktor Rentan")))</x:f>
        <x:v>Belum Dinilai</x:v>
      </x:c>
      <x:c r="Z141" s="704" t="str">
        <x:f>IF(OR(Q141="",Q141="Belum Dinilai"),"",IF(Q141="Terverifikasi DTKS/P3KE/MBR",10,IF(Q141="Diusulkan, Belum Terverifikasi",5,0)))</x:f>
      </x:c>
      <x:c r="AA141" s="705" t="str">
        <x:f>IF(COUNTIF(R141:V141,"Belum Dinilai")&gt;0,"",IF(COUNTIF(R141:V141,"Ya")=0,0,IF(COUNTIF(R141:V141,"Ya")=1,5,10)))</x:f>
      </x:c>
      <x:c r="AB141" s="706" t="str">
        <x:f>IF(OR(Z141="",AA141=""),"",Z141+AA141)</x:f>
      </x:c>
      <x:c r="AC141" s="713" t="str">
        <x:v>Belum Dinilai</x:v>
      </x:c>
      <x:c r="AD141" s="713" t="str">
        <x:v>Belum Dinilai</x:v>
      </x:c>
      <x:c r="AE141" s="714" t="str">
        <x:v>Belum Dinilai</x:v>
      </x:c>
      <x:c r="AF141" s="713" t="str">
        <x:v>Belum Dinilai</x:v>
      </x:c>
      <x:c r="AG141" s="713" t="str">
        <x:v>Belum Dinilai</x:v>
      </x:c>
      <x:c r="AH141" s="715" t="str">
        <x:v>Belum Dinilai</x:v>
      </x:c>
      <x:c r="AI141" s="714" t="str">
        <x:v>Belum Dinilai</x:v>
      </x:c>
      <x:c r="AJ141" s="713" t="str">
        <x:v>Belum Dinilai</x:v>
      </x:c>
      <x:c r="AK141" s="715" t="str">
        <x:v>Belum Dinilai</x:v>
      </x:c>
      <x:c r="AL141" s="713" t="str"/>
      <x:c r="AM141" s="716" t="str">
        <x:v>Belum Dinilai</x:v>
      </x:c>
      <x:c r="AN141" s="716" t="str">
        <x:f>IF(AND(COUNTIF(AC141:AK141,"Ya")=0,AL141=""),IF(COUNTIF(AC141:AK141,"Belum Dinilai")&gt;0,"Belum Dinilai","Tidak ada risiko khusus"),TEXTJOIN(", ",TRUE,IF(AC141="Ya","Bangunan berpotensi roboh",""),IF(AD141="Ya","Bekas kebakaran dan tidak aman dihuni",""),IF(AE141="Ya","Atap atau dinding utama hampir runtuh",""),IF(AF141="Ya","Genangan yang membahayakan",""),IF(AG141="Ya","Struktur rumah tidak stabil",""),IF(AH141="Ya","Instalasi listrik berbahaya",""),IF(AI141="Ya","Komponen bangunan lepas atau lapuk",""),IF(AJ141="Ya","Akses keluar atau evakuasi terbatas",""),IF(AK141="Ya","Lokasi rawan bencana",""),IF(AL141&lt;&gt;"","Lainnya: "&amp;AL141,"")))</x:f>
        <x:v>Belum Dinilai</x:v>
      </x:c>
      <x:c r="AO141" s="716" t="str">
        <x:f>IF(AR141="","Belum Dinilai",IF(AR141=10,"Risiko Tinggi/Darurat",IF(AR141=5,"Risiko Sedang","Tidak Ada Risiko Khusus")))</x:f>
        <x:v>Belum Dinilai</x:v>
      </x:c>
      <x:c r="AP141" s="716" t="str"/>
      <x:c r="AQ141" s="719" t="n">
        <x:f>IF(OR(J141="",J141="Belum Dapat Ditentukan",L141="",L141="Belum Dinilai",N141="",N141="Belum Dinilai",P141="",P141="Belum Dinilai"),"",IF(J141="Permanen",0,IF(J141="Semipermanen",8,IF(J141="Nonpermanen",15,0)))+IF(L141="Baik",0,IF(L141="Rusak Ringan",5,IF(L141="Rusak Sedang",10,IF(L141="Rusak Berat",15,IF(L141="Tidak Ada/Terbuka",20,0)))))+IF(N141="Baik",0,IF(N141="Rusak Ringan",5,IF(N141="Rusak Sedang",10,IF(N141="Rusak Berat",15,IF(N141="Tidak Ada/Terbuka",20,0)))))+IF(P141="Baik",0,IF(P141="Rusak Ringan",4,IF(P141="Rusak Sedang",8,IF(P141="Rusak Berat",12,IF(P141="Tidak Layak",15,0))))))</x:f>
        <x:v>29</x:v>
      </x:c>
      <x:c r="AR141" s="719" t="str">
        <x:f>IF(COUNTIF(AC141:AH141,"Ya")&gt;0,10,IF(COUNTIF(AI141:AK141,"Ya")&gt;=2,10,IF(COUNTIF(AI141:AK141,"Ya")=1,MAX(5,IF(AM141="Risiko Tinggi/Darurat",10,IF(AM141="Risiko Sedang",5,0))),IF(AL141&lt;&gt;"",IF(AM141="Risiko Tinggi/Darurat",10,IF(AM141="Risiko Sedang",5,"")),IF(COUNTIF(AC141:AK141,"Belum Dinilai")&gt;0,"",0)))))</x:f>
      </x:c>
      <x:c r="AS141" s="719" t="str">
        <x:f>IF(OR(AQ141="",AB141="",AR141=""),"",AQ141+AB141+AR141)</x:f>
      </x:c>
      <x:c r="AT141" s="719" t="str">
        <x:f>IF(AS141="","Belum Dapat Ditentukan",IF(AS141&gt;=80,"Sangat Tinggi",IF(OR(AO141="Risiko Tinggi/Darurat",(IF(L141="Rusak Berat",1,0)+IF(L141="Tidak Ada/Terbuka",1,0)+IF(N141="Rusak Berat",1,0)+IF(N141="Tidak Ada/Terbuka",1,0)+IF(P141="Rusak Berat",1,0)+IF(P141="Tidak Layak",1,0))&gt;=2),"Tinggi",IF(AS141&gt;=65,"Tinggi",IF(AS141&gt;=50,"Sedang","Rendah")))))</x:f>
        <x:v>Belum Dapat Ditentukan</x:v>
      </x:c>
      <x:c r="AU141" s="240" t="str">
        <x:v>Lengkap</x:v>
      </x:c>
      <x:c r="AV141" s="240" t="str">
        <x:v>Sudah Diverifikasi</x:v>
      </x:c>
      <x:c r="AW141" s="240" t="str">
        <x:v>Belum Ditangani</x:v>
      </x:c>
      <x:c r="AX141" s="240"/>
      <x:c r="AY141" s="240"/>
      <x:c r="AZ141" s="240" t="str">
        <x:v>Belum Diverifikasi</x:v>
      </x:c>
      <x:c r="BA141" s="240"/>
      <x:c r="BB141" s="240"/>
      <x:c r="BC141" s="240" t="n">
        <x:v>2026</x:v>
      </x:c>
      <x:c r="BD141" s="240" t="str">
        <x:v>Usulan Musrenbang/Pokir DPRD</x:v>
      </x:c>
      <x:c r="BE141" s="240" t="n">
        <x:v>46218</x:v>
      </x:c>
      <x:c r="BF141" s="240" t="str">
        <x:v>Dinas Perkim Kota Pangkalpinang</x:v>
      </x:c>
    </x:row>
    <x:row r="142" ht="32" customHeight="1">
      <x:c r="A142" s="314" t="str">
        <x:v>RTLH-0171</x:v>
      </x:c>
      <x:c r="B142" s="315" t="str">
        <x:v>MARYEMAH</x:v>
      </x:c>
      <x:c r="C142" s="316"/>
      <x:c r="D142" s="316"/>
      <x:c r="E142" s="315" t="str">
        <x:v>JL,PERBAKIN RT/RW 007/003</x:v>
      </x:c>
      <x:c r="F142" s="315" t="str">
        <x:v>SRIWIJAYA</x:v>
      </x:c>
      <x:c r="G142" s="315" t="str">
        <x:v>GIRIMAYA</x:v>
      </x:c>
      <x:c r="H142" s="315" t="str">
        <x:v>Pembangunan Baru</x:v>
      </x:c>
      <x:c r="I142" s="317" t="str">
        <x:v>RUMAH FULL PAPAN,LANTAI FULL FLOOR, ATAP SENG RUSAK RINGAN, DINDING PAPAN RUSAK RINGAN, LANTAI RUSAK RINGAN</x:v>
      </x:c>
      <x:c r="J142" s="315" t="str">
        <x:v>Nonpermanen</x:v>
      </x:c>
      <x:c r="K142" s="315" t="str">
        <x:v>Seng</x:v>
      </x:c>
      <x:c r="L142" s="315" t="str">
        <x:v>Rusak Ringan</x:v>
      </x:c>
      <x:c r="M142" s="367" t="str">
        <x:v>Papan/Kayu</x:v>
      </x:c>
      <x:c r="N142" s="315" t="str">
        <x:v>Rusak Ringan</x:v>
      </x:c>
      <x:c r="O142" s="316" t="str">
        <x:v>Semen/Plester</x:v>
      </x:c>
      <x:c r="P142" s="349" t="str">
        <x:v>Rusak Ringan</x:v>
      </x:c>
      <x:c r="Q142" s="707" t="str">
        <x:v>Belum Dinilai</x:v>
      </x:c>
      <x:c r="R142" s="707" t="str">
        <x:v>Belum Dinilai</x:v>
      </x:c>
      <x:c r="S142" s="708" t="str">
        <x:v>Belum Dinilai</x:v>
      </x:c>
      <x:c r="T142" s="709" t="str">
        <x:v>Belum Dinilai</x:v>
      </x:c>
      <x:c r="U142" s="704" t="str">
        <x:v>Belum Dinilai</x:v>
      </x:c>
      <x:c r="V142" s="704" t="str">
        <x:v>Belum Dinilai</x:v>
      </x:c>
      <x:c r="W142" s="704" t="str"/>
      <x:c r="X142" s="704" t="str">
        <x:f>IF(COUNTIF(R142:V142,"Belum Dinilai")&gt;0,"Belum Dinilai",IF(COUNTIF(R142:V142,"Ya")=0,"Tidak ada faktor rentan",TEXTJOIN(", ",TRUE,IF(R142="Ya","Lansia",""),IF(S142="Ya","Penyandang disabilitas",""),IF(T142="Ya","Kepala keluarga perempuan",""),IF(U142="Ya","Balita",""),IF(V142="Ya","Anggota keluarga dengan ketergantungan tinggi",""))))</x:f>
        <x:v>Belum Dinilai</x:v>
      </x:c>
      <x:c r="Y142" s="704" t="str">
        <x:f>IF(COUNTIF(R142:V142,"Belum Dinilai")&gt;0,"Belum Dinilai",IF(COUNTIF(R142:V142,"Ya")=0,"Tidak Ada Faktor Rentan",IF(COUNTIF(R142:V142,"Ya")=1,"1 Faktor Rentan","2 atau Lebih Faktor Rentan")))</x:f>
        <x:v>Belum Dinilai</x:v>
      </x:c>
      <x:c r="Z142" s="704" t="str">
        <x:f>IF(OR(Q142="",Q142="Belum Dinilai"),"",IF(Q142="Terverifikasi DTKS/P3KE/MBR",10,IF(Q142="Diusulkan, Belum Terverifikasi",5,0)))</x:f>
      </x:c>
      <x:c r="AA142" s="705" t="str">
        <x:f>IF(COUNTIF(R142:V142,"Belum Dinilai")&gt;0,"",IF(COUNTIF(R142:V142,"Ya")=0,0,IF(COUNTIF(R142:V142,"Ya")=1,5,10)))</x:f>
      </x:c>
      <x:c r="AB142" s="706" t="str">
        <x:f>IF(OR(Z142="",AA142=""),"",Z142+AA142)</x:f>
      </x:c>
      <x:c r="AC142" s="713" t="str">
        <x:v>Belum Dinilai</x:v>
      </x:c>
      <x:c r="AD142" s="713" t="str">
        <x:v>Belum Dinilai</x:v>
      </x:c>
      <x:c r="AE142" s="714" t="str">
        <x:v>Belum Dinilai</x:v>
      </x:c>
      <x:c r="AF142" s="713" t="str">
        <x:v>Belum Dinilai</x:v>
      </x:c>
      <x:c r="AG142" s="713" t="str">
        <x:v>Belum Dinilai</x:v>
      </x:c>
      <x:c r="AH142" s="715" t="str">
        <x:v>Belum Dinilai</x:v>
      </x:c>
      <x:c r="AI142" s="714" t="str">
        <x:v>Belum Dinilai</x:v>
      </x:c>
      <x:c r="AJ142" s="713" t="str">
        <x:v>Belum Dinilai</x:v>
      </x:c>
      <x:c r="AK142" s="715" t="str">
        <x:v>Belum Dinilai</x:v>
      </x:c>
      <x:c r="AL142" s="713" t="str"/>
      <x:c r="AM142" s="716" t="str">
        <x:v>Belum Dinilai</x:v>
      </x:c>
      <x:c r="AN142" s="716" t="str">
        <x:f>IF(AND(COUNTIF(AC142:AK142,"Ya")=0,AL142=""),IF(COUNTIF(AC142:AK142,"Belum Dinilai")&gt;0,"Belum Dinilai","Tidak ada risiko khusus"),TEXTJOIN(", ",TRUE,IF(AC142="Ya","Bangunan berpotensi roboh",""),IF(AD142="Ya","Bekas kebakaran dan tidak aman dihuni",""),IF(AE142="Ya","Atap atau dinding utama hampir runtuh",""),IF(AF142="Ya","Genangan yang membahayakan",""),IF(AG142="Ya","Struktur rumah tidak stabil",""),IF(AH142="Ya","Instalasi listrik berbahaya",""),IF(AI142="Ya","Komponen bangunan lepas atau lapuk",""),IF(AJ142="Ya","Akses keluar atau evakuasi terbatas",""),IF(AK142="Ya","Lokasi rawan bencana",""),IF(AL142&lt;&gt;"","Lainnya: "&amp;AL142,"")))</x:f>
        <x:v>Belum Dinilai</x:v>
      </x:c>
      <x:c r="AO142" s="716" t="str">
        <x:f>IF(AR142="","Belum Dinilai",IF(AR142=10,"Risiko Tinggi/Darurat",IF(AR142=5,"Risiko Sedang","Tidak Ada Risiko Khusus")))</x:f>
        <x:v>Belum Dinilai</x:v>
      </x:c>
      <x:c r="AP142" s="716" t="str"/>
      <x:c r="AQ142" s="719" t="n">
        <x:f>IF(OR(J142="",J142="Belum Dapat Ditentukan",L142="",L142="Belum Dinilai",N142="",N142="Belum Dinilai",P142="",P142="Belum Dinilai"),"",IF(J142="Permanen",0,IF(J142="Semipermanen",8,IF(J142="Nonpermanen",15,0)))+IF(L142="Baik",0,IF(L142="Rusak Ringan",5,IF(L142="Rusak Sedang",10,IF(L142="Rusak Berat",15,IF(L142="Tidak Ada/Terbuka",20,0)))))+IF(N142="Baik",0,IF(N142="Rusak Ringan",5,IF(N142="Rusak Sedang",10,IF(N142="Rusak Berat",15,IF(N142="Tidak Ada/Terbuka",20,0)))))+IF(P142="Baik",0,IF(P142="Rusak Ringan",4,IF(P142="Rusak Sedang",8,IF(P142="Rusak Berat",12,IF(P142="Tidak Layak",15,0))))))</x:f>
        <x:v>29</x:v>
      </x:c>
      <x:c r="AR142" s="719" t="str">
        <x:f>IF(COUNTIF(AC142:AH142,"Ya")&gt;0,10,IF(COUNTIF(AI142:AK142,"Ya")&gt;=2,10,IF(COUNTIF(AI142:AK142,"Ya")=1,MAX(5,IF(AM142="Risiko Tinggi/Darurat",10,IF(AM142="Risiko Sedang",5,0))),IF(AL142&lt;&gt;"",IF(AM142="Risiko Tinggi/Darurat",10,IF(AM142="Risiko Sedang",5,"")),IF(COUNTIF(AC142:AK142,"Belum Dinilai")&gt;0,"",0)))))</x:f>
      </x:c>
      <x:c r="AS142" s="719" t="str">
        <x:f>IF(OR(AQ142="",AB142="",AR142=""),"",AQ142+AB142+AR142)</x:f>
      </x:c>
      <x:c r="AT142" s="719" t="str">
        <x:f>IF(AS142="","Belum Dapat Ditentukan",IF(AS142&gt;=80,"Sangat Tinggi",IF(OR(AO142="Risiko Tinggi/Darurat",(IF(L142="Rusak Berat",1,0)+IF(L142="Tidak Ada/Terbuka",1,0)+IF(N142="Rusak Berat",1,0)+IF(N142="Tidak Ada/Terbuka",1,0)+IF(P142="Rusak Berat",1,0)+IF(P142="Tidak Layak",1,0))&gt;=2),"Tinggi",IF(AS142&gt;=65,"Tinggi",IF(AS142&gt;=50,"Sedang","Rendah")))))</x:f>
        <x:v>Belum Dapat Ditentukan</x:v>
      </x:c>
      <x:c r="AU142" s="240" t="str">
        <x:v>Lengkap</x:v>
      </x:c>
      <x:c r="AV142" s="240" t="str">
        <x:v>Sudah Diverifikasi</x:v>
      </x:c>
      <x:c r="AW142" s="240" t="str">
        <x:v>Selesai</x:v>
      </x:c>
      <x:c r="AX142" s="240" t="str">
        <x:v>APBD Kota</x:v>
      </x:c>
      <x:c r="AY142" s="240" t="n">
        <x:v>2022</x:v>
      </x:c>
      <x:c r="AZ142" s="240" t="str">
        <x:v>Belum Diverifikasi</x:v>
      </x:c>
      <x:c r="BA142" s="240"/>
      <x:c r="BB142" s="240"/>
      <x:c r="BC142" s="240" t="n">
        <x:v>2026</x:v>
      </x:c>
      <x:c r="BD142" s="240" t="str">
        <x:v>Usulan Musrenbang/Pokir DPRD</x:v>
      </x:c>
      <x:c r="BE142" s="240" t="n">
        <x:v>46218</x:v>
      </x:c>
      <x:c r="BF142" s="240" t="str">
        <x:v>Dinas Perkim Kota Pangkalpinang</x:v>
      </x:c>
    </x:row>
    <x:row r="143" ht="32" customHeight="1">
      <x:c r="A143" s="314" t="str">
        <x:v>RTLH-0172</x:v>
      </x:c>
      <x:c r="B143" s="315" t="str">
        <x:v>LIN HON JON</x:v>
      </x:c>
      <x:c r="C143" s="316"/>
      <x:c r="D143" s="316"/>
      <x:c r="E143" s="315" t="str">
        <x:v>JL,BUKIT TUNGGAL RT/RW 008/003</x:v>
      </x:c>
      <x:c r="F143" s="315" t="str">
        <x:v>SRIWIJAYA</x:v>
      </x:c>
      <x:c r="G143" s="315" t="str">
        <x:v>GIRIMAYA</x:v>
      </x:c>
      <x:c r="H143" s="315" t="str">
        <x:v>Pembangunan Baru</x:v>
      </x:c>
      <x:c r="I143" s="317" t="str">
        <x:v>RUMAH SEMI PERMANEN, SEBAGIAN DINDING PAPAN RUSAK RINGAN, LANTAI FULL FLOOR, LANTAI RUSAK RINGAN,BAGIAN DAPUR PERMANEN, ATAP RUSAK RINGAN</x:v>
      </x:c>
      <x:c r="J143" s="315" t="str">
        <x:v>Semipermanen</x:v>
      </x:c>
      <x:c r="K143" s="315" t="str">
        <x:v>Belum Diidentifikasi</x:v>
      </x:c>
      <x:c r="L143" s="315" t="str">
        <x:v>Rusak Ringan</x:v>
      </x:c>
      <x:c r="M143" s="367" t="str">
        <x:v>Papan/Kayu</x:v>
      </x:c>
      <x:c r="N143" s="315" t="str">
        <x:v>Rusak Ringan</x:v>
      </x:c>
      <x:c r="O143" s="316" t="str">
        <x:v>Semen/Plester</x:v>
      </x:c>
      <x:c r="P143" s="349" t="str">
        <x:v>Rusak Ringan</x:v>
      </x:c>
      <x:c r="Q143" s="707" t="str">
        <x:v>Belum Dinilai</x:v>
      </x:c>
      <x:c r="R143" s="707" t="str">
        <x:v>Belum Dinilai</x:v>
      </x:c>
      <x:c r="S143" s="708" t="str">
        <x:v>Belum Dinilai</x:v>
      </x:c>
      <x:c r="T143" s="709" t="str">
        <x:v>Belum Dinilai</x:v>
      </x:c>
      <x:c r="U143" s="704" t="str">
        <x:v>Belum Dinilai</x:v>
      </x:c>
      <x:c r="V143" s="704" t="str">
        <x:v>Belum Dinilai</x:v>
      </x:c>
      <x:c r="W143" s="704" t="str"/>
      <x:c r="X143" s="704" t="str">
        <x:f>IF(COUNTIF(R143:V143,"Belum Dinilai")&gt;0,"Belum Dinilai",IF(COUNTIF(R143:V143,"Ya")=0,"Tidak ada faktor rentan",TEXTJOIN(", ",TRUE,IF(R143="Ya","Lansia",""),IF(S143="Ya","Penyandang disabilitas",""),IF(T143="Ya","Kepala keluarga perempuan",""),IF(U143="Ya","Balita",""),IF(V143="Ya","Anggota keluarga dengan ketergantungan tinggi",""))))</x:f>
        <x:v>Belum Dinilai</x:v>
      </x:c>
      <x:c r="Y143" s="704" t="str">
        <x:f>IF(COUNTIF(R143:V143,"Belum Dinilai")&gt;0,"Belum Dinilai",IF(COUNTIF(R143:V143,"Ya")=0,"Tidak Ada Faktor Rentan",IF(COUNTIF(R143:V143,"Ya")=1,"1 Faktor Rentan","2 atau Lebih Faktor Rentan")))</x:f>
        <x:v>Belum Dinilai</x:v>
      </x:c>
      <x:c r="Z143" s="704" t="str">
        <x:f>IF(OR(Q143="",Q143="Belum Dinilai"),"",IF(Q143="Terverifikasi DTKS/P3KE/MBR",10,IF(Q143="Diusulkan, Belum Terverifikasi",5,0)))</x:f>
      </x:c>
      <x:c r="AA143" s="705" t="str">
        <x:f>IF(COUNTIF(R143:V143,"Belum Dinilai")&gt;0,"",IF(COUNTIF(R143:V143,"Ya")=0,0,IF(COUNTIF(R143:V143,"Ya")=1,5,10)))</x:f>
      </x:c>
      <x:c r="AB143" s="706" t="str">
        <x:f>IF(OR(Z143="",AA143=""),"",Z143+AA143)</x:f>
      </x:c>
      <x:c r="AC143" s="713" t="str">
        <x:v>Belum Dinilai</x:v>
      </x:c>
      <x:c r="AD143" s="713" t="str">
        <x:v>Belum Dinilai</x:v>
      </x:c>
      <x:c r="AE143" s="714" t="str">
        <x:v>Belum Dinilai</x:v>
      </x:c>
      <x:c r="AF143" s="713" t="str">
        <x:v>Belum Dinilai</x:v>
      </x:c>
      <x:c r="AG143" s="713" t="str">
        <x:v>Belum Dinilai</x:v>
      </x:c>
      <x:c r="AH143" s="715" t="str">
        <x:v>Belum Dinilai</x:v>
      </x:c>
      <x:c r="AI143" s="714" t="str">
        <x:v>Belum Dinilai</x:v>
      </x:c>
      <x:c r="AJ143" s="713" t="str">
        <x:v>Belum Dinilai</x:v>
      </x:c>
      <x:c r="AK143" s="715" t="str">
        <x:v>Belum Dinilai</x:v>
      </x:c>
      <x:c r="AL143" s="713" t="str"/>
      <x:c r="AM143" s="716" t="str">
        <x:v>Belum Dinilai</x:v>
      </x:c>
      <x:c r="AN143" s="716" t="str">
        <x:f>IF(AND(COUNTIF(AC143:AK143,"Ya")=0,AL143=""),IF(COUNTIF(AC143:AK143,"Belum Dinilai")&gt;0,"Belum Dinilai","Tidak ada risiko khusus"),TEXTJOIN(", ",TRUE,IF(AC143="Ya","Bangunan berpotensi roboh",""),IF(AD143="Ya","Bekas kebakaran dan tidak aman dihuni",""),IF(AE143="Ya","Atap atau dinding utama hampir runtuh",""),IF(AF143="Ya","Genangan yang membahayakan",""),IF(AG143="Ya","Struktur rumah tidak stabil",""),IF(AH143="Ya","Instalasi listrik berbahaya",""),IF(AI143="Ya","Komponen bangunan lepas atau lapuk",""),IF(AJ143="Ya","Akses keluar atau evakuasi terbatas",""),IF(AK143="Ya","Lokasi rawan bencana",""),IF(AL143&lt;&gt;"","Lainnya: "&amp;AL143,"")))</x:f>
        <x:v>Belum Dinilai</x:v>
      </x:c>
      <x:c r="AO143" s="716" t="str">
        <x:f>IF(AR143="","Belum Dinilai",IF(AR143=10,"Risiko Tinggi/Darurat",IF(AR143=5,"Risiko Sedang","Tidak Ada Risiko Khusus")))</x:f>
        <x:v>Belum Dinilai</x:v>
      </x:c>
      <x:c r="AP143" s="716" t="str"/>
      <x:c r="AQ143" s="719" t="n">
        <x:f>IF(OR(J143="",J143="Belum Dapat Ditentukan",L143="",L143="Belum Dinilai",N143="",N143="Belum Dinilai",P143="",P143="Belum Dinilai"),"",IF(J143="Permanen",0,IF(J143="Semipermanen",8,IF(J143="Nonpermanen",15,0)))+IF(L143="Baik",0,IF(L143="Rusak Ringan",5,IF(L143="Rusak Sedang",10,IF(L143="Rusak Berat",15,IF(L143="Tidak Ada/Terbuka",20,0)))))+IF(N143="Baik",0,IF(N143="Rusak Ringan",5,IF(N143="Rusak Sedang",10,IF(N143="Rusak Berat",15,IF(N143="Tidak Ada/Terbuka",20,0)))))+IF(P143="Baik",0,IF(P143="Rusak Ringan",4,IF(P143="Rusak Sedang",8,IF(P143="Rusak Berat",12,IF(P143="Tidak Layak",15,0))))))</x:f>
        <x:v>22</x:v>
      </x:c>
      <x:c r="AR143" s="719" t="str">
        <x:f>IF(COUNTIF(AC143:AH143,"Ya")&gt;0,10,IF(COUNTIF(AI143:AK143,"Ya")&gt;=2,10,IF(COUNTIF(AI143:AK143,"Ya")=1,MAX(5,IF(AM143="Risiko Tinggi/Darurat",10,IF(AM143="Risiko Sedang",5,0))),IF(AL143&lt;&gt;"",IF(AM143="Risiko Tinggi/Darurat",10,IF(AM143="Risiko Sedang",5,"")),IF(COUNTIF(AC143:AK143,"Belum Dinilai")&gt;0,"",0)))))</x:f>
      </x:c>
      <x:c r="AS143" s="719" t="str">
        <x:f>IF(OR(AQ143="",AB143="",AR143=""),"",AQ143+AB143+AR143)</x:f>
      </x:c>
      <x:c r="AT143" s="719" t="str">
        <x:f>IF(AS143="","Belum Dapat Ditentukan",IF(AS143&gt;=80,"Sangat Tinggi",IF(OR(AO143="Risiko Tinggi/Darurat",(IF(L143="Rusak Berat",1,0)+IF(L143="Tidak Ada/Terbuka",1,0)+IF(N143="Rusak Berat",1,0)+IF(N143="Tidak Ada/Terbuka",1,0)+IF(P143="Rusak Berat",1,0)+IF(P143="Tidak Layak",1,0))&gt;=2),"Tinggi",IF(AS143&gt;=65,"Tinggi",IF(AS143&gt;=50,"Sedang","Rendah")))))</x:f>
        <x:v>Belum Dapat Ditentukan</x:v>
      </x:c>
      <x:c r="AU143" s="240" t="str">
        <x:v>Lengkap</x:v>
      </x:c>
      <x:c r="AV143" s="240" t="str">
        <x:v>Sudah Diverifikasi</x:v>
      </x:c>
      <x:c r="AW143" s="240" t="str">
        <x:v>Selesai</x:v>
      </x:c>
      <x:c r="AX143" s="240" t="str">
        <x:v>APBD Kota</x:v>
      </x:c>
      <x:c r="AY143" s="240" t="n">
        <x:v>2022</x:v>
      </x:c>
      <x:c r="AZ143" s="240" t="str">
        <x:v>Belum Diverifikasi</x:v>
      </x:c>
      <x:c r="BA143" s="240"/>
      <x:c r="BB143" s="240"/>
      <x:c r="BC143" s="240" t="n">
        <x:v>2026</x:v>
      </x:c>
      <x:c r="BD143" s="240" t="str">
        <x:v>Usulan Musrenbang/Pokir DPRD</x:v>
      </x:c>
      <x:c r="BE143" s="240" t="n">
        <x:v>46218</x:v>
      </x:c>
      <x:c r="BF143" s="240" t="str">
        <x:v>Dinas Perkim Kota Pangkalpinang</x:v>
      </x:c>
    </x:row>
    <x:row r="144" ht="32" customHeight="1">
      <x:c r="A144" s="314" t="str">
        <x:v>RTLH-0173</x:v>
      </x:c>
      <x:c r="B144" s="315" t="str">
        <x:v>SUHAILI</x:v>
      </x:c>
      <x:c r="C144" s="316"/>
      <x:c r="D144" s="316"/>
      <x:c r="E144" s="315" t="str">
        <x:v>JL.SOLIHIN GP, GG BUAH BATU 1 RT/RW 001/002</x:v>
      </x:c>
      <x:c r="F144" s="315" t="str">
        <x:v>MELINTANG</x:v>
      </x:c>
      <x:c r="G144" s="315" t="str">
        <x:v>RANGKUI</x:v>
      </x:c>
      <x:c r="H144" s="315" t="str">
        <x:v>Peningkatan Kualitas</x:v>
      </x:c>
      <x:c r="I144" s="317" t="str">
        <x:v>RUMAH PERMANEN,ATAP SENG RUSAK RINGAN, DINDING RUSAK RINGAN,LANTAI FLOOR,</x:v>
      </x:c>
      <x:c r="J144" s="315" t="str">
        <x:v>Permanen</x:v>
      </x:c>
      <x:c r="K144" s="315" t="str">
        <x:v>Seng</x:v>
      </x:c>
      <x:c r="L144" s="315" t="str">
        <x:v>Rusak Ringan</x:v>
      </x:c>
      <x:c r="M144" s="367" t="str">
        <x:v>Dinding Permanen (Material tidak dirinci)</x:v>
      </x:c>
      <x:c r="N144" s="315" t="str">
        <x:v>Rusak Ringan</x:v>
      </x:c>
      <x:c r="O144" s="316" t="str">
        <x:v>Semen/Plester</x:v>
      </x:c>
      <x:c r="P144" s="349" t="str">
        <x:v>Rusak Ringan</x:v>
      </x:c>
      <x:c r="Q144" s="707" t="str">
        <x:v>Belum Dinilai</x:v>
      </x:c>
      <x:c r="R144" s="707" t="str">
        <x:v>Belum Dinilai</x:v>
      </x:c>
      <x:c r="S144" s="708" t="str">
        <x:v>Belum Dinilai</x:v>
      </x:c>
      <x:c r="T144" s="709" t="str">
        <x:v>Belum Dinilai</x:v>
      </x:c>
      <x:c r="U144" s="704" t="str">
        <x:v>Belum Dinilai</x:v>
      </x:c>
      <x:c r="V144" s="704" t="str">
        <x:v>Belum Dinilai</x:v>
      </x:c>
      <x:c r="W144" s="704" t="str"/>
      <x:c r="X144" s="704" t="str">
        <x:f>IF(COUNTIF(R144:V144,"Belum Dinilai")&gt;0,"Belum Dinilai",IF(COUNTIF(R144:V144,"Ya")=0,"Tidak ada faktor rentan",TEXTJOIN(", ",TRUE,IF(R144="Ya","Lansia",""),IF(S144="Ya","Penyandang disabilitas",""),IF(T144="Ya","Kepala keluarga perempuan",""),IF(U144="Ya","Balita",""),IF(V144="Ya","Anggota keluarga dengan ketergantungan tinggi",""))))</x:f>
        <x:v>Belum Dinilai</x:v>
      </x:c>
      <x:c r="Y144" s="704" t="str">
        <x:f>IF(COUNTIF(R144:V144,"Belum Dinilai")&gt;0,"Belum Dinilai",IF(COUNTIF(R144:V144,"Ya")=0,"Tidak Ada Faktor Rentan",IF(COUNTIF(R144:V144,"Ya")=1,"1 Faktor Rentan","2 atau Lebih Faktor Rentan")))</x:f>
        <x:v>Belum Dinilai</x:v>
      </x:c>
      <x:c r="Z144" s="704" t="str">
        <x:f>IF(OR(Q144="",Q144="Belum Dinilai"),"",IF(Q144="Terverifikasi DTKS/P3KE/MBR",10,IF(Q144="Diusulkan, Belum Terverifikasi",5,0)))</x:f>
      </x:c>
      <x:c r="AA144" s="705" t="str">
        <x:f>IF(COUNTIF(R144:V144,"Belum Dinilai")&gt;0,"",IF(COUNTIF(R144:V144,"Ya")=0,0,IF(COUNTIF(R144:V144,"Ya")=1,5,10)))</x:f>
      </x:c>
      <x:c r="AB144" s="706" t="str">
        <x:f>IF(OR(Z144="",AA144=""),"",Z144+AA144)</x:f>
      </x:c>
      <x:c r="AC144" s="713" t="str">
        <x:v>Belum Dinilai</x:v>
      </x:c>
      <x:c r="AD144" s="713" t="str">
        <x:v>Belum Dinilai</x:v>
      </x:c>
      <x:c r="AE144" s="714" t="str">
        <x:v>Belum Dinilai</x:v>
      </x:c>
      <x:c r="AF144" s="713" t="str">
        <x:v>Belum Dinilai</x:v>
      </x:c>
      <x:c r="AG144" s="713" t="str">
        <x:v>Belum Dinilai</x:v>
      </x:c>
      <x:c r="AH144" s="715" t="str">
        <x:v>Belum Dinilai</x:v>
      </x:c>
      <x:c r="AI144" s="714" t="str">
        <x:v>Belum Dinilai</x:v>
      </x:c>
      <x:c r="AJ144" s="713" t="str">
        <x:v>Belum Dinilai</x:v>
      </x:c>
      <x:c r="AK144" s="715" t="str">
        <x:v>Belum Dinilai</x:v>
      </x:c>
      <x:c r="AL144" s="713" t="str"/>
      <x:c r="AM144" s="716" t="str">
        <x:v>Belum Dinilai</x:v>
      </x:c>
      <x:c r="AN144" s="716" t="str">
        <x:f>IF(AND(COUNTIF(AC144:AK144,"Ya")=0,AL144=""),IF(COUNTIF(AC144:AK144,"Belum Dinilai")&gt;0,"Belum Dinilai","Tidak ada risiko khusus"),TEXTJOIN(", ",TRUE,IF(AC144="Ya","Bangunan berpotensi roboh",""),IF(AD144="Ya","Bekas kebakaran dan tidak aman dihuni",""),IF(AE144="Ya","Atap atau dinding utama hampir runtuh",""),IF(AF144="Ya","Genangan yang membahayakan",""),IF(AG144="Ya","Struktur rumah tidak stabil",""),IF(AH144="Ya","Instalasi listrik berbahaya",""),IF(AI144="Ya","Komponen bangunan lepas atau lapuk",""),IF(AJ144="Ya","Akses keluar atau evakuasi terbatas",""),IF(AK144="Ya","Lokasi rawan bencana",""),IF(AL144&lt;&gt;"","Lainnya: "&amp;AL144,"")))</x:f>
        <x:v>Belum Dinilai</x:v>
      </x:c>
      <x:c r="AO144" s="716" t="str">
        <x:f>IF(AR144="","Belum Dinilai",IF(AR144=10,"Risiko Tinggi/Darurat",IF(AR144=5,"Risiko Sedang","Tidak Ada Risiko Khusus")))</x:f>
        <x:v>Belum Dinilai</x:v>
      </x:c>
      <x:c r="AP144" s="716" t="str"/>
      <x:c r="AQ144" s="719" t="n">
        <x:f>IF(OR(J144="",J144="Belum Dapat Ditentukan",L144="",L144="Belum Dinilai",N144="",N144="Belum Dinilai",P144="",P144="Belum Dinilai"),"",IF(J144="Permanen",0,IF(J144="Semipermanen",8,IF(J144="Nonpermanen",15,0)))+IF(L144="Baik",0,IF(L144="Rusak Ringan",5,IF(L144="Rusak Sedang",10,IF(L144="Rusak Berat",15,IF(L144="Tidak Ada/Terbuka",20,0)))))+IF(N144="Baik",0,IF(N144="Rusak Ringan",5,IF(N144="Rusak Sedang",10,IF(N144="Rusak Berat",15,IF(N144="Tidak Ada/Terbuka",20,0)))))+IF(P144="Baik",0,IF(P144="Rusak Ringan",4,IF(P144="Rusak Sedang",8,IF(P144="Rusak Berat",12,IF(P144="Tidak Layak",15,0))))))</x:f>
        <x:v>14</x:v>
      </x:c>
      <x:c r="AR144" s="719" t="str">
        <x:f>IF(COUNTIF(AC144:AH144,"Ya")&gt;0,10,IF(COUNTIF(AI144:AK144,"Ya")&gt;=2,10,IF(COUNTIF(AI144:AK144,"Ya")=1,MAX(5,IF(AM144="Risiko Tinggi/Darurat",10,IF(AM144="Risiko Sedang",5,0))),IF(AL144&lt;&gt;"",IF(AM144="Risiko Tinggi/Darurat",10,IF(AM144="Risiko Sedang",5,"")),IF(COUNTIF(AC144:AK144,"Belum Dinilai")&gt;0,"",0)))))</x:f>
      </x:c>
      <x:c r="AS144" s="719" t="str">
        <x:f>IF(OR(AQ144="",AB144="",AR144=""),"",AQ144+AB144+AR144)</x:f>
      </x:c>
      <x:c r="AT144" s="719" t="str">
        <x:f>IF(AS144="","Belum Dapat Ditentukan",IF(AS144&gt;=80,"Sangat Tinggi",IF(OR(AO144="Risiko Tinggi/Darurat",(IF(L144="Rusak Berat",1,0)+IF(L144="Tidak Ada/Terbuka",1,0)+IF(N144="Rusak Berat",1,0)+IF(N144="Tidak Ada/Terbuka",1,0)+IF(P144="Rusak Berat",1,0)+IF(P144="Tidak Layak",1,0))&gt;=2),"Tinggi",IF(AS144&gt;=65,"Tinggi",IF(AS144&gt;=50,"Sedang","Rendah")))))</x:f>
        <x:v>Belum Dapat Ditentukan</x:v>
      </x:c>
      <x:c r="AU144" s="240" t="str">
        <x:v>Lengkap</x:v>
      </x:c>
      <x:c r="AV144" s="240" t="str">
        <x:v>Sudah Diverifikasi</x:v>
      </x:c>
      <x:c r="AW144" s="240" t="str">
        <x:v>Selesai</x:v>
      </x:c>
      <x:c r="AX144" s="240" t="str">
        <x:v>APBD Kota</x:v>
      </x:c>
      <x:c r="AY144" s="240" t="n">
        <x:v>2023</x:v>
      </x:c>
      <x:c r="AZ144" s="240" t="str">
        <x:v>Belum Diverifikasi</x:v>
      </x:c>
      <x:c r="BA144" s="240"/>
      <x:c r="BB144" s="240"/>
      <x:c r="BC144" s="240" t="n">
        <x:v>2026</x:v>
      </x:c>
      <x:c r="BD144" s="240" t="str">
        <x:v>Usulan Musrenbang/Pokir DPRD</x:v>
      </x:c>
      <x:c r="BE144" s="240" t="n">
        <x:v>46218</x:v>
      </x:c>
      <x:c r="BF144" s="240" t="str">
        <x:v>Dinas Perkim Kota Pangkalpinang</x:v>
      </x:c>
    </x:row>
    <x:row r="145" ht="32" customHeight="1">
      <x:c r="A145" s="314" t="str">
        <x:v>RTLH-0174</x:v>
      </x:c>
      <x:c r="B145" s="315" t="str">
        <x:v>DAHLIA</x:v>
      </x:c>
      <x:c r="C145" s="316"/>
      <x:c r="D145" s="316"/>
      <x:c r="E145" s="315" t="str">
        <x:v>RT,01 RW,01</x:v>
      </x:c>
      <x:c r="F145" s="315" t="str">
        <x:v>AIR ITAM</x:v>
      </x:c>
      <x:c r="G145" s="315" t="str">
        <x:v>BUKIT INTAN</x:v>
      </x:c>
      <x:c r="H145" s="315" t="str">
        <x:v>Pembangunan Baru</x:v>
      </x:c>
      <x:c r="I145" s="317" t="str">
        <x:v>RUMAH FULL PAPAN, DINDING RUSAK RINGAN, LANTAI FLOOR, ATAP ASBES</x:v>
      </x:c>
      <x:c r="J145" s="315" t="str">
        <x:v>Nonpermanen</x:v>
      </x:c>
      <x:c r="K145" s="315" t="str">
        <x:v>Asbes/Fiber Semen</x:v>
      </x:c>
      <x:c r="L145" s="315" t="str">
        <x:v>Rusak Ringan</x:v>
      </x:c>
      <x:c r="M145" s="367" t="str">
        <x:v>Papan/Kayu</x:v>
      </x:c>
      <x:c r="N145" s="315" t="str">
        <x:v>Rusak Ringan</x:v>
      </x:c>
      <x:c r="O145" s="316" t="str">
        <x:v>Semen/Plester</x:v>
      </x:c>
      <x:c r="P145" s="349" t="str">
        <x:v>Rusak Ringan</x:v>
      </x:c>
      <x:c r="Q145" s="707" t="str">
        <x:v>Belum Dinilai</x:v>
      </x:c>
      <x:c r="R145" s="707" t="str">
        <x:v>Belum Dinilai</x:v>
      </x:c>
      <x:c r="S145" s="708" t="str">
        <x:v>Belum Dinilai</x:v>
      </x:c>
      <x:c r="T145" s="709" t="str">
        <x:v>Belum Dinilai</x:v>
      </x:c>
      <x:c r="U145" s="704" t="str">
        <x:v>Belum Dinilai</x:v>
      </x:c>
      <x:c r="V145" s="704" t="str">
        <x:v>Belum Dinilai</x:v>
      </x:c>
      <x:c r="W145" s="704" t="str"/>
      <x:c r="X145" s="704" t="str">
        <x:f>IF(COUNTIF(R145:V145,"Belum Dinilai")&gt;0,"Belum Dinilai",IF(COUNTIF(R145:V145,"Ya")=0,"Tidak ada faktor rentan",TEXTJOIN(", ",TRUE,IF(R145="Ya","Lansia",""),IF(S145="Ya","Penyandang disabilitas",""),IF(T145="Ya","Kepala keluarga perempuan",""),IF(U145="Ya","Balita",""),IF(V145="Ya","Anggota keluarga dengan ketergantungan tinggi",""))))</x:f>
        <x:v>Belum Dinilai</x:v>
      </x:c>
      <x:c r="Y145" s="704" t="str">
        <x:f>IF(COUNTIF(R145:V145,"Belum Dinilai")&gt;0,"Belum Dinilai",IF(COUNTIF(R145:V145,"Ya")=0,"Tidak Ada Faktor Rentan",IF(COUNTIF(R145:V145,"Ya")=1,"1 Faktor Rentan","2 atau Lebih Faktor Rentan")))</x:f>
        <x:v>Belum Dinilai</x:v>
      </x:c>
      <x:c r="Z145" s="704" t="str">
        <x:f>IF(OR(Q145="",Q145="Belum Dinilai"),"",IF(Q145="Terverifikasi DTKS/P3KE/MBR",10,IF(Q145="Diusulkan, Belum Terverifikasi",5,0)))</x:f>
      </x:c>
      <x:c r="AA145" s="705" t="str">
        <x:f>IF(COUNTIF(R145:V145,"Belum Dinilai")&gt;0,"",IF(COUNTIF(R145:V145,"Ya")=0,0,IF(COUNTIF(R145:V145,"Ya")=1,5,10)))</x:f>
      </x:c>
      <x:c r="AB145" s="706" t="str">
        <x:f>IF(OR(Z145="",AA145=""),"",Z145+AA145)</x:f>
      </x:c>
      <x:c r="AC145" s="713" t="str">
        <x:v>Belum Dinilai</x:v>
      </x:c>
      <x:c r="AD145" s="713" t="str">
        <x:v>Belum Dinilai</x:v>
      </x:c>
      <x:c r="AE145" s="714" t="str">
        <x:v>Belum Dinilai</x:v>
      </x:c>
      <x:c r="AF145" s="713" t="str">
        <x:v>Belum Dinilai</x:v>
      </x:c>
      <x:c r="AG145" s="713" t="str">
        <x:v>Belum Dinilai</x:v>
      </x:c>
      <x:c r="AH145" s="715" t="str">
        <x:v>Belum Dinilai</x:v>
      </x:c>
      <x:c r="AI145" s="714" t="str">
        <x:v>Belum Dinilai</x:v>
      </x:c>
      <x:c r="AJ145" s="713" t="str">
        <x:v>Belum Dinilai</x:v>
      </x:c>
      <x:c r="AK145" s="715" t="str">
        <x:v>Belum Dinilai</x:v>
      </x:c>
      <x:c r="AL145" s="713" t="str"/>
      <x:c r="AM145" s="716" t="str">
        <x:v>Belum Dinilai</x:v>
      </x:c>
      <x:c r="AN145" s="716" t="str">
        <x:f>IF(AND(COUNTIF(AC145:AK145,"Ya")=0,AL145=""),IF(COUNTIF(AC145:AK145,"Belum Dinilai")&gt;0,"Belum Dinilai","Tidak ada risiko khusus"),TEXTJOIN(", ",TRUE,IF(AC145="Ya","Bangunan berpotensi roboh",""),IF(AD145="Ya","Bekas kebakaran dan tidak aman dihuni",""),IF(AE145="Ya","Atap atau dinding utama hampir runtuh",""),IF(AF145="Ya","Genangan yang membahayakan",""),IF(AG145="Ya","Struktur rumah tidak stabil",""),IF(AH145="Ya","Instalasi listrik berbahaya",""),IF(AI145="Ya","Komponen bangunan lepas atau lapuk",""),IF(AJ145="Ya","Akses keluar atau evakuasi terbatas",""),IF(AK145="Ya","Lokasi rawan bencana",""),IF(AL145&lt;&gt;"","Lainnya: "&amp;AL145,"")))</x:f>
        <x:v>Belum Dinilai</x:v>
      </x:c>
      <x:c r="AO145" s="716" t="str">
        <x:f>IF(AR145="","Belum Dinilai",IF(AR145=10,"Risiko Tinggi/Darurat",IF(AR145=5,"Risiko Sedang","Tidak Ada Risiko Khusus")))</x:f>
        <x:v>Belum Dinilai</x:v>
      </x:c>
      <x:c r="AP145" s="716" t="str"/>
      <x:c r="AQ145" s="719" t="n">
        <x:f>IF(OR(J145="",J145="Belum Dapat Ditentukan",L145="",L145="Belum Dinilai",N145="",N145="Belum Dinilai",P145="",P145="Belum Dinilai"),"",IF(J145="Permanen",0,IF(J145="Semipermanen",8,IF(J145="Nonpermanen",15,0)))+IF(L145="Baik",0,IF(L145="Rusak Ringan",5,IF(L145="Rusak Sedang",10,IF(L145="Rusak Berat",15,IF(L145="Tidak Ada/Terbuka",20,0)))))+IF(N145="Baik",0,IF(N145="Rusak Ringan",5,IF(N145="Rusak Sedang",10,IF(N145="Rusak Berat",15,IF(N145="Tidak Ada/Terbuka",20,0)))))+IF(P145="Baik",0,IF(P145="Rusak Ringan",4,IF(P145="Rusak Sedang",8,IF(P145="Rusak Berat",12,IF(P145="Tidak Layak",15,0))))))</x:f>
        <x:v>29</x:v>
      </x:c>
      <x:c r="AR145" s="719" t="str">
        <x:f>IF(COUNTIF(AC145:AH145,"Ya")&gt;0,10,IF(COUNTIF(AI145:AK145,"Ya")&gt;=2,10,IF(COUNTIF(AI145:AK145,"Ya")=1,MAX(5,IF(AM145="Risiko Tinggi/Darurat",10,IF(AM145="Risiko Sedang",5,0))),IF(AL145&lt;&gt;"",IF(AM145="Risiko Tinggi/Darurat",10,IF(AM145="Risiko Sedang",5,"")),IF(COUNTIF(AC145:AK145,"Belum Dinilai")&gt;0,"",0)))))</x:f>
      </x:c>
      <x:c r="AS145" s="719" t="str">
        <x:f>IF(OR(AQ145="",AB145="",AR145=""),"",AQ145+AB145+AR145)</x:f>
      </x:c>
      <x:c r="AT145" s="719" t="str">
        <x:f>IF(AS145="","Belum Dapat Ditentukan",IF(AS145&gt;=80,"Sangat Tinggi",IF(OR(AO145="Risiko Tinggi/Darurat",(IF(L145="Rusak Berat",1,0)+IF(L145="Tidak Ada/Terbuka",1,0)+IF(N145="Rusak Berat",1,0)+IF(N145="Tidak Ada/Terbuka",1,0)+IF(P145="Rusak Berat",1,0)+IF(P145="Tidak Layak",1,0))&gt;=2),"Tinggi",IF(AS145&gt;=65,"Tinggi",IF(AS145&gt;=50,"Sedang","Rendah")))))</x:f>
        <x:v>Belum Dapat Ditentukan</x:v>
      </x:c>
      <x:c r="AU145" s="240" t="str">
        <x:v>Lengkap</x:v>
      </x:c>
      <x:c r="AV145" s="240" t="str">
        <x:v>Sudah Diverifikasi</x:v>
      </x:c>
      <x:c r="AW145" s="240" t="str">
        <x:v>Selesai</x:v>
      </x:c>
      <x:c r="AX145" s="240" t="str">
        <x:v>APBD Kota</x:v>
      </x:c>
      <x:c r="AY145" s="240" t="n">
        <x:v>2022</x:v>
      </x:c>
      <x:c r="AZ145" s="240" t="str">
        <x:v>Belum Diverifikasi</x:v>
      </x:c>
      <x:c r="BA145" s="240"/>
      <x:c r="BB145" s="240"/>
      <x:c r="BC145" s="240" t="n">
        <x:v>2026</x:v>
      </x:c>
      <x:c r="BD145" s="240" t="str">
        <x:v>Usulan Musrenbang/Pokir DPRD</x:v>
      </x:c>
      <x:c r="BE145" s="240" t="n">
        <x:v>46218</x:v>
      </x:c>
      <x:c r="BF145" s="240" t="str">
        <x:v>Dinas Perkim Kota Pangkalpinang</x:v>
      </x:c>
    </x:row>
    <x:row r="146" ht="32" customHeight="1">
      <x:c r="A146" s="314" t="str">
        <x:v>RTLH-0175</x:v>
      </x:c>
      <x:c r="B146" s="315" t="str">
        <x:v>ALING</x:v>
      </x:c>
      <x:c r="C146" s="316"/>
      <x:c r="D146" s="316"/>
      <x:c r="E146" s="315" t="str">
        <x:v>RT,01 RW,01</x:v>
      </x:c>
      <x:c r="F146" s="315" t="str">
        <x:v>BACANG</x:v>
      </x:c>
      <x:c r="G146" s="315" t="str">
        <x:v>BUKIT INTAN</x:v>
      </x:c>
      <x:c r="H146" s="315" t="str">
        <x:v>Pembangunan Baru</x:v>
      </x:c>
      <x:c r="I146" s="317" t="str">
        <x:v>Keadaan Rumah Semi Permanen, Hanya bagian ruang tamu, (Full Papan)</x:v>
      </x:c>
      <x:c r="J146" s="315" t="str">
        <x:v>Semipermanen</x:v>
      </x:c>
      <x:c r="K146" s="315" t="str">
        <x:v>Belum Diidentifikasi</x:v>
      </x:c>
      <x:c r="L146" s="315" t="str">
        <x:v>Belum Dinilai</x:v>
      </x:c>
      <x:c r="M146" s="367" t="str">
        <x:v>Papan/Kayu</x:v>
      </x:c>
      <x:c r="N146" s="315" t="str">
        <x:v>Belum Dinilai</x:v>
      </x:c>
      <x:c r="O146" s="316" t="str">
        <x:v>Belum Diidentifikasi</x:v>
      </x:c>
      <x:c r="P146" s="349" t="str">
        <x:v>Belum Dinilai</x:v>
      </x:c>
      <x:c r="Q146" s="707" t="str">
        <x:v>Belum Dinilai</x:v>
      </x:c>
      <x:c r="R146" s="707" t="str">
        <x:v>Belum Dinilai</x:v>
      </x:c>
      <x:c r="S146" s="708" t="str">
        <x:v>Belum Dinilai</x:v>
      </x:c>
      <x:c r="T146" s="709" t="str">
        <x:v>Belum Dinilai</x:v>
      </x:c>
      <x:c r="U146" s="704" t="str">
        <x:v>Belum Dinilai</x:v>
      </x:c>
      <x:c r="V146" s="704" t="str">
        <x:v>Belum Dinilai</x:v>
      </x:c>
      <x:c r="W146" s="704" t="str"/>
      <x:c r="X146" s="704" t="str">
        <x:f>IF(COUNTIF(R146:V146,"Belum Dinilai")&gt;0,"Belum Dinilai",IF(COUNTIF(R146:V146,"Ya")=0,"Tidak ada faktor rentan",TEXTJOIN(", ",TRUE,IF(R146="Ya","Lansia",""),IF(S146="Ya","Penyandang disabilitas",""),IF(T146="Ya","Kepala keluarga perempuan",""),IF(U146="Ya","Balita",""),IF(V146="Ya","Anggota keluarga dengan ketergantungan tinggi",""))))</x:f>
        <x:v>Belum Dinilai</x:v>
      </x:c>
      <x:c r="Y146" s="704" t="str">
        <x:f>IF(COUNTIF(R146:V146,"Belum Dinilai")&gt;0,"Belum Dinilai",IF(COUNTIF(R146:V146,"Ya")=0,"Tidak Ada Faktor Rentan",IF(COUNTIF(R146:V146,"Ya")=1,"1 Faktor Rentan","2 atau Lebih Faktor Rentan")))</x:f>
        <x:v>Belum Dinilai</x:v>
      </x:c>
      <x:c r="Z146" s="704" t="str">
        <x:f>IF(OR(Q146="",Q146="Belum Dinilai"),"",IF(Q146="Terverifikasi DTKS/P3KE/MBR",10,IF(Q146="Diusulkan, Belum Terverifikasi",5,0)))</x:f>
      </x:c>
      <x:c r="AA146" s="705" t="str">
        <x:f>IF(COUNTIF(R146:V146,"Belum Dinilai")&gt;0,"",IF(COUNTIF(R146:V146,"Ya")=0,0,IF(COUNTIF(R146:V146,"Ya")=1,5,10)))</x:f>
      </x:c>
      <x:c r="AB146" s="706" t="str">
        <x:f>IF(OR(Z146="",AA146=""),"",Z146+AA146)</x:f>
      </x:c>
      <x:c r="AC146" s="713" t="str">
        <x:v>Belum Dinilai</x:v>
      </x:c>
      <x:c r="AD146" s="713" t="str">
        <x:v>Belum Dinilai</x:v>
      </x:c>
      <x:c r="AE146" s="714" t="str">
        <x:v>Belum Dinilai</x:v>
      </x:c>
      <x:c r="AF146" s="713" t="str">
        <x:v>Belum Dinilai</x:v>
      </x:c>
      <x:c r="AG146" s="713" t="str">
        <x:v>Belum Dinilai</x:v>
      </x:c>
      <x:c r="AH146" s="715" t="str">
        <x:v>Belum Dinilai</x:v>
      </x:c>
      <x:c r="AI146" s="714" t="str">
        <x:v>Belum Dinilai</x:v>
      </x:c>
      <x:c r="AJ146" s="713" t="str">
        <x:v>Belum Dinilai</x:v>
      </x:c>
      <x:c r="AK146" s="715" t="str">
        <x:v>Belum Dinilai</x:v>
      </x:c>
      <x:c r="AL146" s="713" t="str"/>
      <x:c r="AM146" s="716" t="str">
        <x:v>Belum Dinilai</x:v>
      </x:c>
      <x:c r="AN146" s="716" t="str">
        <x:f>IF(AND(COUNTIF(AC146:AK146,"Ya")=0,AL146=""),IF(COUNTIF(AC146:AK146,"Belum Dinilai")&gt;0,"Belum Dinilai","Tidak ada risiko khusus"),TEXTJOIN(", ",TRUE,IF(AC146="Ya","Bangunan berpotensi roboh",""),IF(AD146="Ya","Bekas kebakaran dan tidak aman dihuni",""),IF(AE146="Ya","Atap atau dinding utama hampir runtuh",""),IF(AF146="Ya","Genangan yang membahayakan",""),IF(AG146="Ya","Struktur rumah tidak stabil",""),IF(AH146="Ya","Instalasi listrik berbahaya",""),IF(AI146="Ya","Komponen bangunan lepas atau lapuk",""),IF(AJ146="Ya","Akses keluar atau evakuasi terbatas",""),IF(AK146="Ya","Lokasi rawan bencana",""),IF(AL146&lt;&gt;"","Lainnya: "&amp;AL146,"")))</x:f>
        <x:v>Belum Dinilai</x:v>
      </x:c>
      <x:c r="AO146" s="716" t="str">
        <x:f>IF(AR146="","Belum Dinilai",IF(AR146=10,"Risiko Tinggi/Darurat",IF(AR146=5,"Risiko Sedang","Tidak Ada Risiko Khusus")))</x:f>
        <x:v>Belum Dinilai</x:v>
      </x:c>
      <x:c r="AP146" s="716" t="str"/>
      <x:c r="AQ146" s="719" t="str">
        <x:f>IF(OR(J146="",J146="Belum Dapat Ditentukan",L146="",L146="Belum Dinilai",N146="",N146="Belum Dinilai",P146="",P146="Belum Dinilai"),"",IF(J146="Permanen",0,IF(J146="Semipermanen",8,IF(J146="Nonpermanen",15,0)))+IF(L146="Baik",0,IF(L146="Rusak Ringan",5,IF(L146="Rusak Sedang",10,IF(L146="Rusak Berat",15,IF(L146="Tidak Ada/Terbuka",20,0)))))+IF(N146="Baik",0,IF(N146="Rusak Ringan",5,IF(N146="Rusak Sedang",10,IF(N146="Rusak Berat",15,IF(N146="Tidak Ada/Terbuka",20,0)))))+IF(P146="Baik",0,IF(P146="Rusak Ringan",4,IF(P146="Rusak Sedang",8,IF(P146="Rusak Berat",12,IF(P146="Tidak Layak",15,0))))))</x:f>
      </x:c>
      <x:c r="AR146" s="719" t="str">
        <x:f>IF(COUNTIF(AC146:AH146,"Ya")&gt;0,10,IF(COUNTIF(AI146:AK146,"Ya")&gt;=2,10,IF(COUNTIF(AI146:AK146,"Ya")=1,MAX(5,IF(AM146="Risiko Tinggi/Darurat",10,IF(AM146="Risiko Sedang",5,0))),IF(AL146&lt;&gt;"",IF(AM146="Risiko Tinggi/Darurat",10,IF(AM146="Risiko Sedang",5,"")),IF(COUNTIF(AC146:AK146,"Belum Dinilai")&gt;0,"",0)))))</x:f>
      </x:c>
      <x:c r="AS146" s="719" t="str">
        <x:f>IF(OR(AQ146="",AB146="",AR146=""),"",AQ146+AB146+AR146)</x:f>
      </x:c>
      <x:c r="AT146" s="719" t="str">
        <x:f>IF(AS146="","Belum Dapat Ditentukan",IF(AS146&gt;=80,"Sangat Tinggi",IF(OR(AO146="Risiko Tinggi/Darurat",(IF(L146="Rusak Berat",1,0)+IF(L146="Tidak Ada/Terbuka",1,0)+IF(N146="Rusak Berat",1,0)+IF(N146="Tidak Ada/Terbuka",1,0)+IF(P146="Rusak Berat",1,0)+IF(P146="Tidak Layak",1,0))&gt;=2),"Tinggi",IF(AS146&gt;=65,"Tinggi",IF(AS146&gt;=50,"Sedang","Rendah")))))</x:f>
        <x:v>Belum Dapat Ditentukan</x:v>
      </x:c>
      <x:c r="AU146" s="240" t="str">
        <x:v>Lengkap</x:v>
      </x:c>
      <x:c r="AV146" s="240" t="str">
        <x:v>Sudah Diverifikasi</x:v>
      </x:c>
      <x:c r="AW146" s="240" t="str">
        <x:v>Belum Ditangani</x:v>
      </x:c>
      <x:c r="AX146" s="240"/>
      <x:c r="AY146" s="240"/>
      <x:c r="AZ146" s="240" t="str">
        <x:v>Belum Diverifikasi</x:v>
      </x:c>
      <x:c r="BA146" s="240"/>
      <x:c r="BB146" s="240"/>
      <x:c r="BC146" s="240" t="n">
        <x:v>2026</x:v>
      </x:c>
      <x:c r="BD146" s="240" t="str">
        <x:v>Usulan Musrenbang/Pokir DPRD</x:v>
      </x:c>
      <x:c r="BE146" s="240" t="n">
        <x:v>46218</x:v>
      </x:c>
      <x:c r="BF146" s="240" t="str">
        <x:v>Dinas Perkim Kota Pangkalpinang</x:v>
      </x:c>
    </x:row>
    <x:row r="147" ht="32" customHeight="1">
      <x:c r="A147" s="314" t="str">
        <x:v>RTLH-0176</x:v>
      </x:c>
      <x:c r="B147" s="315" t="str">
        <x:v>ZAHRO</x:v>
      </x:c>
      <x:c r="C147" s="316"/>
      <x:c r="D147" s="316"/>
      <x:c r="E147" s="315" t="str">
        <x:v>RT,03 RW,01</x:v>
      </x:c>
      <x:c r="F147" s="315" t="str">
        <x:v>AIR ITAM</x:v>
      </x:c>
      <x:c r="G147" s="315" t="str">
        <x:v>BUKIT INTAN</x:v>
      </x:c>
      <x:c r="H147" s="315" t="str">
        <x:v>Peningkatan Kualitas</x:v>
      </x:c>
      <x:c r="I147" s="317" t="str">
        <x:v>Rumah Bagi DUA Dengan Anak, ( Saudara Zahro, menepati bagian Belakang, Keadaan Rumah Semi Permanen, Hanya bagian ruang tamu, (Full Papan)</x:v>
      </x:c>
      <x:c r="J147" s="315" t="str">
        <x:v>Semipermanen</x:v>
      </x:c>
      <x:c r="K147" s="315" t="str">
        <x:v>Belum Diidentifikasi</x:v>
      </x:c>
      <x:c r="L147" s="315" t="str">
        <x:v>Belum Dinilai</x:v>
      </x:c>
      <x:c r="M147" s="367" t="str">
        <x:v>Papan/Kayu</x:v>
      </x:c>
      <x:c r="N147" s="315" t="str">
        <x:v>Belum Dinilai</x:v>
      </x:c>
      <x:c r="O147" s="316" t="str">
        <x:v>Belum Diidentifikasi</x:v>
      </x:c>
      <x:c r="P147" s="349" t="str">
        <x:v>Belum Dinilai</x:v>
      </x:c>
      <x:c r="Q147" s="707" t="str">
        <x:v>Belum Dinilai</x:v>
      </x:c>
      <x:c r="R147" s="707" t="str">
        <x:v>Belum Dinilai</x:v>
      </x:c>
      <x:c r="S147" s="708" t="str">
        <x:v>Belum Dinilai</x:v>
      </x:c>
      <x:c r="T147" s="709" t="str">
        <x:v>Belum Dinilai</x:v>
      </x:c>
      <x:c r="U147" s="704" t="str">
        <x:v>Belum Dinilai</x:v>
      </x:c>
      <x:c r="V147" s="704" t="str">
        <x:v>Belum Dinilai</x:v>
      </x:c>
      <x:c r="W147" s="704" t="str"/>
      <x:c r="X147" s="704" t="str">
        <x:f>IF(COUNTIF(R147:V147,"Belum Dinilai")&gt;0,"Belum Dinilai",IF(COUNTIF(R147:V147,"Ya")=0,"Tidak ada faktor rentan",TEXTJOIN(", ",TRUE,IF(R147="Ya","Lansia",""),IF(S147="Ya","Penyandang disabilitas",""),IF(T147="Ya","Kepala keluarga perempuan",""),IF(U147="Ya","Balita",""),IF(V147="Ya","Anggota keluarga dengan ketergantungan tinggi",""))))</x:f>
        <x:v>Belum Dinilai</x:v>
      </x:c>
      <x:c r="Y147" s="704" t="str">
        <x:f>IF(COUNTIF(R147:V147,"Belum Dinilai")&gt;0,"Belum Dinilai",IF(COUNTIF(R147:V147,"Ya")=0,"Tidak Ada Faktor Rentan",IF(COUNTIF(R147:V147,"Ya")=1,"1 Faktor Rentan","2 atau Lebih Faktor Rentan")))</x:f>
        <x:v>Belum Dinilai</x:v>
      </x:c>
      <x:c r="Z147" s="704" t="str">
        <x:f>IF(OR(Q147="",Q147="Belum Dinilai"),"",IF(Q147="Terverifikasi DTKS/P3KE/MBR",10,IF(Q147="Diusulkan, Belum Terverifikasi",5,0)))</x:f>
      </x:c>
      <x:c r="AA147" s="705" t="str">
        <x:f>IF(COUNTIF(R147:V147,"Belum Dinilai")&gt;0,"",IF(COUNTIF(R147:V147,"Ya")=0,0,IF(COUNTIF(R147:V147,"Ya")=1,5,10)))</x:f>
      </x:c>
      <x:c r="AB147" s="706" t="str">
        <x:f>IF(OR(Z147="",AA147=""),"",Z147+AA147)</x:f>
      </x:c>
      <x:c r="AC147" s="713" t="str">
        <x:v>Belum Dinilai</x:v>
      </x:c>
      <x:c r="AD147" s="713" t="str">
        <x:v>Belum Dinilai</x:v>
      </x:c>
      <x:c r="AE147" s="714" t="str">
        <x:v>Belum Dinilai</x:v>
      </x:c>
      <x:c r="AF147" s="713" t="str">
        <x:v>Belum Dinilai</x:v>
      </x:c>
      <x:c r="AG147" s="713" t="str">
        <x:v>Belum Dinilai</x:v>
      </x:c>
      <x:c r="AH147" s="715" t="str">
        <x:v>Belum Dinilai</x:v>
      </x:c>
      <x:c r="AI147" s="714" t="str">
        <x:v>Belum Dinilai</x:v>
      </x:c>
      <x:c r="AJ147" s="713" t="str">
        <x:v>Belum Dinilai</x:v>
      </x:c>
      <x:c r="AK147" s="715" t="str">
        <x:v>Belum Dinilai</x:v>
      </x:c>
      <x:c r="AL147" s="713" t="str"/>
      <x:c r="AM147" s="716" t="str">
        <x:v>Belum Dinilai</x:v>
      </x:c>
      <x:c r="AN147" s="716" t="str">
        <x:f>IF(AND(COUNTIF(AC147:AK147,"Ya")=0,AL147=""),IF(COUNTIF(AC147:AK147,"Belum Dinilai")&gt;0,"Belum Dinilai","Tidak ada risiko khusus"),TEXTJOIN(", ",TRUE,IF(AC147="Ya","Bangunan berpotensi roboh",""),IF(AD147="Ya","Bekas kebakaran dan tidak aman dihuni",""),IF(AE147="Ya","Atap atau dinding utama hampir runtuh",""),IF(AF147="Ya","Genangan yang membahayakan",""),IF(AG147="Ya","Struktur rumah tidak stabil",""),IF(AH147="Ya","Instalasi listrik berbahaya",""),IF(AI147="Ya","Komponen bangunan lepas atau lapuk",""),IF(AJ147="Ya","Akses keluar atau evakuasi terbatas",""),IF(AK147="Ya","Lokasi rawan bencana",""),IF(AL147&lt;&gt;"","Lainnya: "&amp;AL147,"")))</x:f>
        <x:v>Belum Dinilai</x:v>
      </x:c>
      <x:c r="AO147" s="716" t="str">
        <x:f>IF(AR147="","Belum Dinilai",IF(AR147=10,"Risiko Tinggi/Darurat",IF(AR147=5,"Risiko Sedang","Tidak Ada Risiko Khusus")))</x:f>
        <x:v>Belum Dinilai</x:v>
      </x:c>
      <x:c r="AP147" s="716" t="str"/>
      <x:c r="AQ147" s="719" t="str">
        <x:f>IF(OR(J147="",J147="Belum Dapat Ditentukan",L147="",L147="Belum Dinilai",N147="",N147="Belum Dinilai",P147="",P147="Belum Dinilai"),"",IF(J147="Permanen",0,IF(J147="Semipermanen",8,IF(J147="Nonpermanen",15,0)))+IF(L147="Baik",0,IF(L147="Rusak Ringan",5,IF(L147="Rusak Sedang",10,IF(L147="Rusak Berat",15,IF(L147="Tidak Ada/Terbuka",20,0)))))+IF(N147="Baik",0,IF(N147="Rusak Ringan",5,IF(N147="Rusak Sedang",10,IF(N147="Rusak Berat",15,IF(N147="Tidak Ada/Terbuka",20,0)))))+IF(P147="Baik",0,IF(P147="Rusak Ringan",4,IF(P147="Rusak Sedang",8,IF(P147="Rusak Berat",12,IF(P147="Tidak Layak",15,0))))))</x:f>
      </x:c>
      <x:c r="AR147" s="719" t="str">
        <x:f>IF(COUNTIF(AC147:AH147,"Ya")&gt;0,10,IF(COUNTIF(AI147:AK147,"Ya")&gt;=2,10,IF(COUNTIF(AI147:AK147,"Ya")=1,MAX(5,IF(AM147="Risiko Tinggi/Darurat",10,IF(AM147="Risiko Sedang",5,0))),IF(AL147&lt;&gt;"",IF(AM147="Risiko Tinggi/Darurat",10,IF(AM147="Risiko Sedang",5,"")),IF(COUNTIF(AC147:AK147,"Belum Dinilai")&gt;0,"",0)))))</x:f>
      </x:c>
      <x:c r="AS147" s="719" t="str">
        <x:f>IF(OR(AQ147="",AB147="",AR147=""),"",AQ147+AB147+AR147)</x:f>
      </x:c>
      <x:c r="AT147" s="719" t="str">
        <x:f>IF(AS147="","Belum Dapat Ditentukan",IF(AS147&gt;=80,"Sangat Tinggi",IF(OR(AO147="Risiko Tinggi/Darurat",(IF(L147="Rusak Berat",1,0)+IF(L147="Tidak Ada/Terbuka",1,0)+IF(N147="Rusak Berat",1,0)+IF(N147="Tidak Ada/Terbuka",1,0)+IF(P147="Rusak Berat",1,0)+IF(P147="Tidak Layak",1,0))&gt;=2),"Tinggi",IF(AS147&gt;=65,"Tinggi",IF(AS147&gt;=50,"Sedang","Rendah")))))</x:f>
        <x:v>Belum Dapat Ditentukan</x:v>
      </x:c>
      <x:c r="AU147" s="240" t="str">
        <x:v>Belum Lengkap</x:v>
      </x:c>
      <x:c r="AV147" s="240" t="str">
        <x:v>Sudah Diverifikasi</x:v>
      </x:c>
      <x:c r="AW147" s="240" t="str">
        <x:v>Belum Ditangani</x:v>
      </x:c>
      <x:c r="AX147" s="240"/>
      <x:c r="AY147" s="240"/>
      <x:c r="AZ147" s="240" t="str">
        <x:v>Kepemilikan Keluarga</x:v>
      </x:c>
      <x:c r="BA147" s="240"/>
      <x:c r="BB147" s="240"/>
      <x:c r="BC147" s="240" t="n">
        <x:v>2026</x:v>
      </x:c>
      <x:c r="BD147" s="240" t="str">
        <x:v>Usulan Musrenbang/Pokir DPRD</x:v>
      </x:c>
      <x:c r="BE147" s="240" t="n">
        <x:v>46218</x:v>
      </x:c>
      <x:c r="BF147" s="240" t="str">
        <x:v>Dinas Perkim Kota Pangkalpinang</x:v>
      </x:c>
    </x:row>
    <x:row r="148" ht="32" customHeight="1">
      <x:c r="A148" s="314" t="str">
        <x:v>RTLH-0177</x:v>
      </x:c>
      <x:c r="B148" s="315" t="str">
        <x:v>MAHMUDAH</x:v>
      </x:c>
      <x:c r="C148" s="316"/>
      <x:c r="D148" s="316"/>
      <x:c r="E148" s="315" t="str">
        <x:v>RT,05 RW,02</x:v>
      </x:c>
      <x:c r="F148" s="315" t="str">
        <x:v>KERAMAT</x:v>
      </x:c>
      <x:c r="G148" s="315" t="str">
        <x:v>RANGKUI</x:v>
      </x:c>
      <x:c r="H148" s="315" t="str">
        <x:v>Pembangunan Baru</x:v>
      </x:c>
      <x:c r="I148" s="317" t="str">
        <x:v>RUMAH BENTUK L, SEBAGIAN DINDING PERMANEN DAN PAPAN, LANTAI FLOOR, ATAP SENG</x:v>
      </x:c>
      <x:c r="J148" s="315" t="str">
        <x:v>Permanen</x:v>
      </x:c>
      <x:c r="K148" s="315" t="str">
        <x:v>Seng</x:v>
      </x:c>
      <x:c r="L148" s="315" t="str">
        <x:v>Belum Dinilai</x:v>
      </x:c>
      <x:c r="M148" s="367" t="str">
        <x:v>Dinding Permanen (Material tidak dirinci)</x:v>
      </x:c>
      <x:c r="N148" s="315" t="str">
        <x:v>Belum Dinilai</x:v>
      </x:c>
      <x:c r="O148" s="316" t="str">
        <x:v>Semen/Plester</x:v>
      </x:c>
      <x:c r="P148" s="349" t="str">
        <x:v>Belum Dinilai</x:v>
      </x:c>
      <x:c r="Q148" s="707" t="str">
        <x:v>Belum Dinilai</x:v>
      </x:c>
      <x:c r="R148" s="707" t="str">
        <x:v>Belum Dinilai</x:v>
      </x:c>
      <x:c r="S148" s="708" t="str">
        <x:v>Belum Dinilai</x:v>
      </x:c>
      <x:c r="T148" s="709" t="str">
        <x:v>Belum Dinilai</x:v>
      </x:c>
      <x:c r="U148" s="704" t="str">
        <x:v>Belum Dinilai</x:v>
      </x:c>
      <x:c r="V148" s="704" t="str">
        <x:v>Belum Dinilai</x:v>
      </x:c>
      <x:c r="W148" s="704" t="str"/>
      <x:c r="X148" s="704" t="str">
        <x:f>IF(COUNTIF(R148:V148,"Belum Dinilai")&gt;0,"Belum Dinilai",IF(COUNTIF(R148:V148,"Ya")=0,"Tidak ada faktor rentan",TEXTJOIN(", ",TRUE,IF(R148="Ya","Lansia",""),IF(S148="Ya","Penyandang disabilitas",""),IF(T148="Ya","Kepala keluarga perempuan",""),IF(U148="Ya","Balita",""),IF(V148="Ya","Anggota keluarga dengan ketergantungan tinggi",""))))</x:f>
        <x:v>Belum Dinilai</x:v>
      </x:c>
      <x:c r="Y148" s="704" t="str">
        <x:f>IF(COUNTIF(R148:V148,"Belum Dinilai")&gt;0,"Belum Dinilai",IF(COUNTIF(R148:V148,"Ya")=0,"Tidak Ada Faktor Rentan",IF(COUNTIF(R148:V148,"Ya")=1,"1 Faktor Rentan","2 atau Lebih Faktor Rentan")))</x:f>
        <x:v>Belum Dinilai</x:v>
      </x:c>
      <x:c r="Z148" s="704" t="str">
        <x:f>IF(OR(Q148="",Q148="Belum Dinilai"),"",IF(Q148="Terverifikasi DTKS/P3KE/MBR",10,IF(Q148="Diusulkan, Belum Terverifikasi",5,0)))</x:f>
      </x:c>
      <x:c r="AA148" s="705" t="str">
        <x:f>IF(COUNTIF(R148:V148,"Belum Dinilai")&gt;0,"",IF(COUNTIF(R148:V148,"Ya")=0,0,IF(COUNTIF(R148:V148,"Ya")=1,5,10)))</x:f>
      </x:c>
      <x:c r="AB148" s="706" t="str">
        <x:f>IF(OR(Z148="",AA148=""),"",Z148+AA148)</x:f>
      </x:c>
      <x:c r="AC148" s="713" t="str">
        <x:v>Belum Dinilai</x:v>
      </x:c>
      <x:c r="AD148" s="713" t="str">
        <x:v>Belum Dinilai</x:v>
      </x:c>
      <x:c r="AE148" s="714" t="str">
        <x:v>Belum Dinilai</x:v>
      </x:c>
      <x:c r="AF148" s="713" t="str">
        <x:v>Belum Dinilai</x:v>
      </x:c>
      <x:c r="AG148" s="713" t="str">
        <x:v>Belum Dinilai</x:v>
      </x:c>
      <x:c r="AH148" s="715" t="str">
        <x:v>Belum Dinilai</x:v>
      </x:c>
      <x:c r="AI148" s="714" t="str">
        <x:v>Belum Dinilai</x:v>
      </x:c>
      <x:c r="AJ148" s="713" t="str">
        <x:v>Belum Dinilai</x:v>
      </x:c>
      <x:c r="AK148" s="715" t="str">
        <x:v>Belum Dinilai</x:v>
      </x:c>
      <x:c r="AL148" s="713" t="str"/>
      <x:c r="AM148" s="716" t="str">
        <x:v>Belum Dinilai</x:v>
      </x:c>
      <x:c r="AN148" s="716" t="str">
        <x:f>IF(AND(COUNTIF(AC148:AK148,"Ya")=0,AL148=""),IF(COUNTIF(AC148:AK148,"Belum Dinilai")&gt;0,"Belum Dinilai","Tidak ada risiko khusus"),TEXTJOIN(", ",TRUE,IF(AC148="Ya","Bangunan berpotensi roboh",""),IF(AD148="Ya","Bekas kebakaran dan tidak aman dihuni",""),IF(AE148="Ya","Atap atau dinding utama hampir runtuh",""),IF(AF148="Ya","Genangan yang membahayakan",""),IF(AG148="Ya","Struktur rumah tidak stabil",""),IF(AH148="Ya","Instalasi listrik berbahaya",""),IF(AI148="Ya","Komponen bangunan lepas atau lapuk",""),IF(AJ148="Ya","Akses keluar atau evakuasi terbatas",""),IF(AK148="Ya","Lokasi rawan bencana",""),IF(AL148&lt;&gt;"","Lainnya: "&amp;AL148,"")))</x:f>
        <x:v>Belum Dinilai</x:v>
      </x:c>
      <x:c r="AO148" s="716" t="str">
        <x:f>IF(AR148="","Belum Dinilai",IF(AR148=10,"Risiko Tinggi/Darurat",IF(AR148=5,"Risiko Sedang","Tidak Ada Risiko Khusus")))</x:f>
        <x:v>Belum Dinilai</x:v>
      </x:c>
      <x:c r="AP148" s="716" t="str"/>
      <x:c r="AQ148" s="719" t="str">
        <x:f>IF(OR(J148="",J148="Belum Dapat Ditentukan",L148="",L148="Belum Dinilai",N148="",N148="Belum Dinilai",P148="",P148="Belum Dinilai"),"",IF(J148="Permanen",0,IF(J148="Semipermanen",8,IF(J148="Nonpermanen",15,0)))+IF(L148="Baik",0,IF(L148="Rusak Ringan",5,IF(L148="Rusak Sedang",10,IF(L148="Rusak Berat",15,IF(L148="Tidak Ada/Terbuka",20,0)))))+IF(N148="Baik",0,IF(N148="Rusak Ringan",5,IF(N148="Rusak Sedang",10,IF(N148="Rusak Berat",15,IF(N148="Tidak Ada/Terbuka",20,0)))))+IF(P148="Baik",0,IF(P148="Rusak Ringan",4,IF(P148="Rusak Sedang",8,IF(P148="Rusak Berat",12,IF(P148="Tidak Layak",15,0))))))</x:f>
      </x:c>
      <x:c r="AR148" s="719" t="str">
        <x:f>IF(COUNTIF(AC148:AH148,"Ya")&gt;0,10,IF(COUNTIF(AI148:AK148,"Ya")&gt;=2,10,IF(COUNTIF(AI148:AK148,"Ya")=1,MAX(5,IF(AM148="Risiko Tinggi/Darurat",10,IF(AM148="Risiko Sedang",5,0))),IF(AL148&lt;&gt;"",IF(AM148="Risiko Tinggi/Darurat",10,IF(AM148="Risiko Sedang",5,"")),IF(COUNTIF(AC148:AK148,"Belum Dinilai")&gt;0,"",0)))))</x:f>
      </x:c>
      <x:c r="AS148" s="719" t="str">
        <x:f>IF(OR(AQ148="",AB148="",AR148=""),"",AQ148+AB148+AR148)</x:f>
      </x:c>
      <x:c r="AT148" s="719" t="str">
        <x:f>IF(AS148="","Belum Dapat Ditentukan",IF(AS148&gt;=80,"Sangat Tinggi",IF(OR(AO148="Risiko Tinggi/Darurat",(IF(L148="Rusak Berat",1,0)+IF(L148="Tidak Ada/Terbuka",1,0)+IF(N148="Rusak Berat",1,0)+IF(N148="Tidak Ada/Terbuka",1,0)+IF(P148="Rusak Berat",1,0)+IF(P148="Tidak Layak",1,0))&gt;=2),"Tinggi",IF(AS148&gt;=65,"Tinggi",IF(AS148&gt;=50,"Sedang","Rendah")))))</x:f>
        <x:v>Belum Dapat Ditentukan</x:v>
      </x:c>
      <x:c r="AU148" s="240" t="str">
        <x:v>Lengkap</x:v>
      </x:c>
      <x:c r="AV148" s="240" t="str">
        <x:v>Sudah Diverifikasi</x:v>
      </x:c>
      <x:c r="AW148" s="240" t="str">
        <x:v>Belum Ditangani</x:v>
      </x:c>
      <x:c r="AX148" s="240"/>
      <x:c r="AY148" s="240"/>
      <x:c r="AZ148" s="240" t="str">
        <x:v>Belum Diverifikasi</x:v>
      </x:c>
      <x:c r="BA148" s="240"/>
      <x:c r="BB148" s="240"/>
      <x:c r="BC148" s="240" t="n">
        <x:v>2026</x:v>
      </x:c>
      <x:c r="BD148" s="240" t="str">
        <x:v>Usulan Musrenbang/Pokir DPRD</x:v>
      </x:c>
      <x:c r="BE148" s="240" t="n">
        <x:v>46218</x:v>
      </x:c>
      <x:c r="BF148" s="240" t="str">
        <x:v>Dinas Perkim Kota Pangkalpinang</x:v>
      </x:c>
    </x:row>
    <x:row r="149" ht="32" customHeight="1">
      <x:c r="A149" s="314" t="str">
        <x:v>RTLH-0178</x:v>
      </x:c>
      <x:c r="B149" s="315" t="str">
        <x:v>SUBANA</x:v>
      </x:c>
      <x:c r="C149" s="316"/>
      <x:c r="D149" s="316"/>
      <x:c r="E149" s="315" t="str">
        <x:v>RT:001 / RW : 001</x:v>
      </x:c>
      <x:c r="F149" s="315" t="str">
        <x:v>AIR ITAM</x:v>
      </x:c>
      <x:c r="G149" s="315" t="str">
        <x:v>BUKIT INTAN</x:v>
      </x:c>
      <x:c r="H149" s="315" t="str">
        <x:v>Pembangunan Baru</x:v>
      </x:c>
      <x:c r="I149" s="317" t="str">
        <x:v>RUMAH FULL PAPAN, LANTAI FLOOR ATAP SENG, WC DI LUAR</x:v>
      </x:c>
      <x:c r="J149" s="315" t="str">
        <x:v>Nonpermanen</x:v>
      </x:c>
      <x:c r="K149" s="315" t="str">
        <x:v>Seng</x:v>
      </x:c>
      <x:c r="L149" s="315" t="str">
        <x:v>Belum Dinilai</x:v>
      </x:c>
      <x:c r="M149" s="367" t="str">
        <x:v>Papan/Kayu</x:v>
      </x:c>
      <x:c r="N149" s="315" t="str">
        <x:v>Belum Dinilai</x:v>
      </x:c>
      <x:c r="O149" s="316" t="str">
        <x:v>Semen/Plester</x:v>
      </x:c>
      <x:c r="P149" s="349" t="str">
        <x:v>Belum Dinilai</x:v>
      </x:c>
      <x:c r="Q149" s="707" t="str">
        <x:v>Belum Dinilai</x:v>
      </x:c>
      <x:c r="R149" s="707" t="str">
        <x:v>Belum Dinilai</x:v>
      </x:c>
      <x:c r="S149" s="708" t="str">
        <x:v>Belum Dinilai</x:v>
      </x:c>
      <x:c r="T149" s="709" t="str">
        <x:v>Belum Dinilai</x:v>
      </x:c>
      <x:c r="U149" s="704" t="str">
        <x:v>Belum Dinilai</x:v>
      </x:c>
      <x:c r="V149" s="704" t="str">
        <x:v>Belum Dinilai</x:v>
      </x:c>
      <x:c r="W149" s="704" t="str"/>
      <x:c r="X149" s="704" t="str">
        <x:f>IF(COUNTIF(R149:V149,"Belum Dinilai")&gt;0,"Belum Dinilai",IF(COUNTIF(R149:V149,"Ya")=0,"Tidak ada faktor rentan",TEXTJOIN(", ",TRUE,IF(R149="Ya","Lansia",""),IF(S149="Ya","Penyandang disabilitas",""),IF(T149="Ya","Kepala keluarga perempuan",""),IF(U149="Ya","Balita",""),IF(V149="Ya","Anggota keluarga dengan ketergantungan tinggi",""))))</x:f>
        <x:v>Belum Dinilai</x:v>
      </x:c>
      <x:c r="Y149" s="704" t="str">
        <x:f>IF(COUNTIF(R149:V149,"Belum Dinilai")&gt;0,"Belum Dinilai",IF(COUNTIF(R149:V149,"Ya")=0,"Tidak Ada Faktor Rentan",IF(COUNTIF(R149:V149,"Ya")=1,"1 Faktor Rentan","2 atau Lebih Faktor Rentan")))</x:f>
        <x:v>Belum Dinilai</x:v>
      </x:c>
      <x:c r="Z149" s="704" t="str">
        <x:f>IF(OR(Q149="",Q149="Belum Dinilai"),"",IF(Q149="Terverifikasi DTKS/P3KE/MBR",10,IF(Q149="Diusulkan, Belum Terverifikasi",5,0)))</x:f>
      </x:c>
      <x:c r="AA149" s="705" t="str">
        <x:f>IF(COUNTIF(R149:V149,"Belum Dinilai")&gt;0,"",IF(COUNTIF(R149:V149,"Ya")=0,0,IF(COUNTIF(R149:V149,"Ya")=1,5,10)))</x:f>
      </x:c>
      <x:c r="AB149" s="706" t="str">
        <x:f>IF(OR(Z149="",AA149=""),"",Z149+AA149)</x:f>
      </x:c>
      <x:c r="AC149" s="713" t="str">
        <x:v>Belum Dinilai</x:v>
      </x:c>
      <x:c r="AD149" s="713" t="str">
        <x:v>Belum Dinilai</x:v>
      </x:c>
      <x:c r="AE149" s="714" t="str">
        <x:v>Belum Dinilai</x:v>
      </x:c>
      <x:c r="AF149" s="713" t="str">
        <x:v>Belum Dinilai</x:v>
      </x:c>
      <x:c r="AG149" s="713" t="str">
        <x:v>Belum Dinilai</x:v>
      </x:c>
      <x:c r="AH149" s="715" t="str">
        <x:v>Belum Dinilai</x:v>
      </x:c>
      <x:c r="AI149" s="714" t="str">
        <x:v>Belum Dinilai</x:v>
      </x:c>
      <x:c r="AJ149" s="713" t="str">
        <x:v>Belum Dinilai</x:v>
      </x:c>
      <x:c r="AK149" s="715" t="str">
        <x:v>Belum Dinilai</x:v>
      </x:c>
      <x:c r="AL149" s="713" t="str"/>
      <x:c r="AM149" s="716" t="str">
        <x:v>Belum Dinilai</x:v>
      </x:c>
      <x:c r="AN149" s="716" t="str">
        <x:f>IF(AND(COUNTIF(AC149:AK149,"Ya")=0,AL149=""),IF(COUNTIF(AC149:AK149,"Belum Dinilai")&gt;0,"Belum Dinilai","Tidak ada risiko khusus"),TEXTJOIN(", ",TRUE,IF(AC149="Ya","Bangunan berpotensi roboh",""),IF(AD149="Ya","Bekas kebakaran dan tidak aman dihuni",""),IF(AE149="Ya","Atap atau dinding utama hampir runtuh",""),IF(AF149="Ya","Genangan yang membahayakan",""),IF(AG149="Ya","Struktur rumah tidak stabil",""),IF(AH149="Ya","Instalasi listrik berbahaya",""),IF(AI149="Ya","Komponen bangunan lepas atau lapuk",""),IF(AJ149="Ya","Akses keluar atau evakuasi terbatas",""),IF(AK149="Ya","Lokasi rawan bencana",""),IF(AL149&lt;&gt;"","Lainnya: "&amp;AL149,"")))</x:f>
        <x:v>Belum Dinilai</x:v>
      </x:c>
      <x:c r="AO149" s="716" t="str">
        <x:f>IF(AR149="","Belum Dinilai",IF(AR149=10,"Risiko Tinggi/Darurat",IF(AR149=5,"Risiko Sedang","Tidak Ada Risiko Khusus")))</x:f>
        <x:v>Belum Dinilai</x:v>
      </x:c>
      <x:c r="AP149" s="716" t="str"/>
      <x:c r="AQ149" s="719" t="str">
        <x:f>IF(OR(J149="",J149="Belum Dapat Ditentukan",L149="",L149="Belum Dinilai",N149="",N149="Belum Dinilai",P149="",P149="Belum Dinilai"),"",IF(J149="Permanen",0,IF(J149="Semipermanen",8,IF(J149="Nonpermanen",15,0)))+IF(L149="Baik",0,IF(L149="Rusak Ringan",5,IF(L149="Rusak Sedang",10,IF(L149="Rusak Berat",15,IF(L149="Tidak Ada/Terbuka",20,0)))))+IF(N149="Baik",0,IF(N149="Rusak Ringan",5,IF(N149="Rusak Sedang",10,IF(N149="Rusak Berat",15,IF(N149="Tidak Ada/Terbuka",20,0)))))+IF(P149="Baik",0,IF(P149="Rusak Ringan",4,IF(P149="Rusak Sedang",8,IF(P149="Rusak Berat",12,IF(P149="Tidak Layak",15,0))))))</x:f>
      </x:c>
      <x:c r="AR149" s="719" t="str">
        <x:f>IF(COUNTIF(AC149:AH149,"Ya")&gt;0,10,IF(COUNTIF(AI149:AK149,"Ya")&gt;=2,10,IF(COUNTIF(AI149:AK149,"Ya")=1,MAX(5,IF(AM149="Risiko Tinggi/Darurat",10,IF(AM149="Risiko Sedang",5,0))),IF(AL149&lt;&gt;"",IF(AM149="Risiko Tinggi/Darurat",10,IF(AM149="Risiko Sedang",5,"")),IF(COUNTIF(AC149:AK149,"Belum Dinilai")&gt;0,"",0)))))</x:f>
      </x:c>
      <x:c r="AS149" s="719" t="str">
        <x:f>IF(OR(AQ149="",AB149="",AR149=""),"",AQ149+AB149+AR149)</x:f>
      </x:c>
      <x:c r="AT149" s="719" t="str">
        <x:f>IF(AS149="","Belum Dapat Ditentukan",IF(AS149&gt;=80,"Sangat Tinggi",IF(OR(AO149="Risiko Tinggi/Darurat",(IF(L149="Rusak Berat",1,0)+IF(L149="Tidak Ada/Terbuka",1,0)+IF(N149="Rusak Berat",1,0)+IF(N149="Tidak Ada/Terbuka",1,0)+IF(P149="Rusak Berat",1,0)+IF(P149="Tidak Layak",1,0))&gt;=2),"Tinggi",IF(AS149&gt;=65,"Tinggi",IF(AS149&gt;=50,"Sedang","Rendah")))))</x:f>
        <x:v>Belum Dapat Ditentukan</x:v>
      </x:c>
      <x:c r="AU149" s="240" t="str">
        <x:v>Lengkap</x:v>
      </x:c>
      <x:c r="AV149" s="240" t="str">
        <x:v>Sudah Diverifikasi</x:v>
      </x:c>
      <x:c r="AW149" s="240" t="str">
        <x:v>Selesai</x:v>
      </x:c>
      <x:c r="AX149" s="240" t="str">
        <x:v>APBD Kota</x:v>
      </x:c>
      <x:c r="AY149" s="240" t="n">
        <x:v>2023</x:v>
      </x:c>
      <x:c r="AZ149" s="240" t="str">
        <x:v>Belum Diverifikasi</x:v>
      </x:c>
      <x:c r="BA149" s="240"/>
      <x:c r="BB149" s="240"/>
      <x:c r="BC149" s="240" t="n">
        <x:v>2026</x:v>
      </x:c>
      <x:c r="BD149" s="240" t="str">
        <x:v>Usulan Musrenbang/Pokir DPRD</x:v>
      </x:c>
      <x:c r="BE149" s="240" t="n">
        <x:v>46218</x:v>
      </x:c>
      <x:c r="BF149" s="240" t="str">
        <x:v>Dinas Perkim Kota Pangkalpinang</x:v>
      </x:c>
    </x:row>
    <x:row r="150" ht="32" customHeight="1">
      <x:c r="A150" s="314" t="str">
        <x:v>RTLH-0179</x:v>
      </x:c>
      <x:c r="B150" s="315" t="str">
        <x:v>AI WE</x:v>
      </x:c>
      <x:c r="C150" s="316"/>
      <x:c r="D150" s="316"/>
      <x:c r="E150" s="315" t="str">
        <x:v>Belum tersedia</x:v>
      </x:c>
      <x:c r="F150" s="315" t="str">
        <x:v>AIR ITAM</x:v>
      </x:c>
      <x:c r="G150" s="315" t="str">
        <x:v>BUKIT INTAN</x:v>
      </x:c>
      <x:c r="H150" s="315" t="str">
        <x:v>Pembangunan Baru</x:v>
      </x:c>
      <x:c r="I150" s="317" t="str">
        <x:v>RUMAH FULL PAPAN, LANTAI FLOOR, ATAP SENG</x:v>
      </x:c>
      <x:c r="J150" s="315" t="str">
        <x:v>Nonpermanen</x:v>
      </x:c>
      <x:c r="K150" s="315" t="str">
        <x:v>Seng</x:v>
      </x:c>
      <x:c r="L150" s="315" t="str">
        <x:v>Belum Dinilai</x:v>
      </x:c>
      <x:c r="M150" s="367" t="str">
        <x:v>Papan/Kayu</x:v>
      </x:c>
      <x:c r="N150" s="315" t="str">
        <x:v>Belum Dinilai</x:v>
      </x:c>
      <x:c r="O150" s="316" t="str">
        <x:v>Semen/Plester</x:v>
      </x:c>
      <x:c r="P150" s="349" t="str">
        <x:v>Belum Dinilai</x:v>
      </x:c>
      <x:c r="Q150" s="707" t="str">
        <x:v>Belum Dinilai</x:v>
      </x:c>
      <x:c r="R150" s="707" t="str">
        <x:v>Belum Dinilai</x:v>
      </x:c>
      <x:c r="S150" s="708" t="str">
        <x:v>Belum Dinilai</x:v>
      </x:c>
      <x:c r="T150" s="709" t="str">
        <x:v>Belum Dinilai</x:v>
      </x:c>
      <x:c r="U150" s="704" t="str">
        <x:v>Belum Dinilai</x:v>
      </x:c>
      <x:c r="V150" s="704" t="str">
        <x:v>Belum Dinilai</x:v>
      </x:c>
      <x:c r="W150" s="704" t="str"/>
      <x:c r="X150" s="704" t="str">
        <x:f>IF(COUNTIF(R150:V150,"Belum Dinilai")&gt;0,"Belum Dinilai",IF(COUNTIF(R150:V150,"Ya")=0,"Tidak ada faktor rentan",TEXTJOIN(", ",TRUE,IF(R150="Ya","Lansia",""),IF(S150="Ya","Penyandang disabilitas",""),IF(T150="Ya","Kepala keluarga perempuan",""),IF(U150="Ya","Balita",""),IF(V150="Ya","Anggota keluarga dengan ketergantungan tinggi",""))))</x:f>
        <x:v>Belum Dinilai</x:v>
      </x:c>
      <x:c r="Y150" s="704" t="str">
        <x:f>IF(COUNTIF(R150:V150,"Belum Dinilai")&gt;0,"Belum Dinilai",IF(COUNTIF(R150:V150,"Ya")=0,"Tidak Ada Faktor Rentan",IF(COUNTIF(R150:V150,"Ya")=1,"1 Faktor Rentan","2 atau Lebih Faktor Rentan")))</x:f>
        <x:v>Belum Dinilai</x:v>
      </x:c>
      <x:c r="Z150" s="704" t="str">
        <x:f>IF(OR(Q150="",Q150="Belum Dinilai"),"",IF(Q150="Terverifikasi DTKS/P3KE/MBR",10,IF(Q150="Diusulkan, Belum Terverifikasi",5,0)))</x:f>
      </x:c>
      <x:c r="AA150" s="705" t="str">
        <x:f>IF(COUNTIF(R150:V150,"Belum Dinilai")&gt;0,"",IF(COUNTIF(R150:V150,"Ya")=0,0,IF(COUNTIF(R150:V150,"Ya")=1,5,10)))</x:f>
      </x:c>
      <x:c r="AB150" s="706" t="str">
        <x:f>IF(OR(Z150="",AA150=""),"",Z150+AA150)</x:f>
      </x:c>
      <x:c r="AC150" s="713" t="str">
        <x:v>Belum Dinilai</x:v>
      </x:c>
      <x:c r="AD150" s="713" t="str">
        <x:v>Belum Dinilai</x:v>
      </x:c>
      <x:c r="AE150" s="714" t="str">
        <x:v>Belum Dinilai</x:v>
      </x:c>
      <x:c r="AF150" s="713" t="str">
        <x:v>Belum Dinilai</x:v>
      </x:c>
      <x:c r="AG150" s="713" t="str">
        <x:v>Belum Dinilai</x:v>
      </x:c>
      <x:c r="AH150" s="715" t="str">
        <x:v>Belum Dinilai</x:v>
      </x:c>
      <x:c r="AI150" s="714" t="str">
        <x:v>Belum Dinilai</x:v>
      </x:c>
      <x:c r="AJ150" s="713" t="str">
        <x:v>Belum Dinilai</x:v>
      </x:c>
      <x:c r="AK150" s="715" t="str">
        <x:v>Belum Dinilai</x:v>
      </x:c>
      <x:c r="AL150" s="713" t="str"/>
      <x:c r="AM150" s="716" t="str">
        <x:v>Belum Dinilai</x:v>
      </x:c>
      <x:c r="AN150" s="716" t="str">
        <x:f>IF(AND(COUNTIF(AC150:AK150,"Ya")=0,AL150=""),IF(COUNTIF(AC150:AK150,"Belum Dinilai")&gt;0,"Belum Dinilai","Tidak ada risiko khusus"),TEXTJOIN(", ",TRUE,IF(AC150="Ya","Bangunan berpotensi roboh",""),IF(AD150="Ya","Bekas kebakaran dan tidak aman dihuni",""),IF(AE150="Ya","Atap atau dinding utama hampir runtuh",""),IF(AF150="Ya","Genangan yang membahayakan",""),IF(AG150="Ya","Struktur rumah tidak stabil",""),IF(AH150="Ya","Instalasi listrik berbahaya",""),IF(AI150="Ya","Komponen bangunan lepas atau lapuk",""),IF(AJ150="Ya","Akses keluar atau evakuasi terbatas",""),IF(AK150="Ya","Lokasi rawan bencana",""),IF(AL150&lt;&gt;"","Lainnya: "&amp;AL150,"")))</x:f>
        <x:v>Belum Dinilai</x:v>
      </x:c>
      <x:c r="AO150" s="716" t="str">
        <x:f>IF(AR150="","Belum Dinilai",IF(AR150=10,"Risiko Tinggi/Darurat",IF(AR150=5,"Risiko Sedang","Tidak Ada Risiko Khusus")))</x:f>
        <x:v>Belum Dinilai</x:v>
      </x:c>
      <x:c r="AP150" s="716" t="str"/>
      <x:c r="AQ150" s="719" t="str">
        <x:f>IF(OR(J150="",J150="Belum Dapat Ditentukan",L150="",L150="Belum Dinilai",N150="",N150="Belum Dinilai",P150="",P150="Belum Dinilai"),"",IF(J150="Permanen",0,IF(J150="Semipermanen",8,IF(J150="Nonpermanen",15,0)))+IF(L150="Baik",0,IF(L150="Rusak Ringan",5,IF(L150="Rusak Sedang",10,IF(L150="Rusak Berat",15,IF(L150="Tidak Ada/Terbuka",20,0)))))+IF(N150="Baik",0,IF(N150="Rusak Ringan",5,IF(N150="Rusak Sedang",10,IF(N150="Rusak Berat",15,IF(N150="Tidak Ada/Terbuka",20,0)))))+IF(P150="Baik",0,IF(P150="Rusak Ringan",4,IF(P150="Rusak Sedang",8,IF(P150="Rusak Berat",12,IF(P150="Tidak Layak",15,0))))))</x:f>
      </x:c>
      <x:c r="AR150" s="719" t="str">
        <x:f>IF(COUNTIF(AC150:AH150,"Ya")&gt;0,10,IF(COUNTIF(AI150:AK150,"Ya")&gt;=2,10,IF(COUNTIF(AI150:AK150,"Ya")=1,MAX(5,IF(AM150="Risiko Tinggi/Darurat",10,IF(AM150="Risiko Sedang",5,0))),IF(AL150&lt;&gt;"",IF(AM150="Risiko Tinggi/Darurat",10,IF(AM150="Risiko Sedang",5,"")),IF(COUNTIF(AC150:AK150,"Belum Dinilai")&gt;0,"",0)))))</x:f>
      </x:c>
      <x:c r="AS150" s="719" t="str">
        <x:f>IF(OR(AQ150="",AB150="",AR150=""),"",AQ150+AB150+AR150)</x:f>
      </x:c>
      <x:c r="AT150" s="719" t="str">
        <x:f>IF(AS150="","Belum Dapat Ditentukan",IF(AS150&gt;=80,"Sangat Tinggi",IF(OR(AO150="Risiko Tinggi/Darurat",(IF(L150="Rusak Berat",1,0)+IF(L150="Tidak Ada/Terbuka",1,0)+IF(N150="Rusak Berat",1,0)+IF(N150="Tidak Ada/Terbuka",1,0)+IF(P150="Rusak Berat",1,0)+IF(P150="Tidak Layak",1,0))&gt;=2),"Tinggi",IF(AS150&gt;=65,"Tinggi",IF(AS150&gt;=50,"Sedang","Rendah")))))</x:f>
        <x:v>Belum Dapat Ditentukan</x:v>
      </x:c>
      <x:c r="AU150" s="240" t="str">
        <x:v>Lengkap</x:v>
      </x:c>
      <x:c r="AV150" s="240" t="str">
        <x:v>Sudah Diverifikasi</x:v>
      </x:c>
      <x:c r="AW150" s="240" t="str">
        <x:v>Selesai</x:v>
      </x:c>
      <x:c r="AX150" s="240" t="str">
        <x:v>APBD Kota</x:v>
      </x:c>
      <x:c r="AY150" s="240" t="n">
        <x:v>2024</x:v>
      </x:c>
      <x:c r="AZ150" s="240" t="str">
        <x:v>Belum Diverifikasi</x:v>
      </x:c>
      <x:c r="BA150" s="240"/>
      <x:c r="BB150" s="240"/>
      <x:c r="BC150" s="240" t="n">
        <x:v>2026</x:v>
      </x:c>
      <x:c r="BD150" s="240" t="str">
        <x:v>Usulan Musrenbang/Pokir DPRD</x:v>
      </x:c>
      <x:c r="BE150" s="240" t="n">
        <x:v>46218</x:v>
      </x:c>
      <x:c r="BF150" s="240" t="str">
        <x:v>Dinas Perkim Kota Pangkalpinang</x:v>
      </x:c>
    </x:row>
    <x:row r="151" ht="32" customHeight="1">
      <x:c r="A151" s="314" t="str">
        <x:v>RTLH-0180</x:v>
      </x:c>
      <x:c r="B151" s="315" t="str">
        <x:v>KOSGORO</x:v>
      </x:c>
      <x:c r="C151" s="316"/>
      <x:c r="D151" s="316"/>
      <x:c r="E151" s="315" t="str">
        <x:v>RT,03/RW,01</x:v>
      </x:c>
      <x:c r="F151" s="315" t="str">
        <x:v>AIR ITAM</x:v>
      </x:c>
      <x:c r="G151" s="315" t="str">
        <x:v>BUKIT INTAN</x:v>
      </x:c>
      <x:c r="H151" s="315" t="str">
        <x:v>Pembangunan Baru</x:v>
      </x:c>
      <x:c r="I151" s="317" t="str">
        <x:v>RUMAH INDUK FULL PAPAN, BAGIAN DAPUR PERMANEN, ATAP GENTENG BOOCR</x:v>
      </x:c>
      <x:c r="J151" s="315" t="str">
        <x:v>Semipermanen</x:v>
      </x:c>
      <x:c r="K151" s="315" t="str">
        <x:v>Genteng</x:v>
      </x:c>
      <x:c r="L151" s="315" t="str">
        <x:v>Belum Dinilai</x:v>
      </x:c>
      <x:c r="M151" s="367" t="str">
        <x:v>Papan/Kayu</x:v>
      </x:c>
      <x:c r="N151" s="315" t="str">
        <x:v>Belum Dinilai</x:v>
      </x:c>
      <x:c r="O151" s="316" t="str">
        <x:v>Belum Diidentifikasi</x:v>
      </x:c>
      <x:c r="P151" s="349" t="str">
        <x:v>Belum Dinilai</x:v>
      </x:c>
      <x:c r="Q151" s="707" t="str">
        <x:v>Belum Dinilai</x:v>
      </x:c>
      <x:c r="R151" s="707" t="str">
        <x:v>Belum Dinilai</x:v>
      </x:c>
      <x:c r="S151" s="708" t="str">
        <x:v>Belum Dinilai</x:v>
      </x:c>
      <x:c r="T151" s="709" t="str">
        <x:v>Belum Dinilai</x:v>
      </x:c>
      <x:c r="U151" s="704" t="str">
        <x:v>Belum Dinilai</x:v>
      </x:c>
      <x:c r="V151" s="704" t="str">
        <x:v>Belum Dinilai</x:v>
      </x:c>
      <x:c r="W151" s="704" t="str"/>
      <x:c r="X151" s="704" t="str">
        <x:f>IF(COUNTIF(R151:V151,"Belum Dinilai")&gt;0,"Belum Dinilai",IF(COUNTIF(R151:V151,"Ya")=0,"Tidak ada faktor rentan",TEXTJOIN(", ",TRUE,IF(R151="Ya","Lansia",""),IF(S151="Ya","Penyandang disabilitas",""),IF(T151="Ya","Kepala keluarga perempuan",""),IF(U151="Ya","Balita",""),IF(V151="Ya","Anggota keluarga dengan ketergantungan tinggi",""))))</x:f>
        <x:v>Belum Dinilai</x:v>
      </x:c>
      <x:c r="Y151" s="704" t="str">
        <x:f>IF(COUNTIF(R151:V151,"Belum Dinilai")&gt;0,"Belum Dinilai",IF(COUNTIF(R151:V151,"Ya")=0,"Tidak Ada Faktor Rentan",IF(COUNTIF(R151:V151,"Ya")=1,"1 Faktor Rentan","2 atau Lebih Faktor Rentan")))</x:f>
        <x:v>Belum Dinilai</x:v>
      </x:c>
      <x:c r="Z151" s="704" t="str">
        <x:f>IF(OR(Q151="",Q151="Belum Dinilai"),"",IF(Q151="Terverifikasi DTKS/P3KE/MBR",10,IF(Q151="Diusulkan, Belum Terverifikasi",5,0)))</x:f>
      </x:c>
      <x:c r="AA151" s="705" t="str">
        <x:f>IF(COUNTIF(R151:V151,"Belum Dinilai")&gt;0,"",IF(COUNTIF(R151:V151,"Ya")=0,0,IF(COUNTIF(R151:V151,"Ya")=1,5,10)))</x:f>
      </x:c>
      <x:c r="AB151" s="706" t="str">
        <x:f>IF(OR(Z151="",AA151=""),"",Z151+AA151)</x:f>
      </x:c>
      <x:c r="AC151" s="713" t="str">
        <x:v>Belum Dinilai</x:v>
      </x:c>
      <x:c r="AD151" s="713" t="str">
        <x:v>Belum Dinilai</x:v>
      </x:c>
      <x:c r="AE151" s="714" t="str">
        <x:v>Belum Dinilai</x:v>
      </x:c>
      <x:c r="AF151" s="713" t="str">
        <x:v>Belum Dinilai</x:v>
      </x:c>
      <x:c r="AG151" s="713" t="str">
        <x:v>Belum Dinilai</x:v>
      </x:c>
      <x:c r="AH151" s="715" t="str">
        <x:v>Belum Dinilai</x:v>
      </x:c>
      <x:c r="AI151" s="714" t="str">
        <x:v>Belum Dinilai</x:v>
      </x:c>
      <x:c r="AJ151" s="713" t="str">
        <x:v>Belum Dinilai</x:v>
      </x:c>
      <x:c r="AK151" s="715" t="str">
        <x:v>Belum Dinilai</x:v>
      </x:c>
      <x:c r="AL151" s="713" t="str"/>
      <x:c r="AM151" s="716" t="str">
        <x:v>Belum Dinilai</x:v>
      </x:c>
      <x:c r="AN151" s="716" t="str">
        <x:f>IF(AND(COUNTIF(AC151:AK151,"Ya")=0,AL151=""),IF(COUNTIF(AC151:AK151,"Belum Dinilai")&gt;0,"Belum Dinilai","Tidak ada risiko khusus"),TEXTJOIN(", ",TRUE,IF(AC151="Ya","Bangunan berpotensi roboh",""),IF(AD151="Ya","Bekas kebakaran dan tidak aman dihuni",""),IF(AE151="Ya","Atap atau dinding utama hampir runtuh",""),IF(AF151="Ya","Genangan yang membahayakan",""),IF(AG151="Ya","Struktur rumah tidak stabil",""),IF(AH151="Ya","Instalasi listrik berbahaya",""),IF(AI151="Ya","Komponen bangunan lepas atau lapuk",""),IF(AJ151="Ya","Akses keluar atau evakuasi terbatas",""),IF(AK151="Ya","Lokasi rawan bencana",""),IF(AL151&lt;&gt;"","Lainnya: "&amp;AL151,"")))</x:f>
        <x:v>Belum Dinilai</x:v>
      </x:c>
      <x:c r="AO151" s="716" t="str">
        <x:f>IF(AR151="","Belum Dinilai",IF(AR151=10,"Risiko Tinggi/Darurat",IF(AR151=5,"Risiko Sedang","Tidak Ada Risiko Khusus")))</x:f>
        <x:v>Belum Dinilai</x:v>
      </x:c>
      <x:c r="AP151" s="716" t="str"/>
      <x:c r="AQ151" s="719" t="str">
        <x:f>IF(OR(J151="",J151="Belum Dapat Ditentukan",L151="",L151="Belum Dinilai",N151="",N151="Belum Dinilai",P151="",P151="Belum Dinilai"),"",IF(J151="Permanen",0,IF(J151="Semipermanen",8,IF(J151="Nonpermanen",15,0)))+IF(L151="Baik",0,IF(L151="Rusak Ringan",5,IF(L151="Rusak Sedang",10,IF(L151="Rusak Berat",15,IF(L151="Tidak Ada/Terbuka",20,0)))))+IF(N151="Baik",0,IF(N151="Rusak Ringan",5,IF(N151="Rusak Sedang",10,IF(N151="Rusak Berat",15,IF(N151="Tidak Ada/Terbuka",20,0)))))+IF(P151="Baik",0,IF(P151="Rusak Ringan",4,IF(P151="Rusak Sedang",8,IF(P151="Rusak Berat",12,IF(P151="Tidak Layak",15,0))))))</x:f>
      </x:c>
      <x:c r="AR151" s="719" t="str">
        <x:f>IF(COUNTIF(AC151:AH151,"Ya")&gt;0,10,IF(COUNTIF(AI151:AK151,"Ya")&gt;=2,10,IF(COUNTIF(AI151:AK151,"Ya")=1,MAX(5,IF(AM151="Risiko Tinggi/Darurat",10,IF(AM151="Risiko Sedang",5,0))),IF(AL151&lt;&gt;"",IF(AM151="Risiko Tinggi/Darurat",10,IF(AM151="Risiko Sedang",5,"")),IF(COUNTIF(AC151:AK151,"Belum Dinilai")&gt;0,"",0)))))</x:f>
      </x:c>
      <x:c r="AS151" s="719" t="str">
        <x:f>IF(OR(AQ151="",AB151="",AR151=""),"",AQ151+AB151+AR151)</x:f>
      </x:c>
      <x:c r="AT151" s="719" t="str">
        <x:f>IF(AS151="","Belum Dapat Ditentukan",IF(AS151&gt;=80,"Sangat Tinggi",IF(OR(AO151="Risiko Tinggi/Darurat",(IF(L151="Rusak Berat",1,0)+IF(L151="Tidak Ada/Terbuka",1,0)+IF(N151="Rusak Berat",1,0)+IF(N151="Tidak Ada/Terbuka",1,0)+IF(P151="Rusak Berat",1,0)+IF(P151="Tidak Layak",1,0))&gt;=2),"Tinggi",IF(AS151&gt;=65,"Tinggi",IF(AS151&gt;=50,"Sedang","Rendah")))))</x:f>
        <x:v>Belum Dapat Ditentukan</x:v>
      </x:c>
      <x:c r="AU151" s="240" t="str">
        <x:v>Lengkap</x:v>
      </x:c>
      <x:c r="AV151" s="240" t="str">
        <x:v>Sudah Diverifikasi</x:v>
      </x:c>
      <x:c r="AW151" s="240" t="str">
        <x:v>Belum Ditangani</x:v>
      </x:c>
      <x:c r="AX151" s="240"/>
      <x:c r="AY151" s="240"/>
      <x:c r="AZ151" s="240" t="str">
        <x:v>Belum Diverifikasi</x:v>
      </x:c>
      <x:c r="BA151" s="240"/>
      <x:c r="BB151" s="240"/>
      <x:c r="BC151" s="240" t="n">
        <x:v>2026</x:v>
      </x:c>
      <x:c r="BD151" s="240" t="str">
        <x:v>Usulan Musrenbang/Pokir DPRD</x:v>
      </x:c>
      <x:c r="BE151" s="240" t="n">
        <x:v>46218</x:v>
      </x:c>
      <x:c r="BF151" s="240" t="str">
        <x:v>Dinas Perkim Kota Pangkalpinang</x:v>
      </x:c>
    </x:row>
    <x:row r="152" ht="32" customHeight="1">
      <x:c r="A152" s="314" t="str">
        <x:v>RTLH-0181</x:v>
      </x:c>
      <x:c r="B152" s="315" t="str">
        <x:v>ZURYANA</x:v>
      </x:c>
      <x:c r="C152" s="316"/>
      <x:c r="D152" s="316"/>
      <x:c r="E152" s="315" t="str">
        <x:v>RT,02/RW,001</x:v>
      </x:c>
      <x:c r="F152" s="315" t="str">
        <x:v>AIR ITAM</x:v>
      </x:c>
      <x:c r="G152" s="315" t="str">
        <x:v>BUKIT INTAN</x:v>
      </x:c>
      <x:c r="H152" s="315" t="str">
        <x:v>Belum Ditentukan</x:v>
      </x:c>
      <x:c r="I152" s="317" t="str">
        <x:v>RUMAH PERMANEN, KERUSAKAN HANYA BAGIAN ATAP</x:v>
      </x:c>
      <x:c r="J152" s="315" t="str">
        <x:v>Permanen</x:v>
      </x:c>
      <x:c r="K152" s="315" t="str">
        <x:v>Belum Diidentifikasi</x:v>
      </x:c>
      <x:c r="L152" s="315" t="str">
        <x:v>Belum Dinilai</x:v>
      </x:c>
      <x:c r="M152" s="367" t="str">
        <x:v>Dinding Permanen (Material tidak dirinci)</x:v>
      </x:c>
      <x:c r="N152" s="315" t="str">
        <x:v>Belum Dinilai</x:v>
      </x:c>
      <x:c r="O152" s="316" t="str">
        <x:v>Belum Diidentifikasi</x:v>
      </x:c>
      <x:c r="P152" s="349" t="str">
        <x:v>Belum Dinilai</x:v>
      </x:c>
      <x:c r="Q152" s="707" t="str">
        <x:v>Belum Dinilai</x:v>
      </x:c>
      <x:c r="R152" s="707" t="str">
        <x:v>Belum Dinilai</x:v>
      </x:c>
      <x:c r="S152" s="708" t="str">
        <x:v>Belum Dinilai</x:v>
      </x:c>
      <x:c r="T152" s="709" t="str">
        <x:v>Belum Dinilai</x:v>
      </x:c>
      <x:c r="U152" s="704" t="str">
        <x:v>Belum Dinilai</x:v>
      </x:c>
      <x:c r="V152" s="704" t="str">
        <x:v>Belum Dinilai</x:v>
      </x:c>
      <x:c r="W152" s="704" t="str"/>
      <x:c r="X152" s="704" t="str">
        <x:f>IF(COUNTIF(R152:V152,"Belum Dinilai")&gt;0,"Belum Dinilai",IF(COUNTIF(R152:V152,"Ya")=0,"Tidak ada faktor rentan",TEXTJOIN(", ",TRUE,IF(R152="Ya","Lansia",""),IF(S152="Ya","Penyandang disabilitas",""),IF(T152="Ya","Kepala keluarga perempuan",""),IF(U152="Ya","Balita",""),IF(V152="Ya","Anggota keluarga dengan ketergantungan tinggi",""))))</x:f>
        <x:v>Belum Dinilai</x:v>
      </x:c>
      <x:c r="Y152" s="704" t="str">
        <x:f>IF(COUNTIF(R152:V152,"Belum Dinilai")&gt;0,"Belum Dinilai",IF(COUNTIF(R152:V152,"Ya")=0,"Tidak Ada Faktor Rentan",IF(COUNTIF(R152:V152,"Ya")=1,"1 Faktor Rentan","2 atau Lebih Faktor Rentan")))</x:f>
        <x:v>Belum Dinilai</x:v>
      </x:c>
      <x:c r="Z152" s="704" t="str">
        <x:f>IF(OR(Q152="",Q152="Belum Dinilai"),"",IF(Q152="Terverifikasi DTKS/P3KE/MBR",10,IF(Q152="Diusulkan, Belum Terverifikasi",5,0)))</x:f>
      </x:c>
      <x:c r="AA152" s="705" t="str">
        <x:f>IF(COUNTIF(R152:V152,"Belum Dinilai")&gt;0,"",IF(COUNTIF(R152:V152,"Ya")=0,0,IF(COUNTIF(R152:V152,"Ya")=1,5,10)))</x:f>
      </x:c>
      <x:c r="AB152" s="706" t="str">
        <x:f>IF(OR(Z152="",AA152=""),"",Z152+AA152)</x:f>
      </x:c>
      <x:c r="AC152" s="713" t="str">
        <x:v>Belum Dinilai</x:v>
      </x:c>
      <x:c r="AD152" s="713" t="str">
        <x:v>Belum Dinilai</x:v>
      </x:c>
      <x:c r="AE152" s="714" t="str">
        <x:v>Belum Dinilai</x:v>
      </x:c>
      <x:c r="AF152" s="713" t="str">
        <x:v>Belum Dinilai</x:v>
      </x:c>
      <x:c r="AG152" s="713" t="str">
        <x:v>Belum Dinilai</x:v>
      </x:c>
      <x:c r="AH152" s="715" t="str">
        <x:v>Belum Dinilai</x:v>
      </x:c>
      <x:c r="AI152" s="714" t="str">
        <x:v>Belum Dinilai</x:v>
      </x:c>
      <x:c r="AJ152" s="713" t="str">
        <x:v>Belum Dinilai</x:v>
      </x:c>
      <x:c r="AK152" s="715" t="str">
        <x:v>Belum Dinilai</x:v>
      </x:c>
      <x:c r="AL152" s="713" t="str"/>
      <x:c r="AM152" s="716" t="str">
        <x:v>Belum Dinilai</x:v>
      </x:c>
      <x:c r="AN152" s="716" t="str">
        <x:f>IF(AND(COUNTIF(AC152:AK152,"Ya")=0,AL152=""),IF(COUNTIF(AC152:AK152,"Belum Dinilai")&gt;0,"Belum Dinilai","Tidak ada risiko khusus"),TEXTJOIN(", ",TRUE,IF(AC152="Ya","Bangunan berpotensi roboh",""),IF(AD152="Ya","Bekas kebakaran dan tidak aman dihuni",""),IF(AE152="Ya","Atap atau dinding utama hampir runtuh",""),IF(AF152="Ya","Genangan yang membahayakan",""),IF(AG152="Ya","Struktur rumah tidak stabil",""),IF(AH152="Ya","Instalasi listrik berbahaya",""),IF(AI152="Ya","Komponen bangunan lepas atau lapuk",""),IF(AJ152="Ya","Akses keluar atau evakuasi terbatas",""),IF(AK152="Ya","Lokasi rawan bencana",""),IF(AL152&lt;&gt;"","Lainnya: "&amp;AL152,"")))</x:f>
        <x:v>Belum Dinilai</x:v>
      </x:c>
      <x:c r="AO152" s="716" t="str">
        <x:f>IF(AR152="","Belum Dinilai",IF(AR152=10,"Risiko Tinggi/Darurat",IF(AR152=5,"Risiko Sedang","Tidak Ada Risiko Khusus")))</x:f>
        <x:v>Belum Dinilai</x:v>
      </x:c>
      <x:c r="AP152" s="716" t="str"/>
      <x:c r="AQ152" s="719" t="str">
        <x:f>IF(OR(J152="",J152="Belum Dapat Ditentukan",L152="",L152="Belum Dinilai",N152="",N152="Belum Dinilai",P152="",P152="Belum Dinilai"),"",IF(J152="Permanen",0,IF(J152="Semipermanen",8,IF(J152="Nonpermanen",15,0)))+IF(L152="Baik",0,IF(L152="Rusak Ringan",5,IF(L152="Rusak Sedang",10,IF(L152="Rusak Berat",15,IF(L152="Tidak Ada/Terbuka",20,0)))))+IF(N152="Baik",0,IF(N152="Rusak Ringan",5,IF(N152="Rusak Sedang",10,IF(N152="Rusak Berat",15,IF(N152="Tidak Ada/Terbuka",20,0)))))+IF(P152="Baik",0,IF(P152="Rusak Ringan",4,IF(P152="Rusak Sedang",8,IF(P152="Rusak Berat",12,IF(P152="Tidak Layak",15,0))))))</x:f>
      </x:c>
      <x:c r="AR152" s="719" t="str">
        <x:f>IF(COUNTIF(AC152:AH152,"Ya")&gt;0,10,IF(COUNTIF(AI152:AK152,"Ya")&gt;=2,10,IF(COUNTIF(AI152:AK152,"Ya")=1,MAX(5,IF(AM152="Risiko Tinggi/Darurat",10,IF(AM152="Risiko Sedang",5,0))),IF(AL152&lt;&gt;"",IF(AM152="Risiko Tinggi/Darurat",10,IF(AM152="Risiko Sedang",5,"")),IF(COUNTIF(AC152:AK152,"Belum Dinilai")&gt;0,"",0)))))</x:f>
      </x:c>
      <x:c r="AS152" s="719" t="str">
        <x:f>IF(OR(AQ152="",AB152="",AR152=""),"",AQ152+AB152+AR152)</x:f>
      </x:c>
      <x:c r="AT152" s="719" t="str">
        <x:f>IF(AS152="","Belum Dapat Ditentukan",IF(AS152&gt;=80,"Sangat Tinggi",IF(OR(AO152="Risiko Tinggi/Darurat",(IF(L152="Rusak Berat",1,0)+IF(L152="Tidak Ada/Terbuka",1,0)+IF(N152="Rusak Berat",1,0)+IF(N152="Tidak Ada/Terbuka",1,0)+IF(P152="Rusak Berat",1,0)+IF(P152="Tidak Layak",1,0))&gt;=2),"Tinggi",IF(AS152&gt;=65,"Tinggi",IF(AS152&gt;=50,"Sedang","Rendah")))))</x:f>
        <x:v>Belum Dapat Ditentukan</x:v>
      </x:c>
      <x:c r="AU152" s="240" t="str">
        <x:v>Lengkap</x:v>
      </x:c>
      <x:c r="AV152" s="240" t="str">
        <x:v>Sudah Diverifikasi</x:v>
      </x:c>
      <x:c r="AW152" s="240" t="str">
        <x:v>Belum Ditangani</x:v>
      </x:c>
      <x:c r="AX152" s="240"/>
      <x:c r="AY152" s="240"/>
      <x:c r="AZ152" s="240" t="str">
        <x:v>Belum Diverifikasi</x:v>
      </x:c>
      <x:c r="BA152" s="240"/>
      <x:c r="BB152" s="240"/>
      <x:c r="BC152" s="240" t="n">
        <x:v>2026</x:v>
      </x:c>
      <x:c r="BD152" s="240" t="str">
        <x:v>Usulan Musrenbang/Pokir DPRD</x:v>
      </x:c>
      <x:c r="BE152" s="240" t="n">
        <x:v>46218</x:v>
      </x:c>
      <x:c r="BF152" s="240" t="str">
        <x:v>Dinas Perkim Kota Pangkalpinang</x:v>
      </x:c>
    </x:row>
    <x:row r="153" ht="32" customHeight="1">
      <x:c r="A153" s="314" t="str">
        <x:v>RTLH-0182</x:v>
      </x:c>
      <x:c r="B153" s="315" t="str">
        <x:v>APHI</x:v>
      </x:c>
      <x:c r="C153" s="316"/>
      <x:c r="D153" s="316"/>
      <x:c r="E153" s="315" t="str">
        <x:v>JL,Batu Kadera RT,04/RW,02</x:v>
      </x:c>
      <x:c r="F153" s="315" t="str">
        <x:v>AIR MAWAR</x:v>
      </x:c>
      <x:c r="G153" s="315" t="str">
        <x:v>BUKIT INTAN</x:v>
      </x:c>
      <x:c r="H153" s="315" t="str">
        <x:v>Belum Ditentukan</x:v>
      </x:c>
      <x:c r="I153" s="317" t="str">
        <x:v>RUMAH PERMANEN</x:v>
      </x:c>
      <x:c r="J153" s="315" t="str">
        <x:v>Permanen</x:v>
      </x:c>
      <x:c r="K153" s="315" t="str">
        <x:v>Belum Diidentifikasi</x:v>
      </x:c>
      <x:c r="L153" s="315" t="str">
        <x:v>Belum Dinilai</x:v>
      </x:c>
      <x:c r="M153" s="367" t="str">
        <x:v>Dinding Permanen (Material tidak dirinci)</x:v>
      </x:c>
      <x:c r="N153" s="315" t="str">
        <x:v>Belum Dinilai</x:v>
      </x:c>
      <x:c r="O153" s="316" t="str">
        <x:v>Belum Diidentifikasi</x:v>
      </x:c>
      <x:c r="P153" s="349" t="str">
        <x:v>Belum Dinilai</x:v>
      </x:c>
      <x:c r="Q153" s="707" t="str">
        <x:v>Belum Dinilai</x:v>
      </x:c>
      <x:c r="R153" s="707" t="str">
        <x:v>Belum Dinilai</x:v>
      </x:c>
      <x:c r="S153" s="708" t="str">
        <x:v>Belum Dinilai</x:v>
      </x:c>
      <x:c r="T153" s="709" t="str">
        <x:v>Belum Dinilai</x:v>
      </x:c>
      <x:c r="U153" s="704" t="str">
        <x:v>Belum Dinilai</x:v>
      </x:c>
      <x:c r="V153" s="704" t="str">
        <x:v>Belum Dinilai</x:v>
      </x:c>
      <x:c r="W153" s="704" t="str"/>
      <x:c r="X153" s="704" t="str">
        <x:f>IF(COUNTIF(R153:V153,"Belum Dinilai")&gt;0,"Belum Dinilai",IF(COUNTIF(R153:V153,"Ya")=0,"Tidak ada faktor rentan",TEXTJOIN(", ",TRUE,IF(R153="Ya","Lansia",""),IF(S153="Ya","Penyandang disabilitas",""),IF(T153="Ya","Kepala keluarga perempuan",""),IF(U153="Ya","Balita",""),IF(V153="Ya","Anggota keluarga dengan ketergantungan tinggi",""))))</x:f>
        <x:v>Belum Dinilai</x:v>
      </x:c>
      <x:c r="Y153" s="704" t="str">
        <x:f>IF(COUNTIF(R153:V153,"Belum Dinilai")&gt;0,"Belum Dinilai",IF(COUNTIF(R153:V153,"Ya")=0,"Tidak Ada Faktor Rentan",IF(COUNTIF(R153:V153,"Ya")=1,"1 Faktor Rentan","2 atau Lebih Faktor Rentan")))</x:f>
        <x:v>Belum Dinilai</x:v>
      </x:c>
      <x:c r="Z153" s="704" t="str">
        <x:f>IF(OR(Q153="",Q153="Belum Dinilai"),"",IF(Q153="Terverifikasi DTKS/P3KE/MBR",10,IF(Q153="Diusulkan, Belum Terverifikasi",5,0)))</x:f>
      </x:c>
      <x:c r="AA153" s="705" t="str">
        <x:f>IF(COUNTIF(R153:V153,"Belum Dinilai")&gt;0,"",IF(COUNTIF(R153:V153,"Ya")=0,0,IF(COUNTIF(R153:V153,"Ya")=1,5,10)))</x:f>
      </x:c>
      <x:c r="AB153" s="706" t="str">
        <x:f>IF(OR(Z153="",AA153=""),"",Z153+AA153)</x:f>
      </x:c>
      <x:c r="AC153" s="713" t="str">
        <x:v>Belum Dinilai</x:v>
      </x:c>
      <x:c r="AD153" s="713" t="str">
        <x:v>Belum Dinilai</x:v>
      </x:c>
      <x:c r="AE153" s="714" t="str">
        <x:v>Belum Dinilai</x:v>
      </x:c>
      <x:c r="AF153" s="713" t="str">
        <x:v>Belum Dinilai</x:v>
      </x:c>
      <x:c r="AG153" s="713" t="str">
        <x:v>Belum Dinilai</x:v>
      </x:c>
      <x:c r="AH153" s="715" t="str">
        <x:v>Belum Dinilai</x:v>
      </x:c>
      <x:c r="AI153" s="714" t="str">
        <x:v>Belum Dinilai</x:v>
      </x:c>
      <x:c r="AJ153" s="713" t="str">
        <x:v>Belum Dinilai</x:v>
      </x:c>
      <x:c r="AK153" s="715" t="str">
        <x:v>Belum Dinilai</x:v>
      </x:c>
      <x:c r="AL153" s="713" t="str"/>
      <x:c r="AM153" s="716" t="str">
        <x:v>Belum Dinilai</x:v>
      </x:c>
      <x:c r="AN153" s="716" t="str">
        <x:f>IF(AND(COUNTIF(AC153:AK153,"Ya")=0,AL153=""),IF(COUNTIF(AC153:AK153,"Belum Dinilai")&gt;0,"Belum Dinilai","Tidak ada risiko khusus"),TEXTJOIN(", ",TRUE,IF(AC153="Ya","Bangunan berpotensi roboh",""),IF(AD153="Ya","Bekas kebakaran dan tidak aman dihuni",""),IF(AE153="Ya","Atap atau dinding utama hampir runtuh",""),IF(AF153="Ya","Genangan yang membahayakan",""),IF(AG153="Ya","Struktur rumah tidak stabil",""),IF(AH153="Ya","Instalasi listrik berbahaya",""),IF(AI153="Ya","Komponen bangunan lepas atau lapuk",""),IF(AJ153="Ya","Akses keluar atau evakuasi terbatas",""),IF(AK153="Ya","Lokasi rawan bencana",""),IF(AL153&lt;&gt;"","Lainnya: "&amp;AL153,"")))</x:f>
        <x:v>Belum Dinilai</x:v>
      </x:c>
      <x:c r="AO153" s="716" t="str">
        <x:f>IF(AR153="","Belum Dinilai",IF(AR153=10,"Risiko Tinggi/Darurat",IF(AR153=5,"Risiko Sedang","Tidak Ada Risiko Khusus")))</x:f>
        <x:v>Belum Dinilai</x:v>
      </x:c>
      <x:c r="AP153" s="716" t="str"/>
      <x:c r="AQ153" s="719" t="str">
        <x:f>IF(OR(J153="",J153="Belum Dapat Ditentukan",L153="",L153="Belum Dinilai",N153="",N153="Belum Dinilai",P153="",P153="Belum Dinilai"),"",IF(J153="Permanen",0,IF(J153="Semipermanen",8,IF(J153="Nonpermanen",15,0)))+IF(L153="Baik",0,IF(L153="Rusak Ringan",5,IF(L153="Rusak Sedang",10,IF(L153="Rusak Berat",15,IF(L153="Tidak Ada/Terbuka",20,0)))))+IF(N153="Baik",0,IF(N153="Rusak Ringan",5,IF(N153="Rusak Sedang",10,IF(N153="Rusak Berat",15,IF(N153="Tidak Ada/Terbuka",20,0)))))+IF(P153="Baik",0,IF(P153="Rusak Ringan",4,IF(P153="Rusak Sedang",8,IF(P153="Rusak Berat",12,IF(P153="Tidak Layak",15,0))))))</x:f>
      </x:c>
      <x:c r="AR153" s="719" t="str">
        <x:f>IF(COUNTIF(AC153:AH153,"Ya")&gt;0,10,IF(COUNTIF(AI153:AK153,"Ya")&gt;=2,10,IF(COUNTIF(AI153:AK153,"Ya")=1,MAX(5,IF(AM153="Risiko Tinggi/Darurat",10,IF(AM153="Risiko Sedang",5,0))),IF(AL153&lt;&gt;"",IF(AM153="Risiko Tinggi/Darurat",10,IF(AM153="Risiko Sedang",5,"")),IF(COUNTIF(AC153:AK153,"Belum Dinilai")&gt;0,"",0)))))</x:f>
      </x:c>
      <x:c r="AS153" s="719" t="str">
        <x:f>IF(OR(AQ153="",AB153="",AR153=""),"",AQ153+AB153+AR153)</x:f>
      </x:c>
      <x:c r="AT153" s="719" t="str">
        <x:f>IF(AS153="","Belum Dapat Ditentukan",IF(AS153&gt;=80,"Sangat Tinggi",IF(OR(AO153="Risiko Tinggi/Darurat",(IF(L153="Rusak Berat",1,0)+IF(L153="Tidak Ada/Terbuka",1,0)+IF(N153="Rusak Berat",1,0)+IF(N153="Tidak Ada/Terbuka",1,0)+IF(P153="Rusak Berat",1,0)+IF(P153="Tidak Layak",1,0))&gt;=2),"Tinggi",IF(AS153&gt;=65,"Tinggi",IF(AS153&gt;=50,"Sedang","Rendah")))))</x:f>
        <x:v>Belum Dapat Ditentukan</x:v>
      </x:c>
      <x:c r="AU153" s="240" t="str">
        <x:v>Belum Lengkap</x:v>
      </x:c>
      <x:c r="AV153" s="240" t="str">
        <x:v>Sudah Diverifikasi</x:v>
      </x:c>
      <x:c r="AW153" s="240" t="str">
        <x:v>Belum Ditangani</x:v>
      </x:c>
      <x:c r="AX153" s="240"/>
      <x:c r="AY153" s="240"/>
      <x:c r="AZ153" s="240" t="str">
        <x:v>Belum Diverifikasi</x:v>
      </x:c>
      <x:c r="BA153" s="240"/>
      <x:c r="BB153" s="240"/>
      <x:c r="BC153" s="240" t="n">
        <x:v>2026</x:v>
      </x:c>
      <x:c r="BD153" s="240" t="str">
        <x:v>Usulan Musrenbang/Pokir DPRD</x:v>
      </x:c>
      <x:c r="BE153" s="240" t="n">
        <x:v>46218</x:v>
      </x:c>
      <x:c r="BF153" s="240" t="str">
        <x:v>Dinas Perkim Kota Pangkalpinang</x:v>
      </x:c>
    </x:row>
    <x:row r="154" ht="32" customHeight="1">
      <x:c r="A154" s="314" t="str">
        <x:v>RTLH-0183</x:v>
      </x:c>
      <x:c r="B154" s="315" t="str">
        <x:v>RUDY</x:v>
      </x:c>
      <x:c r="C154" s="316"/>
      <x:c r="D154" s="316"/>
      <x:c r="E154" s="315" t="str">
        <x:v>JL.HORMEN MADDATI NO 24</x:v>
      </x:c>
      <x:c r="F154" s="315" t="str">
        <x:v>MELINTANG</x:v>
      </x:c>
      <x:c r="G154" s="315" t="str">
        <x:v>RANGKUI</x:v>
      </x:c>
      <x:c r="H154" s="315" t="str">
        <x:v>Belum Ditentukan</x:v>
      </x:c>
      <x:c r="I154" s="317" t="str">
        <x:v>RUMAH PERMANEN</x:v>
      </x:c>
      <x:c r="J154" s="315" t="str">
        <x:v>Permanen</x:v>
      </x:c>
      <x:c r="K154" s="315" t="str">
        <x:v>Belum Diidentifikasi</x:v>
      </x:c>
      <x:c r="L154" s="315" t="str">
        <x:v>Belum Dinilai</x:v>
      </x:c>
      <x:c r="M154" s="367" t="str">
        <x:v>Dinding Permanen (Material tidak dirinci)</x:v>
      </x:c>
      <x:c r="N154" s="315" t="str">
        <x:v>Belum Dinilai</x:v>
      </x:c>
      <x:c r="O154" s="316" t="str">
        <x:v>Belum Diidentifikasi</x:v>
      </x:c>
      <x:c r="P154" s="349" t="str">
        <x:v>Belum Dinilai</x:v>
      </x:c>
      <x:c r="Q154" s="707" t="str">
        <x:v>Belum Dinilai</x:v>
      </x:c>
      <x:c r="R154" s="707" t="str">
        <x:v>Belum Dinilai</x:v>
      </x:c>
      <x:c r="S154" s="708" t="str">
        <x:v>Belum Dinilai</x:v>
      </x:c>
      <x:c r="T154" s="709" t="str">
        <x:v>Belum Dinilai</x:v>
      </x:c>
      <x:c r="U154" s="704" t="str">
        <x:v>Belum Dinilai</x:v>
      </x:c>
      <x:c r="V154" s="704" t="str">
        <x:v>Belum Dinilai</x:v>
      </x:c>
      <x:c r="W154" s="704" t="str"/>
      <x:c r="X154" s="704" t="str">
        <x:f>IF(COUNTIF(R154:V154,"Belum Dinilai")&gt;0,"Belum Dinilai",IF(COUNTIF(R154:V154,"Ya")=0,"Tidak ada faktor rentan",TEXTJOIN(", ",TRUE,IF(R154="Ya","Lansia",""),IF(S154="Ya","Penyandang disabilitas",""),IF(T154="Ya","Kepala keluarga perempuan",""),IF(U154="Ya","Balita",""),IF(V154="Ya","Anggota keluarga dengan ketergantungan tinggi",""))))</x:f>
        <x:v>Belum Dinilai</x:v>
      </x:c>
      <x:c r="Y154" s="704" t="str">
        <x:f>IF(COUNTIF(R154:V154,"Belum Dinilai")&gt;0,"Belum Dinilai",IF(COUNTIF(R154:V154,"Ya")=0,"Tidak Ada Faktor Rentan",IF(COUNTIF(R154:V154,"Ya")=1,"1 Faktor Rentan","2 atau Lebih Faktor Rentan")))</x:f>
        <x:v>Belum Dinilai</x:v>
      </x:c>
      <x:c r="Z154" s="704" t="str">
        <x:f>IF(OR(Q154="",Q154="Belum Dinilai"),"",IF(Q154="Terverifikasi DTKS/P3KE/MBR",10,IF(Q154="Diusulkan, Belum Terverifikasi",5,0)))</x:f>
      </x:c>
      <x:c r="AA154" s="705" t="str">
        <x:f>IF(COUNTIF(R154:V154,"Belum Dinilai")&gt;0,"",IF(COUNTIF(R154:V154,"Ya")=0,0,IF(COUNTIF(R154:V154,"Ya")=1,5,10)))</x:f>
      </x:c>
      <x:c r="AB154" s="706" t="str">
        <x:f>IF(OR(Z154="",AA154=""),"",Z154+AA154)</x:f>
      </x:c>
      <x:c r="AC154" s="713" t="str">
        <x:v>Belum Dinilai</x:v>
      </x:c>
      <x:c r="AD154" s="713" t="str">
        <x:v>Belum Dinilai</x:v>
      </x:c>
      <x:c r="AE154" s="714" t="str">
        <x:v>Belum Dinilai</x:v>
      </x:c>
      <x:c r="AF154" s="713" t="str">
        <x:v>Belum Dinilai</x:v>
      </x:c>
      <x:c r="AG154" s="713" t="str">
        <x:v>Belum Dinilai</x:v>
      </x:c>
      <x:c r="AH154" s="715" t="str">
        <x:v>Belum Dinilai</x:v>
      </x:c>
      <x:c r="AI154" s="714" t="str">
        <x:v>Belum Dinilai</x:v>
      </x:c>
      <x:c r="AJ154" s="713" t="str">
        <x:v>Belum Dinilai</x:v>
      </x:c>
      <x:c r="AK154" s="715" t="str">
        <x:v>Belum Dinilai</x:v>
      </x:c>
      <x:c r="AL154" s="713" t="str"/>
      <x:c r="AM154" s="716" t="str">
        <x:v>Belum Dinilai</x:v>
      </x:c>
      <x:c r="AN154" s="716" t="str">
        <x:f>IF(AND(COUNTIF(AC154:AK154,"Ya")=0,AL154=""),IF(COUNTIF(AC154:AK154,"Belum Dinilai")&gt;0,"Belum Dinilai","Tidak ada risiko khusus"),TEXTJOIN(", ",TRUE,IF(AC154="Ya","Bangunan berpotensi roboh",""),IF(AD154="Ya","Bekas kebakaran dan tidak aman dihuni",""),IF(AE154="Ya","Atap atau dinding utama hampir runtuh",""),IF(AF154="Ya","Genangan yang membahayakan",""),IF(AG154="Ya","Struktur rumah tidak stabil",""),IF(AH154="Ya","Instalasi listrik berbahaya",""),IF(AI154="Ya","Komponen bangunan lepas atau lapuk",""),IF(AJ154="Ya","Akses keluar atau evakuasi terbatas",""),IF(AK154="Ya","Lokasi rawan bencana",""),IF(AL154&lt;&gt;"","Lainnya: "&amp;AL154,"")))</x:f>
        <x:v>Belum Dinilai</x:v>
      </x:c>
      <x:c r="AO154" s="716" t="str">
        <x:f>IF(AR154="","Belum Dinilai",IF(AR154=10,"Risiko Tinggi/Darurat",IF(AR154=5,"Risiko Sedang","Tidak Ada Risiko Khusus")))</x:f>
        <x:v>Belum Dinilai</x:v>
      </x:c>
      <x:c r="AP154" s="716" t="str"/>
      <x:c r="AQ154" s="719" t="str">
        <x:f>IF(OR(J154="",J154="Belum Dapat Ditentukan",L154="",L154="Belum Dinilai",N154="",N154="Belum Dinilai",P154="",P154="Belum Dinilai"),"",IF(J154="Permanen",0,IF(J154="Semipermanen",8,IF(J154="Nonpermanen",15,0)))+IF(L154="Baik",0,IF(L154="Rusak Ringan",5,IF(L154="Rusak Sedang",10,IF(L154="Rusak Berat",15,IF(L154="Tidak Ada/Terbuka",20,0)))))+IF(N154="Baik",0,IF(N154="Rusak Ringan",5,IF(N154="Rusak Sedang",10,IF(N154="Rusak Berat",15,IF(N154="Tidak Ada/Terbuka",20,0)))))+IF(P154="Baik",0,IF(P154="Rusak Ringan",4,IF(P154="Rusak Sedang",8,IF(P154="Rusak Berat",12,IF(P154="Tidak Layak",15,0))))))</x:f>
      </x:c>
      <x:c r="AR154" s="719" t="str">
        <x:f>IF(COUNTIF(AC154:AH154,"Ya")&gt;0,10,IF(COUNTIF(AI154:AK154,"Ya")&gt;=2,10,IF(COUNTIF(AI154:AK154,"Ya")=1,MAX(5,IF(AM154="Risiko Tinggi/Darurat",10,IF(AM154="Risiko Sedang",5,0))),IF(AL154&lt;&gt;"",IF(AM154="Risiko Tinggi/Darurat",10,IF(AM154="Risiko Sedang",5,"")),IF(COUNTIF(AC154:AK154,"Belum Dinilai")&gt;0,"",0)))))</x:f>
      </x:c>
      <x:c r="AS154" s="719" t="str">
        <x:f>IF(OR(AQ154="",AB154="",AR154=""),"",AQ154+AB154+AR154)</x:f>
      </x:c>
      <x:c r="AT154" s="719" t="str">
        <x:f>IF(AS154="","Belum Dapat Ditentukan",IF(AS154&gt;=80,"Sangat Tinggi",IF(OR(AO154="Risiko Tinggi/Darurat",(IF(L154="Rusak Berat",1,0)+IF(L154="Tidak Ada/Terbuka",1,0)+IF(N154="Rusak Berat",1,0)+IF(N154="Tidak Ada/Terbuka",1,0)+IF(P154="Rusak Berat",1,0)+IF(P154="Tidak Layak",1,0))&gt;=2),"Tinggi",IF(AS154&gt;=65,"Tinggi",IF(AS154&gt;=50,"Sedang","Rendah")))))</x:f>
        <x:v>Belum Dapat Ditentukan</x:v>
      </x:c>
      <x:c r="AU154" s="240" t="str">
        <x:v>Lengkap</x:v>
      </x:c>
      <x:c r="AV154" s="240" t="str">
        <x:v>Sudah Diverifikasi</x:v>
      </x:c>
      <x:c r="AW154" s="240" t="str">
        <x:v>Belum Ditangani</x:v>
      </x:c>
      <x:c r="AX154" s="240"/>
      <x:c r="AY154" s="240"/>
      <x:c r="AZ154" s="240" t="str">
        <x:v>Belum Diverifikasi</x:v>
      </x:c>
      <x:c r="BA154" s="240"/>
      <x:c r="BB154" s="240"/>
      <x:c r="BC154" s="240" t="n">
        <x:v>2026</x:v>
      </x:c>
      <x:c r="BD154" s="240" t="str">
        <x:v>Usulan Musrenbang/Pokir DPRD</x:v>
      </x:c>
      <x:c r="BE154" s="240" t="n">
        <x:v>46218</x:v>
      </x:c>
      <x:c r="BF154" s="240" t="str">
        <x:v>Dinas Perkim Kota Pangkalpinang</x:v>
      </x:c>
    </x:row>
    <x:row r="155" ht="32" customHeight="1">
      <x:c r="A155" s="314" t="str">
        <x:v>RTLH-0184</x:v>
      </x:c>
      <x:c r="B155" s="315" t="str">
        <x:v>RIVA GUSTI</x:v>
      </x:c>
      <x:c r="C155" s="316"/>
      <x:c r="D155" s="316"/>
      <x:c r="E155" s="315" t="str">
        <x:v>JL.HORMEN MADDATI NO 24</x:v>
      </x:c>
      <x:c r="F155" s="315" t="str">
        <x:v>MELINTANG</x:v>
      </x:c>
      <x:c r="G155" s="315" t="str">
        <x:v>RANGKUI</x:v>
      </x:c>
      <x:c r="H155" s="315" t="str">
        <x:v>Peningkatan Kualitas</x:v>
      </x:c>
      <x:c r="I155" s="317" t="str">
        <x:v>RUMAH SEMI PERMANEN, BAGIAN UTAM FULL PAPAN, BAGIAN DAPUR PERMANEN</x:v>
      </x:c>
      <x:c r="J155" s="315" t="str">
        <x:v>Semipermanen</x:v>
      </x:c>
      <x:c r="K155" s="315" t="str">
        <x:v>Belum Diidentifikasi</x:v>
      </x:c>
      <x:c r="L155" s="315" t="str">
        <x:v>Belum Dinilai</x:v>
      </x:c>
      <x:c r="M155" s="367" t="str">
        <x:v>Papan/Kayu</x:v>
      </x:c>
      <x:c r="N155" s="315" t="str">
        <x:v>Belum Dinilai</x:v>
      </x:c>
      <x:c r="O155" s="316" t="str">
        <x:v>Belum Diidentifikasi</x:v>
      </x:c>
      <x:c r="P155" s="349" t="str">
        <x:v>Belum Dinilai</x:v>
      </x:c>
      <x:c r="Q155" s="707" t="str">
        <x:v>Belum Dinilai</x:v>
      </x:c>
      <x:c r="R155" s="707" t="str">
        <x:v>Belum Dinilai</x:v>
      </x:c>
      <x:c r="S155" s="708" t="str">
        <x:v>Belum Dinilai</x:v>
      </x:c>
      <x:c r="T155" s="709" t="str">
        <x:v>Belum Dinilai</x:v>
      </x:c>
      <x:c r="U155" s="704" t="str">
        <x:v>Belum Dinilai</x:v>
      </x:c>
      <x:c r="V155" s="704" t="str">
        <x:v>Belum Dinilai</x:v>
      </x:c>
      <x:c r="W155" s="704" t="str"/>
      <x:c r="X155" s="704" t="str">
        <x:f>IF(COUNTIF(R155:V155,"Belum Dinilai")&gt;0,"Belum Dinilai",IF(COUNTIF(R155:V155,"Ya")=0,"Tidak ada faktor rentan",TEXTJOIN(", ",TRUE,IF(R155="Ya","Lansia",""),IF(S155="Ya","Penyandang disabilitas",""),IF(T155="Ya","Kepala keluarga perempuan",""),IF(U155="Ya","Balita",""),IF(V155="Ya","Anggota keluarga dengan ketergantungan tinggi",""))))</x:f>
        <x:v>Belum Dinilai</x:v>
      </x:c>
      <x:c r="Y155" s="704" t="str">
        <x:f>IF(COUNTIF(R155:V155,"Belum Dinilai")&gt;0,"Belum Dinilai",IF(COUNTIF(R155:V155,"Ya")=0,"Tidak Ada Faktor Rentan",IF(COUNTIF(R155:V155,"Ya")=1,"1 Faktor Rentan","2 atau Lebih Faktor Rentan")))</x:f>
        <x:v>Belum Dinilai</x:v>
      </x:c>
      <x:c r="Z155" s="704" t="str">
        <x:f>IF(OR(Q155="",Q155="Belum Dinilai"),"",IF(Q155="Terverifikasi DTKS/P3KE/MBR",10,IF(Q155="Diusulkan, Belum Terverifikasi",5,0)))</x:f>
      </x:c>
      <x:c r="AA155" s="705" t="str">
        <x:f>IF(COUNTIF(R155:V155,"Belum Dinilai")&gt;0,"",IF(COUNTIF(R155:V155,"Ya")=0,0,IF(COUNTIF(R155:V155,"Ya")=1,5,10)))</x:f>
      </x:c>
      <x:c r="AB155" s="706" t="str">
        <x:f>IF(OR(Z155="",AA155=""),"",Z155+AA155)</x:f>
      </x:c>
      <x:c r="AC155" s="713" t="str">
        <x:v>Belum Dinilai</x:v>
      </x:c>
      <x:c r="AD155" s="713" t="str">
        <x:v>Belum Dinilai</x:v>
      </x:c>
      <x:c r="AE155" s="714" t="str">
        <x:v>Belum Dinilai</x:v>
      </x:c>
      <x:c r="AF155" s="713" t="str">
        <x:v>Belum Dinilai</x:v>
      </x:c>
      <x:c r="AG155" s="713" t="str">
        <x:v>Belum Dinilai</x:v>
      </x:c>
      <x:c r="AH155" s="715" t="str">
        <x:v>Belum Dinilai</x:v>
      </x:c>
      <x:c r="AI155" s="714" t="str">
        <x:v>Belum Dinilai</x:v>
      </x:c>
      <x:c r="AJ155" s="713" t="str">
        <x:v>Belum Dinilai</x:v>
      </x:c>
      <x:c r="AK155" s="715" t="str">
        <x:v>Belum Dinilai</x:v>
      </x:c>
      <x:c r="AL155" s="713" t="str"/>
      <x:c r="AM155" s="716" t="str">
        <x:v>Belum Dinilai</x:v>
      </x:c>
      <x:c r="AN155" s="716" t="str">
        <x:f>IF(AND(COUNTIF(AC155:AK155,"Ya")=0,AL155=""),IF(COUNTIF(AC155:AK155,"Belum Dinilai")&gt;0,"Belum Dinilai","Tidak ada risiko khusus"),TEXTJOIN(", ",TRUE,IF(AC155="Ya","Bangunan berpotensi roboh",""),IF(AD155="Ya","Bekas kebakaran dan tidak aman dihuni",""),IF(AE155="Ya","Atap atau dinding utama hampir runtuh",""),IF(AF155="Ya","Genangan yang membahayakan",""),IF(AG155="Ya","Struktur rumah tidak stabil",""),IF(AH155="Ya","Instalasi listrik berbahaya",""),IF(AI155="Ya","Komponen bangunan lepas atau lapuk",""),IF(AJ155="Ya","Akses keluar atau evakuasi terbatas",""),IF(AK155="Ya","Lokasi rawan bencana",""),IF(AL155&lt;&gt;"","Lainnya: "&amp;AL155,"")))</x:f>
        <x:v>Belum Dinilai</x:v>
      </x:c>
      <x:c r="AO155" s="716" t="str">
        <x:f>IF(AR155="","Belum Dinilai",IF(AR155=10,"Risiko Tinggi/Darurat",IF(AR155=5,"Risiko Sedang","Tidak Ada Risiko Khusus")))</x:f>
        <x:v>Belum Dinilai</x:v>
      </x:c>
      <x:c r="AP155" s="716" t="str"/>
      <x:c r="AQ155" s="719" t="str">
        <x:f>IF(OR(J155="",J155="Belum Dapat Ditentukan",L155="",L155="Belum Dinilai",N155="",N155="Belum Dinilai",P155="",P155="Belum Dinilai"),"",IF(J155="Permanen",0,IF(J155="Semipermanen",8,IF(J155="Nonpermanen",15,0)))+IF(L155="Baik",0,IF(L155="Rusak Ringan",5,IF(L155="Rusak Sedang",10,IF(L155="Rusak Berat",15,IF(L155="Tidak Ada/Terbuka",20,0)))))+IF(N155="Baik",0,IF(N155="Rusak Ringan",5,IF(N155="Rusak Sedang",10,IF(N155="Rusak Berat",15,IF(N155="Tidak Ada/Terbuka",20,0)))))+IF(P155="Baik",0,IF(P155="Rusak Ringan",4,IF(P155="Rusak Sedang",8,IF(P155="Rusak Berat",12,IF(P155="Tidak Layak",15,0))))))</x:f>
      </x:c>
      <x:c r="AR155" s="719" t="str">
        <x:f>IF(COUNTIF(AC155:AH155,"Ya")&gt;0,10,IF(COUNTIF(AI155:AK155,"Ya")&gt;=2,10,IF(COUNTIF(AI155:AK155,"Ya")=1,MAX(5,IF(AM155="Risiko Tinggi/Darurat",10,IF(AM155="Risiko Sedang",5,0))),IF(AL155&lt;&gt;"",IF(AM155="Risiko Tinggi/Darurat",10,IF(AM155="Risiko Sedang",5,"")),IF(COUNTIF(AC155:AK155,"Belum Dinilai")&gt;0,"",0)))))</x:f>
      </x:c>
      <x:c r="AS155" s="719" t="str">
        <x:f>IF(OR(AQ155="",AB155="",AR155=""),"",AQ155+AB155+AR155)</x:f>
      </x:c>
      <x:c r="AT155" s="719" t="str">
        <x:f>IF(AS155="","Belum Dapat Ditentukan",IF(AS155&gt;=80,"Sangat Tinggi",IF(OR(AO155="Risiko Tinggi/Darurat",(IF(L155="Rusak Berat",1,0)+IF(L155="Tidak Ada/Terbuka",1,0)+IF(N155="Rusak Berat",1,0)+IF(N155="Tidak Ada/Terbuka",1,0)+IF(P155="Rusak Berat",1,0)+IF(P155="Tidak Layak",1,0))&gt;=2),"Tinggi",IF(AS155&gt;=65,"Tinggi",IF(AS155&gt;=50,"Sedang","Rendah")))))</x:f>
        <x:v>Belum Dapat Ditentukan</x:v>
      </x:c>
      <x:c r="AU155" s="240" t="str">
        <x:v>Lengkap</x:v>
      </x:c>
      <x:c r="AV155" s="240" t="str">
        <x:v>Sudah Diverifikasi</x:v>
      </x:c>
      <x:c r="AW155" s="240" t="str">
        <x:v>Selesai</x:v>
      </x:c>
      <x:c r="AX155" s="240" t="str">
        <x:v>APBD Kota</x:v>
      </x:c>
      <x:c r="AY155" s="240" t="n">
        <x:v>2024</x:v>
      </x:c>
      <x:c r="AZ155" s="240" t="str">
        <x:v>Belum Diverifikasi</x:v>
      </x:c>
      <x:c r="BA155" s="240"/>
      <x:c r="BB155" s="240"/>
      <x:c r="BC155" s="240" t="n">
        <x:v>2026</x:v>
      </x:c>
      <x:c r="BD155" s="240" t="str">
        <x:v>Usulan Musrenbang/Pokir DPRD</x:v>
      </x:c>
      <x:c r="BE155" s="240" t="n">
        <x:v>46218</x:v>
      </x:c>
      <x:c r="BF155" s="240" t="str">
        <x:v>Dinas Perkim Kota Pangkalpinang</x:v>
      </x:c>
    </x:row>
    <x:row r="156" ht="32" customHeight="1">
      <x:c r="A156" s="314" t="str">
        <x:v>RTLH-0185</x:v>
      </x:c>
      <x:c r="B156" s="315" t="str">
        <x:v>MARDIYAN</x:v>
      </x:c>
      <x:c r="C156" s="316"/>
      <x:c r="D156" s="316"/>
      <x:c r="E156" s="315" t="str">
        <x:v>JL. AIR MAWAR</x:v>
      </x:c>
      <x:c r="F156" s="315" t="str">
        <x:v>AIR MAWAR</x:v>
      </x:c>
      <x:c r="G156" s="315" t="str">
        <x:v>BUKIT INTAN</x:v>
      </x:c>
      <x:c r="H156" s="315" t="str">
        <x:v>Pembangunan Baru</x:v>
      </x:c>
      <x:c r="I156" s="317" t="str">
        <x:v>RUMAH FULL PAPAN</x:v>
      </x:c>
      <x:c r="J156" s="315" t="str">
        <x:v>Nonpermanen</x:v>
      </x:c>
      <x:c r="K156" s="315" t="str">
        <x:v>Belum Diidentifikasi</x:v>
      </x:c>
      <x:c r="L156" s="315" t="str">
        <x:v>Belum Dinilai</x:v>
      </x:c>
      <x:c r="M156" s="367" t="str">
        <x:v>Papan/Kayu</x:v>
      </x:c>
      <x:c r="N156" s="315" t="str">
        <x:v>Belum Dinilai</x:v>
      </x:c>
      <x:c r="O156" s="316" t="str">
        <x:v>Belum Diidentifikasi</x:v>
      </x:c>
      <x:c r="P156" s="349" t="str">
        <x:v>Belum Dinilai</x:v>
      </x:c>
      <x:c r="Q156" s="707" t="str">
        <x:v>Belum Dinilai</x:v>
      </x:c>
      <x:c r="R156" s="707" t="str">
        <x:v>Belum Dinilai</x:v>
      </x:c>
      <x:c r="S156" s="708" t="str">
        <x:v>Belum Dinilai</x:v>
      </x:c>
      <x:c r="T156" s="709" t="str">
        <x:v>Belum Dinilai</x:v>
      </x:c>
      <x:c r="U156" s="704" t="str">
        <x:v>Belum Dinilai</x:v>
      </x:c>
      <x:c r="V156" s="704" t="str">
        <x:v>Belum Dinilai</x:v>
      </x:c>
      <x:c r="W156" s="704" t="str"/>
      <x:c r="X156" s="704" t="str">
        <x:f>IF(COUNTIF(R156:V156,"Belum Dinilai")&gt;0,"Belum Dinilai",IF(COUNTIF(R156:V156,"Ya")=0,"Tidak ada faktor rentan",TEXTJOIN(", ",TRUE,IF(R156="Ya","Lansia",""),IF(S156="Ya","Penyandang disabilitas",""),IF(T156="Ya","Kepala keluarga perempuan",""),IF(U156="Ya","Balita",""),IF(V156="Ya","Anggota keluarga dengan ketergantungan tinggi",""))))</x:f>
        <x:v>Belum Dinilai</x:v>
      </x:c>
      <x:c r="Y156" s="704" t="str">
        <x:f>IF(COUNTIF(R156:V156,"Belum Dinilai")&gt;0,"Belum Dinilai",IF(COUNTIF(R156:V156,"Ya")=0,"Tidak Ada Faktor Rentan",IF(COUNTIF(R156:V156,"Ya")=1,"1 Faktor Rentan","2 atau Lebih Faktor Rentan")))</x:f>
        <x:v>Belum Dinilai</x:v>
      </x:c>
      <x:c r="Z156" s="704" t="str">
        <x:f>IF(OR(Q156="",Q156="Belum Dinilai"),"",IF(Q156="Terverifikasi DTKS/P3KE/MBR",10,IF(Q156="Diusulkan, Belum Terverifikasi",5,0)))</x:f>
      </x:c>
      <x:c r="AA156" s="705" t="str">
        <x:f>IF(COUNTIF(R156:V156,"Belum Dinilai")&gt;0,"",IF(COUNTIF(R156:V156,"Ya")=0,0,IF(COUNTIF(R156:V156,"Ya")=1,5,10)))</x:f>
      </x:c>
      <x:c r="AB156" s="706" t="str">
        <x:f>IF(OR(Z156="",AA156=""),"",Z156+AA156)</x:f>
      </x:c>
      <x:c r="AC156" s="713" t="str">
        <x:v>Belum Dinilai</x:v>
      </x:c>
      <x:c r="AD156" s="713" t="str">
        <x:v>Belum Dinilai</x:v>
      </x:c>
      <x:c r="AE156" s="714" t="str">
        <x:v>Belum Dinilai</x:v>
      </x:c>
      <x:c r="AF156" s="713" t="str">
        <x:v>Belum Dinilai</x:v>
      </x:c>
      <x:c r="AG156" s="713" t="str">
        <x:v>Belum Dinilai</x:v>
      </x:c>
      <x:c r="AH156" s="715" t="str">
        <x:v>Belum Dinilai</x:v>
      </x:c>
      <x:c r="AI156" s="714" t="str">
        <x:v>Belum Dinilai</x:v>
      </x:c>
      <x:c r="AJ156" s="713" t="str">
        <x:v>Belum Dinilai</x:v>
      </x:c>
      <x:c r="AK156" s="715" t="str">
        <x:v>Belum Dinilai</x:v>
      </x:c>
      <x:c r="AL156" s="713" t="str"/>
      <x:c r="AM156" s="716" t="str">
        <x:v>Belum Dinilai</x:v>
      </x:c>
      <x:c r="AN156" s="716" t="str">
        <x:f>IF(AND(COUNTIF(AC156:AK156,"Ya")=0,AL156=""),IF(COUNTIF(AC156:AK156,"Belum Dinilai")&gt;0,"Belum Dinilai","Tidak ada risiko khusus"),TEXTJOIN(", ",TRUE,IF(AC156="Ya","Bangunan berpotensi roboh",""),IF(AD156="Ya","Bekas kebakaran dan tidak aman dihuni",""),IF(AE156="Ya","Atap atau dinding utama hampir runtuh",""),IF(AF156="Ya","Genangan yang membahayakan",""),IF(AG156="Ya","Struktur rumah tidak stabil",""),IF(AH156="Ya","Instalasi listrik berbahaya",""),IF(AI156="Ya","Komponen bangunan lepas atau lapuk",""),IF(AJ156="Ya","Akses keluar atau evakuasi terbatas",""),IF(AK156="Ya","Lokasi rawan bencana",""),IF(AL156&lt;&gt;"","Lainnya: "&amp;AL156,"")))</x:f>
        <x:v>Belum Dinilai</x:v>
      </x:c>
      <x:c r="AO156" s="716" t="str">
        <x:f>IF(AR156="","Belum Dinilai",IF(AR156=10,"Risiko Tinggi/Darurat",IF(AR156=5,"Risiko Sedang","Tidak Ada Risiko Khusus")))</x:f>
        <x:v>Belum Dinilai</x:v>
      </x:c>
      <x:c r="AP156" s="716" t="str"/>
      <x:c r="AQ156" s="719" t="str">
        <x:f>IF(OR(J156="",J156="Belum Dapat Ditentukan",L156="",L156="Belum Dinilai",N156="",N156="Belum Dinilai",P156="",P156="Belum Dinilai"),"",IF(J156="Permanen",0,IF(J156="Semipermanen",8,IF(J156="Nonpermanen",15,0)))+IF(L156="Baik",0,IF(L156="Rusak Ringan",5,IF(L156="Rusak Sedang",10,IF(L156="Rusak Berat",15,IF(L156="Tidak Ada/Terbuka",20,0)))))+IF(N156="Baik",0,IF(N156="Rusak Ringan",5,IF(N156="Rusak Sedang",10,IF(N156="Rusak Berat",15,IF(N156="Tidak Ada/Terbuka",20,0)))))+IF(P156="Baik",0,IF(P156="Rusak Ringan",4,IF(P156="Rusak Sedang",8,IF(P156="Rusak Berat",12,IF(P156="Tidak Layak",15,0))))))</x:f>
      </x:c>
      <x:c r="AR156" s="719" t="str">
        <x:f>IF(COUNTIF(AC156:AH156,"Ya")&gt;0,10,IF(COUNTIF(AI156:AK156,"Ya")&gt;=2,10,IF(COUNTIF(AI156:AK156,"Ya")=1,MAX(5,IF(AM156="Risiko Tinggi/Darurat",10,IF(AM156="Risiko Sedang",5,0))),IF(AL156&lt;&gt;"",IF(AM156="Risiko Tinggi/Darurat",10,IF(AM156="Risiko Sedang",5,"")),IF(COUNTIF(AC156:AK156,"Belum Dinilai")&gt;0,"",0)))))</x:f>
      </x:c>
      <x:c r="AS156" s="719" t="str">
        <x:f>IF(OR(AQ156="",AB156="",AR156=""),"",AQ156+AB156+AR156)</x:f>
      </x:c>
      <x:c r="AT156" s="719" t="str">
        <x:f>IF(AS156="","Belum Dapat Ditentukan",IF(AS156&gt;=80,"Sangat Tinggi",IF(OR(AO156="Risiko Tinggi/Darurat",(IF(L156="Rusak Berat",1,0)+IF(L156="Tidak Ada/Terbuka",1,0)+IF(N156="Rusak Berat",1,0)+IF(N156="Tidak Ada/Terbuka",1,0)+IF(P156="Rusak Berat",1,0)+IF(P156="Tidak Layak",1,0))&gt;=2),"Tinggi",IF(AS156&gt;=65,"Tinggi",IF(AS156&gt;=50,"Sedang","Rendah")))))</x:f>
        <x:v>Belum Dapat Ditentukan</x:v>
      </x:c>
      <x:c r="AU156" s="240" t="str">
        <x:v>Lengkap</x:v>
      </x:c>
      <x:c r="AV156" s="240" t="str">
        <x:v>Sudah Diverifikasi</x:v>
      </x:c>
      <x:c r="AW156" s="240" t="str">
        <x:v>Selesai</x:v>
      </x:c>
      <x:c r="AX156" s="240" t="str">
        <x:v>APBD Kota</x:v>
      </x:c>
      <x:c r="AY156" s="240" t="n">
        <x:v>2022</x:v>
      </x:c>
      <x:c r="AZ156" s="240" t="str">
        <x:v>Belum Diverifikasi</x:v>
      </x:c>
      <x:c r="BA156" s="240"/>
      <x:c r="BB156" s="240"/>
      <x:c r="BC156" s="240" t="n">
        <x:v>2026</x:v>
      </x:c>
      <x:c r="BD156" s="240" t="str">
        <x:v>Usulan Musrenbang/Pokir DPRD</x:v>
      </x:c>
      <x:c r="BE156" s="240" t="n">
        <x:v>46218</x:v>
      </x:c>
      <x:c r="BF156" s="240" t="str">
        <x:v>Dinas Perkim Kota Pangkalpinang</x:v>
      </x:c>
    </x:row>
    <x:row r="157" ht="32" customHeight="1">
      <x:c r="A157" s="314" t="str">
        <x:v>RTLH-0186</x:v>
      </x:c>
      <x:c r="B157" s="315" t="str">
        <x:v>JOHAN</x:v>
      </x:c>
      <x:c r="C157" s="316"/>
      <x:c r="D157" s="316"/>
      <x:c r="E157" s="315" t="str">
        <x:v>Belum tersedia</x:v>
      </x:c>
      <x:c r="F157" s="315" t="str">
        <x:v>KEJAKSAAN</x:v>
      </x:c>
      <x:c r="G157" s="315" t="str">
        <x:v>TAMAN SARI</x:v>
      </x:c>
      <x:c r="H157" s="315" t="str">
        <x:v>Belum Ditentukan</x:v>
      </x:c>
      <x:c r="I157" s="317" t="str">
        <x:v>RUMAH FULL PAPAN , DINDING RUSAK RINGAN, ATAP RUSAK RINGAN, LANTAI FLOOR</x:v>
      </x:c>
      <x:c r="J157" s="315" t="str">
        <x:v>Nonpermanen</x:v>
      </x:c>
      <x:c r="K157" s="315" t="str">
        <x:v>Belum Diidentifikasi</x:v>
      </x:c>
      <x:c r="L157" s="315" t="str">
        <x:v>Rusak Ringan</x:v>
      </x:c>
      <x:c r="M157" s="367" t="str">
        <x:v>Papan/Kayu</x:v>
      </x:c>
      <x:c r="N157" s="315" t="str">
        <x:v>Rusak Ringan</x:v>
      </x:c>
      <x:c r="O157" s="316" t="str">
        <x:v>Semen/Plester</x:v>
      </x:c>
      <x:c r="P157" s="349" t="str">
        <x:v>Rusak Ringan</x:v>
      </x:c>
      <x:c r="Q157" s="707" t="str">
        <x:v>Belum Dinilai</x:v>
      </x:c>
      <x:c r="R157" s="707" t="str">
        <x:v>Belum Dinilai</x:v>
      </x:c>
      <x:c r="S157" s="708" t="str">
        <x:v>Belum Dinilai</x:v>
      </x:c>
      <x:c r="T157" s="709" t="str">
        <x:v>Belum Dinilai</x:v>
      </x:c>
      <x:c r="U157" s="704" t="str">
        <x:v>Belum Dinilai</x:v>
      </x:c>
      <x:c r="V157" s="704" t="str">
        <x:v>Belum Dinilai</x:v>
      </x:c>
      <x:c r="W157" s="704" t="str"/>
      <x:c r="X157" s="704" t="str">
        <x:f>IF(COUNTIF(R157:V157,"Belum Dinilai")&gt;0,"Belum Dinilai",IF(COUNTIF(R157:V157,"Ya")=0,"Tidak ada faktor rentan",TEXTJOIN(", ",TRUE,IF(R157="Ya","Lansia",""),IF(S157="Ya","Penyandang disabilitas",""),IF(T157="Ya","Kepala keluarga perempuan",""),IF(U157="Ya","Balita",""),IF(V157="Ya","Anggota keluarga dengan ketergantungan tinggi",""))))</x:f>
        <x:v>Belum Dinilai</x:v>
      </x:c>
      <x:c r="Y157" s="704" t="str">
        <x:f>IF(COUNTIF(R157:V157,"Belum Dinilai")&gt;0,"Belum Dinilai",IF(COUNTIF(R157:V157,"Ya")=0,"Tidak Ada Faktor Rentan",IF(COUNTIF(R157:V157,"Ya")=1,"1 Faktor Rentan","2 atau Lebih Faktor Rentan")))</x:f>
        <x:v>Belum Dinilai</x:v>
      </x:c>
      <x:c r="Z157" s="704" t="str">
        <x:f>IF(OR(Q157="",Q157="Belum Dinilai"),"",IF(Q157="Terverifikasi DTKS/P3KE/MBR",10,IF(Q157="Diusulkan, Belum Terverifikasi",5,0)))</x:f>
      </x:c>
      <x:c r="AA157" s="705" t="str">
        <x:f>IF(COUNTIF(R157:V157,"Belum Dinilai")&gt;0,"",IF(COUNTIF(R157:V157,"Ya")=0,0,IF(COUNTIF(R157:V157,"Ya")=1,5,10)))</x:f>
      </x:c>
      <x:c r="AB157" s="706" t="str">
        <x:f>IF(OR(Z157="",AA157=""),"",Z157+AA157)</x:f>
      </x:c>
      <x:c r="AC157" s="713" t="str">
        <x:v>Belum Dinilai</x:v>
      </x:c>
      <x:c r="AD157" s="713" t="str">
        <x:v>Belum Dinilai</x:v>
      </x:c>
      <x:c r="AE157" s="714" t="str">
        <x:v>Belum Dinilai</x:v>
      </x:c>
      <x:c r="AF157" s="713" t="str">
        <x:v>Belum Dinilai</x:v>
      </x:c>
      <x:c r="AG157" s="713" t="str">
        <x:v>Belum Dinilai</x:v>
      </x:c>
      <x:c r="AH157" s="715" t="str">
        <x:v>Belum Dinilai</x:v>
      </x:c>
      <x:c r="AI157" s="714" t="str">
        <x:v>Belum Dinilai</x:v>
      </x:c>
      <x:c r="AJ157" s="713" t="str">
        <x:v>Belum Dinilai</x:v>
      </x:c>
      <x:c r="AK157" s="715" t="str">
        <x:v>Belum Dinilai</x:v>
      </x:c>
      <x:c r="AL157" s="713" t="str"/>
      <x:c r="AM157" s="716" t="str">
        <x:v>Belum Dinilai</x:v>
      </x:c>
      <x:c r="AN157" s="716" t="str">
        <x:f>IF(AND(COUNTIF(AC157:AK157,"Ya")=0,AL157=""),IF(COUNTIF(AC157:AK157,"Belum Dinilai")&gt;0,"Belum Dinilai","Tidak ada risiko khusus"),TEXTJOIN(", ",TRUE,IF(AC157="Ya","Bangunan berpotensi roboh",""),IF(AD157="Ya","Bekas kebakaran dan tidak aman dihuni",""),IF(AE157="Ya","Atap atau dinding utama hampir runtuh",""),IF(AF157="Ya","Genangan yang membahayakan",""),IF(AG157="Ya","Struktur rumah tidak stabil",""),IF(AH157="Ya","Instalasi listrik berbahaya",""),IF(AI157="Ya","Komponen bangunan lepas atau lapuk",""),IF(AJ157="Ya","Akses keluar atau evakuasi terbatas",""),IF(AK157="Ya","Lokasi rawan bencana",""),IF(AL157&lt;&gt;"","Lainnya: "&amp;AL157,"")))</x:f>
        <x:v>Belum Dinilai</x:v>
      </x:c>
      <x:c r="AO157" s="716" t="str">
        <x:f>IF(AR157="","Belum Dinilai",IF(AR157=10,"Risiko Tinggi/Darurat",IF(AR157=5,"Risiko Sedang","Tidak Ada Risiko Khusus")))</x:f>
        <x:v>Belum Dinilai</x:v>
      </x:c>
      <x:c r="AP157" s="716" t="str"/>
      <x:c r="AQ157" s="719" t="n">
        <x:f>IF(OR(J157="",J157="Belum Dapat Ditentukan",L157="",L157="Belum Dinilai",N157="",N157="Belum Dinilai",P157="",P157="Belum Dinilai"),"",IF(J157="Permanen",0,IF(J157="Semipermanen",8,IF(J157="Nonpermanen",15,0)))+IF(L157="Baik",0,IF(L157="Rusak Ringan",5,IF(L157="Rusak Sedang",10,IF(L157="Rusak Berat",15,IF(L157="Tidak Ada/Terbuka",20,0)))))+IF(N157="Baik",0,IF(N157="Rusak Ringan",5,IF(N157="Rusak Sedang",10,IF(N157="Rusak Berat",15,IF(N157="Tidak Ada/Terbuka",20,0)))))+IF(P157="Baik",0,IF(P157="Rusak Ringan",4,IF(P157="Rusak Sedang",8,IF(P157="Rusak Berat",12,IF(P157="Tidak Layak",15,0))))))</x:f>
        <x:v>29</x:v>
      </x:c>
      <x:c r="AR157" s="719" t="str">
        <x:f>IF(COUNTIF(AC157:AH157,"Ya")&gt;0,10,IF(COUNTIF(AI157:AK157,"Ya")&gt;=2,10,IF(COUNTIF(AI157:AK157,"Ya")=1,MAX(5,IF(AM157="Risiko Tinggi/Darurat",10,IF(AM157="Risiko Sedang",5,0))),IF(AL157&lt;&gt;"",IF(AM157="Risiko Tinggi/Darurat",10,IF(AM157="Risiko Sedang",5,"")),IF(COUNTIF(AC157:AK157,"Belum Dinilai")&gt;0,"",0)))))</x:f>
      </x:c>
      <x:c r="AS157" s="719" t="str">
        <x:f>IF(OR(AQ157="",AB157="",AR157=""),"",AQ157+AB157+AR157)</x:f>
      </x:c>
      <x:c r="AT157" s="719" t="str">
        <x:f>IF(AS157="","Belum Dapat Ditentukan",IF(AS157&gt;=80,"Sangat Tinggi",IF(OR(AO157="Risiko Tinggi/Darurat",(IF(L157="Rusak Berat",1,0)+IF(L157="Tidak Ada/Terbuka",1,0)+IF(N157="Rusak Berat",1,0)+IF(N157="Tidak Ada/Terbuka",1,0)+IF(P157="Rusak Berat",1,0)+IF(P157="Tidak Layak",1,0))&gt;=2),"Tinggi",IF(AS157&gt;=65,"Tinggi",IF(AS157&gt;=50,"Sedang","Rendah")))))</x:f>
        <x:v>Belum Dapat Ditentukan</x:v>
      </x:c>
      <x:c r="AU157" s="240" t="str">
        <x:v>Belum Lengkap</x:v>
      </x:c>
      <x:c r="AV157" s="240" t="str">
        <x:v>Sudah Diverifikasi</x:v>
      </x:c>
      <x:c r="AW157" s="240" t="str">
        <x:v>Belum Ditangani</x:v>
      </x:c>
      <x:c r="AX157" s="240"/>
      <x:c r="AY157" s="240"/>
      <x:c r="AZ157" s="240" t="str">
        <x:v>Belum Diverifikasi</x:v>
      </x:c>
      <x:c r="BA157" s="240"/>
      <x:c r="BB157" s="240"/>
      <x:c r="BC157" s="240" t="n">
        <x:v>2026</x:v>
      </x:c>
      <x:c r="BD157" s="240" t="str">
        <x:v>Usulan Musrenbang/Pokir DPRD</x:v>
      </x:c>
      <x:c r="BE157" s="240" t="n">
        <x:v>46218</x:v>
      </x:c>
      <x:c r="BF157" s="240" t="str">
        <x:v>Dinas Perkim Kota Pangkalpinang</x:v>
      </x:c>
    </x:row>
    <x:row r="158" ht="32" customHeight="1">
      <x:c r="A158" s="314" t="str">
        <x:v>RTLH-0187</x:v>
      </x:c>
      <x:c r="B158" s="315" t="str">
        <x:v>ATTAYATUL</x:v>
      </x:c>
      <x:c r="C158" s="316"/>
      <x:c r="D158" s="316"/>
      <x:c r="E158" s="315" t="str">
        <x:v>JL.NANAS II</x:v>
      </x:c>
      <x:c r="F158" s="315" t="str">
        <x:v>GAJAH MADA</x:v>
      </x:c>
      <x:c r="G158" s="315" t="str">
        <x:v>RANGKUI</x:v>
      </x:c>
      <x:c r="H158" s="315" t="str">
        <x:v>Belum Ditentukan</x:v>
      </x:c>
      <x:c r="I158" s="317" t="str">
        <x:v>RUMAH PERMANEN, HANYA MINTA REHAB BAGIAN DAPUR</x:v>
      </x:c>
      <x:c r="J158" s="315" t="str">
        <x:v>Permanen</x:v>
      </x:c>
      <x:c r="K158" s="315" t="str">
        <x:v>Belum Diidentifikasi</x:v>
      </x:c>
      <x:c r="L158" s="315" t="str">
        <x:v>Belum Dinilai</x:v>
      </x:c>
      <x:c r="M158" s="367" t="str">
        <x:v>Dinding Permanen (Material tidak dirinci)</x:v>
      </x:c>
      <x:c r="N158" s="315" t="str">
        <x:v>Belum Dinilai</x:v>
      </x:c>
      <x:c r="O158" s="316" t="str">
        <x:v>Belum Diidentifikasi</x:v>
      </x:c>
      <x:c r="P158" s="349" t="str">
        <x:v>Belum Dinilai</x:v>
      </x:c>
      <x:c r="Q158" s="707" t="str">
        <x:v>Belum Dinilai</x:v>
      </x:c>
      <x:c r="R158" s="707" t="str">
        <x:v>Belum Dinilai</x:v>
      </x:c>
      <x:c r="S158" s="708" t="str">
        <x:v>Belum Dinilai</x:v>
      </x:c>
      <x:c r="T158" s="709" t="str">
        <x:v>Belum Dinilai</x:v>
      </x:c>
      <x:c r="U158" s="704" t="str">
        <x:v>Belum Dinilai</x:v>
      </x:c>
      <x:c r="V158" s="704" t="str">
        <x:v>Belum Dinilai</x:v>
      </x:c>
      <x:c r="W158" s="704" t="str"/>
      <x:c r="X158" s="704" t="str">
        <x:f>IF(COUNTIF(R158:V158,"Belum Dinilai")&gt;0,"Belum Dinilai",IF(COUNTIF(R158:V158,"Ya")=0,"Tidak ada faktor rentan",TEXTJOIN(", ",TRUE,IF(R158="Ya","Lansia",""),IF(S158="Ya","Penyandang disabilitas",""),IF(T158="Ya","Kepala keluarga perempuan",""),IF(U158="Ya","Balita",""),IF(V158="Ya","Anggota keluarga dengan ketergantungan tinggi",""))))</x:f>
        <x:v>Belum Dinilai</x:v>
      </x:c>
      <x:c r="Y158" s="704" t="str">
        <x:f>IF(COUNTIF(R158:V158,"Belum Dinilai")&gt;0,"Belum Dinilai",IF(COUNTIF(R158:V158,"Ya")=0,"Tidak Ada Faktor Rentan",IF(COUNTIF(R158:V158,"Ya")=1,"1 Faktor Rentan","2 atau Lebih Faktor Rentan")))</x:f>
        <x:v>Belum Dinilai</x:v>
      </x:c>
      <x:c r="Z158" s="704" t="str">
        <x:f>IF(OR(Q158="",Q158="Belum Dinilai"),"",IF(Q158="Terverifikasi DTKS/P3KE/MBR",10,IF(Q158="Diusulkan, Belum Terverifikasi",5,0)))</x:f>
      </x:c>
      <x:c r="AA158" s="705" t="str">
        <x:f>IF(COUNTIF(R158:V158,"Belum Dinilai")&gt;0,"",IF(COUNTIF(R158:V158,"Ya")=0,0,IF(COUNTIF(R158:V158,"Ya")=1,5,10)))</x:f>
      </x:c>
      <x:c r="AB158" s="706" t="str">
        <x:f>IF(OR(Z158="",AA158=""),"",Z158+AA158)</x:f>
      </x:c>
      <x:c r="AC158" s="713" t="str">
        <x:v>Belum Dinilai</x:v>
      </x:c>
      <x:c r="AD158" s="713" t="str">
        <x:v>Belum Dinilai</x:v>
      </x:c>
      <x:c r="AE158" s="714" t="str">
        <x:v>Belum Dinilai</x:v>
      </x:c>
      <x:c r="AF158" s="713" t="str">
        <x:v>Belum Dinilai</x:v>
      </x:c>
      <x:c r="AG158" s="713" t="str">
        <x:v>Belum Dinilai</x:v>
      </x:c>
      <x:c r="AH158" s="715" t="str">
        <x:v>Belum Dinilai</x:v>
      </x:c>
      <x:c r="AI158" s="714" t="str">
        <x:v>Belum Dinilai</x:v>
      </x:c>
      <x:c r="AJ158" s="713" t="str">
        <x:v>Belum Dinilai</x:v>
      </x:c>
      <x:c r="AK158" s="715" t="str">
        <x:v>Belum Dinilai</x:v>
      </x:c>
      <x:c r="AL158" s="713" t="str"/>
      <x:c r="AM158" s="716" t="str">
        <x:v>Belum Dinilai</x:v>
      </x:c>
      <x:c r="AN158" s="716" t="str">
        <x:f>IF(AND(COUNTIF(AC158:AK158,"Ya")=0,AL158=""),IF(COUNTIF(AC158:AK158,"Belum Dinilai")&gt;0,"Belum Dinilai","Tidak ada risiko khusus"),TEXTJOIN(", ",TRUE,IF(AC158="Ya","Bangunan berpotensi roboh",""),IF(AD158="Ya","Bekas kebakaran dan tidak aman dihuni",""),IF(AE158="Ya","Atap atau dinding utama hampir runtuh",""),IF(AF158="Ya","Genangan yang membahayakan",""),IF(AG158="Ya","Struktur rumah tidak stabil",""),IF(AH158="Ya","Instalasi listrik berbahaya",""),IF(AI158="Ya","Komponen bangunan lepas atau lapuk",""),IF(AJ158="Ya","Akses keluar atau evakuasi terbatas",""),IF(AK158="Ya","Lokasi rawan bencana",""),IF(AL158&lt;&gt;"","Lainnya: "&amp;AL158,"")))</x:f>
        <x:v>Belum Dinilai</x:v>
      </x:c>
      <x:c r="AO158" s="716" t="str">
        <x:f>IF(AR158="","Belum Dinilai",IF(AR158=10,"Risiko Tinggi/Darurat",IF(AR158=5,"Risiko Sedang","Tidak Ada Risiko Khusus")))</x:f>
        <x:v>Belum Dinilai</x:v>
      </x:c>
      <x:c r="AP158" s="716" t="str"/>
      <x:c r="AQ158" s="719" t="str">
        <x:f>IF(OR(J158="",J158="Belum Dapat Ditentukan",L158="",L158="Belum Dinilai",N158="",N158="Belum Dinilai",P158="",P158="Belum Dinilai"),"",IF(J158="Permanen",0,IF(J158="Semipermanen",8,IF(J158="Nonpermanen",15,0)))+IF(L158="Baik",0,IF(L158="Rusak Ringan",5,IF(L158="Rusak Sedang",10,IF(L158="Rusak Berat",15,IF(L158="Tidak Ada/Terbuka",20,0)))))+IF(N158="Baik",0,IF(N158="Rusak Ringan",5,IF(N158="Rusak Sedang",10,IF(N158="Rusak Berat",15,IF(N158="Tidak Ada/Terbuka",20,0)))))+IF(P158="Baik",0,IF(P158="Rusak Ringan",4,IF(P158="Rusak Sedang",8,IF(P158="Rusak Berat",12,IF(P158="Tidak Layak",15,0))))))</x:f>
      </x:c>
      <x:c r="AR158" s="719" t="str">
        <x:f>IF(COUNTIF(AC158:AH158,"Ya")&gt;0,10,IF(COUNTIF(AI158:AK158,"Ya")&gt;=2,10,IF(COUNTIF(AI158:AK158,"Ya")=1,MAX(5,IF(AM158="Risiko Tinggi/Darurat",10,IF(AM158="Risiko Sedang",5,0))),IF(AL158&lt;&gt;"",IF(AM158="Risiko Tinggi/Darurat",10,IF(AM158="Risiko Sedang",5,"")),IF(COUNTIF(AC158:AK158,"Belum Dinilai")&gt;0,"",0)))))</x:f>
      </x:c>
      <x:c r="AS158" s="719" t="str">
        <x:f>IF(OR(AQ158="",AB158="",AR158=""),"",AQ158+AB158+AR158)</x:f>
      </x:c>
      <x:c r="AT158" s="719" t="str">
        <x:f>IF(AS158="","Belum Dapat Ditentukan",IF(AS158&gt;=80,"Sangat Tinggi",IF(OR(AO158="Risiko Tinggi/Darurat",(IF(L158="Rusak Berat",1,0)+IF(L158="Tidak Ada/Terbuka",1,0)+IF(N158="Rusak Berat",1,0)+IF(N158="Tidak Ada/Terbuka",1,0)+IF(P158="Rusak Berat",1,0)+IF(P158="Tidak Layak",1,0))&gt;=2),"Tinggi",IF(AS158&gt;=65,"Tinggi",IF(AS158&gt;=50,"Sedang","Rendah")))))</x:f>
        <x:v>Belum Dapat Ditentukan</x:v>
      </x:c>
      <x:c r="AU158" s="240" t="str">
        <x:v>Lengkap</x:v>
      </x:c>
      <x:c r="AV158" s="240" t="str">
        <x:v>Sudah Diverifikasi</x:v>
      </x:c>
      <x:c r="AW158" s="240" t="str">
        <x:v>Belum Ditangani</x:v>
      </x:c>
      <x:c r="AX158" s="240"/>
      <x:c r="AY158" s="240"/>
      <x:c r="AZ158" s="240" t="str">
        <x:v>Belum Diverifikasi</x:v>
      </x:c>
      <x:c r="BA158" s="240"/>
      <x:c r="BB158" s="240"/>
      <x:c r="BC158" s="240" t="n">
        <x:v>2026</x:v>
      </x:c>
      <x:c r="BD158" s="240" t="str">
        <x:v>Usulan Musrenbang/Pokir DPRD</x:v>
      </x:c>
      <x:c r="BE158" s="240" t="n">
        <x:v>46218</x:v>
      </x:c>
      <x:c r="BF158" s="240" t="str">
        <x:v>Dinas Perkim Kota Pangkalpinang</x:v>
      </x:c>
    </x:row>
    <x:row r="159" ht="32" customHeight="1">
      <x:c r="A159" s="314" t="str">
        <x:v>RTLH-0188</x:v>
      </x:c>
      <x:c r="B159" s="315" t="str">
        <x:v>ZAIMAH</x:v>
      </x:c>
      <x:c r="C159" s="316"/>
      <x:c r="D159" s="316"/>
      <x:c r="E159" s="315" t="str">
        <x:v>JL.IRIAN NO 90</x:v>
      </x:c>
      <x:c r="F159" s="315" t="str">
        <x:v>GAJAH MADA</x:v>
      </x:c>
      <x:c r="G159" s="315" t="str">
        <x:v>RANGKUI</x:v>
      </x:c>
      <x:c r="H159" s="315" t="str">
        <x:v>Peningkatan Kualitas</x:v>
      </x:c>
      <x:c r="I159" s="317" t="str">
        <x:v>RUMAH SEMI PERMANEN, BAGIAN DEPAN PERMANEN, BAGIAN BELAKANG PAPAN</x:v>
      </x:c>
      <x:c r="J159" s="315" t="str">
        <x:v>Semipermanen</x:v>
      </x:c>
      <x:c r="K159" s="315" t="str">
        <x:v>Belum Diidentifikasi</x:v>
      </x:c>
      <x:c r="L159" s="315" t="str">
        <x:v>Belum Dinilai</x:v>
      </x:c>
      <x:c r="M159" s="367" t="str">
        <x:v>Campuran Permanen dan Papan</x:v>
      </x:c>
      <x:c r="N159" s="315" t="str">
        <x:v>Belum Dinilai</x:v>
      </x:c>
      <x:c r="O159" s="316" t="str">
        <x:v>Belum Diidentifikasi</x:v>
      </x:c>
      <x:c r="P159" s="349" t="str">
        <x:v>Belum Dinilai</x:v>
      </x:c>
      <x:c r="Q159" s="707" t="str">
        <x:v>Belum Dinilai</x:v>
      </x:c>
      <x:c r="R159" s="707" t="str">
        <x:v>Belum Dinilai</x:v>
      </x:c>
      <x:c r="S159" s="708" t="str">
        <x:v>Belum Dinilai</x:v>
      </x:c>
      <x:c r="T159" s="709" t="str">
        <x:v>Belum Dinilai</x:v>
      </x:c>
      <x:c r="U159" s="704" t="str">
        <x:v>Belum Dinilai</x:v>
      </x:c>
      <x:c r="V159" s="704" t="str">
        <x:v>Belum Dinilai</x:v>
      </x:c>
      <x:c r="W159" s="704" t="str"/>
      <x:c r="X159" s="704" t="str">
        <x:f>IF(COUNTIF(R159:V159,"Belum Dinilai")&gt;0,"Belum Dinilai",IF(COUNTIF(R159:V159,"Ya")=0,"Tidak ada faktor rentan",TEXTJOIN(", ",TRUE,IF(R159="Ya","Lansia",""),IF(S159="Ya","Penyandang disabilitas",""),IF(T159="Ya","Kepala keluarga perempuan",""),IF(U159="Ya","Balita",""),IF(V159="Ya","Anggota keluarga dengan ketergantungan tinggi",""))))</x:f>
        <x:v>Belum Dinilai</x:v>
      </x:c>
      <x:c r="Y159" s="704" t="str">
        <x:f>IF(COUNTIF(R159:V159,"Belum Dinilai")&gt;0,"Belum Dinilai",IF(COUNTIF(R159:V159,"Ya")=0,"Tidak Ada Faktor Rentan",IF(COUNTIF(R159:V159,"Ya")=1,"1 Faktor Rentan","2 atau Lebih Faktor Rentan")))</x:f>
        <x:v>Belum Dinilai</x:v>
      </x:c>
      <x:c r="Z159" s="704" t="str">
        <x:f>IF(OR(Q159="",Q159="Belum Dinilai"),"",IF(Q159="Terverifikasi DTKS/P3KE/MBR",10,IF(Q159="Diusulkan, Belum Terverifikasi",5,0)))</x:f>
      </x:c>
      <x:c r="AA159" s="705" t="str">
        <x:f>IF(COUNTIF(R159:V159,"Belum Dinilai")&gt;0,"",IF(COUNTIF(R159:V159,"Ya")=0,0,IF(COUNTIF(R159:V159,"Ya")=1,5,10)))</x:f>
      </x:c>
      <x:c r="AB159" s="706" t="str">
        <x:f>IF(OR(Z159="",AA159=""),"",Z159+AA159)</x:f>
      </x:c>
      <x:c r="AC159" s="713" t="str">
        <x:v>Belum Dinilai</x:v>
      </x:c>
      <x:c r="AD159" s="713" t="str">
        <x:v>Belum Dinilai</x:v>
      </x:c>
      <x:c r="AE159" s="714" t="str">
        <x:v>Belum Dinilai</x:v>
      </x:c>
      <x:c r="AF159" s="713" t="str">
        <x:v>Belum Dinilai</x:v>
      </x:c>
      <x:c r="AG159" s="713" t="str">
        <x:v>Belum Dinilai</x:v>
      </x:c>
      <x:c r="AH159" s="715" t="str">
        <x:v>Belum Dinilai</x:v>
      </x:c>
      <x:c r="AI159" s="714" t="str">
        <x:v>Belum Dinilai</x:v>
      </x:c>
      <x:c r="AJ159" s="713" t="str">
        <x:v>Belum Dinilai</x:v>
      </x:c>
      <x:c r="AK159" s="715" t="str">
        <x:v>Belum Dinilai</x:v>
      </x:c>
      <x:c r="AL159" s="713" t="str"/>
      <x:c r="AM159" s="716" t="str">
        <x:v>Belum Dinilai</x:v>
      </x:c>
      <x:c r="AN159" s="716" t="str">
        <x:f>IF(AND(COUNTIF(AC159:AK159,"Ya")=0,AL159=""),IF(COUNTIF(AC159:AK159,"Belum Dinilai")&gt;0,"Belum Dinilai","Tidak ada risiko khusus"),TEXTJOIN(", ",TRUE,IF(AC159="Ya","Bangunan berpotensi roboh",""),IF(AD159="Ya","Bekas kebakaran dan tidak aman dihuni",""),IF(AE159="Ya","Atap atau dinding utama hampir runtuh",""),IF(AF159="Ya","Genangan yang membahayakan",""),IF(AG159="Ya","Struktur rumah tidak stabil",""),IF(AH159="Ya","Instalasi listrik berbahaya",""),IF(AI159="Ya","Komponen bangunan lepas atau lapuk",""),IF(AJ159="Ya","Akses keluar atau evakuasi terbatas",""),IF(AK159="Ya","Lokasi rawan bencana",""),IF(AL159&lt;&gt;"","Lainnya: "&amp;AL159,"")))</x:f>
        <x:v>Belum Dinilai</x:v>
      </x:c>
      <x:c r="AO159" s="716" t="str">
        <x:f>IF(AR159="","Belum Dinilai",IF(AR159=10,"Risiko Tinggi/Darurat",IF(AR159=5,"Risiko Sedang","Tidak Ada Risiko Khusus")))</x:f>
        <x:v>Belum Dinilai</x:v>
      </x:c>
      <x:c r="AP159" s="716" t="str"/>
      <x:c r="AQ159" s="719" t="str">
        <x:f>IF(OR(J159="",J159="Belum Dapat Ditentukan",L159="",L159="Belum Dinilai",N159="",N159="Belum Dinilai",P159="",P159="Belum Dinilai"),"",IF(J159="Permanen",0,IF(J159="Semipermanen",8,IF(J159="Nonpermanen",15,0)))+IF(L159="Baik",0,IF(L159="Rusak Ringan",5,IF(L159="Rusak Sedang",10,IF(L159="Rusak Berat",15,IF(L159="Tidak Ada/Terbuka",20,0)))))+IF(N159="Baik",0,IF(N159="Rusak Ringan",5,IF(N159="Rusak Sedang",10,IF(N159="Rusak Berat",15,IF(N159="Tidak Ada/Terbuka",20,0)))))+IF(P159="Baik",0,IF(P159="Rusak Ringan",4,IF(P159="Rusak Sedang",8,IF(P159="Rusak Berat",12,IF(P159="Tidak Layak",15,0))))))</x:f>
      </x:c>
      <x:c r="AR159" s="719" t="str">
        <x:f>IF(COUNTIF(AC159:AH159,"Ya")&gt;0,10,IF(COUNTIF(AI159:AK159,"Ya")&gt;=2,10,IF(COUNTIF(AI159:AK159,"Ya")=1,MAX(5,IF(AM159="Risiko Tinggi/Darurat",10,IF(AM159="Risiko Sedang",5,0))),IF(AL159&lt;&gt;"",IF(AM159="Risiko Tinggi/Darurat",10,IF(AM159="Risiko Sedang",5,"")),IF(COUNTIF(AC159:AK159,"Belum Dinilai")&gt;0,"",0)))))</x:f>
      </x:c>
      <x:c r="AS159" s="719" t="str">
        <x:f>IF(OR(AQ159="",AB159="",AR159=""),"",AQ159+AB159+AR159)</x:f>
      </x:c>
      <x:c r="AT159" s="719" t="str">
        <x:f>IF(AS159="","Belum Dapat Ditentukan",IF(AS159&gt;=80,"Sangat Tinggi",IF(OR(AO159="Risiko Tinggi/Darurat",(IF(L159="Rusak Berat",1,0)+IF(L159="Tidak Ada/Terbuka",1,0)+IF(N159="Rusak Berat",1,0)+IF(N159="Tidak Ada/Terbuka",1,0)+IF(P159="Rusak Berat",1,0)+IF(P159="Tidak Layak",1,0))&gt;=2),"Tinggi",IF(AS159&gt;=65,"Tinggi",IF(AS159&gt;=50,"Sedang","Rendah")))))</x:f>
        <x:v>Belum Dapat Ditentukan</x:v>
      </x:c>
      <x:c r="AU159" s="240" t="str">
        <x:v>Lengkap</x:v>
      </x:c>
      <x:c r="AV159" s="240" t="str">
        <x:v>Sudah Diverifikasi</x:v>
      </x:c>
      <x:c r="AW159" s="240" t="str">
        <x:v>Selesai</x:v>
      </x:c>
      <x:c r="AX159" s="240" t="str">
        <x:v>APBD Kota</x:v>
      </x:c>
      <x:c r="AY159" s="240"/>
      <x:c r="AZ159" s="240" t="str">
        <x:v>Belum Diverifikasi</x:v>
      </x:c>
      <x:c r="BA159" s="240"/>
      <x:c r="BB159" s="240"/>
      <x:c r="BC159" s="240" t="n">
        <x:v>2026</x:v>
      </x:c>
      <x:c r="BD159" s="240" t="str">
        <x:v>Usulan Musrenbang/Pokir DPRD</x:v>
      </x:c>
      <x:c r="BE159" s="240" t="n">
        <x:v>46218</x:v>
      </x:c>
      <x:c r="BF159" s="240" t="str">
        <x:v>Dinas Perkim Kota Pangkalpinang</x:v>
      </x:c>
    </x:row>
    <x:row r="160" ht="32" customHeight="1">
      <x:c r="A160" s="314" t="str">
        <x:v>RTLH-0189</x:v>
      </x:c>
      <x:c r="B160" s="315" t="str">
        <x:v>A.HANAN / ZAENAB</x:v>
      </x:c>
      <x:c r="C160" s="316"/>
      <x:c r="D160" s="316"/>
      <x:c r="E160" s="315" t="str">
        <x:v>Belum tersedia</x:v>
      </x:c>
      <x:c r="F160" s="315" t="str">
        <x:v>GAJAH MADA</x:v>
      </x:c>
      <x:c r="G160" s="315" t="str">
        <x:v>RANGKUI</x:v>
      </x:c>
      <x:c r="H160" s="315" t="str">
        <x:v>Pembangunan Baru</x:v>
      </x:c>
      <x:c r="I160" s="317" t="str">
        <x:v>RUMAH SEMI PERMANEN, LANTAI FLOOR ( SELALU BANJIR SAAT HUJAN)]</x:v>
      </x:c>
      <x:c r="J160" s="315" t="str">
        <x:v>Semipermanen</x:v>
      </x:c>
      <x:c r="K160" s="315" t="str">
        <x:v>Belum Diidentifikasi</x:v>
      </x:c>
      <x:c r="L160" s="315" t="str">
        <x:v>Belum Dinilai</x:v>
      </x:c>
      <x:c r="M160" s="367" t="str">
        <x:v>Campuran Permanen dan Papan</x:v>
      </x:c>
      <x:c r="N160" s="315" t="str">
        <x:v>Belum Dinilai</x:v>
      </x:c>
      <x:c r="O160" s="316" t="str">
        <x:v>Semen/Plester</x:v>
      </x:c>
      <x:c r="P160" s="349" t="str">
        <x:v>Belum Dinilai</x:v>
      </x:c>
      <x:c r="Q160" s="707" t="str">
        <x:v>Belum Dinilai</x:v>
      </x:c>
      <x:c r="R160" s="707" t="str">
        <x:v>Belum Dinilai</x:v>
      </x:c>
      <x:c r="S160" s="708" t="str">
        <x:v>Belum Dinilai</x:v>
      </x:c>
      <x:c r="T160" s="709" t="str">
        <x:v>Belum Dinilai</x:v>
      </x:c>
      <x:c r="U160" s="704" t="str">
        <x:v>Belum Dinilai</x:v>
      </x:c>
      <x:c r="V160" s="704" t="str">
        <x:v>Belum Dinilai</x:v>
      </x:c>
      <x:c r="W160" s="704" t="str"/>
      <x:c r="X160" s="704" t="str">
        <x:f>IF(COUNTIF(R160:V160,"Belum Dinilai")&gt;0,"Belum Dinilai",IF(COUNTIF(R160:V160,"Ya")=0,"Tidak ada faktor rentan",TEXTJOIN(", ",TRUE,IF(R160="Ya","Lansia",""),IF(S160="Ya","Penyandang disabilitas",""),IF(T160="Ya","Kepala keluarga perempuan",""),IF(U160="Ya","Balita",""),IF(V160="Ya","Anggota keluarga dengan ketergantungan tinggi",""))))</x:f>
        <x:v>Belum Dinilai</x:v>
      </x:c>
      <x:c r="Y160" s="704" t="str">
        <x:f>IF(COUNTIF(R160:V160,"Belum Dinilai")&gt;0,"Belum Dinilai",IF(COUNTIF(R160:V160,"Ya")=0,"Tidak Ada Faktor Rentan",IF(COUNTIF(R160:V160,"Ya")=1,"1 Faktor Rentan","2 atau Lebih Faktor Rentan")))</x:f>
        <x:v>Belum Dinilai</x:v>
      </x:c>
      <x:c r="Z160" s="704" t="str">
        <x:f>IF(OR(Q160="",Q160="Belum Dinilai"),"",IF(Q160="Terverifikasi DTKS/P3KE/MBR",10,IF(Q160="Diusulkan, Belum Terverifikasi",5,0)))</x:f>
      </x:c>
      <x:c r="AA160" s="705" t="str">
        <x:f>IF(COUNTIF(R160:V160,"Belum Dinilai")&gt;0,"",IF(COUNTIF(R160:V160,"Ya")=0,0,IF(COUNTIF(R160:V160,"Ya")=1,5,10)))</x:f>
      </x:c>
      <x:c r="AB160" s="706" t="str">
        <x:f>IF(OR(Z160="",AA160=""),"",Z160+AA160)</x:f>
      </x:c>
      <x:c r="AC160" s="713" t="str">
        <x:v>Belum Dinilai</x:v>
      </x:c>
      <x:c r="AD160" s="713" t="str">
        <x:v>Belum Dinilai</x:v>
      </x:c>
      <x:c r="AE160" s="714" t="str">
        <x:v>Belum Dinilai</x:v>
      </x:c>
      <x:c r="AF160" s="713" t="str">
        <x:v>Belum Dinilai</x:v>
      </x:c>
      <x:c r="AG160" s="713" t="str">
        <x:v>Belum Dinilai</x:v>
      </x:c>
      <x:c r="AH160" s="715" t="str">
        <x:v>Belum Dinilai</x:v>
      </x:c>
      <x:c r="AI160" s="714" t="str">
        <x:v>Belum Dinilai</x:v>
      </x:c>
      <x:c r="AJ160" s="713" t="str">
        <x:v>Belum Dinilai</x:v>
      </x:c>
      <x:c r="AK160" s="715" t="str">
        <x:v>Belum Dinilai</x:v>
      </x:c>
      <x:c r="AL160" s="713" t="str"/>
      <x:c r="AM160" s="716" t="str">
        <x:v>Belum Dinilai</x:v>
      </x:c>
      <x:c r="AN160" s="716" t="str">
        <x:f>IF(AND(COUNTIF(AC160:AK160,"Ya")=0,AL160=""),IF(COUNTIF(AC160:AK160,"Belum Dinilai")&gt;0,"Belum Dinilai","Tidak ada risiko khusus"),TEXTJOIN(", ",TRUE,IF(AC160="Ya","Bangunan berpotensi roboh",""),IF(AD160="Ya","Bekas kebakaran dan tidak aman dihuni",""),IF(AE160="Ya","Atap atau dinding utama hampir runtuh",""),IF(AF160="Ya","Genangan yang membahayakan",""),IF(AG160="Ya","Struktur rumah tidak stabil",""),IF(AH160="Ya","Instalasi listrik berbahaya",""),IF(AI160="Ya","Komponen bangunan lepas atau lapuk",""),IF(AJ160="Ya","Akses keluar atau evakuasi terbatas",""),IF(AK160="Ya","Lokasi rawan bencana",""),IF(AL160&lt;&gt;"","Lainnya: "&amp;AL160,"")))</x:f>
        <x:v>Belum Dinilai</x:v>
      </x:c>
      <x:c r="AO160" s="716" t="str">
        <x:f>IF(AR160="","Belum Dinilai",IF(AR160=10,"Risiko Tinggi/Darurat",IF(AR160=5,"Risiko Sedang","Tidak Ada Risiko Khusus")))</x:f>
        <x:v>Belum Dinilai</x:v>
      </x:c>
      <x:c r="AP160" s="716" t="str"/>
      <x:c r="AQ160" s="719" t="str">
        <x:f>IF(OR(J160="",J160="Belum Dapat Ditentukan",L160="",L160="Belum Dinilai",N160="",N160="Belum Dinilai",P160="",P160="Belum Dinilai"),"",IF(J160="Permanen",0,IF(J160="Semipermanen",8,IF(J160="Nonpermanen",15,0)))+IF(L160="Baik",0,IF(L160="Rusak Ringan",5,IF(L160="Rusak Sedang",10,IF(L160="Rusak Berat",15,IF(L160="Tidak Ada/Terbuka",20,0)))))+IF(N160="Baik",0,IF(N160="Rusak Ringan",5,IF(N160="Rusak Sedang",10,IF(N160="Rusak Berat",15,IF(N160="Tidak Ada/Terbuka",20,0)))))+IF(P160="Baik",0,IF(P160="Rusak Ringan",4,IF(P160="Rusak Sedang",8,IF(P160="Rusak Berat",12,IF(P160="Tidak Layak",15,0))))))</x:f>
      </x:c>
      <x:c r="AR160" s="719" t="str">
        <x:f>IF(COUNTIF(AC160:AH160,"Ya")&gt;0,10,IF(COUNTIF(AI160:AK160,"Ya")&gt;=2,10,IF(COUNTIF(AI160:AK160,"Ya")=1,MAX(5,IF(AM160="Risiko Tinggi/Darurat",10,IF(AM160="Risiko Sedang",5,0))),IF(AL160&lt;&gt;"",IF(AM160="Risiko Tinggi/Darurat",10,IF(AM160="Risiko Sedang",5,"")),IF(COUNTIF(AC160:AK160,"Belum Dinilai")&gt;0,"",0)))))</x:f>
      </x:c>
      <x:c r="AS160" s="719" t="str">
        <x:f>IF(OR(AQ160="",AB160="",AR160=""),"",AQ160+AB160+AR160)</x:f>
      </x:c>
      <x:c r="AT160" s="719" t="str">
        <x:f>IF(AS160="","Belum Dapat Ditentukan",IF(AS160&gt;=80,"Sangat Tinggi",IF(OR(AO160="Risiko Tinggi/Darurat",(IF(L160="Rusak Berat",1,0)+IF(L160="Tidak Ada/Terbuka",1,0)+IF(N160="Rusak Berat",1,0)+IF(N160="Tidak Ada/Terbuka",1,0)+IF(P160="Rusak Berat",1,0)+IF(P160="Tidak Layak",1,0))&gt;=2),"Tinggi",IF(AS160&gt;=65,"Tinggi",IF(AS160&gt;=50,"Sedang","Rendah")))))</x:f>
        <x:v>Belum Dapat Ditentukan</x:v>
      </x:c>
      <x:c r="AU160" s="240" t="str">
        <x:v>Lengkap</x:v>
      </x:c>
      <x:c r="AV160" s="240" t="str">
        <x:v>Sudah Diverifikasi</x:v>
      </x:c>
      <x:c r="AW160" s="240" t="str">
        <x:v>Selesai</x:v>
      </x:c>
      <x:c r="AX160" s="240" t="str">
        <x:v>APBD Kota</x:v>
      </x:c>
      <x:c r="AY160" s="240"/>
      <x:c r="AZ160" s="240" t="str">
        <x:v>Belum Diverifikasi</x:v>
      </x:c>
      <x:c r="BA160" s="240"/>
      <x:c r="BB160" s="240"/>
      <x:c r="BC160" s="240" t="n">
        <x:v>2026</x:v>
      </x:c>
      <x:c r="BD160" s="240" t="str">
        <x:v>Usulan Musrenbang/Pokir DPRD</x:v>
      </x:c>
      <x:c r="BE160" s="240" t="n">
        <x:v>46218</x:v>
      </x:c>
      <x:c r="BF160" s="240" t="str">
        <x:v>Dinas Perkim Kota Pangkalpinang</x:v>
      </x:c>
    </x:row>
    <x:row r="161" ht="32" customHeight="1">
      <x:c r="A161" s="314" t="str">
        <x:v>RTLH-0190</x:v>
      </x:c>
      <x:c r="B161" s="315" t="str">
        <x:v>AZIZAH</x:v>
      </x:c>
      <x:c r="C161" s="316"/>
      <x:c r="D161" s="316"/>
      <x:c r="E161" s="315" t="str">
        <x:v>JL,KERABUT GG.SD 44</x:v>
      </x:c>
      <x:c r="F161" s="315" t="str">
        <x:v>JERAMBAH GANTUNG</x:v>
      </x:c>
      <x:c r="G161" s="315" t="str">
        <x:v>GABEK</x:v>
      </x:c>
      <x:c r="H161" s="315" t="str">
        <x:v>Belum Ditentukan</x:v>
      </x:c>
      <x:c r="I161" s="317" t="str">
        <x:v>RUMAH PERMANEN,LANTAI FLOOR,KEADAAN DINDING TANPA PLESTERAN,ATAP SENG</x:v>
      </x:c>
      <x:c r="J161" s="315" t="str">
        <x:v>Permanen</x:v>
      </x:c>
      <x:c r="K161" s="315" t="str">
        <x:v>Seng</x:v>
      </x:c>
      <x:c r="L161" s="315" t="str">
        <x:v>Belum Dinilai</x:v>
      </x:c>
      <x:c r="M161" s="367" t="str">
        <x:v>Dinding Permanen (Material tidak dirinci)</x:v>
      </x:c>
      <x:c r="N161" s="315" t="str">
        <x:v>Belum Dinilai</x:v>
      </x:c>
      <x:c r="O161" s="316" t="str">
        <x:v>Semen/Plester</x:v>
      </x:c>
      <x:c r="P161" s="349" t="str">
        <x:v>Belum Dinilai</x:v>
      </x:c>
      <x:c r="Q161" s="707" t="str">
        <x:v>Belum Dinilai</x:v>
      </x:c>
      <x:c r="R161" s="707" t="str">
        <x:v>Belum Dinilai</x:v>
      </x:c>
      <x:c r="S161" s="708" t="str">
        <x:v>Belum Dinilai</x:v>
      </x:c>
      <x:c r="T161" s="709" t="str">
        <x:v>Belum Dinilai</x:v>
      </x:c>
      <x:c r="U161" s="704" t="str">
        <x:v>Belum Dinilai</x:v>
      </x:c>
      <x:c r="V161" s="704" t="str">
        <x:v>Belum Dinilai</x:v>
      </x:c>
      <x:c r="W161" s="704" t="str"/>
      <x:c r="X161" s="704" t="str">
        <x:f>IF(COUNTIF(R161:V161,"Belum Dinilai")&gt;0,"Belum Dinilai",IF(COUNTIF(R161:V161,"Ya")=0,"Tidak ada faktor rentan",TEXTJOIN(", ",TRUE,IF(R161="Ya","Lansia",""),IF(S161="Ya","Penyandang disabilitas",""),IF(T161="Ya","Kepala keluarga perempuan",""),IF(U161="Ya","Balita",""),IF(V161="Ya","Anggota keluarga dengan ketergantungan tinggi",""))))</x:f>
        <x:v>Belum Dinilai</x:v>
      </x:c>
      <x:c r="Y161" s="704" t="str">
        <x:f>IF(COUNTIF(R161:V161,"Belum Dinilai")&gt;0,"Belum Dinilai",IF(COUNTIF(R161:V161,"Ya")=0,"Tidak Ada Faktor Rentan",IF(COUNTIF(R161:V161,"Ya")=1,"1 Faktor Rentan","2 atau Lebih Faktor Rentan")))</x:f>
        <x:v>Belum Dinilai</x:v>
      </x:c>
      <x:c r="Z161" s="704" t="str">
        <x:f>IF(OR(Q161="",Q161="Belum Dinilai"),"",IF(Q161="Terverifikasi DTKS/P3KE/MBR",10,IF(Q161="Diusulkan, Belum Terverifikasi",5,0)))</x:f>
      </x:c>
      <x:c r="AA161" s="705" t="str">
        <x:f>IF(COUNTIF(R161:V161,"Belum Dinilai")&gt;0,"",IF(COUNTIF(R161:V161,"Ya")=0,0,IF(COUNTIF(R161:V161,"Ya")=1,5,10)))</x:f>
      </x:c>
      <x:c r="AB161" s="706" t="str">
        <x:f>IF(OR(Z161="",AA161=""),"",Z161+AA161)</x:f>
      </x:c>
      <x:c r="AC161" s="713" t="str">
        <x:v>Belum Dinilai</x:v>
      </x:c>
      <x:c r="AD161" s="713" t="str">
        <x:v>Belum Dinilai</x:v>
      </x:c>
      <x:c r="AE161" s="714" t="str">
        <x:v>Belum Dinilai</x:v>
      </x:c>
      <x:c r="AF161" s="713" t="str">
        <x:v>Belum Dinilai</x:v>
      </x:c>
      <x:c r="AG161" s="713" t="str">
        <x:v>Belum Dinilai</x:v>
      </x:c>
      <x:c r="AH161" s="715" t="str">
        <x:v>Belum Dinilai</x:v>
      </x:c>
      <x:c r="AI161" s="714" t="str">
        <x:v>Belum Dinilai</x:v>
      </x:c>
      <x:c r="AJ161" s="713" t="str">
        <x:v>Belum Dinilai</x:v>
      </x:c>
      <x:c r="AK161" s="715" t="str">
        <x:v>Belum Dinilai</x:v>
      </x:c>
      <x:c r="AL161" s="713" t="str"/>
      <x:c r="AM161" s="716" t="str">
        <x:v>Belum Dinilai</x:v>
      </x:c>
      <x:c r="AN161" s="716" t="str">
        <x:f>IF(AND(COUNTIF(AC161:AK161,"Ya")=0,AL161=""),IF(COUNTIF(AC161:AK161,"Belum Dinilai")&gt;0,"Belum Dinilai","Tidak ada risiko khusus"),TEXTJOIN(", ",TRUE,IF(AC161="Ya","Bangunan berpotensi roboh",""),IF(AD161="Ya","Bekas kebakaran dan tidak aman dihuni",""),IF(AE161="Ya","Atap atau dinding utama hampir runtuh",""),IF(AF161="Ya","Genangan yang membahayakan",""),IF(AG161="Ya","Struktur rumah tidak stabil",""),IF(AH161="Ya","Instalasi listrik berbahaya",""),IF(AI161="Ya","Komponen bangunan lepas atau lapuk",""),IF(AJ161="Ya","Akses keluar atau evakuasi terbatas",""),IF(AK161="Ya","Lokasi rawan bencana",""),IF(AL161&lt;&gt;"","Lainnya: "&amp;AL161,"")))</x:f>
        <x:v>Belum Dinilai</x:v>
      </x:c>
      <x:c r="AO161" s="716" t="str">
        <x:f>IF(AR161="","Belum Dinilai",IF(AR161=10,"Risiko Tinggi/Darurat",IF(AR161=5,"Risiko Sedang","Tidak Ada Risiko Khusus")))</x:f>
        <x:v>Belum Dinilai</x:v>
      </x:c>
      <x:c r="AP161" s="716" t="str"/>
      <x:c r="AQ161" s="719" t="str">
        <x:f>IF(OR(J161="",J161="Belum Dapat Ditentukan",L161="",L161="Belum Dinilai",N161="",N161="Belum Dinilai",P161="",P161="Belum Dinilai"),"",IF(J161="Permanen",0,IF(J161="Semipermanen",8,IF(J161="Nonpermanen",15,0)))+IF(L161="Baik",0,IF(L161="Rusak Ringan",5,IF(L161="Rusak Sedang",10,IF(L161="Rusak Berat",15,IF(L161="Tidak Ada/Terbuka",20,0)))))+IF(N161="Baik",0,IF(N161="Rusak Ringan",5,IF(N161="Rusak Sedang",10,IF(N161="Rusak Berat",15,IF(N161="Tidak Ada/Terbuka",20,0)))))+IF(P161="Baik",0,IF(P161="Rusak Ringan",4,IF(P161="Rusak Sedang",8,IF(P161="Rusak Berat",12,IF(P161="Tidak Layak",15,0))))))</x:f>
      </x:c>
      <x:c r="AR161" s="719" t="str">
        <x:f>IF(COUNTIF(AC161:AH161,"Ya")&gt;0,10,IF(COUNTIF(AI161:AK161,"Ya")&gt;=2,10,IF(COUNTIF(AI161:AK161,"Ya")=1,MAX(5,IF(AM161="Risiko Tinggi/Darurat",10,IF(AM161="Risiko Sedang",5,0))),IF(AL161&lt;&gt;"",IF(AM161="Risiko Tinggi/Darurat",10,IF(AM161="Risiko Sedang",5,"")),IF(COUNTIF(AC161:AK161,"Belum Dinilai")&gt;0,"",0)))))</x:f>
      </x:c>
      <x:c r="AS161" s="719" t="str">
        <x:f>IF(OR(AQ161="",AB161="",AR161=""),"",AQ161+AB161+AR161)</x:f>
      </x:c>
      <x:c r="AT161" s="719" t="str">
        <x:f>IF(AS161="","Belum Dapat Ditentukan",IF(AS161&gt;=80,"Sangat Tinggi",IF(OR(AO161="Risiko Tinggi/Darurat",(IF(L161="Rusak Berat",1,0)+IF(L161="Tidak Ada/Terbuka",1,0)+IF(N161="Rusak Berat",1,0)+IF(N161="Tidak Ada/Terbuka",1,0)+IF(P161="Rusak Berat",1,0)+IF(P161="Tidak Layak",1,0))&gt;=2),"Tinggi",IF(AS161&gt;=65,"Tinggi",IF(AS161&gt;=50,"Sedang","Rendah")))))</x:f>
        <x:v>Belum Dapat Ditentukan</x:v>
      </x:c>
      <x:c r="AU161" s="240" t="str">
        <x:v>Lengkap</x:v>
      </x:c>
      <x:c r="AV161" s="240" t="str">
        <x:v>Sudah Diverifikasi</x:v>
      </x:c>
      <x:c r="AW161" s="240" t="str">
        <x:v>Belum Ditangani</x:v>
      </x:c>
      <x:c r="AX161" s="240"/>
      <x:c r="AY161" s="240"/>
      <x:c r="AZ161" s="240" t="str">
        <x:v>Belum Diverifikasi</x:v>
      </x:c>
      <x:c r="BA161" s="240"/>
      <x:c r="BB161" s="240"/>
      <x:c r="BC161" s="240" t="n">
        <x:v>2026</x:v>
      </x:c>
      <x:c r="BD161" s="240" t="str">
        <x:v>Usulan Musrenbang/Pokir DPRD</x:v>
      </x:c>
      <x:c r="BE161" s="240" t="n">
        <x:v>46218</x:v>
      </x:c>
      <x:c r="BF161" s="240" t="str">
        <x:v>Dinas Perkim Kota Pangkalpinang</x:v>
      </x:c>
    </x:row>
    <x:row r="162" ht="32" customHeight="1">
      <x:c r="A162" s="314" t="str">
        <x:v>RTLH-0191</x:v>
      </x:c>
      <x:c r="B162" s="315" t="str">
        <x:v>SUYANTO</x:v>
      </x:c>
      <x:c r="C162" s="316"/>
      <x:c r="D162" s="316"/>
      <x:c r="E162" s="315" t="str">
        <x:v>JL,KELOMPOK</x:v>
      </x:c>
      <x:c r="F162" s="315" t="str">
        <x:v>JERAMBAH GANTUNG</x:v>
      </x:c>
      <x:c r="G162" s="315" t="str">
        <x:v>GABEK</x:v>
      </x:c>
      <x:c r="H162" s="315" t="str">
        <x:v>Pembangunan Baru</x:v>
      </x:c>
      <x:c r="I162" s="317" t="str">
        <x:v>RUMAH FULL PAPAN,LANTAI FLOOR,ATAP SENG, KEADAAN DINDING RUSAK ,ATAP BAIK, LANTAI RUSAK RINGAN (Lengkap)</x:v>
      </x:c>
      <x:c r="J162" s="315" t="str">
        <x:v>Nonpermanen</x:v>
      </x:c>
      <x:c r="K162" s="315" t="str">
        <x:v>Seng</x:v>
      </x:c>
      <x:c r="L162" s="315" t="str">
        <x:v>Rusak Ringan</x:v>
      </x:c>
      <x:c r="M162" s="367" t="str">
        <x:v>Papan/Kayu</x:v>
      </x:c>
      <x:c r="N162" s="315" t="str">
        <x:v>Rusak Ringan</x:v>
      </x:c>
      <x:c r="O162" s="316" t="str">
        <x:v>Semen/Plester</x:v>
      </x:c>
      <x:c r="P162" s="349" t="str">
        <x:v>Rusak Ringan</x:v>
      </x:c>
      <x:c r="Q162" s="707" t="str">
        <x:v>Belum Dinilai</x:v>
      </x:c>
      <x:c r="R162" s="707" t="str">
        <x:v>Belum Dinilai</x:v>
      </x:c>
      <x:c r="S162" s="708" t="str">
        <x:v>Belum Dinilai</x:v>
      </x:c>
      <x:c r="T162" s="709" t="str">
        <x:v>Belum Dinilai</x:v>
      </x:c>
      <x:c r="U162" s="704" t="str">
        <x:v>Belum Dinilai</x:v>
      </x:c>
      <x:c r="V162" s="704" t="str">
        <x:v>Belum Dinilai</x:v>
      </x:c>
      <x:c r="W162" s="704" t="str"/>
      <x:c r="X162" s="704" t="str">
        <x:f>IF(COUNTIF(R162:V162,"Belum Dinilai")&gt;0,"Belum Dinilai",IF(COUNTIF(R162:V162,"Ya")=0,"Tidak ada faktor rentan",TEXTJOIN(", ",TRUE,IF(R162="Ya","Lansia",""),IF(S162="Ya","Penyandang disabilitas",""),IF(T162="Ya","Kepala keluarga perempuan",""),IF(U162="Ya","Balita",""),IF(V162="Ya","Anggota keluarga dengan ketergantungan tinggi",""))))</x:f>
        <x:v>Belum Dinilai</x:v>
      </x:c>
      <x:c r="Y162" s="704" t="str">
        <x:f>IF(COUNTIF(R162:V162,"Belum Dinilai")&gt;0,"Belum Dinilai",IF(COUNTIF(R162:V162,"Ya")=0,"Tidak Ada Faktor Rentan",IF(COUNTIF(R162:V162,"Ya")=1,"1 Faktor Rentan","2 atau Lebih Faktor Rentan")))</x:f>
        <x:v>Belum Dinilai</x:v>
      </x:c>
      <x:c r="Z162" s="704" t="str">
        <x:f>IF(OR(Q162="",Q162="Belum Dinilai"),"",IF(Q162="Terverifikasi DTKS/P3KE/MBR",10,IF(Q162="Diusulkan, Belum Terverifikasi",5,0)))</x:f>
      </x:c>
      <x:c r="AA162" s="705" t="str">
        <x:f>IF(COUNTIF(R162:V162,"Belum Dinilai")&gt;0,"",IF(COUNTIF(R162:V162,"Ya")=0,0,IF(COUNTIF(R162:V162,"Ya")=1,5,10)))</x:f>
      </x:c>
      <x:c r="AB162" s="706" t="str">
        <x:f>IF(OR(Z162="",AA162=""),"",Z162+AA162)</x:f>
      </x:c>
      <x:c r="AC162" s="713" t="str">
        <x:v>Belum Dinilai</x:v>
      </x:c>
      <x:c r="AD162" s="713" t="str">
        <x:v>Belum Dinilai</x:v>
      </x:c>
      <x:c r="AE162" s="714" t="str">
        <x:v>Belum Dinilai</x:v>
      </x:c>
      <x:c r="AF162" s="713" t="str">
        <x:v>Belum Dinilai</x:v>
      </x:c>
      <x:c r="AG162" s="713" t="str">
        <x:v>Belum Dinilai</x:v>
      </x:c>
      <x:c r="AH162" s="715" t="str">
        <x:v>Belum Dinilai</x:v>
      </x:c>
      <x:c r="AI162" s="714" t="str">
        <x:v>Belum Dinilai</x:v>
      </x:c>
      <x:c r="AJ162" s="713" t="str">
        <x:v>Belum Dinilai</x:v>
      </x:c>
      <x:c r="AK162" s="715" t="str">
        <x:v>Belum Dinilai</x:v>
      </x:c>
      <x:c r="AL162" s="713" t="str"/>
      <x:c r="AM162" s="716" t="str">
        <x:v>Belum Dinilai</x:v>
      </x:c>
      <x:c r="AN162" s="716" t="str">
        <x:f>IF(AND(COUNTIF(AC162:AK162,"Ya")=0,AL162=""),IF(COUNTIF(AC162:AK162,"Belum Dinilai")&gt;0,"Belum Dinilai","Tidak ada risiko khusus"),TEXTJOIN(", ",TRUE,IF(AC162="Ya","Bangunan berpotensi roboh",""),IF(AD162="Ya","Bekas kebakaran dan tidak aman dihuni",""),IF(AE162="Ya","Atap atau dinding utama hampir runtuh",""),IF(AF162="Ya","Genangan yang membahayakan",""),IF(AG162="Ya","Struktur rumah tidak stabil",""),IF(AH162="Ya","Instalasi listrik berbahaya",""),IF(AI162="Ya","Komponen bangunan lepas atau lapuk",""),IF(AJ162="Ya","Akses keluar atau evakuasi terbatas",""),IF(AK162="Ya","Lokasi rawan bencana",""),IF(AL162&lt;&gt;"","Lainnya: "&amp;AL162,"")))</x:f>
        <x:v>Belum Dinilai</x:v>
      </x:c>
      <x:c r="AO162" s="716" t="str">
        <x:f>IF(AR162="","Belum Dinilai",IF(AR162=10,"Risiko Tinggi/Darurat",IF(AR162=5,"Risiko Sedang","Tidak Ada Risiko Khusus")))</x:f>
        <x:v>Belum Dinilai</x:v>
      </x:c>
      <x:c r="AP162" s="716" t="str"/>
      <x:c r="AQ162" s="719" t="n">
        <x:f>IF(OR(J162="",J162="Belum Dapat Ditentukan",L162="",L162="Belum Dinilai",N162="",N162="Belum Dinilai",P162="",P162="Belum Dinilai"),"",IF(J162="Permanen",0,IF(J162="Semipermanen",8,IF(J162="Nonpermanen",15,0)))+IF(L162="Baik",0,IF(L162="Rusak Ringan",5,IF(L162="Rusak Sedang",10,IF(L162="Rusak Berat",15,IF(L162="Tidak Ada/Terbuka",20,0)))))+IF(N162="Baik",0,IF(N162="Rusak Ringan",5,IF(N162="Rusak Sedang",10,IF(N162="Rusak Berat",15,IF(N162="Tidak Ada/Terbuka",20,0)))))+IF(P162="Baik",0,IF(P162="Rusak Ringan",4,IF(P162="Rusak Sedang",8,IF(P162="Rusak Berat",12,IF(P162="Tidak Layak",15,0))))))</x:f>
        <x:v>29</x:v>
      </x:c>
      <x:c r="AR162" s="719" t="str">
        <x:f>IF(COUNTIF(AC162:AH162,"Ya")&gt;0,10,IF(COUNTIF(AI162:AK162,"Ya")&gt;=2,10,IF(COUNTIF(AI162:AK162,"Ya")=1,MAX(5,IF(AM162="Risiko Tinggi/Darurat",10,IF(AM162="Risiko Sedang",5,0))),IF(AL162&lt;&gt;"",IF(AM162="Risiko Tinggi/Darurat",10,IF(AM162="Risiko Sedang",5,"")),IF(COUNTIF(AC162:AK162,"Belum Dinilai")&gt;0,"",0)))))</x:f>
      </x:c>
      <x:c r="AS162" s="719" t="str">
        <x:f>IF(OR(AQ162="",AB162="",AR162=""),"",AQ162+AB162+AR162)</x:f>
      </x:c>
      <x:c r="AT162" s="719" t="str">
        <x:f>IF(AS162="","Belum Dapat Ditentukan",IF(AS162&gt;=80,"Sangat Tinggi",IF(OR(AO162="Risiko Tinggi/Darurat",(IF(L162="Rusak Berat",1,0)+IF(L162="Tidak Ada/Terbuka",1,0)+IF(N162="Rusak Berat",1,0)+IF(N162="Tidak Ada/Terbuka",1,0)+IF(P162="Rusak Berat",1,0)+IF(P162="Tidak Layak",1,0))&gt;=2),"Tinggi",IF(AS162&gt;=65,"Tinggi",IF(AS162&gt;=50,"Sedang","Rendah")))))</x:f>
        <x:v>Belum Dapat Ditentukan</x:v>
      </x:c>
      <x:c r="AU162" s="240" t="str">
        <x:v>Lengkap</x:v>
      </x:c>
      <x:c r="AV162" s="240" t="str">
        <x:v>Sudah Diverifikasi</x:v>
      </x:c>
      <x:c r="AW162" s="240" t="str">
        <x:v>Belum Ditangani</x:v>
      </x:c>
      <x:c r="AX162" s="240"/>
      <x:c r="AY162" s="240"/>
      <x:c r="AZ162" s="240" t="str">
        <x:v>Belum Diverifikasi</x:v>
      </x:c>
      <x:c r="BA162" s="240"/>
      <x:c r="BB162" s="240"/>
      <x:c r="BC162" s="240" t="n">
        <x:v>2026</x:v>
      </x:c>
      <x:c r="BD162" s="240" t="str">
        <x:v>Usulan Musrenbang/Pokir DPRD</x:v>
      </x:c>
      <x:c r="BE162" s="240" t="n">
        <x:v>46218</x:v>
      </x:c>
      <x:c r="BF162" s="240" t="str">
        <x:v>Dinas Perkim Kota Pangkalpinang</x:v>
      </x:c>
    </x:row>
    <x:row r="163" ht="32" customHeight="1">
      <x:c r="A163" s="314" t="str">
        <x:v>RTLH-0192</x:v>
      </x:c>
      <x:c r="B163" s="315" t="str">
        <x:v>ASNAH . D</x:v>
      </x:c>
      <x:c r="C163" s="316"/>
      <x:c r="D163" s="316"/>
      <x:c r="E163" s="315" t="str">
        <x:v>RT/RW 002 / 001 , JALAN HORMEN MADDATI NO 65</x:v>
      </x:c>
      <x:c r="F163" s="315" t="str">
        <x:v>MELINTANG</x:v>
      </x:c>
      <x:c r="G163" s="315" t="str">
        <x:v>RANGKUI</x:v>
      </x:c>
      <x:c r="H163" s="315" t="str">
        <x:v>Pembangunan Baru</x:v>
      </x:c>
      <x:c r="I163" s="317" t="str">
        <x:v>RUMAH FULL PAPAN</x:v>
      </x:c>
      <x:c r="J163" s="315" t="str">
        <x:v>Nonpermanen</x:v>
      </x:c>
      <x:c r="K163" s="315" t="str">
        <x:v>Belum Diidentifikasi</x:v>
      </x:c>
      <x:c r="L163" s="315" t="str">
        <x:v>Belum Dinilai</x:v>
      </x:c>
      <x:c r="M163" s="367" t="str">
        <x:v>Papan/Kayu</x:v>
      </x:c>
      <x:c r="N163" s="315" t="str">
        <x:v>Belum Dinilai</x:v>
      </x:c>
      <x:c r="O163" s="316" t="str">
        <x:v>Belum Diidentifikasi</x:v>
      </x:c>
      <x:c r="P163" s="349" t="str">
        <x:v>Belum Dinilai</x:v>
      </x:c>
      <x:c r="Q163" s="707" t="str">
        <x:v>Belum Dinilai</x:v>
      </x:c>
      <x:c r="R163" s="707" t="str">
        <x:v>Belum Dinilai</x:v>
      </x:c>
      <x:c r="S163" s="708" t="str">
        <x:v>Belum Dinilai</x:v>
      </x:c>
      <x:c r="T163" s="709" t="str">
        <x:v>Belum Dinilai</x:v>
      </x:c>
      <x:c r="U163" s="704" t="str">
        <x:v>Belum Dinilai</x:v>
      </x:c>
      <x:c r="V163" s="704" t="str">
        <x:v>Belum Dinilai</x:v>
      </x:c>
      <x:c r="W163" s="704" t="str"/>
      <x:c r="X163" s="704" t="str">
        <x:f>IF(COUNTIF(R163:V163,"Belum Dinilai")&gt;0,"Belum Dinilai",IF(COUNTIF(R163:V163,"Ya")=0,"Tidak ada faktor rentan",TEXTJOIN(", ",TRUE,IF(R163="Ya","Lansia",""),IF(S163="Ya","Penyandang disabilitas",""),IF(T163="Ya","Kepala keluarga perempuan",""),IF(U163="Ya","Balita",""),IF(V163="Ya","Anggota keluarga dengan ketergantungan tinggi",""))))</x:f>
        <x:v>Belum Dinilai</x:v>
      </x:c>
      <x:c r="Y163" s="704" t="str">
        <x:f>IF(COUNTIF(R163:V163,"Belum Dinilai")&gt;0,"Belum Dinilai",IF(COUNTIF(R163:V163,"Ya")=0,"Tidak Ada Faktor Rentan",IF(COUNTIF(R163:V163,"Ya")=1,"1 Faktor Rentan","2 atau Lebih Faktor Rentan")))</x:f>
        <x:v>Belum Dinilai</x:v>
      </x:c>
      <x:c r="Z163" s="704" t="str">
        <x:f>IF(OR(Q163="",Q163="Belum Dinilai"),"",IF(Q163="Terverifikasi DTKS/P3KE/MBR",10,IF(Q163="Diusulkan, Belum Terverifikasi",5,0)))</x:f>
      </x:c>
      <x:c r="AA163" s="705" t="str">
        <x:f>IF(COUNTIF(R163:V163,"Belum Dinilai")&gt;0,"",IF(COUNTIF(R163:V163,"Ya")=0,0,IF(COUNTIF(R163:V163,"Ya")=1,5,10)))</x:f>
      </x:c>
      <x:c r="AB163" s="706" t="str">
        <x:f>IF(OR(Z163="",AA163=""),"",Z163+AA163)</x:f>
      </x:c>
      <x:c r="AC163" s="713" t="str">
        <x:v>Belum Dinilai</x:v>
      </x:c>
      <x:c r="AD163" s="713" t="str">
        <x:v>Belum Dinilai</x:v>
      </x:c>
      <x:c r="AE163" s="714" t="str">
        <x:v>Belum Dinilai</x:v>
      </x:c>
      <x:c r="AF163" s="713" t="str">
        <x:v>Belum Dinilai</x:v>
      </x:c>
      <x:c r="AG163" s="713" t="str">
        <x:v>Belum Dinilai</x:v>
      </x:c>
      <x:c r="AH163" s="715" t="str">
        <x:v>Belum Dinilai</x:v>
      </x:c>
      <x:c r="AI163" s="714" t="str">
        <x:v>Belum Dinilai</x:v>
      </x:c>
      <x:c r="AJ163" s="713" t="str">
        <x:v>Belum Dinilai</x:v>
      </x:c>
      <x:c r="AK163" s="715" t="str">
        <x:v>Belum Dinilai</x:v>
      </x:c>
      <x:c r="AL163" s="713" t="str"/>
      <x:c r="AM163" s="716" t="str">
        <x:v>Belum Dinilai</x:v>
      </x:c>
      <x:c r="AN163" s="716" t="str">
        <x:f>IF(AND(COUNTIF(AC163:AK163,"Ya")=0,AL163=""),IF(COUNTIF(AC163:AK163,"Belum Dinilai")&gt;0,"Belum Dinilai","Tidak ada risiko khusus"),TEXTJOIN(", ",TRUE,IF(AC163="Ya","Bangunan berpotensi roboh",""),IF(AD163="Ya","Bekas kebakaran dan tidak aman dihuni",""),IF(AE163="Ya","Atap atau dinding utama hampir runtuh",""),IF(AF163="Ya","Genangan yang membahayakan",""),IF(AG163="Ya","Struktur rumah tidak stabil",""),IF(AH163="Ya","Instalasi listrik berbahaya",""),IF(AI163="Ya","Komponen bangunan lepas atau lapuk",""),IF(AJ163="Ya","Akses keluar atau evakuasi terbatas",""),IF(AK163="Ya","Lokasi rawan bencana",""),IF(AL163&lt;&gt;"","Lainnya: "&amp;AL163,"")))</x:f>
        <x:v>Belum Dinilai</x:v>
      </x:c>
      <x:c r="AO163" s="716" t="str">
        <x:f>IF(AR163="","Belum Dinilai",IF(AR163=10,"Risiko Tinggi/Darurat",IF(AR163=5,"Risiko Sedang","Tidak Ada Risiko Khusus")))</x:f>
        <x:v>Belum Dinilai</x:v>
      </x:c>
      <x:c r="AP163" s="716" t="str"/>
      <x:c r="AQ163" s="719" t="str">
        <x:f>IF(OR(J163="",J163="Belum Dapat Ditentukan",L163="",L163="Belum Dinilai",N163="",N163="Belum Dinilai",P163="",P163="Belum Dinilai"),"",IF(J163="Permanen",0,IF(J163="Semipermanen",8,IF(J163="Nonpermanen",15,0)))+IF(L163="Baik",0,IF(L163="Rusak Ringan",5,IF(L163="Rusak Sedang",10,IF(L163="Rusak Berat",15,IF(L163="Tidak Ada/Terbuka",20,0)))))+IF(N163="Baik",0,IF(N163="Rusak Ringan",5,IF(N163="Rusak Sedang",10,IF(N163="Rusak Berat",15,IF(N163="Tidak Ada/Terbuka",20,0)))))+IF(P163="Baik",0,IF(P163="Rusak Ringan",4,IF(P163="Rusak Sedang",8,IF(P163="Rusak Berat",12,IF(P163="Tidak Layak",15,0))))))</x:f>
      </x:c>
      <x:c r="AR163" s="719" t="str">
        <x:f>IF(COUNTIF(AC163:AH163,"Ya")&gt;0,10,IF(COUNTIF(AI163:AK163,"Ya")&gt;=2,10,IF(COUNTIF(AI163:AK163,"Ya")=1,MAX(5,IF(AM163="Risiko Tinggi/Darurat",10,IF(AM163="Risiko Sedang",5,0))),IF(AL163&lt;&gt;"",IF(AM163="Risiko Tinggi/Darurat",10,IF(AM163="Risiko Sedang",5,"")),IF(COUNTIF(AC163:AK163,"Belum Dinilai")&gt;0,"",0)))))</x:f>
      </x:c>
      <x:c r="AS163" s="719" t="str">
        <x:f>IF(OR(AQ163="",AB163="",AR163=""),"",AQ163+AB163+AR163)</x:f>
      </x:c>
      <x:c r="AT163" s="719" t="str">
        <x:f>IF(AS163="","Belum Dapat Ditentukan",IF(AS163&gt;=80,"Sangat Tinggi",IF(OR(AO163="Risiko Tinggi/Darurat",(IF(L163="Rusak Berat",1,0)+IF(L163="Tidak Ada/Terbuka",1,0)+IF(N163="Rusak Berat",1,0)+IF(N163="Tidak Ada/Terbuka",1,0)+IF(P163="Rusak Berat",1,0)+IF(P163="Tidak Layak",1,0))&gt;=2),"Tinggi",IF(AS163&gt;=65,"Tinggi",IF(AS163&gt;=50,"Sedang","Rendah")))))</x:f>
        <x:v>Belum Dapat Ditentukan</x:v>
      </x:c>
      <x:c r="AU163" s="240" t="str">
        <x:v>Lengkap</x:v>
      </x:c>
      <x:c r="AV163" s="240" t="str">
        <x:v>Sudah Diverifikasi</x:v>
      </x:c>
      <x:c r="AW163" s="240" t="str">
        <x:v>Selesai</x:v>
      </x:c>
      <x:c r="AX163" s="240" t="str">
        <x:v>CSR</x:v>
      </x:c>
      <x:c r="AY163" s="240"/>
      <x:c r="AZ163" s="240" t="str">
        <x:v>Belum Diverifikasi</x:v>
      </x:c>
      <x:c r="BA163" s="240"/>
      <x:c r="BB163" s="240"/>
      <x:c r="BC163" s="240" t="n">
        <x:v>2026</x:v>
      </x:c>
      <x:c r="BD163" s="240" t="str">
        <x:v>Usulan Musrenbang/Pokir DPRD</x:v>
      </x:c>
      <x:c r="BE163" s="240" t="n">
        <x:v>46218</x:v>
      </x:c>
      <x:c r="BF163" s="240" t="str">
        <x:v>Dinas Perkim Kota Pangkalpinang</x:v>
      </x:c>
    </x:row>
    <x:row r="164" ht="32" customHeight="1">
      <x:c r="A164" s="314" t="str">
        <x:v>RTLH-0193</x:v>
      </x:c>
      <x:c r="B164" s="315" t="str">
        <x:v>ROSMAH</x:v>
      </x:c>
      <x:c r="C164" s="316"/>
      <x:c r="D164" s="316"/>
      <x:c r="E164" s="315" t="str">
        <x:v>RT/RW 005/002, JL. MASJID ALHUDA NO.95</x:v>
      </x:c>
      <x:c r="F164" s="315" t="str">
        <x:v>MELINTANG</x:v>
      </x:c>
      <x:c r="G164" s="315" t="str">
        <x:v>RANGKUI</x:v>
      </x:c>
      <x:c r="H164" s="315" t="str">
        <x:v>Pembangunan Baru</x:v>
      </x:c>
      <x:c r="I164" s="317" t="str">
        <x:v>SURAT-Lengkap, RUMAH SEMI PERMANEN, BAGIAN DAPUR PERMANEN, DINDING RUSAK RINGAN, ATAP RUSAK RINGAN, LANTAI FULL FLOR,</x:v>
      </x:c>
      <x:c r="J164" s="315" t="str">
        <x:v>Semipermanen</x:v>
      </x:c>
      <x:c r="K164" s="315" t="str">
        <x:v>Belum Diidentifikasi</x:v>
      </x:c>
      <x:c r="L164" s="315" t="str">
        <x:v>Rusak Ringan</x:v>
      </x:c>
      <x:c r="M164" s="367" t="str">
        <x:v>Campuran Permanen dan Papan</x:v>
      </x:c>
      <x:c r="N164" s="315" t="str">
        <x:v>Rusak Ringan</x:v>
      </x:c>
      <x:c r="O164" s="316" t="str">
        <x:v>Belum Diidentifikasi</x:v>
      </x:c>
      <x:c r="P164" s="349" t="str">
        <x:v>Rusak Ringan</x:v>
      </x:c>
      <x:c r="Q164" s="707" t="str">
        <x:v>Belum Dinilai</x:v>
      </x:c>
      <x:c r="R164" s="707" t="str">
        <x:v>Belum Dinilai</x:v>
      </x:c>
      <x:c r="S164" s="708" t="str">
        <x:v>Belum Dinilai</x:v>
      </x:c>
      <x:c r="T164" s="709" t="str">
        <x:v>Belum Dinilai</x:v>
      </x:c>
      <x:c r="U164" s="704" t="str">
        <x:v>Belum Dinilai</x:v>
      </x:c>
      <x:c r="V164" s="704" t="str">
        <x:v>Belum Dinilai</x:v>
      </x:c>
      <x:c r="W164" s="704" t="str"/>
      <x:c r="X164" s="704" t="str">
        <x:f>IF(COUNTIF(R164:V164,"Belum Dinilai")&gt;0,"Belum Dinilai",IF(COUNTIF(R164:V164,"Ya")=0,"Tidak ada faktor rentan",TEXTJOIN(", ",TRUE,IF(R164="Ya","Lansia",""),IF(S164="Ya","Penyandang disabilitas",""),IF(T164="Ya","Kepala keluarga perempuan",""),IF(U164="Ya","Balita",""),IF(V164="Ya","Anggota keluarga dengan ketergantungan tinggi",""))))</x:f>
        <x:v>Belum Dinilai</x:v>
      </x:c>
      <x:c r="Y164" s="704" t="str">
        <x:f>IF(COUNTIF(R164:V164,"Belum Dinilai")&gt;0,"Belum Dinilai",IF(COUNTIF(R164:V164,"Ya")=0,"Tidak Ada Faktor Rentan",IF(COUNTIF(R164:V164,"Ya")=1,"1 Faktor Rentan","2 atau Lebih Faktor Rentan")))</x:f>
        <x:v>Belum Dinilai</x:v>
      </x:c>
      <x:c r="Z164" s="704" t="str">
        <x:f>IF(OR(Q164="",Q164="Belum Dinilai"),"",IF(Q164="Terverifikasi DTKS/P3KE/MBR",10,IF(Q164="Diusulkan, Belum Terverifikasi",5,0)))</x:f>
      </x:c>
      <x:c r="AA164" s="705" t="str">
        <x:f>IF(COUNTIF(R164:V164,"Belum Dinilai")&gt;0,"",IF(COUNTIF(R164:V164,"Ya")=0,0,IF(COUNTIF(R164:V164,"Ya")=1,5,10)))</x:f>
      </x:c>
      <x:c r="AB164" s="706" t="str">
        <x:f>IF(OR(Z164="",AA164=""),"",Z164+AA164)</x:f>
      </x:c>
      <x:c r="AC164" s="713" t="str">
        <x:v>Belum Dinilai</x:v>
      </x:c>
      <x:c r="AD164" s="713" t="str">
        <x:v>Belum Dinilai</x:v>
      </x:c>
      <x:c r="AE164" s="714" t="str">
        <x:v>Belum Dinilai</x:v>
      </x:c>
      <x:c r="AF164" s="713" t="str">
        <x:v>Belum Dinilai</x:v>
      </x:c>
      <x:c r="AG164" s="713" t="str">
        <x:v>Belum Dinilai</x:v>
      </x:c>
      <x:c r="AH164" s="715" t="str">
        <x:v>Belum Dinilai</x:v>
      </x:c>
      <x:c r="AI164" s="714" t="str">
        <x:v>Belum Dinilai</x:v>
      </x:c>
      <x:c r="AJ164" s="713" t="str">
        <x:v>Belum Dinilai</x:v>
      </x:c>
      <x:c r="AK164" s="715" t="str">
        <x:v>Belum Dinilai</x:v>
      </x:c>
      <x:c r="AL164" s="713" t="str"/>
      <x:c r="AM164" s="716" t="str">
        <x:v>Belum Dinilai</x:v>
      </x:c>
      <x:c r="AN164" s="716" t="str">
        <x:f>IF(AND(COUNTIF(AC164:AK164,"Ya")=0,AL164=""),IF(COUNTIF(AC164:AK164,"Belum Dinilai")&gt;0,"Belum Dinilai","Tidak ada risiko khusus"),TEXTJOIN(", ",TRUE,IF(AC164="Ya","Bangunan berpotensi roboh",""),IF(AD164="Ya","Bekas kebakaran dan tidak aman dihuni",""),IF(AE164="Ya","Atap atau dinding utama hampir runtuh",""),IF(AF164="Ya","Genangan yang membahayakan",""),IF(AG164="Ya","Struktur rumah tidak stabil",""),IF(AH164="Ya","Instalasi listrik berbahaya",""),IF(AI164="Ya","Komponen bangunan lepas atau lapuk",""),IF(AJ164="Ya","Akses keluar atau evakuasi terbatas",""),IF(AK164="Ya","Lokasi rawan bencana",""),IF(AL164&lt;&gt;"","Lainnya: "&amp;AL164,"")))</x:f>
        <x:v>Belum Dinilai</x:v>
      </x:c>
      <x:c r="AO164" s="716" t="str">
        <x:f>IF(AR164="","Belum Dinilai",IF(AR164=10,"Risiko Tinggi/Darurat",IF(AR164=5,"Risiko Sedang","Tidak Ada Risiko Khusus")))</x:f>
        <x:v>Belum Dinilai</x:v>
      </x:c>
      <x:c r="AP164" s="716" t="str"/>
      <x:c r="AQ164" s="719" t="n">
        <x:f>IF(OR(J164="",J164="Belum Dapat Ditentukan",L164="",L164="Belum Dinilai",N164="",N164="Belum Dinilai",P164="",P164="Belum Dinilai"),"",IF(J164="Permanen",0,IF(J164="Semipermanen",8,IF(J164="Nonpermanen",15,0)))+IF(L164="Baik",0,IF(L164="Rusak Ringan",5,IF(L164="Rusak Sedang",10,IF(L164="Rusak Berat",15,IF(L164="Tidak Ada/Terbuka",20,0)))))+IF(N164="Baik",0,IF(N164="Rusak Ringan",5,IF(N164="Rusak Sedang",10,IF(N164="Rusak Berat",15,IF(N164="Tidak Ada/Terbuka",20,0)))))+IF(P164="Baik",0,IF(P164="Rusak Ringan",4,IF(P164="Rusak Sedang",8,IF(P164="Rusak Berat",12,IF(P164="Tidak Layak",15,0))))))</x:f>
        <x:v>22</x:v>
      </x:c>
      <x:c r="AR164" s="719" t="str">
        <x:f>IF(COUNTIF(AC164:AH164,"Ya")&gt;0,10,IF(COUNTIF(AI164:AK164,"Ya")&gt;=2,10,IF(COUNTIF(AI164:AK164,"Ya")=1,MAX(5,IF(AM164="Risiko Tinggi/Darurat",10,IF(AM164="Risiko Sedang",5,0))),IF(AL164&lt;&gt;"",IF(AM164="Risiko Tinggi/Darurat",10,IF(AM164="Risiko Sedang",5,"")),IF(COUNTIF(AC164:AK164,"Belum Dinilai")&gt;0,"",0)))))</x:f>
      </x:c>
      <x:c r="AS164" s="719" t="str">
        <x:f>IF(OR(AQ164="",AB164="",AR164=""),"",AQ164+AB164+AR164)</x:f>
      </x:c>
      <x:c r="AT164" s="719" t="str">
        <x:f>IF(AS164="","Belum Dapat Ditentukan",IF(AS164&gt;=80,"Sangat Tinggi",IF(OR(AO164="Risiko Tinggi/Darurat",(IF(L164="Rusak Berat",1,0)+IF(L164="Tidak Ada/Terbuka",1,0)+IF(N164="Rusak Berat",1,0)+IF(N164="Tidak Ada/Terbuka",1,0)+IF(P164="Rusak Berat",1,0)+IF(P164="Tidak Layak",1,0))&gt;=2),"Tinggi",IF(AS164&gt;=65,"Tinggi",IF(AS164&gt;=50,"Sedang","Rendah")))))</x:f>
        <x:v>Belum Dapat Ditentukan</x:v>
      </x:c>
      <x:c r="AU164" s="240" t="str">
        <x:v>Lengkap</x:v>
      </x:c>
      <x:c r="AV164" s="240" t="str">
        <x:v>Sudah Diverifikasi</x:v>
      </x:c>
      <x:c r="AW164" s="240" t="str">
        <x:v>Selesai</x:v>
      </x:c>
      <x:c r="AX164" s="240" t="str">
        <x:v>APBD Kota</x:v>
      </x:c>
      <x:c r="AY164" s="240" t="n">
        <x:v>2022</x:v>
      </x:c>
      <x:c r="AZ164" s="240" t="str">
        <x:v>Belum Diverifikasi</x:v>
      </x:c>
      <x:c r="BA164" s="240"/>
      <x:c r="BB164" s="240"/>
      <x:c r="BC164" s="240" t="n">
        <x:v>2026</x:v>
      </x:c>
      <x:c r="BD164" s="240" t="str">
        <x:v>Usulan Musrenbang/Pokir DPRD</x:v>
      </x:c>
      <x:c r="BE164" s="240" t="n">
        <x:v>46218</x:v>
      </x:c>
      <x:c r="BF164" s="240" t="str">
        <x:v>Dinas Perkim Kota Pangkalpinang</x:v>
      </x:c>
    </x:row>
    <x:row r="165" ht="32" customHeight="1">
      <x:c r="A165" s="314" t="str">
        <x:v>RTLH-0194</x:v>
      </x:c>
      <x:c r="B165" s="315" t="str">
        <x:v>SYARIFUDIN</x:v>
      </x:c>
      <x:c r="C165" s="316"/>
      <x:c r="D165" s="316"/>
      <x:c r="E165" s="315" t="str">
        <x:v>GG.TOMAT I NO.6</x:v>
      </x:c>
      <x:c r="F165" s="315" t="str">
        <x:v>MELINTANG</x:v>
      </x:c>
      <x:c r="G165" s="315" t="str">
        <x:v>RANGKUI</x:v>
      </x:c>
      <x:c r="H165" s="315" t="str">
        <x:v>Belum Ditentukan</x:v>
      </x:c>
      <x:c r="I165" s="317" t="str">
        <x:v>RUMAH SEMI PERMANEN,</x:v>
      </x:c>
      <x:c r="J165" s="315" t="str">
        <x:v>Semipermanen</x:v>
      </x:c>
      <x:c r="K165" s="315" t="str">
        <x:v>Belum Diidentifikasi</x:v>
      </x:c>
      <x:c r="L165" s="315" t="str">
        <x:v>Belum Dinilai</x:v>
      </x:c>
      <x:c r="M165" s="367" t="str">
        <x:v>Campuran Permanen dan Papan</x:v>
      </x:c>
      <x:c r="N165" s="315" t="str">
        <x:v>Belum Dinilai</x:v>
      </x:c>
      <x:c r="O165" s="316" t="str">
        <x:v>Belum Diidentifikasi</x:v>
      </x:c>
      <x:c r="P165" s="349" t="str">
        <x:v>Belum Dinilai</x:v>
      </x:c>
      <x:c r="Q165" s="707" t="str">
        <x:v>Belum Dinilai</x:v>
      </x:c>
      <x:c r="R165" s="707" t="str">
        <x:v>Belum Dinilai</x:v>
      </x:c>
      <x:c r="S165" s="708" t="str">
        <x:v>Belum Dinilai</x:v>
      </x:c>
      <x:c r="T165" s="709" t="str">
        <x:v>Belum Dinilai</x:v>
      </x:c>
      <x:c r="U165" s="704" t="str">
        <x:v>Belum Dinilai</x:v>
      </x:c>
      <x:c r="V165" s="704" t="str">
        <x:v>Belum Dinilai</x:v>
      </x:c>
      <x:c r="W165" s="704" t="str"/>
      <x:c r="X165" s="704" t="str">
        <x:f>IF(COUNTIF(R165:V165,"Belum Dinilai")&gt;0,"Belum Dinilai",IF(COUNTIF(R165:V165,"Ya")=0,"Tidak ada faktor rentan",TEXTJOIN(", ",TRUE,IF(R165="Ya","Lansia",""),IF(S165="Ya","Penyandang disabilitas",""),IF(T165="Ya","Kepala keluarga perempuan",""),IF(U165="Ya","Balita",""),IF(V165="Ya","Anggota keluarga dengan ketergantungan tinggi",""))))</x:f>
        <x:v>Belum Dinilai</x:v>
      </x:c>
      <x:c r="Y165" s="704" t="str">
        <x:f>IF(COUNTIF(R165:V165,"Belum Dinilai")&gt;0,"Belum Dinilai",IF(COUNTIF(R165:V165,"Ya")=0,"Tidak Ada Faktor Rentan",IF(COUNTIF(R165:V165,"Ya")=1,"1 Faktor Rentan","2 atau Lebih Faktor Rentan")))</x:f>
        <x:v>Belum Dinilai</x:v>
      </x:c>
      <x:c r="Z165" s="704" t="str">
        <x:f>IF(OR(Q165="",Q165="Belum Dinilai"),"",IF(Q165="Terverifikasi DTKS/P3KE/MBR",10,IF(Q165="Diusulkan, Belum Terverifikasi",5,0)))</x:f>
      </x:c>
      <x:c r="AA165" s="705" t="str">
        <x:f>IF(COUNTIF(R165:V165,"Belum Dinilai")&gt;0,"",IF(COUNTIF(R165:V165,"Ya")=0,0,IF(COUNTIF(R165:V165,"Ya")=1,5,10)))</x:f>
      </x:c>
      <x:c r="AB165" s="706" t="str">
        <x:f>IF(OR(Z165="",AA165=""),"",Z165+AA165)</x:f>
      </x:c>
      <x:c r="AC165" s="713" t="str">
        <x:v>Belum Dinilai</x:v>
      </x:c>
      <x:c r="AD165" s="713" t="str">
        <x:v>Belum Dinilai</x:v>
      </x:c>
      <x:c r="AE165" s="714" t="str">
        <x:v>Belum Dinilai</x:v>
      </x:c>
      <x:c r="AF165" s="713" t="str">
        <x:v>Belum Dinilai</x:v>
      </x:c>
      <x:c r="AG165" s="713" t="str">
        <x:v>Belum Dinilai</x:v>
      </x:c>
      <x:c r="AH165" s="715" t="str">
        <x:v>Belum Dinilai</x:v>
      </x:c>
      <x:c r="AI165" s="714" t="str">
        <x:v>Belum Dinilai</x:v>
      </x:c>
      <x:c r="AJ165" s="713" t="str">
        <x:v>Belum Dinilai</x:v>
      </x:c>
      <x:c r="AK165" s="715" t="str">
        <x:v>Belum Dinilai</x:v>
      </x:c>
      <x:c r="AL165" s="713" t="str"/>
      <x:c r="AM165" s="716" t="str">
        <x:v>Belum Dinilai</x:v>
      </x:c>
      <x:c r="AN165" s="716" t="str">
        <x:f>IF(AND(COUNTIF(AC165:AK165,"Ya")=0,AL165=""),IF(COUNTIF(AC165:AK165,"Belum Dinilai")&gt;0,"Belum Dinilai","Tidak ada risiko khusus"),TEXTJOIN(", ",TRUE,IF(AC165="Ya","Bangunan berpotensi roboh",""),IF(AD165="Ya","Bekas kebakaran dan tidak aman dihuni",""),IF(AE165="Ya","Atap atau dinding utama hampir runtuh",""),IF(AF165="Ya","Genangan yang membahayakan",""),IF(AG165="Ya","Struktur rumah tidak stabil",""),IF(AH165="Ya","Instalasi listrik berbahaya",""),IF(AI165="Ya","Komponen bangunan lepas atau lapuk",""),IF(AJ165="Ya","Akses keluar atau evakuasi terbatas",""),IF(AK165="Ya","Lokasi rawan bencana",""),IF(AL165&lt;&gt;"","Lainnya: "&amp;AL165,"")))</x:f>
        <x:v>Belum Dinilai</x:v>
      </x:c>
      <x:c r="AO165" s="716" t="str">
        <x:f>IF(AR165="","Belum Dinilai",IF(AR165=10,"Risiko Tinggi/Darurat",IF(AR165=5,"Risiko Sedang","Tidak Ada Risiko Khusus")))</x:f>
        <x:v>Belum Dinilai</x:v>
      </x:c>
      <x:c r="AP165" s="716" t="str"/>
      <x:c r="AQ165" s="719" t="str">
        <x:f>IF(OR(J165="",J165="Belum Dapat Ditentukan",L165="",L165="Belum Dinilai",N165="",N165="Belum Dinilai",P165="",P165="Belum Dinilai"),"",IF(J165="Permanen",0,IF(J165="Semipermanen",8,IF(J165="Nonpermanen",15,0)))+IF(L165="Baik",0,IF(L165="Rusak Ringan",5,IF(L165="Rusak Sedang",10,IF(L165="Rusak Berat",15,IF(L165="Tidak Ada/Terbuka",20,0)))))+IF(N165="Baik",0,IF(N165="Rusak Ringan",5,IF(N165="Rusak Sedang",10,IF(N165="Rusak Berat",15,IF(N165="Tidak Ada/Terbuka",20,0)))))+IF(P165="Baik",0,IF(P165="Rusak Ringan",4,IF(P165="Rusak Sedang",8,IF(P165="Rusak Berat",12,IF(P165="Tidak Layak",15,0))))))</x:f>
      </x:c>
      <x:c r="AR165" s="719" t="str">
        <x:f>IF(COUNTIF(AC165:AH165,"Ya")&gt;0,10,IF(COUNTIF(AI165:AK165,"Ya")&gt;=2,10,IF(COUNTIF(AI165:AK165,"Ya")=1,MAX(5,IF(AM165="Risiko Tinggi/Darurat",10,IF(AM165="Risiko Sedang",5,0))),IF(AL165&lt;&gt;"",IF(AM165="Risiko Tinggi/Darurat",10,IF(AM165="Risiko Sedang",5,"")),IF(COUNTIF(AC165:AK165,"Belum Dinilai")&gt;0,"",0)))))</x:f>
      </x:c>
      <x:c r="AS165" s="719" t="str">
        <x:f>IF(OR(AQ165="",AB165="",AR165=""),"",AQ165+AB165+AR165)</x:f>
      </x:c>
      <x:c r="AT165" s="719" t="str">
        <x:f>IF(AS165="","Belum Dapat Ditentukan",IF(AS165&gt;=80,"Sangat Tinggi",IF(OR(AO165="Risiko Tinggi/Darurat",(IF(L165="Rusak Berat",1,0)+IF(L165="Tidak Ada/Terbuka",1,0)+IF(N165="Rusak Berat",1,0)+IF(N165="Tidak Ada/Terbuka",1,0)+IF(P165="Rusak Berat",1,0)+IF(P165="Tidak Layak",1,0))&gt;=2),"Tinggi",IF(AS165&gt;=65,"Tinggi",IF(AS165&gt;=50,"Sedang","Rendah")))))</x:f>
        <x:v>Belum Dapat Ditentukan</x:v>
      </x:c>
      <x:c r="AU165" s="240" t="str">
        <x:v>Lengkap</x:v>
      </x:c>
      <x:c r="AV165" s="240" t="str">
        <x:v>Sudah Diverifikasi</x:v>
      </x:c>
      <x:c r="AW165" s="240" t="str">
        <x:v>Belum Ditangani</x:v>
      </x:c>
      <x:c r="AX165" s="240"/>
      <x:c r="AY165" s="240"/>
      <x:c r="AZ165" s="240" t="str">
        <x:v>Belum Diverifikasi</x:v>
      </x:c>
      <x:c r="BA165" s="240"/>
      <x:c r="BB165" s="240"/>
      <x:c r="BC165" s="240" t="n">
        <x:v>2026</x:v>
      </x:c>
      <x:c r="BD165" s="240" t="str">
        <x:v>Usulan Musrenbang/Pokir DPRD</x:v>
      </x:c>
      <x:c r="BE165" s="240" t="n">
        <x:v>46218</x:v>
      </x:c>
      <x:c r="BF165" s="240" t="str">
        <x:v>Dinas Perkim Kota Pangkalpinang</x:v>
      </x:c>
    </x:row>
    <x:row r="166" ht="32" customHeight="1">
      <x:c r="A166" s="314" t="str">
        <x:v>RTLH-0195</x:v>
      </x:c>
      <x:c r="B166" s="315" t="str">
        <x:v>SITI MASITOH</x:v>
      </x:c>
      <x:c r="C166" s="316"/>
      <x:c r="D166" s="316"/>
      <x:c r="E166" s="315" t="str">
        <x:v>GG.TOMAT I NO.6</x:v>
      </x:c>
      <x:c r="F166" s="315" t="str">
        <x:v>MELINTANG</x:v>
      </x:c>
      <x:c r="G166" s="315" t="str">
        <x:v>RANGKUI</x:v>
      </x:c>
      <x:c r="H166" s="315" t="str">
        <x:v>Pembangunan Baru</x:v>
      </x:c>
      <x:c r="I166" s="317" t="str">
        <x:v>RUMAH SEMI PERMANEN , BAGIAN DAPUR PERMANEN, BAGIAN DEPAN PAPAN</x:v>
      </x:c>
      <x:c r="J166" s="315" t="str">
        <x:v>Semipermanen</x:v>
      </x:c>
      <x:c r="K166" s="315" t="str">
        <x:v>Belum Diidentifikasi</x:v>
      </x:c>
      <x:c r="L166" s="315" t="str">
        <x:v>Belum Dinilai</x:v>
      </x:c>
      <x:c r="M166" s="367" t="str">
        <x:v>Campuran Permanen dan Papan</x:v>
      </x:c>
      <x:c r="N166" s="315" t="str">
        <x:v>Belum Dinilai</x:v>
      </x:c>
      <x:c r="O166" s="316" t="str">
        <x:v>Belum Diidentifikasi</x:v>
      </x:c>
      <x:c r="P166" s="349" t="str">
        <x:v>Belum Dinilai</x:v>
      </x:c>
      <x:c r="Q166" s="707" t="str">
        <x:v>Belum Dinilai</x:v>
      </x:c>
      <x:c r="R166" s="707" t="str">
        <x:v>Belum Dinilai</x:v>
      </x:c>
      <x:c r="S166" s="708" t="str">
        <x:v>Belum Dinilai</x:v>
      </x:c>
      <x:c r="T166" s="709" t="str">
        <x:v>Belum Dinilai</x:v>
      </x:c>
      <x:c r="U166" s="704" t="str">
        <x:v>Belum Dinilai</x:v>
      </x:c>
      <x:c r="V166" s="704" t="str">
        <x:v>Belum Dinilai</x:v>
      </x:c>
      <x:c r="W166" s="704" t="str"/>
      <x:c r="X166" s="704" t="str">
        <x:f>IF(COUNTIF(R166:V166,"Belum Dinilai")&gt;0,"Belum Dinilai",IF(COUNTIF(R166:V166,"Ya")=0,"Tidak ada faktor rentan",TEXTJOIN(", ",TRUE,IF(R166="Ya","Lansia",""),IF(S166="Ya","Penyandang disabilitas",""),IF(T166="Ya","Kepala keluarga perempuan",""),IF(U166="Ya","Balita",""),IF(V166="Ya","Anggota keluarga dengan ketergantungan tinggi",""))))</x:f>
        <x:v>Belum Dinilai</x:v>
      </x:c>
      <x:c r="Y166" s="704" t="str">
        <x:f>IF(COUNTIF(R166:V166,"Belum Dinilai")&gt;0,"Belum Dinilai",IF(COUNTIF(R166:V166,"Ya")=0,"Tidak Ada Faktor Rentan",IF(COUNTIF(R166:V166,"Ya")=1,"1 Faktor Rentan","2 atau Lebih Faktor Rentan")))</x:f>
        <x:v>Belum Dinilai</x:v>
      </x:c>
      <x:c r="Z166" s="704" t="str">
        <x:f>IF(OR(Q166="",Q166="Belum Dinilai"),"",IF(Q166="Terverifikasi DTKS/P3KE/MBR",10,IF(Q166="Diusulkan, Belum Terverifikasi",5,0)))</x:f>
      </x:c>
      <x:c r="AA166" s="705" t="str">
        <x:f>IF(COUNTIF(R166:V166,"Belum Dinilai")&gt;0,"",IF(COUNTIF(R166:V166,"Ya")=0,0,IF(COUNTIF(R166:V166,"Ya")=1,5,10)))</x:f>
      </x:c>
      <x:c r="AB166" s="706" t="str">
        <x:f>IF(OR(Z166="",AA166=""),"",Z166+AA166)</x:f>
      </x:c>
      <x:c r="AC166" s="713" t="str">
        <x:v>Belum Dinilai</x:v>
      </x:c>
      <x:c r="AD166" s="713" t="str">
        <x:v>Belum Dinilai</x:v>
      </x:c>
      <x:c r="AE166" s="714" t="str">
        <x:v>Belum Dinilai</x:v>
      </x:c>
      <x:c r="AF166" s="713" t="str">
        <x:v>Belum Dinilai</x:v>
      </x:c>
      <x:c r="AG166" s="713" t="str">
        <x:v>Belum Dinilai</x:v>
      </x:c>
      <x:c r="AH166" s="715" t="str">
        <x:v>Belum Dinilai</x:v>
      </x:c>
      <x:c r="AI166" s="714" t="str">
        <x:v>Belum Dinilai</x:v>
      </x:c>
      <x:c r="AJ166" s="713" t="str">
        <x:v>Belum Dinilai</x:v>
      </x:c>
      <x:c r="AK166" s="715" t="str">
        <x:v>Belum Dinilai</x:v>
      </x:c>
      <x:c r="AL166" s="713" t="str"/>
      <x:c r="AM166" s="716" t="str">
        <x:v>Belum Dinilai</x:v>
      </x:c>
      <x:c r="AN166" s="716" t="str">
        <x:f>IF(AND(COUNTIF(AC166:AK166,"Ya")=0,AL166=""),IF(COUNTIF(AC166:AK166,"Belum Dinilai")&gt;0,"Belum Dinilai","Tidak ada risiko khusus"),TEXTJOIN(", ",TRUE,IF(AC166="Ya","Bangunan berpotensi roboh",""),IF(AD166="Ya","Bekas kebakaran dan tidak aman dihuni",""),IF(AE166="Ya","Atap atau dinding utama hampir runtuh",""),IF(AF166="Ya","Genangan yang membahayakan",""),IF(AG166="Ya","Struktur rumah tidak stabil",""),IF(AH166="Ya","Instalasi listrik berbahaya",""),IF(AI166="Ya","Komponen bangunan lepas atau lapuk",""),IF(AJ166="Ya","Akses keluar atau evakuasi terbatas",""),IF(AK166="Ya","Lokasi rawan bencana",""),IF(AL166&lt;&gt;"","Lainnya: "&amp;AL166,"")))</x:f>
        <x:v>Belum Dinilai</x:v>
      </x:c>
      <x:c r="AO166" s="716" t="str">
        <x:f>IF(AR166="","Belum Dinilai",IF(AR166=10,"Risiko Tinggi/Darurat",IF(AR166=5,"Risiko Sedang","Tidak Ada Risiko Khusus")))</x:f>
        <x:v>Belum Dinilai</x:v>
      </x:c>
      <x:c r="AP166" s="716" t="str"/>
      <x:c r="AQ166" s="719" t="str">
        <x:f>IF(OR(J166="",J166="Belum Dapat Ditentukan",L166="",L166="Belum Dinilai",N166="",N166="Belum Dinilai",P166="",P166="Belum Dinilai"),"",IF(J166="Permanen",0,IF(J166="Semipermanen",8,IF(J166="Nonpermanen",15,0)))+IF(L166="Baik",0,IF(L166="Rusak Ringan",5,IF(L166="Rusak Sedang",10,IF(L166="Rusak Berat",15,IF(L166="Tidak Ada/Terbuka",20,0)))))+IF(N166="Baik",0,IF(N166="Rusak Ringan",5,IF(N166="Rusak Sedang",10,IF(N166="Rusak Berat",15,IF(N166="Tidak Ada/Terbuka",20,0)))))+IF(P166="Baik",0,IF(P166="Rusak Ringan",4,IF(P166="Rusak Sedang",8,IF(P166="Rusak Berat",12,IF(P166="Tidak Layak",15,0))))))</x:f>
      </x:c>
      <x:c r="AR166" s="719" t="str">
        <x:f>IF(COUNTIF(AC166:AH166,"Ya")&gt;0,10,IF(COUNTIF(AI166:AK166,"Ya")&gt;=2,10,IF(COUNTIF(AI166:AK166,"Ya")=1,MAX(5,IF(AM166="Risiko Tinggi/Darurat",10,IF(AM166="Risiko Sedang",5,0))),IF(AL166&lt;&gt;"",IF(AM166="Risiko Tinggi/Darurat",10,IF(AM166="Risiko Sedang",5,"")),IF(COUNTIF(AC166:AK166,"Belum Dinilai")&gt;0,"",0)))))</x:f>
      </x:c>
      <x:c r="AS166" s="719" t="str">
        <x:f>IF(OR(AQ166="",AB166="",AR166=""),"",AQ166+AB166+AR166)</x:f>
      </x:c>
      <x:c r="AT166" s="719" t="str">
        <x:f>IF(AS166="","Belum Dapat Ditentukan",IF(AS166&gt;=80,"Sangat Tinggi",IF(OR(AO166="Risiko Tinggi/Darurat",(IF(L166="Rusak Berat",1,0)+IF(L166="Tidak Ada/Terbuka",1,0)+IF(N166="Rusak Berat",1,0)+IF(N166="Tidak Ada/Terbuka",1,0)+IF(P166="Rusak Berat",1,0)+IF(P166="Tidak Layak",1,0))&gt;=2),"Tinggi",IF(AS166&gt;=65,"Tinggi",IF(AS166&gt;=50,"Sedang","Rendah")))))</x:f>
        <x:v>Belum Dapat Ditentukan</x:v>
      </x:c>
      <x:c r="AU166" s="240" t="str">
        <x:v>Lengkap</x:v>
      </x:c>
      <x:c r="AV166" s="240" t="str">
        <x:v>Sudah Diverifikasi</x:v>
      </x:c>
      <x:c r="AW166" s="240" t="str">
        <x:v>Belum Ditangani</x:v>
      </x:c>
      <x:c r="AX166" s="240"/>
      <x:c r="AY166" s="240"/>
      <x:c r="AZ166" s="240" t="str">
        <x:v>Belum Diverifikasi</x:v>
      </x:c>
      <x:c r="BA166" s="240"/>
      <x:c r="BB166" s="240"/>
      <x:c r="BC166" s="240" t="n">
        <x:v>2026</x:v>
      </x:c>
      <x:c r="BD166" s="240" t="str">
        <x:v>Usulan Musrenbang/Pokir DPRD</x:v>
      </x:c>
      <x:c r="BE166" s="240" t="n">
        <x:v>46218</x:v>
      </x:c>
      <x:c r="BF166" s="240" t="str">
        <x:v>Dinas Perkim Kota Pangkalpinang</x:v>
      </x:c>
    </x:row>
    <x:row r="167" ht="32" customHeight="1">
      <x:c r="A167" s="314" t="str">
        <x:v>RTLH-0196</x:v>
      </x:c>
      <x:c r="B167" s="315" t="str">
        <x:v>ANAWATI</x:v>
      </x:c>
      <x:c r="C167" s="316"/>
      <x:c r="D167" s="316"/>
      <x:c r="E167" s="315" t="str">
        <x:v>JL: HORMEN MADDATI NO.55</x:v>
      </x:c>
      <x:c r="F167" s="315" t="str">
        <x:v>MELINTANG</x:v>
      </x:c>
      <x:c r="G167" s="315" t="str">
        <x:v>RANGKUI</x:v>
      </x:c>
      <x:c r="H167" s="315" t="str">
        <x:v>Peningkatan Kualitas</x:v>
      </x:c>
      <x:c r="I167" s="317" t="str">
        <x:v>RUMAH SEMI PERMANEN, BAGIAN DEPAN PAPAN, LANTAI FLOOR , ATAP SENG</x:v>
      </x:c>
      <x:c r="J167" s="315" t="str">
        <x:v>Semipermanen</x:v>
      </x:c>
      <x:c r="K167" s="315" t="str">
        <x:v>Seng</x:v>
      </x:c>
      <x:c r="L167" s="315" t="str">
        <x:v>Belum Dinilai</x:v>
      </x:c>
      <x:c r="M167" s="367" t="str">
        <x:v>Campuran Permanen dan Papan</x:v>
      </x:c>
      <x:c r="N167" s="315" t="str">
        <x:v>Belum Dinilai</x:v>
      </x:c>
      <x:c r="O167" s="316" t="str">
        <x:v>Semen/Plester</x:v>
      </x:c>
      <x:c r="P167" s="349" t="str">
        <x:v>Belum Dinilai</x:v>
      </x:c>
      <x:c r="Q167" s="707" t="str">
        <x:v>Belum Dinilai</x:v>
      </x:c>
      <x:c r="R167" s="707" t="str">
        <x:v>Belum Dinilai</x:v>
      </x:c>
      <x:c r="S167" s="708" t="str">
        <x:v>Belum Dinilai</x:v>
      </x:c>
      <x:c r="T167" s="709" t="str">
        <x:v>Belum Dinilai</x:v>
      </x:c>
      <x:c r="U167" s="704" t="str">
        <x:v>Belum Dinilai</x:v>
      </x:c>
      <x:c r="V167" s="704" t="str">
        <x:v>Belum Dinilai</x:v>
      </x:c>
      <x:c r="W167" s="704" t="str"/>
      <x:c r="X167" s="704" t="str">
        <x:f>IF(COUNTIF(R167:V167,"Belum Dinilai")&gt;0,"Belum Dinilai",IF(COUNTIF(R167:V167,"Ya")=0,"Tidak ada faktor rentan",TEXTJOIN(", ",TRUE,IF(R167="Ya","Lansia",""),IF(S167="Ya","Penyandang disabilitas",""),IF(T167="Ya","Kepala keluarga perempuan",""),IF(U167="Ya","Balita",""),IF(V167="Ya","Anggota keluarga dengan ketergantungan tinggi",""))))</x:f>
        <x:v>Belum Dinilai</x:v>
      </x:c>
      <x:c r="Y167" s="704" t="str">
        <x:f>IF(COUNTIF(R167:V167,"Belum Dinilai")&gt;0,"Belum Dinilai",IF(COUNTIF(R167:V167,"Ya")=0,"Tidak Ada Faktor Rentan",IF(COUNTIF(R167:V167,"Ya")=1,"1 Faktor Rentan","2 atau Lebih Faktor Rentan")))</x:f>
        <x:v>Belum Dinilai</x:v>
      </x:c>
      <x:c r="Z167" s="704" t="str">
        <x:f>IF(OR(Q167="",Q167="Belum Dinilai"),"",IF(Q167="Terverifikasi DTKS/P3KE/MBR",10,IF(Q167="Diusulkan, Belum Terverifikasi",5,0)))</x:f>
      </x:c>
      <x:c r="AA167" s="705" t="str">
        <x:f>IF(COUNTIF(R167:V167,"Belum Dinilai")&gt;0,"",IF(COUNTIF(R167:V167,"Ya")=0,0,IF(COUNTIF(R167:V167,"Ya")=1,5,10)))</x:f>
      </x:c>
      <x:c r="AB167" s="706" t="str">
        <x:f>IF(OR(Z167="",AA167=""),"",Z167+AA167)</x:f>
      </x:c>
      <x:c r="AC167" s="713" t="str">
        <x:v>Belum Dinilai</x:v>
      </x:c>
      <x:c r="AD167" s="713" t="str">
        <x:v>Belum Dinilai</x:v>
      </x:c>
      <x:c r="AE167" s="714" t="str">
        <x:v>Belum Dinilai</x:v>
      </x:c>
      <x:c r="AF167" s="713" t="str">
        <x:v>Belum Dinilai</x:v>
      </x:c>
      <x:c r="AG167" s="713" t="str">
        <x:v>Belum Dinilai</x:v>
      </x:c>
      <x:c r="AH167" s="715" t="str">
        <x:v>Belum Dinilai</x:v>
      </x:c>
      <x:c r="AI167" s="714" t="str">
        <x:v>Belum Dinilai</x:v>
      </x:c>
      <x:c r="AJ167" s="713" t="str">
        <x:v>Belum Dinilai</x:v>
      </x:c>
      <x:c r="AK167" s="715" t="str">
        <x:v>Belum Dinilai</x:v>
      </x:c>
      <x:c r="AL167" s="713" t="str"/>
      <x:c r="AM167" s="716" t="str">
        <x:v>Belum Dinilai</x:v>
      </x:c>
      <x:c r="AN167" s="716" t="str">
        <x:f>IF(AND(COUNTIF(AC167:AK167,"Ya")=0,AL167=""),IF(COUNTIF(AC167:AK167,"Belum Dinilai")&gt;0,"Belum Dinilai","Tidak ada risiko khusus"),TEXTJOIN(", ",TRUE,IF(AC167="Ya","Bangunan berpotensi roboh",""),IF(AD167="Ya","Bekas kebakaran dan tidak aman dihuni",""),IF(AE167="Ya","Atap atau dinding utama hampir runtuh",""),IF(AF167="Ya","Genangan yang membahayakan",""),IF(AG167="Ya","Struktur rumah tidak stabil",""),IF(AH167="Ya","Instalasi listrik berbahaya",""),IF(AI167="Ya","Komponen bangunan lepas atau lapuk",""),IF(AJ167="Ya","Akses keluar atau evakuasi terbatas",""),IF(AK167="Ya","Lokasi rawan bencana",""),IF(AL167&lt;&gt;"","Lainnya: "&amp;AL167,"")))</x:f>
        <x:v>Belum Dinilai</x:v>
      </x:c>
      <x:c r="AO167" s="716" t="str">
        <x:f>IF(AR167="","Belum Dinilai",IF(AR167=10,"Risiko Tinggi/Darurat",IF(AR167=5,"Risiko Sedang","Tidak Ada Risiko Khusus")))</x:f>
        <x:v>Belum Dinilai</x:v>
      </x:c>
      <x:c r="AP167" s="716" t="str"/>
      <x:c r="AQ167" s="719" t="str">
        <x:f>IF(OR(J167="",J167="Belum Dapat Ditentukan",L167="",L167="Belum Dinilai",N167="",N167="Belum Dinilai",P167="",P167="Belum Dinilai"),"",IF(J167="Permanen",0,IF(J167="Semipermanen",8,IF(J167="Nonpermanen",15,0)))+IF(L167="Baik",0,IF(L167="Rusak Ringan",5,IF(L167="Rusak Sedang",10,IF(L167="Rusak Berat",15,IF(L167="Tidak Ada/Terbuka",20,0)))))+IF(N167="Baik",0,IF(N167="Rusak Ringan",5,IF(N167="Rusak Sedang",10,IF(N167="Rusak Berat",15,IF(N167="Tidak Ada/Terbuka",20,0)))))+IF(P167="Baik",0,IF(P167="Rusak Ringan",4,IF(P167="Rusak Sedang",8,IF(P167="Rusak Berat",12,IF(P167="Tidak Layak",15,0))))))</x:f>
      </x:c>
      <x:c r="AR167" s="719" t="str">
        <x:f>IF(COUNTIF(AC167:AH167,"Ya")&gt;0,10,IF(COUNTIF(AI167:AK167,"Ya")&gt;=2,10,IF(COUNTIF(AI167:AK167,"Ya")=1,MAX(5,IF(AM167="Risiko Tinggi/Darurat",10,IF(AM167="Risiko Sedang",5,0))),IF(AL167&lt;&gt;"",IF(AM167="Risiko Tinggi/Darurat",10,IF(AM167="Risiko Sedang",5,"")),IF(COUNTIF(AC167:AK167,"Belum Dinilai")&gt;0,"",0)))))</x:f>
      </x:c>
      <x:c r="AS167" s="719" t="str">
        <x:f>IF(OR(AQ167="",AB167="",AR167=""),"",AQ167+AB167+AR167)</x:f>
      </x:c>
      <x:c r="AT167" s="719" t="str">
        <x:f>IF(AS167="","Belum Dapat Ditentukan",IF(AS167&gt;=80,"Sangat Tinggi",IF(OR(AO167="Risiko Tinggi/Darurat",(IF(L167="Rusak Berat",1,0)+IF(L167="Tidak Ada/Terbuka",1,0)+IF(N167="Rusak Berat",1,0)+IF(N167="Tidak Ada/Terbuka",1,0)+IF(P167="Rusak Berat",1,0)+IF(P167="Tidak Layak",1,0))&gt;=2),"Tinggi",IF(AS167&gt;=65,"Tinggi",IF(AS167&gt;=50,"Sedang","Rendah")))))</x:f>
        <x:v>Belum Dapat Ditentukan</x:v>
      </x:c>
      <x:c r="AU167" s="240" t="str">
        <x:v>Lengkap</x:v>
      </x:c>
      <x:c r="AV167" s="240" t="str">
        <x:v>Sudah Diverifikasi</x:v>
      </x:c>
      <x:c r="AW167" s="240" t="str">
        <x:v>Selesai</x:v>
      </x:c>
      <x:c r="AX167" s="240" t="str">
        <x:v>APBD Kota</x:v>
      </x:c>
      <x:c r="AY167" s="240" t="n">
        <x:v>2022</x:v>
      </x:c>
      <x:c r="AZ167" s="240" t="str">
        <x:v>Belum Diverifikasi</x:v>
      </x:c>
      <x:c r="BA167" s="240"/>
      <x:c r="BB167" s="240"/>
      <x:c r="BC167" s="240" t="n">
        <x:v>2026</x:v>
      </x:c>
      <x:c r="BD167" s="240" t="str">
        <x:v>Usulan Musrenbang/Pokir DPRD</x:v>
      </x:c>
      <x:c r="BE167" s="240" t="n">
        <x:v>46218</x:v>
      </x:c>
      <x:c r="BF167" s="240" t="str">
        <x:v>Dinas Perkim Kota Pangkalpinang</x:v>
      </x:c>
    </x:row>
    <x:row r="168" ht="32" customHeight="1">
      <x:c r="A168" s="314" t="str">
        <x:v>RTLH-0197</x:v>
      </x:c>
      <x:c r="B168" s="315" t="str">
        <x:v>ADRI</x:v>
      </x:c>
      <x:c r="C168" s="316"/>
      <x:c r="D168" s="316"/>
      <x:c r="E168" s="315" t="str">
        <x:v>JL.LETKOL H.SULAIMAN SALAM GG.BINJAI 3</x:v>
      </x:c>
      <x:c r="F168" s="315" t="str">
        <x:v>MELINTANG</x:v>
      </x:c>
      <x:c r="G168" s="315" t="str">
        <x:v>RANGKUI</x:v>
      </x:c>
      <x:c r="H168" s="315" t="str">
        <x:v>Peningkatan Kualitas</x:v>
      </x:c>
      <x:c r="I168" s="317" t="str">
        <x:v>RUMAH SEMI PERMANEN, BAGIAN DEPAN PAPAN, LANTAI FLOOR , ATAP SENG</x:v>
      </x:c>
      <x:c r="J168" s="315" t="str">
        <x:v>Semipermanen</x:v>
      </x:c>
      <x:c r="K168" s="315" t="str">
        <x:v>Seng</x:v>
      </x:c>
      <x:c r="L168" s="315" t="str">
        <x:v>Belum Dinilai</x:v>
      </x:c>
      <x:c r="M168" s="367" t="str">
        <x:v>Campuran Permanen dan Papan</x:v>
      </x:c>
      <x:c r="N168" s="315" t="str">
        <x:v>Belum Dinilai</x:v>
      </x:c>
      <x:c r="O168" s="316" t="str">
        <x:v>Semen/Plester</x:v>
      </x:c>
      <x:c r="P168" s="349" t="str">
        <x:v>Belum Dinilai</x:v>
      </x:c>
      <x:c r="Q168" s="707" t="str">
        <x:v>Belum Dinilai</x:v>
      </x:c>
      <x:c r="R168" s="707" t="str">
        <x:v>Belum Dinilai</x:v>
      </x:c>
      <x:c r="S168" s="708" t="str">
        <x:v>Belum Dinilai</x:v>
      </x:c>
      <x:c r="T168" s="709" t="str">
        <x:v>Belum Dinilai</x:v>
      </x:c>
      <x:c r="U168" s="704" t="str">
        <x:v>Belum Dinilai</x:v>
      </x:c>
      <x:c r="V168" s="704" t="str">
        <x:v>Belum Dinilai</x:v>
      </x:c>
      <x:c r="W168" s="704" t="str"/>
      <x:c r="X168" s="704" t="str">
        <x:f>IF(COUNTIF(R168:V168,"Belum Dinilai")&gt;0,"Belum Dinilai",IF(COUNTIF(R168:V168,"Ya")=0,"Tidak ada faktor rentan",TEXTJOIN(", ",TRUE,IF(R168="Ya","Lansia",""),IF(S168="Ya","Penyandang disabilitas",""),IF(T168="Ya","Kepala keluarga perempuan",""),IF(U168="Ya","Balita",""),IF(V168="Ya","Anggota keluarga dengan ketergantungan tinggi",""))))</x:f>
        <x:v>Belum Dinilai</x:v>
      </x:c>
      <x:c r="Y168" s="704" t="str">
        <x:f>IF(COUNTIF(R168:V168,"Belum Dinilai")&gt;0,"Belum Dinilai",IF(COUNTIF(R168:V168,"Ya")=0,"Tidak Ada Faktor Rentan",IF(COUNTIF(R168:V168,"Ya")=1,"1 Faktor Rentan","2 atau Lebih Faktor Rentan")))</x:f>
        <x:v>Belum Dinilai</x:v>
      </x:c>
      <x:c r="Z168" s="704" t="str">
        <x:f>IF(OR(Q168="",Q168="Belum Dinilai"),"",IF(Q168="Terverifikasi DTKS/P3KE/MBR",10,IF(Q168="Diusulkan, Belum Terverifikasi",5,0)))</x:f>
      </x:c>
      <x:c r="AA168" s="705" t="str">
        <x:f>IF(COUNTIF(R168:V168,"Belum Dinilai")&gt;0,"",IF(COUNTIF(R168:V168,"Ya")=0,0,IF(COUNTIF(R168:V168,"Ya")=1,5,10)))</x:f>
      </x:c>
      <x:c r="AB168" s="706" t="str">
        <x:f>IF(OR(Z168="",AA168=""),"",Z168+AA168)</x:f>
      </x:c>
      <x:c r="AC168" s="713" t="str">
        <x:v>Belum Dinilai</x:v>
      </x:c>
      <x:c r="AD168" s="713" t="str">
        <x:v>Belum Dinilai</x:v>
      </x:c>
      <x:c r="AE168" s="714" t="str">
        <x:v>Belum Dinilai</x:v>
      </x:c>
      <x:c r="AF168" s="713" t="str">
        <x:v>Belum Dinilai</x:v>
      </x:c>
      <x:c r="AG168" s="713" t="str">
        <x:v>Belum Dinilai</x:v>
      </x:c>
      <x:c r="AH168" s="715" t="str">
        <x:v>Belum Dinilai</x:v>
      </x:c>
      <x:c r="AI168" s="714" t="str">
        <x:v>Belum Dinilai</x:v>
      </x:c>
      <x:c r="AJ168" s="713" t="str">
        <x:v>Belum Dinilai</x:v>
      </x:c>
      <x:c r="AK168" s="715" t="str">
        <x:v>Belum Dinilai</x:v>
      </x:c>
      <x:c r="AL168" s="713" t="str"/>
      <x:c r="AM168" s="716" t="str">
        <x:v>Belum Dinilai</x:v>
      </x:c>
      <x:c r="AN168" s="716" t="str">
        <x:f>IF(AND(COUNTIF(AC168:AK168,"Ya")=0,AL168=""),IF(COUNTIF(AC168:AK168,"Belum Dinilai")&gt;0,"Belum Dinilai","Tidak ada risiko khusus"),TEXTJOIN(", ",TRUE,IF(AC168="Ya","Bangunan berpotensi roboh",""),IF(AD168="Ya","Bekas kebakaran dan tidak aman dihuni",""),IF(AE168="Ya","Atap atau dinding utama hampir runtuh",""),IF(AF168="Ya","Genangan yang membahayakan",""),IF(AG168="Ya","Struktur rumah tidak stabil",""),IF(AH168="Ya","Instalasi listrik berbahaya",""),IF(AI168="Ya","Komponen bangunan lepas atau lapuk",""),IF(AJ168="Ya","Akses keluar atau evakuasi terbatas",""),IF(AK168="Ya","Lokasi rawan bencana",""),IF(AL168&lt;&gt;"","Lainnya: "&amp;AL168,"")))</x:f>
        <x:v>Belum Dinilai</x:v>
      </x:c>
      <x:c r="AO168" s="716" t="str">
        <x:f>IF(AR168="","Belum Dinilai",IF(AR168=10,"Risiko Tinggi/Darurat",IF(AR168=5,"Risiko Sedang","Tidak Ada Risiko Khusus")))</x:f>
        <x:v>Belum Dinilai</x:v>
      </x:c>
      <x:c r="AP168" s="716" t="str"/>
      <x:c r="AQ168" s="719" t="str">
        <x:f>IF(OR(J168="",J168="Belum Dapat Ditentukan",L168="",L168="Belum Dinilai",N168="",N168="Belum Dinilai",P168="",P168="Belum Dinilai"),"",IF(J168="Permanen",0,IF(J168="Semipermanen",8,IF(J168="Nonpermanen",15,0)))+IF(L168="Baik",0,IF(L168="Rusak Ringan",5,IF(L168="Rusak Sedang",10,IF(L168="Rusak Berat",15,IF(L168="Tidak Ada/Terbuka",20,0)))))+IF(N168="Baik",0,IF(N168="Rusak Ringan",5,IF(N168="Rusak Sedang",10,IF(N168="Rusak Berat",15,IF(N168="Tidak Ada/Terbuka",20,0)))))+IF(P168="Baik",0,IF(P168="Rusak Ringan",4,IF(P168="Rusak Sedang",8,IF(P168="Rusak Berat",12,IF(P168="Tidak Layak",15,0))))))</x:f>
      </x:c>
      <x:c r="AR168" s="719" t="str">
        <x:f>IF(COUNTIF(AC168:AH168,"Ya")&gt;0,10,IF(COUNTIF(AI168:AK168,"Ya")&gt;=2,10,IF(COUNTIF(AI168:AK168,"Ya")=1,MAX(5,IF(AM168="Risiko Tinggi/Darurat",10,IF(AM168="Risiko Sedang",5,0))),IF(AL168&lt;&gt;"",IF(AM168="Risiko Tinggi/Darurat",10,IF(AM168="Risiko Sedang",5,"")),IF(COUNTIF(AC168:AK168,"Belum Dinilai")&gt;0,"",0)))))</x:f>
      </x:c>
      <x:c r="AS168" s="719" t="str">
        <x:f>IF(OR(AQ168="",AB168="",AR168=""),"",AQ168+AB168+AR168)</x:f>
      </x:c>
      <x:c r="AT168" s="719" t="str">
        <x:f>IF(AS168="","Belum Dapat Ditentukan",IF(AS168&gt;=80,"Sangat Tinggi",IF(OR(AO168="Risiko Tinggi/Darurat",(IF(L168="Rusak Berat",1,0)+IF(L168="Tidak Ada/Terbuka",1,0)+IF(N168="Rusak Berat",1,0)+IF(N168="Tidak Ada/Terbuka",1,0)+IF(P168="Rusak Berat",1,0)+IF(P168="Tidak Layak",1,0))&gt;=2),"Tinggi",IF(AS168&gt;=65,"Tinggi",IF(AS168&gt;=50,"Sedang","Rendah")))))</x:f>
        <x:v>Belum Dapat Ditentukan</x:v>
      </x:c>
      <x:c r="AU168" s="240" t="str">
        <x:v>Lengkap</x:v>
      </x:c>
      <x:c r="AV168" s="240" t="str">
        <x:v>Sudah Diverifikasi</x:v>
      </x:c>
      <x:c r="AW168" s="240" t="str">
        <x:v>Selesai</x:v>
      </x:c>
      <x:c r="AX168" s="240" t="str">
        <x:v>APBD Kota</x:v>
      </x:c>
      <x:c r="AY168" s="240" t="n">
        <x:v>2022</x:v>
      </x:c>
      <x:c r="AZ168" s="240" t="str">
        <x:v>Belum Diverifikasi</x:v>
      </x:c>
      <x:c r="BA168" s="240"/>
      <x:c r="BB168" s="240"/>
      <x:c r="BC168" s="240" t="n">
        <x:v>2026</x:v>
      </x:c>
      <x:c r="BD168" s="240" t="str">
        <x:v>Usulan Musrenbang/Pokir DPRD</x:v>
      </x:c>
      <x:c r="BE168" s="240" t="n">
        <x:v>46218</x:v>
      </x:c>
      <x:c r="BF168" s="240" t="str">
        <x:v>Dinas Perkim Kota Pangkalpinang</x:v>
      </x:c>
    </x:row>
    <x:row r="169" ht="32" customHeight="1">
      <x:c r="A169" s="314" t="str">
        <x:v>RTLH-0198</x:v>
      </x:c>
      <x:c r="B169" s="315" t="str">
        <x:v>BUCE DE QUALYU</x:v>
      </x:c>
      <x:c r="C169" s="316"/>
      <x:c r="D169" s="316"/>
      <x:c r="E169" s="315" t="str">
        <x:v>JL,LIONG BIEN NO.13 RT/RW 006/002</x:v>
      </x:c>
      <x:c r="F169" s="315" t="str">
        <x:v>MELINTANG</x:v>
      </x:c>
      <x:c r="G169" s="315" t="str">
        <x:v>RANGKUI</x:v>
      </x:c>
      <x:c r="H169" s="315" t="str">
        <x:v>Belum Ditentukan</x:v>
      </x:c>
      <x:c r="I169" s="317" t="str">
        <x:v>RUMAH FULL PAPAN, ATAP SENG, LANTAI FLOOR ( PERNAH MENGUNDURKAN DIRI TAHUN 2018)</x:v>
      </x:c>
      <x:c r="J169" s="315" t="str">
        <x:v>Nonpermanen</x:v>
      </x:c>
      <x:c r="K169" s="315" t="str">
        <x:v>Seng</x:v>
      </x:c>
      <x:c r="L169" s="315" t="str">
        <x:v>Belum Dinilai</x:v>
      </x:c>
      <x:c r="M169" s="367" t="str">
        <x:v>Papan/Kayu</x:v>
      </x:c>
      <x:c r="N169" s="315" t="str">
        <x:v>Belum Dinilai</x:v>
      </x:c>
      <x:c r="O169" s="316" t="str">
        <x:v>Semen/Plester</x:v>
      </x:c>
      <x:c r="P169" s="349" t="str">
        <x:v>Belum Dinilai</x:v>
      </x:c>
      <x:c r="Q169" s="707" t="str">
        <x:v>Belum Dinilai</x:v>
      </x:c>
      <x:c r="R169" s="707" t="str">
        <x:v>Belum Dinilai</x:v>
      </x:c>
      <x:c r="S169" s="708" t="str">
        <x:v>Belum Dinilai</x:v>
      </x:c>
      <x:c r="T169" s="709" t="str">
        <x:v>Belum Dinilai</x:v>
      </x:c>
      <x:c r="U169" s="704" t="str">
        <x:v>Belum Dinilai</x:v>
      </x:c>
      <x:c r="V169" s="704" t="str">
        <x:v>Belum Dinilai</x:v>
      </x:c>
      <x:c r="W169" s="704" t="str"/>
      <x:c r="X169" s="704" t="str">
        <x:f>IF(COUNTIF(R169:V169,"Belum Dinilai")&gt;0,"Belum Dinilai",IF(COUNTIF(R169:V169,"Ya")=0,"Tidak ada faktor rentan",TEXTJOIN(", ",TRUE,IF(R169="Ya","Lansia",""),IF(S169="Ya","Penyandang disabilitas",""),IF(T169="Ya","Kepala keluarga perempuan",""),IF(U169="Ya","Balita",""),IF(V169="Ya","Anggota keluarga dengan ketergantungan tinggi",""))))</x:f>
        <x:v>Belum Dinilai</x:v>
      </x:c>
      <x:c r="Y169" s="704" t="str">
        <x:f>IF(COUNTIF(R169:V169,"Belum Dinilai")&gt;0,"Belum Dinilai",IF(COUNTIF(R169:V169,"Ya")=0,"Tidak Ada Faktor Rentan",IF(COUNTIF(R169:V169,"Ya")=1,"1 Faktor Rentan","2 atau Lebih Faktor Rentan")))</x:f>
        <x:v>Belum Dinilai</x:v>
      </x:c>
      <x:c r="Z169" s="704" t="str">
        <x:f>IF(OR(Q169="",Q169="Belum Dinilai"),"",IF(Q169="Terverifikasi DTKS/P3KE/MBR",10,IF(Q169="Diusulkan, Belum Terverifikasi",5,0)))</x:f>
      </x:c>
      <x:c r="AA169" s="705" t="str">
        <x:f>IF(COUNTIF(R169:V169,"Belum Dinilai")&gt;0,"",IF(COUNTIF(R169:V169,"Ya")=0,0,IF(COUNTIF(R169:V169,"Ya")=1,5,10)))</x:f>
      </x:c>
      <x:c r="AB169" s="706" t="str">
        <x:f>IF(OR(Z169="",AA169=""),"",Z169+AA169)</x:f>
      </x:c>
      <x:c r="AC169" s="713" t="str">
        <x:v>Belum Dinilai</x:v>
      </x:c>
      <x:c r="AD169" s="713" t="str">
        <x:v>Belum Dinilai</x:v>
      </x:c>
      <x:c r="AE169" s="714" t="str">
        <x:v>Belum Dinilai</x:v>
      </x:c>
      <x:c r="AF169" s="713" t="str">
        <x:v>Belum Dinilai</x:v>
      </x:c>
      <x:c r="AG169" s="713" t="str">
        <x:v>Belum Dinilai</x:v>
      </x:c>
      <x:c r="AH169" s="715" t="str">
        <x:v>Belum Dinilai</x:v>
      </x:c>
      <x:c r="AI169" s="714" t="str">
        <x:v>Belum Dinilai</x:v>
      </x:c>
      <x:c r="AJ169" s="713" t="str">
        <x:v>Belum Dinilai</x:v>
      </x:c>
      <x:c r="AK169" s="715" t="str">
        <x:v>Belum Dinilai</x:v>
      </x:c>
      <x:c r="AL169" s="713" t="str"/>
      <x:c r="AM169" s="716" t="str">
        <x:v>Belum Dinilai</x:v>
      </x:c>
      <x:c r="AN169" s="716" t="str">
        <x:f>IF(AND(COUNTIF(AC169:AK169,"Ya")=0,AL169=""),IF(COUNTIF(AC169:AK169,"Belum Dinilai")&gt;0,"Belum Dinilai","Tidak ada risiko khusus"),TEXTJOIN(", ",TRUE,IF(AC169="Ya","Bangunan berpotensi roboh",""),IF(AD169="Ya","Bekas kebakaran dan tidak aman dihuni",""),IF(AE169="Ya","Atap atau dinding utama hampir runtuh",""),IF(AF169="Ya","Genangan yang membahayakan",""),IF(AG169="Ya","Struktur rumah tidak stabil",""),IF(AH169="Ya","Instalasi listrik berbahaya",""),IF(AI169="Ya","Komponen bangunan lepas atau lapuk",""),IF(AJ169="Ya","Akses keluar atau evakuasi terbatas",""),IF(AK169="Ya","Lokasi rawan bencana",""),IF(AL169&lt;&gt;"","Lainnya: "&amp;AL169,"")))</x:f>
        <x:v>Belum Dinilai</x:v>
      </x:c>
      <x:c r="AO169" s="716" t="str">
        <x:f>IF(AR169="","Belum Dinilai",IF(AR169=10,"Risiko Tinggi/Darurat",IF(AR169=5,"Risiko Sedang","Tidak Ada Risiko Khusus")))</x:f>
        <x:v>Belum Dinilai</x:v>
      </x:c>
      <x:c r="AP169" s="716" t="str"/>
      <x:c r="AQ169" s="719" t="str">
        <x:f>IF(OR(J169="",J169="Belum Dapat Ditentukan",L169="",L169="Belum Dinilai",N169="",N169="Belum Dinilai",P169="",P169="Belum Dinilai"),"",IF(J169="Permanen",0,IF(J169="Semipermanen",8,IF(J169="Nonpermanen",15,0)))+IF(L169="Baik",0,IF(L169="Rusak Ringan",5,IF(L169="Rusak Sedang",10,IF(L169="Rusak Berat",15,IF(L169="Tidak Ada/Terbuka",20,0)))))+IF(N169="Baik",0,IF(N169="Rusak Ringan",5,IF(N169="Rusak Sedang",10,IF(N169="Rusak Berat",15,IF(N169="Tidak Ada/Terbuka",20,0)))))+IF(P169="Baik",0,IF(P169="Rusak Ringan",4,IF(P169="Rusak Sedang",8,IF(P169="Rusak Berat",12,IF(P169="Tidak Layak",15,0))))))</x:f>
      </x:c>
      <x:c r="AR169" s="719" t="str">
        <x:f>IF(COUNTIF(AC169:AH169,"Ya")&gt;0,10,IF(COUNTIF(AI169:AK169,"Ya")&gt;=2,10,IF(COUNTIF(AI169:AK169,"Ya")=1,MAX(5,IF(AM169="Risiko Tinggi/Darurat",10,IF(AM169="Risiko Sedang",5,0))),IF(AL169&lt;&gt;"",IF(AM169="Risiko Tinggi/Darurat",10,IF(AM169="Risiko Sedang",5,"")),IF(COUNTIF(AC169:AK169,"Belum Dinilai")&gt;0,"",0)))))</x:f>
      </x:c>
      <x:c r="AS169" s="719" t="str">
        <x:f>IF(OR(AQ169="",AB169="",AR169=""),"",AQ169+AB169+AR169)</x:f>
      </x:c>
      <x:c r="AT169" s="719" t="str">
        <x:f>IF(AS169="","Belum Dapat Ditentukan",IF(AS169&gt;=80,"Sangat Tinggi",IF(OR(AO169="Risiko Tinggi/Darurat",(IF(L169="Rusak Berat",1,0)+IF(L169="Tidak Ada/Terbuka",1,0)+IF(N169="Rusak Berat",1,0)+IF(N169="Tidak Ada/Terbuka",1,0)+IF(P169="Rusak Berat",1,0)+IF(P169="Tidak Layak",1,0))&gt;=2),"Tinggi",IF(AS169&gt;=65,"Tinggi",IF(AS169&gt;=50,"Sedang","Rendah")))))</x:f>
        <x:v>Belum Dapat Ditentukan</x:v>
      </x:c>
      <x:c r="AU169" s="240" t="str">
        <x:v>Lengkap</x:v>
      </x:c>
      <x:c r="AV169" s="240" t="str">
        <x:v>Sudah Diverifikasi</x:v>
      </x:c>
      <x:c r="AW169" s="240" t="str">
        <x:v>Belum Ditangani</x:v>
      </x:c>
      <x:c r="AX169" s="240"/>
      <x:c r="AY169" s="240"/>
      <x:c r="AZ169" s="240" t="str">
        <x:v>Belum Diverifikasi</x:v>
      </x:c>
      <x:c r="BA169" s="240"/>
      <x:c r="BB169" s="240"/>
      <x:c r="BC169" s="240" t="n">
        <x:v>2026</x:v>
      </x:c>
      <x:c r="BD169" s="240" t="str">
        <x:v>Usulan Musrenbang/Pokir DPRD</x:v>
      </x:c>
      <x:c r="BE169" s="240" t="n">
        <x:v>46218</x:v>
      </x:c>
      <x:c r="BF169" s="240" t="str">
        <x:v>Dinas Perkim Kota Pangkalpinang</x:v>
      </x:c>
    </x:row>
    <x:row r="170" ht="32" customHeight="1">
      <x:c r="A170" s="314" t="str">
        <x:v>RTLH-0199</x:v>
      </x:c>
      <x:c r="B170" s="315" t="str">
        <x:v>NURSIAH</x:v>
      </x:c>
      <x:c r="C170" s="316"/>
      <x:c r="D170" s="316"/>
      <x:c r="E170" s="315" t="str">
        <x:v>JL.SOLIHIN GP NO,67</x:v>
      </x:c>
      <x:c r="F170" s="315" t="str">
        <x:v>MELINTANG</x:v>
      </x:c>
      <x:c r="G170" s="315" t="str">
        <x:v>RANGKUI</x:v>
      </x:c>
      <x:c r="H170" s="315" t="str">
        <x:v>Pembangunan Baru</x:v>
      </x:c>
      <x:c r="I170" s="317" t="str">
        <x:v>RUMAH BAGI DUA DENGAN SAUDARA, LANTAI FLOOR, DINDING PAPAN, ATAP SENG</x:v>
      </x:c>
      <x:c r="J170" s="315" t="str">
        <x:v>Nonpermanen</x:v>
      </x:c>
      <x:c r="K170" s="315" t="str">
        <x:v>Seng</x:v>
      </x:c>
      <x:c r="L170" s="315" t="str">
        <x:v>Belum Dinilai</x:v>
      </x:c>
      <x:c r="M170" s="367" t="str">
        <x:v>Papan/Kayu</x:v>
      </x:c>
      <x:c r="N170" s="315" t="str">
        <x:v>Belum Dinilai</x:v>
      </x:c>
      <x:c r="O170" s="316" t="str">
        <x:v>Semen/Plester</x:v>
      </x:c>
      <x:c r="P170" s="349" t="str">
        <x:v>Belum Dinilai</x:v>
      </x:c>
      <x:c r="Q170" s="707" t="str">
        <x:v>Belum Dinilai</x:v>
      </x:c>
      <x:c r="R170" s="707" t="str">
        <x:v>Belum Dinilai</x:v>
      </x:c>
      <x:c r="S170" s="708" t="str">
        <x:v>Belum Dinilai</x:v>
      </x:c>
      <x:c r="T170" s="709" t="str">
        <x:v>Belum Dinilai</x:v>
      </x:c>
      <x:c r="U170" s="704" t="str">
        <x:v>Belum Dinilai</x:v>
      </x:c>
      <x:c r="V170" s="704" t="str">
        <x:v>Belum Dinilai</x:v>
      </x:c>
      <x:c r="W170" s="704" t="str"/>
      <x:c r="X170" s="704" t="str">
        <x:f>IF(COUNTIF(R170:V170,"Belum Dinilai")&gt;0,"Belum Dinilai",IF(COUNTIF(R170:V170,"Ya")=0,"Tidak ada faktor rentan",TEXTJOIN(", ",TRUE,IF(R170="Ya","Lansia",""),IF(S170="Ya","Penyandang disabilitas",""),IF(T170="Ya","Kepala keluarga perempuan",""),IF(U170="Ya","Balita",""),IF(V170="Ya","Anggota keluarga dengan ketergantungan tinggi",""))))</x:f>
        <x:v>Belum Dinilai</x:v>
      </x:c>
      <x:c r="Y170" s="704" t="str">
        <x:f>IF(COUNTIF(R170:V170,"Belum Dinilai")&gt;0,"Belum Dinilai",IF(COUNTIF(R170:V170,"Ya")=0,"Tidak Ada Faktor Rentan",IF(COUNTIF(R170:V170,"Ya")=1,"1 Faktor Rentan","2 atau Lebih Faktor Rentan")))</x:f>
        <x:v>Belum Dinilai</x:v>
      </x:c>
      <x:c r="Z170" s="704" t="str">
        <x:f>IF(OR(Q170="",Q170="Belum Dinilai"),"",IF(Q170="Terverifikasi DTKS/P3KE/MBR",10,IF(Q170="Diusulkan, Belum Terverifikasi",5,0)))</x:f>
      </x:c>
      <x:c r="AA170" s="705" t="str">
        <x:f>IF(COUNTIF(R170:V170,"Belum Dinilai")&gt;0,"",IF(COUNTIF(R170:V170,"Ya")=0,0,IF(COUNTIF(R170:V170,"Ya")=1,5,10)))</x:f>
      </x:c>
      <x:c r="AB170" s="706" t="str">
        <x:f>IF(OR(Z170="",AA170=""),"",Z170+AA170)</x:f>
      </x:c>
      <x:c r="AC170" s="713" t="str">
        <x:v>Belum Dinilai</x:v>
      </x:c>
      <x:c r="AD170" s="713" t="str">
        <x:v>Belum Dinilai</x:v>
      </x:c>
      <x:c r="AE170" s="714" t="str">
        <x:v>Belum Dinilai</x:v>
      </x:c>
      <x:c r="AF170" s="713" t="str">
        <x:v>Belum Dinilai</x:v>
      </x:c>
      <x:c r="AG170" s="713" t="str">
        <x:v>Belum Dinilai</x:v>
      </x:c>
      <x:c r="AH170" s="715" t="str">
        <x:v>Belum Dinilai</x:v>
      </x:c>
      <x:c r="AI170" s="714" t="str">
        <x:v>Belum Dinilai</x:v>
      </x:c>
      <x:c r="AJ170" s="713" t="str">
        <x:v>Belum Dinilai</x:v>
      </x:c>
      <x:c r="AK170" s="715" t="str">
        <x:v>Belum Dinilai</x:v>
      </x:c>
      <x:c r="AL170" s="713" t="str"/>
      <x:c r="AM170" s="716" t="str">
        <x:v>Belum Dinilai</x:v>
      </x:c>
      <x:c r="AN170" s="716" t="str">
        <x:f>IF(AND(COUNTIF(AC170:AK170,"Ya")=0,AL170=""),IF(COUNTIF(AC170:AK170,"Belum Dinilai")&gt;0,"Belum Dinilai","Tidak ada risiko khusus"),TEXTJOIN(", ",TRUE,IF(AC170="Ya","Bangunan berpotensi roboh",""),IF(AD170="Ya","Bekas kebakaran dan tidak aman dihuni",""),IF(AE170="Ya","Atap atau dinding utama hampir runtuh",""),IF(AF170="Ya","Genangan yang membahayakan",""),IF(AG170="Ya","Struktur rumah tidak stabil",""),IF(AH170="Ya","Instalasi listrik berbahaya",""),IF(AI170="Ya","Komponen bangunan lepas atau lapuk",""),IF(AJ170="Ya","Akses keluar atau evakuasi terbatas",""),IF(AK170="Ya","Lokasi rawan bencana",""),IF(AL170&lt;&gt;"","Lainnya: "&amp;AL170,"")))</x:f>
        <x:v>Belum Dinilai</x:v>
      </x:c>
      <x:c r="AO170" s="716" t="str">
        <x:f>IF(AR170="","Belum Dinilai",IF(AR170=10,"Risiko Tinggi/Darurat",IF(AR170=5,"Risiko Sedang","Tidak Ada Risiko Khusus")))</x:f>
        <x:v>Belum Dinilai</x:v>
      </x:c>
      <x:c r="AP170" s="716" t="str"/>
      <x:c r="AQ170" s="719" t="str">
        <x:f>IF(OR(J170="",J170="Belum Dapat Ditentukan",L170="",L170="Belum Dinilai",N170="",N170="Belum Dinilai",P170="",P170="Belum Dinilai"),"",IF(J170="Permanen",0,IF(J170="Semipermanen",8,IF(J170="Nonpermanen",15,0)))+IF(L170="Baik",0,IF(L170="Rusak Ringan",5,IF(L170="Rusak Sedang",10,IF(L170="Rusak Berat",15,IF(L170="Tidak Ada/Terbuka",20,0)))))+IF(N170="Baik",0,IF(N170="Rusak Ringan",5,IF(N170="Rusak Sedang",10,IF(N170="Rusak Berat",15,IF(N170="Tidak Ada/Terbuka",20,0)))))+IF(P170="Baik",0,IF(P170="Rusak Ringan",4,IF(P170="Rusak Sedang",8,IF(P170="Rusak Berat",12,IF(P170="Tidak Layak",15,0))))))</x:f>
      </x:c>
      <x:c r="AR170" s="719" t="str">
        <x:f>IF(COUNTIF(AC170:AH170,"Ya")&gt;0,10,IF(COUNTIF(AI170:AK170,"Ya")&gt;=2,10,IF(COUNTIF(AI170:AK170,"Ya")=1,MAX(5,IF(AM170="Risiko Tinggi/Darurat",10,IF(AM170="Risiko Sedang",5,0))),IF(AL170&lt;&gt;"",IF(AM170="Risiko Tinggi/Darurat",10,IF(AM170="Risiko Sedang",5,"")),IF(COUNTIF(AC170:AK170,"Belum Dinilai")&gt;0,"",0)))))</x:f>
      </x:c>
      <x:c r="AS170" s="719" t="str">
        <x:f>IF(OR(AQ170="",AB170="",AR170=""),"",AQ170+AB170+AR170)</x:f>
      </x:c>
      <x:c r="AT170" s="719" t="str">
        <x:f>IF(AS170="","Belum Dapat Ditentukan",IF(AS170&gt;=80,"Sangat Tinggi",IF(OR(AO170="Risiko Tinggi/Darurat",(IF(L170="Rusak Berat",1,0)+IF(L170="Tidak Ada/Terbuka",1,0)+IF(N170="Rusak Berat",1,0)+IF(N170="Tidak Ada/Terbuka",1,0)+IF(P170="Rusak Berat",1,0)+IF(P170="Tidak Layak",1,0))&gt;=2),"Tinggi",IF(AS170&gt;=65,"Tinggi",IF(AS170&gt;=50,"Sedang","Rendah")))))</x:f>
        <x:v>Belum Dapat Ditentukan</x:v>
      </x:c>
      <x:c r="AU170" s="240" t="str">
        <x:v>Lengkap</x:v>
      </x:c>
      <x:c r="AV170" s="240" t="str">
        <x:v>Sudah Diverifikasi</x:v>
      </x:c>
      <x:c r="AW170" s="240" t="str">
        <x:v>Belum Ditangani</x:v>
      </x:c>
      <x:c r="AX170" s="240"/>
      <x:c r="AY170" s="240"/>
      <x:c r="AZ170" s="240" t="str">
        <x:v>Kepemilikan Keluarga</x:v>
      </x:c>
      <x:c r="BA170" s="240"/>
      <x:c r="BB170" s="240"/>
      <x:c r="BC170" s="240" t="n">
        <x:v>2026</x:v>
      </x:c>
      <x:c r="BD170" s="240" t="str">
        <x:v>Usulan Musrenbang/Pokir DPRD</x:v>
      </x:c>
      <x:c r="BE170" s="240" t="n">
        <x:v>46218</x:v>
      </x:c>
      <x:c r="BF170" s="240" t="str">
        <x:v>Dinas Perkim Kota Pangkalpinang</x:v>
      </x:c>
    </x:row>
    <x:row r="171" ht="32" customHeight="1">
      <x:c r="A171" s="314" t="str">
        <x:v>RTLH-0200</x:v>
      </x:c>
      <x:c r="B171" s="315" t="str">
        <x:v>ISKANDAR</x:v>
      </x:c>
      <x:c r="C171" s="316"/>
      <x:c r="D171" s="316"/>
      <x:c r="E171" s="315" t="str">
        <x:v>, JL,GIRIMAYA DALAM NO.31 RT/RW 005/001</x:v>
      </x:c>
      <x:c r="F171" s="315" t="str">
        <x:v>BUKIT BESAR</x:v>
      </x:c>
      <x:c r="G171" s="315" t="str">
        <x:v>GIRIMAYA</x:v>
      </x:c>
      <x:c r="H171" s="315" t="str">
        <x:v>Pembangunan Baru</x:v>
      </x:c>
      <x:c r="I171" s="317" t="str">
        <x:v>RUMAH SEMI PERMANEN, BAGIAN BELAKANG FULL PAPAN ( RUMAH BAGI DUA DENGAN SAUDARA)</x:v>
      </x:c>
      <x:c r="J171" s="315" t="str">
        <x:v>Semipermanen</x:v>
      </x:c>
      <x:c r="K171" s="315" t="str">
        <x:v>Belum Diidentifikasi</x:v>
      </x:c>
      <x:c r="L171" s="315" t="str">
        <x:v>Belum Dinilai</x:v>
      </x:c>
      <x:c r="M171" s="367" t="str">
        <x:v>Papan/Kayu</x:v>
      </x:c>
      <x:c r="N171" s="315" t="str">
        <x:v>Belum Dinilai</x:v>
      </x:c>
      <x:c r="O171" s="316" t="str">
        <x:v>Belum Diidentifikasi</x:v>
      </x:c>
      <x:c r="P171" s="349" t="str">
        <x:v>Belum Dinilai</x:v>
      </x:c>
      <x:c r="Q171" s="707" t="str">
        <x:v>Belum Dinilai</x:v>
      </x:c>
      <x:c r="R171" s="707" t="str">
        <x:v>Belum Dinilai</x:v>
      </x:c>
      <x:c r="S171" s="708" t="str">
        <x:v>Belum Dinilai</x:v>
      </x:c>
      <x:c r="T171" s="709" t="str">
        <x:v>Belum Dinilai</x:v>
      </x:c>
      <x:c r="U171" s="704" t="str">
        <x:v>Belum Dinilai</x:v>
      </x:c>
      <x:c r="V171" s="704" t="str">
        <x:v>Belum Dinilai</x:v>
      </x:c>
      <x:c r="W171" s="704" t="str"/>
      <x:c r="X171" s="704" t="str">
        <x:f>IF(COUNTIF(R171:V171,"Belum Dinilai")&gt;0,"Belum Dinilai",IF(COUNTIF(R171:V171,"Ya")=0,"Tidak ada faktor rentan",TEXTJOIN(", ",TRUE,IF(R171="Ya","Lansia",""),IF(S171="Ya","Penyandang disabilitas",""),IF(T171="Ya","Kepala keluarga perempuan",""),IF(U171="Ya","Balita",""),IF(V171="Ya","Anggota keluarga dengan ketergantungan tinggi",""))))</x:f>
        <x:v>Belum Dinilai</x:v>
      </x:c>
      <x:c r="Y171" s="704" t="str">
        <x:f>IF(COUNTIF(R171:V171,"Belum Dinilai")&gt;0,"Belum Dinilai",IF(COUNTIF(R171:V171,"Ya")=0,"Tidak Ada Faktor Rentan",IF(COUNTIF(R171:V171,"Ya")=1,"1 Faktor Rentan","2 atau Lebih Faktor Rentan")))</x:f>
        <x:v>Belum Dinilai</x:v>
      </x:c>
      <x:c r="Z171" s="704" t="str">
        <x:f>IF(OR(Q171="",Q171="Belum Dinilai"),"",IF(Q171="Terverifikasi DTKS/P3KE/MBR",10,IF(Q171="Diusulkan, Belum Terverifikasi",5,0)))</x:f>
      </x:c>
      <x:c r="AA171" s="705" t="str">
        <x:f>IF(COUNTIF(R171:V171,"Belum Dinilai")&gt;0,"",IF(COUNTIF(R171:V171,"Ya")=0,0,IF(COUNTIF(R171:V171,"Ya")=1,5,10)))</x:f>
      </x:c>
      <x:c r="AB171" s="706" t="str">
        <x:f>IF(OR(Z171="",AA171=""),"",Z171+AA171)</x:f>
      </x:c>
      <x:c r="AC171" s="713" t="str">
        <x:v>Belum Dinilai</x:v>
      </x:c>
      <x:c r="AD171" s="713" t="str">
        <x:v>Belum Dinilai</x:v>
      </x:c>
      <x:c r="AE171" s="714" t="str">
        <x:v>Belum Dinilai</x:v>
      </x:c>
      <x:c r="AF171" s="713" t="str">
        <x:v>Belum Dinilai</x:v>
      </x:c>
      <x:c r="AG171" s="713" t="str">
        <x:v>Belum Dinilai</x:v>
      </x:c>
      <x:c r="AH171" s="715" t="str">
        <x:v>Belum Dinilai</x:v>
      </x:c>
      <x:c r="AI171" s="714" t="str">
        <x:v>Belum Dinilai</x:v>
      </x:c>
      <x:c r="AJ171" s="713" t="str">
        <x:v>Belum Dinilai</x:v>
      </x:c>
      <x:c r="AK171" s="715" t="str">
        <x:v>Belum Dinilai</x:v>
      </x:c>
      <x:c r="AL171" s="713" t="str"/>
      <x:c r="AM171" s="716" t="str">
        <x:v>Belum Dinilai</x:v>
      </x:c>
      <x:c r="AN171" s="716" t="str">
        <x:f>IF(AND(COUNTIF(AC171:AK171,"Ya")=0,AL171=""),IF(COUNTIF(AC171:AK171,"Belum Dinilai")&gt;0,"Belum Dinilai","Tidak ada risiko khusus"),TEXTJOIN(", ",TRUE,IF(AC171="Ya","Bangunan berpotensi roboh",""),IF(AD171="Ya","Bekas kebakaran dan tidak aman dihuni",""),IF(AE171="Ya","Atap atau dinding utama hampir runtuh",""),IF(AF171="Ya","Genangan yang membahayakan",""),IF(AG171="Ya","Struktur rumah tidak stabil",""),IF(AH171="Ya","Instalasi listrik berbahaya",""),IF(AI171="Ya","Komponen bangunan lepas atau lapuk",""),IF(AJ171="Ya","Akses keluar atau evakuasi terbatas",""),IF(AK171="Ya","Lokasi rawan bencana",""),IF(AL171&lt;&gt;"","Lainnya: "&amp;AL171,"")))</x:f>
        <x:v>Belum Dinilai</x:v>
      </x:c>
      <x:c r="AO171" s="716" t="str">
        <x:f>IF(AR171="","Belum Dinilai",IF(AR171=10,"Risiko Tinggi/Darurat",IF(AR171=5,"Risiko Sedang","Tidak Ada Risiko Khusus")))</x:f>
        <x:v>Belum Dinilai</x:v>
      </x:c>
      <x:c r="AP171" s="716" t="str"/>
      <x:c r="AQ171" s="719" t="str">
        <x:f>IF(OR(J171="",J171="Belum Dapat Ditentukan",L171="",L171="Belum Dinilai",N171="",N171="Belum Dinilai",P171="",P171="Belum Dinilai"),"",IF(J171="Permanen",0,IF(J171="Semipermanen",8,IF(J171="Nonpermanen",15,0)))+IF(L171="Baik",0,IF(L171="Rusak Ringan",5,IF(L171="Rusak Sedang",10,IF(L171="Rusak Berat",15,IF(L171="Tidak Ada/Terbuka",20,0)))))+IF(N171="Baik",0,IF(N171="Rusak Ringan",5,IF(N171="Rusak Sedang",10,IF(N171="Rusak Berat",15,IF(N171="Tidak Ada/Terbuka",20,0)))))+IF(P171="Baik",0,IF(P171="Rusak Ringan",4,IF(P171="Rusak Sedang",8,IF(P171="Rusak Berat",12,IF(P171="Tidak Layak",15,0))))))</x:f>
      </x:c>
      <x:c r="AR171" s="719" t="str">
        <x:f>IF(COUNTIF(AC171:AH171,"Ya")&gt;0,10,IF(COUNTIF(AI171:AK171,"Ya")&gt;=2,10,IF(COUNTIF(AI171:AK171,"Ya")=1,MAX(5,IF(AM171="Risiko Tinggi/Darurat",10,IF(AM171="Risiko Sedang",5,0))),IF(AL171&lt;&gt;"",IF(AM171="Risiko Tinggi/Darurat",10,IF(AM171="Risiko Sedang",5,"")),IF(COUNTIF(AC171:AK171,"Belum Dinilai")&gt;0,"",0)))))</x:f>
      </x:c>
      <x:c r="AS171" s="719" t="str">
        <x:f>IF(OR(AQ171="",AB171="",AR171=""),"",AQ171+AB171+AR171)</x:f>
      </x:c>
      <x:c r="AT171" s="719" t="str">
        <x:f>IF(AS171="","Belum Dapat Ditentukan",IF(AS171&gt;=80,"Sangat Tinggi",IF(OR(AO171="Risiko Tinggi/Darurat",(IF(L171="Rusak Berat",1,0)+IF(L171="Tidak Ada/Terbuka",1,0)+IF(N171="Rusak Berat",1,0)+IF(N171="Tidak Ada/Terbuka",1,0)+IF(P171="Rusak Berat",1,0)+IF(P171="Tidak Layak",1,0))&gt;=2),"Tinggi",IF(AS171&gt;=65,"Tinggi",IF(AS171&gt;=50,"Sedang","Rendah")))))</x:f>
        <x:v>Belum Dapat Ditentukan</x:v>
      </x:c>
      <x:c r="AU171" s="240" t="str">
        <x:v>Lengkap</x:v>
      </x:c>
      <x:c r="AV171" s="240" t="str">
        <x:v>Sudah Diverifikasi</x:v>
      </x:c>
      <x:c r="AW171" s="240" t="str">
        <x:v>Belum Ditangani</x:v>
      </x:c>
      <x:c r="AX171" s="240"/>
      <x:c r="AY171" s="240"/>
      <x:c r="AZ171" s="240" t="str">
        <x:v>Kepemilikan Keluarga</x:v>
      </x:c>
      <x:c r="BA171" s="240"/>
      <x:c r="BB171" s="240"/>
      <x:c r="BC171" s="240" t="n">
        <x:v>2026</x:v>
      </x:c>
      <x:c r="BD171" s="240" t="str">
        <x:v>Usulan Musrenbang/Pokir DPRD</x:v>
      </x:c>
      <x:c r="BE171" s="240" t="n">
        <x:v>46218</x:v>
      </x:c>
      <x:c r="BF171" s="240" t="str">
        <x:v>Dinas Perkim Kota Pangkalpinang</x:v>
      </x:c>
    </x:row>
    <x:row r="172" ht="32" customHeight="1">
      <x:c r="A172" s="314"/>
      <x:c r="B172" s="315"/>
      <x:c r="C172" s="316"/>
      <x:c r="D172" s="316"/>
      <x:c r="E172" s="315"/>
      <x:c r="F172" s="315"/>
      <x:c r="G172" s="315"/>
      <x:c r="H172" s="315"/>
      <x:c r="I172" s="317"/>
      <x:c r="J172" s="315"/>
      <x:c r="K172" s="315"/>
      <x:c r="L172" s="315"/>
      <x:c r="M172" s="367"/>
      <x:c r="N172" s="315"/>
      <x:c r="O172" s="316"/>
      <x:c r="P172" s="349"/>
      <x:c r="Q172" s="707"/>
      <x:c r="R172" s="707"/>
      <x:c r="S172" s="708"/>
      <x:c r="T172" s="709"/>
      <x:c r="U172" s="704"/>
      <x:c r="V172" s="704"/>
      <x:c r="W172" s="704"/>
      <x:c r="X172" s="704" t="str">
        <x:f>IF(COUNTIF(R172:V172,"Belum Dinilai")&gt;0,"Belum Dinilai",IF(COUNTIF(R172:V172,"Ya")=0,"Tidak ada faktor rentan",TEXTJOIN(", ",TRUE,IF(R172="Ya","Lansia",""),IF(S172="Ya","Penyandang disabilitas",""),IF(T172="Ya","Kepala keluarga perempuan",""),IF(U172="Ya","Balita",""),IF(V172="Ya","Anggota keluarga dengan ketergantungan tinggi",""))))</x:f>
        <x:v>Tidak ada faktor rentan</x:v>
      </x:c>
      <x:c r="Y172" s="704" t="str">
        <x:f>IF(COUNTIF(R172:V172,"Belum Dinilai")&gt;0,"Belum Dinilai",IF(COUNTIF(R172:V172,"Ya")=0,"Tidak Ada Faktor Rentan",IF(COUNTIF(R172:V172,"Ya")=1,"1 Faktor Rentan","2 atau Lebih Faktor Rentan")))</x:f>
        <x:v>Tidak Ada Faktor Rentan</x:v>
      </x:c>
      <x:c r="Z172" s="704" t="str">
        <x:f>IF(OR(Q172="",Q172="Belum Dinilai"),"",IF(Q172="Terverifikasi DTKS/P3KE/MBR",10,IF(Q172="Diusulkan, Belum Terverifikasi",5,0)))</x:f>
      </x:c>
      <x:c r="AA172" s="705" t="n">
        <x:f>IF(COUNTIF(R172:V172,"Belum Dinilai")&gt;0,"",IF(COUNTIF(R172:V172,"Ya")=0,0,IF(COUNTIF(R172:V172,"Ya")=1,5,10)))</x:f>
        <x:v>0</x:v>
      </x:c>
      <x:c r="AB172" s="706" t="str">
        <x:f>IF(OR(Z172="",AA172=""),"",Z172+AA172)</x:f>
      </x:c>
      <x:c r="AC172" s="713"/>
      <x:c r="AD172" s="713"/>
      <x:c r="AE172" s="714"/>
      <x:c r="AF172" s="713"/>
      <x:c r="AG172" s="713"/>
      <x:c r="AH172" s="715"/>
      <x:c r="AI172" s="714"/>
      <x:c r="AJ172" s="713"/>
      <x:c r="AK172" s="715"/>
      <x:c r="AL172" s="713"/>
      <x:c r="AM172" s="716"/>
      <x:c r="AN172" s="716" t="str">
        <x:f>IF(AND(COUNTIF(AC172:AK172,"Ya")=0,AL172=""),IF(COUNTIF(AC172:AK172,"Belum Dinilai")&gt;0,"Belum Dinilai","Tidak ada risiko khusus"),TEXTJOIN(", ",TRUE,IF(AC172="Ya","Bangunan berpotensi roboh",""),IF(AD172="Ya","Bekas kebakaran dan tidak aman dihuni",""),IF(AE172="Ya","Atap atau dinding utama hampir runtuh",""),IF(AF172="Ya","Genangan yang membahayakan",""),IF(AG172="Ya","Struktur rumah tidak stabil",""),IF(AH172="Ya","Instalasi listrik berbahaya",""),IF(AI172="Ya","Komponen bangunan lepas atau lapuk",""),IF(AJ172="Ya","Akses keluar atau evakuasi terbatas",""),IF(AK172="Ya","Lokasi rawan bencana",""),IF(AL172&lt;&gt;"","Lainnya: "&amp;AL172,"")))</x:f>
        <x:v>Tidak ada risiko khusus</x:v>
      </x:c>
      <x:c r="AO172" s="716" t="str">
        <x:f>IF(AR172="","Belum Dinilai",IF(AR172=10,"Risiko Tinggi/Darurat",IF(AR172=5,"Risiko Sedang","Tidak Ada Risiko Khusus")))</x:f>
        <x:v>Belum Dinilai</x:v>
      </x:c>
      <x:c r="AP172" s="716"/>
      <x:c r="AQ172" s="719" t="str">
        <x:f>IF(OR(J172="",J172="Belum Dapat Ditentukan",L172="",L172="Belum Dinilai",N172="",N172="Belum Dinilai",P172="",P172="Belum Dinilai"),"",IF(J172="Permanen",0,IF(J172="Semipermanen",8,IF(J172="Nonpermanen",15,0)))+IF(L172="Baik",0,IF(L172="Rusak Ringan",5,IF(L172="Rusak Sedang",10,IF(L172="Rusak Berat",15,IF(L172="Tidak Ada/Terbuka",20,0)))))+IF(N172="Baik",0,IF(N172="Rusak Ringan",5,IF(N172="Rusak Sedang",10,IF(N172="Rusak Berat",15,IF(N172="Tidak Ada/Terbuka",20,0)))))+IF(P172="Baik",0,IF(P172="Rusak Ringan",4,IF(P172="Rusak Sedang",8,IF(P172="Rusak Berat",12,IF(P172="Tidak Layak",15,0))))))</x:f>
      </x:c>
      <x:c r="AR172" s="719" t="n">
        <x:f>IF(COUNTIF(AC172:AH172,"Ya")&gt;0,10,IF(COUNTIF(AI172:AK172,"Ya")&gt;=2,10,IF(COUNTIF(AI172:AK172,"Ya")=1,MAX(5,IF(AM172="Risiko Tinggi/Darurat",10,IF(AM172="Risiko Sedang",5,0))),IF(AL172&lt;&gt;"",IF(AM172="Risiko Tinggi/Darurat",10,IF(AM172="Risiko Sedang",5,"")),IF(COUNTIF(AC172:AK172,"Belum Dinilai")&gt;0,"",0)))))</x:f>
        <x:v>0</x:v>
      </x:c>
      <x:c r="AS172" s="719" t="str">
        <x:f>IF(OR(AQ172="",AB172="",AR172=""),"",AQ172+AB172+AR172)</x:f>
      </x:c>
      <x:c r="AT172" s="719" t="str">
        <x:f>IF(AS172="","Belum Dapat Ditentukan",IF(AS172&gt;=80,"Sangat Tinggi",IF(OR(AO172="Risiko Tinggi/Darurat",(IF(L172="Rusak Berat",1,0)+IF(L172="Tidak Ada/Terbuka",1,0)+IF(N172="Rusak Berat",1,0)+IF(N172="Tidak Ada/Terbuka",1,0)+IF(P172="Rusak Berat",1,0)+IF(P172="Tidak Layak",1,0))&gt;=2),"Tinggi",IF(AS172&gt;=65,"Tinggi",IF(AS172&gt;=50,"Sedang","Rendah")))))</x:f>
        <x:v>Belum Dapat Ditentukan</x:v>
      </x:c>
      <x:c r="AU172" s="240"/>
      <x:c r="AV172" s="240"/>
      <x:c r="AW172" s="240"/>
      <x:c r="AX172" s="240"/>
      <x:c r="AY172" s="240"/>
      <x:c r="AZ172" s="240"/>
      <x:c r="BA172" s="240"/>
      <x:c r="BB172" s="240"/>
      <x:c r="BC172" s="240"/>
      <x:c r="BD172" s="240"/>
      <x:c r="BE172" s="240"/>
      <x:c r="BF172" s="240"/>
    </x:row>
    <x:row r="173" ht="32" customHeight="1">
      <x:c r="A173" s="314"/>
      <x:c r="B173" s="315"/>
      <x:c r="C173" s="316"/>
      <x:c r="D173" s="316"/>
      <x:c r="E173" s="315"/>
      <x:c r="F173" s="315"/>
      <x:c r="G173" s="315"/>
      <x:c r="H173" s="315"/>
      <x:c r="I173" s="317"/>
      <x:c r="J173" s="315"/>
      <x:c r="K173" s="315"/>
      <x:c r="L173" s="315"/>
      <x:c r="M173" s="367"/>
      <x:c r="N173" s="315"/>
      <x:c r="O173" s="316"/>
      <x:c r="P173" s="349"/>
      <x:c r="Q173" s="707"/>
      <x:c r="R173" s="707"/>
      <x:c r="S173" s="708"/>
      <x:c r="T173" s="709"/>
      <x:c r="U173" s="704"/>
      <x:c r="V173" s="704"/>
      <x:c r="W173" s="704"/>
      <x:c r="X173" s="704" t="str">
        <x:f>IF(COUNTIF(R173:V173,"Belum Dinilai")&gt;0,"Belum Dinilai",IF(COUNTIF(R173:V173,"Ya")=0,"Tidak ada faktor rentan",TEXTJOIN(", ",TRUE,IF(R173="Ya","Lansia",""),IF(S173="Ya","Penyandang disabilitas",""),IF(T173="Ya","Kepala keluarga perempuan",""),IF(U173="Ya","Balita",""),IF(V173="Ya","Anggota keluarga dengan ketergantungan tinggi",""))))</x:f>
        <x:v>Tidak ada faktor rentan</x:v>
      </x:c>
      <x:c r="Y173" s="704" t="str">
        <x:f>IF(COUNTIF(R173:V173,"Belum Dinilai")&gt;0,"Belum Dinilai",IF(COUNTIF(R173:V173,"Ya")=0,"Tidak Ada Faktor Rentan",IF(COUNTIF(R173:V173,"Ya")=1,"1 Faktor Rentan","2 atau Lebih Faktor Rentan")))</x:f>
        <x:v>Tidak Ada Faktor Rentan</x:v>
      </x:c>
      <x:c r="Z173" s="704" t="str">
        <x:f>IF(OR(Q173="",Q173="Belum Dinilai"),"",IF(Q173="Terverifikasi DTKS/P3KE/MBR",10,IF(Q173="Diusulkan, Belum Terverifikasi",5,0)))</x:f>
      </x:c>
      <x:c r="AA173" s="705" t="n">
        <x:f>IF(COUNTIF(R173:V173,"Belum Dinilai")&gt;0,"",IF(COUNTIF(R173:V173,"Ya")=0,0,IF(COUNTIF(R173:V173,"Ya")=1,5,10)))</x:f>
        <x:v>0</x:v>
      </x:c>
      <x:c r="AB173" s="706" t="str">
        <x:f>IF(OR(Z173="",AA173=""),"",Z173+AA173)</x:f>
      </x:c>
      <x:c r="AC173" s="713"/>
      <x:c r="AD173" s="713"/>
      <x:c r="AE173" s="714"/>
      <x:c r="AF173" s="713"/>
      <x:c r="AG173" s="713"/>
      <x:c r="AH173" s="715"/>
      <x:c r="AI173" s="714"/>
      <x:c r="AJ173" s="713"/>
      <x:c r="AK173" s="715"/>
      <x:c r="AL173" s="713"/>
      <x:c r="AM173" s="716"/>
      <x:c r="AN173" s="716" t="str">
        <x:f>IF(AND(COUNTIF(AC173:AK173,"Ya")=0,AL173=""),IF(COUNTIF(AC173:AK173,"Belum Dinilai")&gt;0,"Belum Dinilai","Tidak ada risiko khusus"),TEXTJOIN(", ",TRUE,IF(AC173="Ya","Bangunan berpotensi roboh",""),IF(AD173="Ya","Bekas kebakaran dan tidak aman dihuni",""),IF(AE173="Ya","Atap atau dinding utama hampir runtuh",""),IF(AF173="Ya","Genangan yang membahayakan",""),IF(AG173="Ya","Struktur rumah tidak stabil",""),IF(AH173="Ya","Instalasi listrik berbahaya",""),IF(AI173="Ya","Komponen bangunan lepas atau lapuk",""),IF(AJ173="Ya","Akses keluar atau evakuasi terbatas",""),IF(AK173="Ya","Lokasi rawan bencana",""),IF(AL173&lt;&gt;"","Lainnya: "&amp;AL173,"")))</x:f>
        <x:v>Tidak ada risiko khusus</x:v>
      </x:c>
      <x:c r="AO173" s="716" t="str">
        <x:f>IF(AR173="","Belum Dinilai",IF(AR173=10,"Risiko Tinggi/Darurat",IF(AR173=5,"Risiko Sedang","Tidak Ada Risiko Khusus")))</x:f>
        <x:v>Belum Dinilai</x:v>
      </x:c>
      <x:c r="AP173" s="716"/>
      <x:c r="AQ173" s="719" t="str">
        <x:f>IF(OR(J173="",J173="Belum Dapat Ditentukan",L173="",L173="Belum Dinilai",N173="",N173="Belum Dinilai",P173="",P173="Belum Dinilai"),"",IF(J173="Permanen",0,IF(J173="Semipermanen",8,IF(J173="Nonpermanen",15,0)))+IF(L173="Baik",0,IF(L173="Rusak Ringan",5,IF(L173="Rusak Sedang",10,IF(L173="Rusak Berat",15,IF(L173="Tidak Ada/Terbuka",20,0)))))+IF(N173="Baik",0,IF(N173="Rusak Ringan",5,IF(N173="Rusak Sedang",10,IF(N173="Rusak Berat",15,IF(N173="Tidak Ada/Terbuka",20,0)))))+IF(P173="Baik",0,IF(P173="Rusak Ringan",4,IF(P173="Rusak Sedang",8,IF(P173="Rusak Berat",12,IF(P173="Tidak Layak",15,0))))))</x:f>
      </x:c>
      <x:c r="AR173" s="719" t="n">
        <x:f>IF(COUNTIF(AC173:AH173,"Ya")&gt;0,10,IF(COUNTIF(AI173:AK173,"Ya")&gt;=2,10,IF(COUNTIF(AI173:AK173,"Ya")=1,MAX(5,IF(AM173="Risiko Tinggi/Darurat",10,IF(AM173="Risiko Sedang",5,0))),IF(AL173&lt;&gt;"",IF(AM173="Risiko Tinggi/Darurat",10,IF(AM173="Risiko Sedang",5,"")),IF(COUNTIF(AC173:AK173,"Belum Dinilai")&gt;0,"",0)))))</x:f>
        <x:v>0</x:v>
      </x:c>
      <x:c r="AS173" s="719" t="str">
        <x:f>IF(OR(AQ173="",AB173="",AR173=""),"",AQ173+AB173+AR173)</x:f>
      </x:c>
      <x:c r="AT173" s="719" t="str">
        <x:f>IF(AS173="","Belum Dapat Ditentukan",IF(AS173&gt;=80,"Sangat Tinggi",IF(OR(AO173="Risiko Tinggi/Darurat",(IF(L173="Rusak Berat",1,0)+IF(L173="Tidak Ada/Terbuka",1,0)+IF(N173="Rusak Berat",1,0)+IF(N173="Tidak Ada/Terbuka",1,0)+IF(P173="Rusak Berat",1,0)+IF(P173="Tidak Layak",1,0))&gt;=2),"Tinggi",IF(AS173&gt;=65,"Tinggi",IF(AS173&gt;=50,"Sedang","Rendah")))))</x:f>
        <x:v>Belum Dapat Ditentukan</x:v>
      </x:c>
      <x:c r="AU173" s="240"/>
      <x:c r="AV173" s="240"/>
      <x:c r="AW173" s="240"/>
      <x:c r="AX173" s="240"/>
      <x:c r="AY173" s="240"/>
      <x:c r="AZ173" s="240"/>
      <x:c r="BA173" s="240"/>
      <x:c r="BB173" s="240"/>
      <x:c r="BC173" s="240"/>
      <x:c r="BD173" s="240"/>
      <x:c r="BE173" s="240"/>
      <x:c r="BF173" s="240"/>
    </x:row>
    <x:row r="174" ht="32" customHeight="1">
      <x:c r="A174" s="314"/>
      <x:c r="B174" s="315"/>
      <x:c r="C174" s="316"/>
      <x:c r="D174" s="316"/>
      <x:c r="E174" s="315"/>
      <x:c r="F174" s="315"/>
      <x:c r="G174" s="315"/>
      <x:c r="H174" s="315"/>
      <x:c r="I174" s="317"/>
      <x:c r="J174" s="315"/>
      <x:c r="K174" s="315"/>
      <x:c r="L174" s="315"/>
      <x:c r="M174" s="367"/>
      <x:c r="N174" s="315"/>
      <x:c r="O174" s="316"/>
      <x:c r="P174" s="349"/>
      <x:c r="Q174" s="707"/>
      <x:c r="R174" s="707"/>
      <x:c r="S174" s="708"/>
      <x:c r="T174" s="709"/>
      <x:c r="U174" s="704"/>
      <x:c r="V174" s="704"/>
      <x:c r="W174" s="704"/>
      <x:c r="X174" s="704" t="str">
        <x:f>IF(COUNTIF(R174:V174,"Belum Dinilai")&gt;0,"Belum Dinilai",IF(COUNTIF(R174:V174,"Ya")=0,"Tidak ada faktor rentan",TEXTJOIN(", ",TRUE,IF(R174="Ya","Lansia",""),IF(S174="Ya","Penyandang disabilitas",""),IF(T174="Ya","Kepala keluarga perempuan",""),IF(U174="Ya","Balita",""),IF(V174="Ya","Anggota keluarga dengan ketergantungan tinggi",""))))</x:f>
        <x:v>Tidak ada faktor rentan</x:v>
      </x:c>
      <x:c r="Y174" s="704" t="str">
        <x:f>IF(COUNTIF(R174:V174,"Belum Dinilai")&gt;0,"Belum Dinilai",IF(COUNTIF(R174:V174,"Ya")=0,"Tidak Ada Faktor Rentan",IF(COUNTIF(R174:V174,"Ya")=1,"1 Faktor Rentan","2 atau Lebih Faktor Rentan")))</x:f>
        <x:v>Tidak Ada Faktor Rentan</x:v>
      </x:c>
      <x:c r="Z174" s="704" t="str">
        <x:f>IF(OR(Q174="",Q174="Belum Dinilai"),"",IF(Q174="Terverifikasi DTKS/P3KE/MBR",10,IF(Q174="Diusulkan, Belum Terverifikasi",5,0)))</x:f>
      </x:c>
      <x:c r="AA174" s="705" t="n">
        <x:f>IF(COUNTIF(R174:V174,"Belum Dinilai")&gt;0,"",IF(COUNTIF(R174:V174,"Ya")=0,0,IF(COUNTIF(R174:V174,"Ya")=1,5,10)))</x:f>
        <x:v>0</x:v>
      </x:c>
      <x:c r="AB174" s="706" t="str">
        <x:f>IF(OR(Z174="",AA174=""),"",Z174+AA174)</x:f>
      </x:c>
      <x:c r="AC174" s="713"/>
      <x:c r="AD174" s="713"/>
      <x:c r="AE174" s="714"/>
      <x:c r="AF174" s="713"/>
      <x:c r="AG174" s="713"/>
      <x:c r="AH174" s="715"/>
      <x:c r="AI174" s="714"/>
      <x:c r="AJ174" s="713"/>
      <x:c r="AK174" s="715"/>
      <x:c r="AL174" s="713"/>
      <x:c r="AM174" s="716"/>
      <x:c r="AN174" s="716" t="str">
        <x:f>IF(AND(COUNTIF(AC174:AK174,"Ya")=0,AL174=""),IF(COUNTIF(AC174:AK174,"Belum Dinilai")&gt;0,"Belum Dinilai","Tidak ada risiko khusus"),TEXTJOIN(", ",TRUE,IF(AC174="Ya","Bangunan berpotensi roboh",""),IF(AD174="Ya","Bekas kebakaran dan tidak aman dihuni",""),IF(AE174="Ya","Atap atau dinding utama hampir runtuh",""),IF(AF174="Ya","Genangan yang membahayakan",""),IF(AG174="Ya","Struktur rumah tidak stabil",""),IF(AH174="Ya","Instalasi listrik berbahaya",""),IF(AI174="Ya","Komponen bangunan lepas atau lapuk",""),IF(AJ174="Ya","Akses keluar atau evakuasi terbatas",""),IF(AK174="Ya","Lokasi rawan bencana",""),IF(AL174&lt;&gt;"","Lainnya: "&amp;AL174,"")))</x:f>
        <x:v>Tidak ada risiko khusus</x:v>
      </x:c>
      <x:c r="AO174" s="716" t="str">
        <x:f>IF(AR174="","Belum Dinilai",IF(AR174=10,"Risiko Tinggi/Darurat",IF(AR174=5,"Risiko Sedang","Tidak Ada Risiko Khusus")))</x:f>
        <x:v>Belum Dinilai</x:v>
      </x:c>
      <x:c r="AP174" s="716"/>
      <x:c r="AQ174" s="719" t="str">
        <x:f>IF(OR(J174="",J174="Belum Dapat Ditentukan",L174="",L174="Belum Dinilai",N174="",N174="Belum Dinilai",P174="",P174="Belum Dinilai"),"",IF(J174="Permanen",0,IF(J174="Semipermanen",8,IF(J174="Nonpermanen",15,0)))+IF(L174="Baik",0,IF(L174="Rusak Ringan",5,IF(L174="Rusak Sedang",10,IF(L174="Rusak Berat",15,IF(L174="Tidak Ada/Terbuka",20,0)))))+IF(N174="Baik",0,IF(N174="Rusak Ringan",5,IF(N174="Rusak Sedang",10,IF(N174="Rusak Berat",15,IF(N174="Tidak Ada/Terbuka",20,0)))))+IF(P174="Baik",0,IF(P174="Rusak Ringan",4,IF(P174="Rusak Sedang",8,IF(P174="Rusak Berat",12,IF(P174="Tidak Layak",15,0))))))</x:f>
      </x:c>
      <x:c r="AR174" s="719" t="n">
        <x:f>IF(COUNTIF(AC174:AH174,"Ya")&gt;0,10,IF(COUNTIF(AI174:AK174,"Ya")&gt;=2,10,IF(COUNTIF(AI174:AK174,"Ya")=1,MAX(5,IF(AM174="Risiko Tinggi/Darurat",10,IF(AM174="Risiko Sedang",5,0))),IF(AL174&lt;&gt;"",IF(AM174="Risiko Tinggi/Darurat",10,IF(AM174="Risiko Sedang",5,"")),IF(COUNTIF(AC174:AK174,"Belum Dinilai")&gt;0,"",0)))))</x:f>
        <x:v>0</x:v>
      </x:c>
      <x:c r="AS174" s="719" t="str">
        <x:f>IF(OR(AQ174="",AB174="",AR174=""),"",AQ174+AB174+AR174)</x:f>
      </x:c>
      <x:c r="AT174" s="719" t="str">
        <x:f>IF(AS174="","Belum Dapat Ditentukan",IF(AS174&gt;=80,"Sangat Tinggi",IF(OR(AO174="Risiko Tinggi/Darurat",(IF(L174="Rusak Berat",1,0)+IF(L174="Tidak Ada/Terbuka",1,0)+IF(N174="Rusak Berat",1,0)+IF(N174="Tidak Ada/Terbuka",1,0)+IF(P174="Rusak Berat",1,0)+IF(P174="Tidak Layak",1,0))&gt;=2),"Tinggi",IF(AS174&gt;=65,"Tinggi",IF(AS174&gt;=50,"Sedang","Rendah")))))</x:f>
        <x:v>Belum Dapat Ditentukan</x:v>
      </x:c>
      <x:c r="AU174" s="240"/>
      <x:c r="AV174" s="240"/>
      <x:c r="AW174" s="240"/>
      <x:c r="AX174" s="240"/>
      <x:c r="AY174" s="240"/>
      <x:c r="AZ174" s="240"/>
      <x:c r="BA174" s="240"/>
      <x:c r="BB174" s="240"/>
      <x:c r="BC174" s="240"/>
      <x:c r="BD174" s="240"/>
      <x:c r="BE174" s="240"/>
      <x:c r="BF174" s="240"/>
    </x:row>
    <x:row r="175" ht="32" customHeight="1">
      <x:c r="A175" s="314"/>
      <x:c r="B175" s="315"/>
      <x:c r="C175" s="316"/>
      <x:c r="D175" s="316"/>
      <x:c r="E175" s="315"/>
      <x:c r="F175" s="315"/>
      <x:c r="G175" s="315"/>
      <x:c r="H175" s="315"/>
      <x:c r="I175" s="317"/>
      <x:c r="J175" s="315"/>
      <x:c r="K175" s="315"/>
      <x:c r="L175" s="315"/>
      <x:c r="M175" s="367"/>
      <x:c r="N175" s="315"/>
      <x:c r="O175" s="316"/>
      <x:c r="P175" s="349"/>
      <x:c r="Q175" s="707"/>
      <x:c r="R175" s="707"/>
      <x:c r="S175" s="708"/>
      <x:c r="T175" s="709"/>
      <x:c r="U175" s="704"/>
      <x:c r="V175" s="704"/>
      <x:c r="W175" s="704"/>
      <x:c r="X175" s="704" t="str">
        <x:f>IF(COUNTIF(R175:V175,"Belum Dinilai")&gt;0,"Belum Dinilai",IF(COUNTIF(R175:V175,"Ya")=0,"Tidak ada faktor rentan",TEXTJOIN(", ",TRUE,IF(R175="Ya","Lansia",""),IF(S175="Ya","Penyandang disabilitas",""),IF(T175="Ya","Kepala keluarga perempuan",""),IF(U175="Ya","Balita",""),IF(V175="Ya","Anggota keluarga dengan ketergantungan tinggi",""))))</x:f>
        <x:v>Tidak ada faktor rentan</x:v>
      </x:c>
      <x:c r="Y175" s="704" t="str">
        <x:f>IF(COUNTIF(R175:V175,"Belum Dinilai")&gt;0,"Belum Dinilai",IF(COUNTIF(R175:V175,"Ya")=0,"Tidak Ada Faktor Rentan",IF(COUNTIF(R175:V175,"Ya")=1,"1 Faktor Rentan","2 atau Lebih Faktor Rentan")))</x:f>
        <x:v>Tidak Ada Faktor Rentan</x:v>
      </x:c>
      <x:c r="Z175" s="704" t="str">
        <x:f>IF(OR(Q175="",Q175="Belum Dinilai"),"",IF(Q175="Terverifikasi DTKS/P3KE/MBR",10,IF(Q175="Diusulkan, Belum Terverifikasi",5,0)))</x:f>
      </x:c>
      <x:c r="AA175" s="705" t="n">
        <x:f>IF(COUNTIF(R175:V175,"Belum Dinilai")&gt;0,"",IF(COUNTIF(R175:V175,"Ya")=0,0,IF(COUNTIF(R175:V175,"Ya")=1,5,10)))</x:f>
        <x:v>0</x:v>
      </x:c>
      <x:c r="AB175" s="706" t="str">
        <x:f>IF(OR(Z175="",AA175=""),"",Z175+AA175)</x:f>
      </x:c>
      <x:c r="AC175" s="713"/>
      <x:c r="AD175" s="713"/>
      <x:c r="AE175" s="714"/>
      <x:c r="AF175" s="713"/>
      <x:c r="AG175" s="713"/>
      <x:c r="AH175" s="715"/>
      <x:c r="AI175" s="714"/>
      <x:c r="AJ175" s="713"/>
      <x:c r="AK175" s="715"/>
      <x:c r="AL175" s="713"/>
      <x:c r="AM175" s="716"/>
      <x:c r="AN175" s="716" t="str">
        <x:f>IF(AND(COUNTIF(AC175:AK175,"Ya")=0,AL175=""),IF(COUNTIF(AC175:AK175,"Belum Dinilai")&gt;0,"Belum Dinilai","Tidak ada risiko khusus"),TEXTJOIN(", ",TRUE,IF(AC175="Ya","Bangunan berpotensi roboh",""),IF(AD175="Ya","Bekas kebakaran dan tidak aman dihuni",""),IF(AE175="Ya","Atap atau dinding utama hampir runtuh",""),IF(AF175="Ya","Genangan yang membahayakan",""),IF(AG175="Ya","Struktur rumah tidak stabil",""),IF(AH175="Ya","Instalasi listrik berbahaya",""),IF(AI175="Ya","Komponen bangunan lepas atau lapuk",""),IF(AJ175="Ya","Akses keluar atau evakuasi terbatas",""),IF(AK175="Ya","Lokasi rawan bencana",""),IF(AL175&lt;&gt;"","Lainnya: "&amp;AL175,"")))</x:f>
        <x:v>Tidak ada risiko khusus</x:v>
      </x:c>
      <x:c r="AO175" s="716" t="str">
        <x:f>IF(AR175="","Belum Dinilai",IF(AR175=10,"Risiko Tinggi/Darurat",IF(AR175=5,"Risiko Sedang","Tidak Ada Risiko Khusus")))</x:f>
        <x:v>Belum Dinilai</x:v>
      </x:c>
      <x:c r="AP175" s="716"/>
      <x:c r="AQ175" s="719" t="str">
        <x:f>IF(OR(J175="",J175="Belum Dapat Ditentukan",L175="",L175="Belum Dinilai",N175="",N175="Belum Dinilai",P175="",P175="Belum Dinilai"),"",IF(J175="Permanen",0,IF(J175="Semipermanen",8,IF(J175="Nonpermanen",15,0)))+IF(L175="Baik",0,IF(L175="Rusak Ringan",5,IF(L175="Rusak Sedang",10,IF(L175="Rusak Berat",15,IF(L175="Tidak Ada/Terbuka",20,0)))))+IF(N175="Baik",0,IF(N175="Rusak Ringan",5,IF(N175="Rusak Sedang",10,IF(N175="Rusak Berat",15,IF(N175="Tidak Ada/Terbuka",20,0)))))+IF(P175="Baik",0,IF(P175="Rusak Ringan",4,IF(P175="Rusak Sedang",8,IF(P175="Rusak Berat",12,IF(P175="Tidak Layak",15,0))))))</x:f>
      </x:c>
      <x:c r="AR175" s="719" t="n">
        <x:f>IF(COUNTIF(AC175:AH175,"Ya")&gt;0,10,IF(COUNTIF(AI175:AK175,"Ya")&gt;=2,10,IF(COUNTIF(AI175:AK175,"Ya")=1,MAX(5,IF(AM175="Risiko Tinggi/Darurat",10,IF(AM175="Risiko Sedang",5,0))),IF(AL175&lt;&gt;"",IF(AM175="Risiko Tinggi/Darurat",10,IF(AM175="Risiko Sedang",5,"")),IF(COUNTIF(AC175:AK175,"Belum Dinilai")&gt;0,"",0)))))</x:f>
        <x:v>0</x:v>
      </x:c>
      <x:c r="AS175" s="719" t="str">
        <x:f>IF(OR(AQ175="",AB175="",AR175=""),"",AQ175+AB175+AR175)</x:f>
      </x:c>
      <x:c r="AT175" s="719" t="str">
        <x:f>IF(AS175="","Belum Dapat Ditentukan",IF(AS175&gt;=80,"Sangat Tinggi",IF(OR(AO175="Risiko Tinggi/Darurat",(IF(L175="Rusak Berat",1,0)+IF(L175="Tidak Ada/Terbuka",1,0)+IF(N175="Rusak Berat",1,0)+IF(N175="Tidak Ada/Terbuka",1,0)+IF(P175="Rusak Berat",1,0)+IF(P175="Tidak Layak",1,0))&gt;=2),"Tinggi",IF(AS175&gt;=65,"Tinggi",IF(AS175&gt;=50,"Sedang","Rendah")))))</x:f>
        <x:v>Belum Dapat Ditentukan</x:v>
      </x:c>
      <x:c r="AU175" s="240"/>
      <x:c r="AV175" s="240"/>
      <x:c r="AW175" s="240"/>
      <x:c r="AX175" s="240"/>
      <x:c r="AY175" s="240"/>
      <x:c r="AZ175" s="240"/>
      <x:c r="BA175" s="240"/>
      <x:c r="BB175" s="240"/>
      <x:c r="BC175" s="240"/>
      <x:c r="BD175" s="240"/>
      <x:c r="BE175" s="240"/>
      <x:c r="BF175" s="240"/>
    </x:row>
    <x:row r="176" ht="32" customHeight="1">
      <x:c r="A176" s="314"/>
      <x:c r="B176" s="315"/>
      <x:c r="C176" s="316"/>
      <x:c r="D176" s="316"/>
      <x:c r="E176" s="315"/>
      <x:c r="F176" s="315"/>
      <x:c r="G176" s="315"/>
      <x:c r="H176" s="315"/>
      <x:c r="I176" s="317"/>
      <x:c r="J176" s="315"/>
      <x:c r="K176" s="315"/>
      <x:c r="L176" s="315"/>
      <x:c r="M176" s="367"/>
      <x:c r="N176" s="315"/>
      <x:c r="O176" s="316"/>
      <x:c r="P176" s="349"/>
      <x:c r="Q176" s="707"/>
      <x:c r="R176" s="707"/>
      <x:c r="S176" s="708"/>
      <x:c r="T176" s="709"/>
      <x:c r="U176" s="704"/>
      <x:c r="V176" s="704"/>
      <x:c r="W176" s="704"/>
      <x:c r="X176" s="704" t="str">
        <x:f>IF(COUNTIF(R176:V176,"Belum Dinilai")&gt;0,"Belum Dinilai",IF(COUNTIF(R176:V176,"Ya")=0,"Tidak ada faktor rentan",TEXTJOIN(", ",TRUE,IF(R176="Ya","Lansia",""),IF(S176="Ya","Penyandang disabilitas",""),IF(T176="Ya","Kepala keluarga perempuan",""),IF(U176="Ya","Balita",""),IF(V176="Ya","Anggota keluarga dengan ketergantungan tinggi",""))))</x:f>
        <x:v>Tidak ada faktor rentan</x:v>
      </x:c>
      <x:c r="Y176" s="704" t="str">
        <x:f>IF(COUNTIF(R176:V176,"Belum Dinilai")&gt;0,"Belum Dinilai",IF(COUNTIF(R176:V176,"Ya")=0,"Tidak Ada Faktor Rentan",IF(COUNTIF(R176:V176,"Ya")=1,"1 Faktor Rentan","2 atau Lebih Faktor Rentan")))</x:f>
        <x:v>Tidak Ada Faktor Rentan</x:v>
      </x:c>
      <x:c r="Z176" s="704" t="str">
        <x:f>IF(OR(Q176="",Q176="Belum Dinilai"),"",IF(Q176="Terverifikasi DTKS/P3KE/MBR",10,IF(Q176="Diusulkan, Belum Terverifikasi",5,0)))</x:f>
      </x:c>
      <x:c r="AA176" s="705" t="n">
        <x:f>IF(COUNTIF(R176:V176,"Belum Dinilai")&gt;0,"",IF(COUNTIF(R176:V176,"Ya")=0,0,IF(COUNTIF(R176:V176,"Ya")=1,5,10)))</x:f>
        <x:v>0</x:v>
      </x:c>
      <x:c r="AB176" s="706" t="str">
        <x:f>IF(OR(Z176="",AA176=""),"",Z176+AA176)</x:f>
      </x:c>
      <x:c r="AC176" s="713"/>
      <x:c r="AD176" s="713"/>
      <x:c r="AE176" s="714"/>
      <x:c r="AF176" s="713"/>
      <x:c r="AG176" s="713"/>
      <x:c r="AH176" s="715"/>
      <x:c r="AI176" s="714"/>
      <x:c r="AJ176" s="713"/>
      <x:c r="AK176" s="715"/>
      <x:c r="AL176" s="713"/>
      <x:c r="AM176" s="716"/>
      <x:c r="AN176" s="716" t="str">
        <x:f>IF(AND(COUNTIF(AC176:AK176,"Ya")=0,AL176=""),IF(COUNTIF(AC176:AK176,"Belum Dinilai")&gt;0,"Belum Dinilai","Tidak ada risiko khusus"),TEXTJOIN(", ",TRUE,IF(AC176="Ya","Bangunan berpotensi roboh",""),IF(AD176="Ya","Bekas kebakaran dan tidak aman dihuni",""),IF(AE176="Ya","Atap atau dinding utama hampir runtuh",""),IF(AF176="Ya","Genangan yang membahayakan",""),IF(AG176="Ya","Struktur rumah tidak stabil",""),IF(AH176="Ya","Instalasi listrik berbahaya",""),IF(AI176="Ya","Komponen bangunan lepas atau lapuk",""),IF(AJ176="Ya","Akses keluar atau evakuasi terbatas",""),IF(AK176="Ya","Lokasi rawan bencana",""),IF(AL176&lt;&gt;"","Lainnya: "&amp;AL176,"")))</x:f>
        <x:v>Tidak ada risiko khusus</x:v>
      </x:c>
      <x:c r="AO176" s="716" t="str">
        <x:f>IF(AR176="","Belum Dinilai",IF(AR176=10,"Risiko Tinggi/Darurat",IF(AR176=5,"Risiko Sedang","Tidak Ada Risiko Khusus")))</x:f>
        <x:v>Belum Dinilai</x:v>
      </x:c>
      <x:c r="AP176" s="716"/>
      <x:c r="AQ176" s="719" t="str">
        <x:f>IF(OR(J176="",J176="Belum Dapat Ditentukan",L176="",L176="Belum Dinilai",N176="",N176="Belum Dinilai",P176="",P176="Belum Dinilai"),"",IF(J176="Permanen",0,IF(J176="Semipermanen",8,IF(J176="Nonpermanen",15,0)))+IF(L176="Baik",0,IF(L176="Rusak Ringan",5,IF(L176="Rusak Sedang",10,IF(L176="Rusak Berat",15,IF(L176="Tidak Ada/Terbuka",20,0)))))+IF(N176="Baik",0,IF(N176="Rusak Ringan",5,IF(N176="Rusak Sedang",10,IF(N176="Rusak Berat",15,IF(N176="Tidak Ada/Terbuka",20,0)))))+IF(P176="Baik",0,IF(P176="Rusak Ringan",4,IF(P176="Rusak Sedang",8,IF(P176="Rusak Berat",12,IF(P176="Tidak Layak",15,0))))))</x:f>
      </x:c>
      <x:c r="AR176" s="719" t="n">
        <x:f>IF(COUNTIF(AC176:AH176,"Ya")&gt;0,10,IF(COUNTIF(AI176:AK176,"Ya")&gt;=2,10,IF(COUNTIF(AI176:AK176,"Ya")=1,MAX(5,IF(AM176="Risiko Tinggi/Darurat",10,IF(AM176="Risiko Sedang",5,0))),IF(AL176&lt;&gt;"",IF(AM176="Risiko Tinggi/Darurat",10,IF(AM176="Risiko Sedang",5,"")),IF(COUNTIF(AC176:AK176,"Belum Dinilai")&gt;0,"",0)))))</x:f>
        <x:v>0</x:v>
      </x:c>
      <x:c r="AS176" s="719" t="str">
        <x:f>IF(OR(AQ176="",AB176="",AR176=""),"",AQ176+AB176+AR176)</x:f>
      </x:c>
      <x:c r="AT176" s="719" t="str">
        <x:f>IF(AS176="","Belum Dapat Ditentukan",IF(AS176&gt;=80,"Sangat Tinggi",IF(OR(AO176="Risiko Tinggi/Darurat",(IF(L176="Rusak Berat",1,0)+IF(L176="Tidak Ada/Terbuka",1,0)+IF(N176="Rusak Berat",1,0)+IF(N176="Tidak Ada/Terbuka",1,0)+IF(P176="Rusak Berat",1,0)+IF(P176="Tidak Layak",1,0))&gt;=2),"Tinggi",IF(AS176&gt;=65,"Tinggi",IF(AS176&gt;=50,"Sedang","Rendah")))))</x:f>
        <x:v>Belum Dapat Ditentukan</x:v>
      </x:c>
      <x:c r="AU176" s="240"/>
      <x:c r="AV176" s="240"/>
      <x:c r="AW176" s="240"/>
      <x:c r="AX176" s="240"/>
      <x:c r="AY176" s="240"/>
      <x:c r="AZ176" s="240"/>
      <x:c r="BA176" s="240"/>
      <x:c r="BB176" s="240"/>
      <x:c r="BC176" s="240"/>
      <x:c r="BD176" s="240"/>
      <x:c r="BE176" s="240"/>
      <x:c r="BF176" s="240"/>
    </x:row>
    <x:row r="177" ht="32" customHeight="1">
      <x:c r="A177" s="314"/>
      <x:c r="B177" s="315"/>
      <x:c r="C177" s="316"/>
      <x:c r="D177" s="316"/>
      <x:c r="E177" s="315"/>
      <x:c r="F177" s="315"/>
      <x:c r="G177" s="315"/>
      <x:c r="H177" s="315"/>
      <x:c r="I177" s="317"/>
      <x:c r="J177" s="315"/>
      <x:c r="K177" s="315"/>
      <x:c r="L177" s="315"/>
      <x:c r="M177" s="367"/>
      <x:c r="N177" s="315"/>
      <x:c r="O177" s="316"/>
      <x:c r="P177" s="349"/>
      <x:c r="Q177" s="707"/>
      <x:c r="R177" s="707"/>
      <x:c r="S177" s="708"/>
      <x:c r="T177" s="709"/>
      <x:c r="U177" s="704"/>
      <x:c r="V177" s="704"/>
      <x:c r="W177" s="704"/>
      <x:c r="X177" s="704" t="str">
        <x:f>IF(COUNTIF(R177:V177,"Belum Dinilai")&gt;0,"Belum Dinilai",IF(COUNTIF(R177:V177,"Ya")=0,"Tidak ada faktor rentan",TEXTJOIN(", ",TRUE,IF(R177="Ya","Lansia",""),IF(S177="Ya","Penyandang disabilitas",""),IF(T177="Ya","Kepala keluarga perempuan",""),IF(U177="Ya","Balita",""),IF(V177="Ya","Anggota keluarga dengan ketergantungan tinggi",""))))</x:f>
        <x:v>Tidak ada faktor rentan</x:v>
      </x:c>
      <x:c r="Y177" s="704" t="str">
        <x:f>IF(COUNTIF(R177:V177,"Belum Dinilai")&gt;0,"Belum Dinilai",IF(COUNTIF(R177:V177,"Ya")=0,"Tidak Ada Faktor Rentan",IF(COUNTIF(R177:V177,"Ya")=1,"1 Faktor Rentan","2 atau Lebih Faktor Rentan")))</x:f>
        <x:v>Tidak Ada Faktor Rentan</x:v>
      </x:c>
      <x:c r="Z177" s="704" t="str">
        <x:f>IF(OR(Q177="",Q177="Belum Dinilai"),"",IF(Q177="Terverifikasi DTKS/P3KE/MBR",10,IF(Q177="Diusulkan, Belum Terverifikasi",5,0)))</x:f>
      </x:c>
      <x:c r="AA177" s="705" t="n">
        <x:f>IF(COUNTIF(R177:V177,"Belum Dinilai")&gt;0,"",IF(COUNTIF(R177:V177,"Ya")=0,0,IF(COUNTIF(R177:V177,"Ya")=1,5,10)))</x:f>
        <x:v>0</x:v>
      </x:c>
      <x:c r="AB177" s="706" t="str">
        <x:f>IF(OR(Z177="",AA177=""),"",Z177+AA177)</x:f>
      </x:c>
      <x:c r="AC177" s="713"/>
      <x:c r="AD177" s="713"/>
      <x:c r="AE177" s="714"/>
      <x:c r="AF177" s="713"/>
      <x:c r="AG177" s="713"/>
      <x:c r="AH177" s="715"/>
      <x:c r="AI177" s="714"/>
      <x:c r="AJ177" s="713"/>
      <x:c r="AK177" s="715"/>
      <x:c r="AL177" s="713"/>
      <x:c r="AM177" s="716"/>
      <x:c r="AN177" s="716" t="str">
        <x:f>IF(AND(COUNTIF(AC177:AK177,"Ya")=0,AL177=""),IF(COUNTIF(AC177:AK177,"Belum Dinilai")&gt;0,"Belum Dinilai","Tidak ada risiko khusus"),TEXTJOIN(", ",TRUE,IF(AC177="Ya","Bangunan berpotensi roboh",""),IF(AD177="Ya","Bekas kebakaran dan tidak aman dihuni",""),IF(AE177="Ya","Atap atau dinding utama hampir runtuh",""),IF(AF177="Ya","Genangan yang membahayakan",""),IF(AG177="Ya","Struktur rumah tidak stabil",""),IF(AH177="Ya","Instalasi listrik berbahaya",""),IF(AI177="Ya","Komponen bangunan lepas atau lapuk",""),IF(AJ177="Ya","Akses keluar atau evakuasi terbatas",""),IF(AK177="Ya","Lokasi rawan bencana",""),IF(AL177&lt;&gt;"","Lainnya: "&amp;AL177,"")))</x:f>
        <x:v>Tidak ada risiko khusus</x:v>
      </x:c>
      <x:c r="AO177" s="716" t="str">
        <x:f>IF(AR177="","Belum Dinilai",IF(AR177=10,"Risiko Tinggi/Darurat",IF(AR177=5,"Risiko Sedang","Tidak Ada Risiko Khusus")))</x:f>
        <x:v>Belum Dinilai</x:v>
      </x:c>
      <x:c r="AP177" s="716"/>
      <x:c r="AQ177" s="719" t="str">
        <x:f>IF(OR(J177="",J177="Belum Dapat Ditentukan",L177="",L177="Belum Dinilai",N177="",N177="Belum Dinilai",P177="",P177="Belum Dinilai"),"",IF(J177="Permanen",0,IF(J177="Semipermanen",8,IF(J177="Nonpermanen",15,0)))+IF(L177="Baik",0,IF(L177="Rusak Ringan",5,IF(L177="Rusak Sedang",10,IF(L177="Rusak Berat",15,IF(L177="Tidak Ada/Terbuka",20,0)))))+IF(N177="Baik",0,IF(N177="Rusak Ringan",5,IF(N177="Rusak Sedang",10,IF(N177="Rusak Berat",15,IF(N177="Tidak Ada/Terbuka",20,0)))))+IF(P177="Baik",0,IF(P177="Rusak Ringan",4,IF(P177="Rusak Sedang",8,IF(P177="Rusak Berat",12,IF(P177="Tidak Layak",15,0))))))</x:f>
      </x:c>
      <x:c r="AR177" s="719" t="n">
        <x:f>IF(COUNTIF(AC177:AH177,"Ya")&gt;0,10,IF(COUNTIF(AI177:AK177,"Ya")&gt;=2,10,IF(COUNTIF(AI177:AK177,"Ya")=1,MAX(5,IF(AM177="Risiko Tinggi/Darurat",10,IF(AM177="Risiko Sedang",5,0))),IF(AL177&lt;&gt;"",IF(AM177="Risiko Tinggi/Darurat",10,IF(AM177="Risiko Sedang",5,"")),IF(COUNTIF(AC177:AK177,"Belum Dinilai")&gt;0,"",0)))))</x:f>
        <x:v>0</x:v>
      </x:c>
      <x:c r="AS177" s="719" t="str">
        <x:f>IF(OR(AQ177="",AB177="",AR177=""),"",AQ177+AB177+AR177)</x:f>
      </x:c>
      <x:c r="AT177" s="719" t="str">
        <x:f>IF(AS177="","Belum Dapat Ditentukan",IF(AS177&gt;=80,"Sangat Tinggi",IF(OR(AO177="Risiko Tinggi/Darurat",(IF(L177="Rusak Berat",1,0)+IF(L177="Tidak Ada/Terbuka",1,0)+IF(N177="Rusak Berat",1,0)+IF(N177="Tidak Ada/Terbuka",1,0)+IF(P177="Rusak Berat",1,0)+IF(P177="Tidak Layak",1,0))&gt;=2),"Tinggi",IF(AS177&gt;=65,"Tinggi",IF(AS177&gt;=50,"Sedang","Rendah")))))</x:f>
        <x:v>Belum Dapat Ditentukan</x:v>
      </x:c>
      <x:c r="AU177" s="240"/>
      <x:c r="AV177" s="240"/>
      <x:c r="AW177" s="240"/>
      <x:c r="AX177" s="240"/>
      <x:c r="AY177" s="240"/>
      <x:c r="AZ177" s="240"/>
      <x:c r="BA177" s="240"/>
      <x:c r="BB177" s="240"/>
      <x:c r="BC177" s="240"/>
      <x:c r="BD177" s="240"/>
      <x:c r="BE177" s="240"/>
      <x:c r="BF177" s="240"/>
    </x:row>
    <x:row r="178" ht="32" customHeight="1">
      <x:c r="A178" s="314"/>
      <x:c r="B178" s="315"/>
      <x:c r="C178" s="316"/>
      <x:c r="D178" s="316"/>
      <x:c r="E178" s="315"/>
      <x:c r="F178" s="315"/>
      <x:c r="G178" s="315"/>
      <x:c r="H178" s="315"/>
      <x:c r="I178" s="317"/>
      <x:c r="J178" s="315"/>
      <x:c r="K178" s="315"/>
      <x:c r="L178" s="315"/>
      <x:c r="M178" s="367"/>
      <x:c r="N178" s="315"/>
      <x:c r="O178" s="316"/>
      <x:c r="P178" s="349"/>
      <x:c r="Q178" s="707"/>
      <x:c r="R178" s="707"/>
      <x:c r="S178" s="708"/>
      <x:c r="T178" s="709"/>
      <x:c r="U178" s="704"/>
      <x:c r="V178" s="704"/>
      <x:c r="W178" s="704"/>
      <x:c r="X178" s="704" t="str">
        <x:f>IF(COUNTIF(R178:V178,"Belum Dinilai")&gt;0,"Belum Dinilai",IF(COUNTIF(R178:V178,"Ya")=0,"Tidak ada faktor rentan",TEXTJOIN(", ",TRUE,IF(R178="Ya","Lansia",""),IF(S178="Ya","Penyandang disabilitas",""),IF(T178="Ya","Kepala keluarga perempuan",""),IF(U178="Ya","Balita",""),IF(V178="Ya","Anggota keluarga dengan ketergantungan tinggi",""))))</x:f>
        <x:v>Tidak ada faktor rentan</x:v>
      </x:c>
      <x:c r="Y178" s="704" t="str">
        <x:f>IF(COUNTIF(R178:V178,"Belum Dinilai")&gt;0,"Belum Dinilai",IF(COUNTIF(R178:V178,"Ya")=0,"Tidak Ada Faktor Rentan",IF(COUNTIF(R178:V178,"Ya")=1,"1 Faktor Rentan","2 atau Lebih Faktor Rentan")))</x:f>
        <x:v>Tidak Ada Faktor Rentan</x:v>
      </x:c>
      <x:c r="Z178" s="704" t="str">
        <x:f>IF(OR(Q178="",Q178="Belum Dinilai"),"",IF(Q178="Terverifikasi DTKS/P3KE/MBR",10,IF(Q178="Diusulkan, Belum Terverifikasi",5,0)))</x:f>
      </x:c>
      <x:c r="AA178" s="705" t="n">
        <x:f>IF(COUNTIF(R178:V178,"Belum Dinilai")&gt;0,"",IF(COUNTIF(R178:V178,"Ya")=0,0,IF(COUNTIF(R178:V178,"Ya")=1,5,10)))</x:f>
        <x:v>0</x:v>
      </x:c>
      <x:c r="AB178" s="706" t="str">
        <x:f>IF(OR(Z178="",AA178=""),"",Z178+AA178)</x:f>
      </x:c>
      <x:c r="AC178" s="713"/>
      <x:c r="AD178" s="713"/>
      <x:c r="AE178" s="714"/>
      <x:c r="AF178" s="713"/>
      <x:c r="AG178" s="713"/>
      <x:c r="AH178" s="715"/>
      <x:c r="AI178" s="714"/>
      <x:c r="AJ178" s="713"/>
      <x:c r="AK178" s="715"/>
      <x:c r="AL178" s="713"/>
      <x:c r="AM178" s="716"/>
      <x:c r="AN178" s="716" t="str">
        <x:f>IF(AND(COUNTIF(AC178:AK178,"Ya")=0,AL178=""),IF(COUNTIF(AC178:AK178,"Belum Dinilai")&gt;0,"Belum Dinilai","Tidak ada risiko khusus"),TEXTJOIN(", ",TRUE,IF(AC178="Ya","Bangunan berpotensi roboh",""),IF(AD178="Ya","Bekas kebakaran dan tidak aman dihuni",""),IF(AE178="Ya","Atap atau dinding utama hampir runtuh",""),IF(AF178="Ya","Genangan yang membahayakan",""),IF(AG178="Ya","Struktur rumah tidak stabil",""),IF(AH178="Ya","Instalasi listrik berbahaya",""),IF(AI178="Ya","Komponen bangunan lepas atau lapuk",""),IF(AJ178="Ya","Akses keluar atau evakuasi terbatas",""),IF(AK178="Ya","Lokasi rawan bencana",""),IF(AL178&lt;&gt;"","Lainnya: "&amp;AL178,"")))</x:f>
        <x:v>Tidak ada risiko khusus</x:v>
      </x:c>
      <x:c r="AO178" s="716" t="str">
        <x:f>IF(AR178="","Belum Dinilai",IF(AR178=10,"Risiko Tinggi/Darurat",IF(AR178=5,"Risiko Sedang","Tidak Ada Risiko Khusus")))</x:f>
        <x:v>Belum Dinilai</x:v>
      </x:c>
      <x:c r="AP178" s="716"/>
      <x:c r="AQ178" s="719" t="str">
        <x:f>IF(OR(J178="",J178="Belum Dapat Ditentukan",L178="",L178="Belum Dinilai",N178="",N178="Belum Dinilai",P178="",P178="Belum Dinilai"),"",IF(J178="Permanen",0,IF(J178="Semipermanen",8,IF(J178="Nonpermanen",15,0)))+IF(L178="Baik",0,IF(L178="Rusak Ringan",5,IF(L178="Rusak Sedang",10,IF(L178="Rusak Berat",15,IF(L178="Tidak Ada/Terbuka",20,0)))))+IF(N178="Baik",0,IF(N178="Rusak Ringan",5,IF(N178="Rusak Sedang",10,IF(N178="Rusak Berat",15,IF(N178="Tidak Ada/Terbuka",20,0)))))+IF(P178="Baik",0,IF(P178="Rusak Ringan",4,IF(P178="Rusak Sedang",8,IF(P178="Rusak Berat",12,IF(P178="Tidak Layak",15,0))))))</x:f>
      </x:c>
      <x:c r="AR178" s="719" t="n">
        <x:f>IF(COUNTIF(AC178:AH178,"Ya")&gt;0,10,IF(COUNTIF(AI178:AK178,"Ya")&gt;=2,10,IF(COUNTIF(AI178:AK178,"Ya")=1,MAX(5,IF(AM178="Risiko Tinggi/Darurat",10,IF(AM178="Risiko Sedang",5,0))),IF(AL178&lt;&gt;"",IF(AM178="Risiko Tinggi/Darurat",10,IF(AM178="Risiko Sedang",5,"")),IF(COUNTIF(AC178:AK178,"Belum Dinilai")&gt;0,"",0)))))</x:f>
        <x:v>0</x:v>
      </x:c>
      <x:c r="AS178" s="719" t="str">
        <x:f>IF(OR(AQ178="",AB178="",AR178=""),"",AQ178+AB178+AR178)</x:f>
      </x:c>
      <x:c r="AT178" s="719" t="str">
        <x:f>IF(AS178="","Belum Dapat Ditentukan",IF(AS178&gt;=80,"Sangat Tinggi",IF(OR(AO178="Risiko Tinggi/Darurat",(IF(L178="Rusak Berat",1,0)+IF(L178="Tidak Ada/Terbuka",1,0)+IF(N178="Rusak Berat",1,0)+IF(N178="Tidak Ada/Terbuka",1,0)+IF(P178="Rusak Berat",1,0)+IF(P178="Tidak Layak",1,0))&gt;=2),"Tinggi",IF(AS178&gt;=65,"Tinggi",IF(AS178&gt;=50,"Sedang","Rendah")))))</x:f>
        <x:v>Belum Dapat Ditentukan</x:v>
      </x:c>
      <x:c r="AU178" s="240"/>
      <x:c r="AV178" s="240"/>
      <x:c r="AW178" s="240"/>
      <x:c r="AX178" s="240"/>
      <x:c r="AY178" s="240"/>
      <x:c r="AZ178" s="240"/>
      <x:c r="BA178" s="240"/>
      <x:c r="BB178" s="240"/>
      <x:c r="BC178" s="240"/>
      <x:c r="BD178" s="240"/>
      <x:c r="BE178" s="240"/>
      <x:c r="BF178" s="240"/>
    </x:row>
    <x:row r="179" ht="32" customHeight="1">
      <x:c r="A179" s="314"/>
      <x:c r="B179" s="315"/>
      <x:c r="C179" s="316"/>
      <x:c r="D179" s="316"/>
      <x:c r="E179" s="315"/>
      <x:c r="F179" s="315"/>
      <x:c r="G179" s="315"/>
      <x:c r="H179" s="315"/>
      <x:c r="I179" s="317"/>
      <x:c r="J179" s="315"/>
      <x:c r="K179" s="315"/>
      <x:c r="L179" s="315"/>
      <x:c r="M179" s="367"/>
      <x:c r="N179" s="315"/>
      <x:c r="O179" s="316"/>
      <x:c r="P179" s="349"/>
      <x:c r="Q179" s="707"/>
      <x:c r="R179" s="707"/>
      <x:c r="S179" s="708"/>
      <x:c r="T179" s="709"/>
      <x:c r="U179" s="704"/>
      <x:c r="V179" s="704"/>
      <x:c r="W179" s="704"/>
      <x:c r="X179" s="704" t="str">
        <x:f>IF(COUNTIF(R179:V179,"Belum Dinilai")&gt;0,"Belum Dinilai",IF(COUNTIF(R179:V179,"Ya")=0,"Tidak ada faktor rentan",TEXTJOIN(", ",TRUE,IF(R179="Ya","Lansia",""),IF(S179="Ya","Penyandang disabilitas",""),IF(T179="Ya","Kepala keluarga perempuan",""),IF(U179="Ya","Balita",""),IF(V179="Ya","Anggota keluarga dengan ketergantungan tinggi",""))))</x:f>
        <x:v>Tidak ada faktor rentan</x:v>
      </x:c>
      <x:c r="Y179" s="704" t="str">
        <x:f>IF(COUNTIF(R179:V179,"Belum Dinilai")&gt;0,"Belum Dinilai",IF(COUNTIF(R179:V179,"Ya")=0,"Tidak Ada Faktor Rentan",IF(COUNTIF(R179:V179,"Ya")=1,"1 Faktor Rentan","2 atau Lebih Faktor Rentan")))</x:f>
        <x:v>Tidak Ada Faktor Rentan</x:v>
      </x:c>
      <x:c r="Z179" s="704" t="str">
        <x:f>IF(OR(Q179="",Q179="Belum Dinilai"),"",IF(Q179="Terverifikasi DTKS/P3KE/MBR",10,IF(Q179="Diusulkan, Belum Terverifikasi",5,0)))</x:f>
      </x:c>
      <x:c r="AA179" s="705" t="n">
        <x:f>IF(COUNTIF(R179:V179,"Belum Dinilai")&gt;0,"",IF(COUNTIF(R179:V179,"Ya")=0,0,IF(COUNTIF(R179:V179,"Ya")=1,5,10)))</x:f>
        <x:v>0</x:v>
      </x:c>
      <x:c r="AB179" s="706" t="str">
        <x:f>IF(OR(Z179="",AA179=""),"",Z179+AA179)</x:f>
      </x:c>
      <x:c r="AC179" s="713"/>
      <x:c r="AD179" s="713"/>
      <x:c r="AE179" s="714"/>
      <x:c r="AF179" s="713"/>
      <x:c r="AG179" s="713"/>
      <x:c r="AH179" s="715"/>
      <x:c r="AI179" s="714"/>
      <x:c r="AJ179" s="713"/>
      <x:c r="AK179" s="715"/>
      <x:c r="AL179" s="713"/>
      <x:c r="AM179" s="716"/>
      <x:c r="AN179" s="716" t="str">
        <x:f>IF(AND(COUNTIF(AC179:AK179,"Ya")=0,AL179=""),IF(COUNTIF(AC179:AK179,"Belum Dinilai")&gt;0,"Belum Dinilai","Tidak ada risiko khusus"),TEXTJOIN(", ",TRUE,IF(AC179="Ya","Bangunan berpotensi roboh",""),IF(AD179="Ya","Bekas kebakaran dan tidak aman dihuni",""),IF(AE179="Ya","Atap atau dinding utama hampir runtuh",""),IF(AF179="Ya","Genangan yang membahayakan",""),IF(AG179="Ya","Struktur rumah tidak stabil",""),IF(AH179="Ya","Instalasi listrik berbahaya",""),IF(AI179="Ya","Komponen bangunan lepas atau lapuk",""),IF(AJ179="Ya","Akses keluar atau evakuasi terbatas",""),IF(AK179="Ya","Lokasi rawan bencana",""),IF(AL179&lt;&gt;"","Lainnya: "&amp;AL179,"")))</x:f>
        <x:v>Tidak ada risiko khusus</x:v>
      </x:c>
      <x:c r="AO179" s="716" t="str">
        <x:f>IF(AR179="","Belum Dinilai",IF(AR179=10,"Risiko Tinggi/Darurat",IF(AR179=5,"Risiko Sedang","Tidak Ada Risiko Khusus")))</x:f>
        <x:v>Belum Dinilai</x:v>
      </x:c>
      <x:c r="AP179" s="716"/>
      <x:c r="AQ179" s="719" t="str">
        <x:f>IF(OR(J179="",J179="Belum Dapat Ditentukan",L179="",L179="Belum Dinilai",N179="",N179="Belum Dinilai",P179="",P179="Belum Dinilai"),"",IF(J179="Permanen",0,IF(J179="Semipermanen",8,IF(J179="Nonpermanen",15,0)))+IF(L179="Baik",0,IF(L179="Rusak Ringan",5,IF(L179="Rusak Sedang",10,IF(L179="Rusak Berat",15,IF(L179="Tidak Ada/Terbuka",20,0)))))+IF(N179="Baik",0,IF(N179="Rusak Ringan",5,IF(N179="Rusak Sedang",10,IF(N179="Rusak Berat",15,IF(N179="Tidak Ada/Terbuka",20,0)))))+IF(P179="Baik",0,IF(P179="Rusak Ringan",4,IF(P179="Rusak Sedang",8,IF(P179="Rusak Berat",12,IF(P179="Tidak Layak",15,0))))))</x:f>
      </x:c>
      <x:c r="AR179" s="719" t="n">
        <x:f>IF(COUNTIF(AC179:AH179,"Ya")&gt;0,10,IF(COUNTIF(AI179:AK179,"Ya")&gt;=2,10,IF(COUNTIF(AI179:AK179,"Ya")=1,MAX(5,IF(AM179="Risiko Tinggi/Darurat",10,IF(AM179="Risiko Sedang",5,0))),IF(AL179&lt;&gt;"",IF(AM179="Risiko Tinggi/Darurat",10,IF(AM179="Risiko Sedang",5,"")),IF(COUNTIF(AC179:AK179,"Belum Dinilai")&gt;0,"",0)))))</x:f>
        <x:v>0</x:v>
      </x:c>
      <x:c r="AS179" s="719" t="str">
        <x:f>IF(OR(AQ179="",AB179="",AR179=""),"",AQ179+AB179+AR179)</x:f>
      </x:c>
      <x:c r="AT179" s="719" t="str">
        <x:f>IF(AS179="","Belum Dapat Ditentukan",IF(AS179&gt;=80,"Sangat Tinggi",IF(OR(AO179="Risiko Tinggi/Darurat",(IF(L179="Rusak Berat",1,0)+IF(L179="Tidak Ada/Terbuka",1,0)+IF(N179="Rusak Berat",1,0)+IF(N179="Tidak Ada/Terbuka",1,0)+IF(P179="Rusak Berat",1,0)+IF(P179="Tidak Layak",1,0))&gt;=2),"Tinggi",IF(AS179&gt;=65,"Tinggi",IF(AS179&gt;=50,"Sedang","Rendah")))))</x:f>
        <x:v>Belum Dapat Ditentukan</x:v>
      </x:c>
      <x:c r="AU179" s="240"/>
      <x:c r="AV179" s="240"/>
      <x:c r="AW179" s="240"/>
      <x:c r="AX179" s="240"/>
      <x:c r="AY179" s="240"/>
      <x:c r="AZ179" s="240"/>
      <x:c r="BA179" s="240"/>
      <x:c r="BB179" s="240"/>
      <x:c r="BC179" s="240"/>
      <x:c r="BD179" s="240"/>
      <x:c r="BE179" s="240"/>
      <x:c r="BF179" s="240"/>
    </x:row>
    <x:row r="180" ht="32" customHeight="1">
      <x:c r="A180" s="314"/>
      <x:c r="B180" s="315"/>
      <x:c r="C180" s="316"/>
      <x:c r="D180" s="316"/>
      <x:c r="E180" s="315"/>
      <x:c r="F180" s="315"/>
      <x:c r="G180" s="315"/>
      <x:c r="H180" s="315"/>
      <x:c r="I180" s="317"/>
      <x:c r="J180" s="315"/>
      <x:c r="K180" s="315"/>
      <x:c r="L180" s="315"/>
      <x:c r="M180" s="367"/>
      <x:c r="N180" s="315"/>
      <x:c r="O180" s="316"/>
      <x:c r="P180" s="349"/>
      <x:c r="Q180" s="707"/>
      <x:c r="R180" s="707"/>
      <x:c r="S180" s="708"/>
      <x:c r="T180" s="709"/>
      <x:c r="U180" s="704"/>
      <x:c r="V180" s="704"/>
      <x:c r="W180" s="704"/>
      <x:c r="X180" s="704" t="str">
        <x:f>IF(COUNTIF(R180:V180,"Belum Dinilai")&gt;0,"Belum Dinilai",IF(COUNTIF(R180:V180,"Ya")=0,"Tidak ada faktor rentan",TEXTJOIN(", ",TRUE,IF(R180="Ya","Lansia",""),IF(S180="Ya","Penyandang disabilitas",""),IF(T180="Ya","Kepala keluarga perempuan",""),IF(U180="Ya","Balita",""),IF(V180="Ya","Anggota keluarga dengan ketergantungan tinggi",""))))</x:f>
        <x:v>Tidak ada faktor rentan</x:v>
      </x:c>
      <x:c r="Y180" s="704" t="str">
        <x:f>IF(COUNTIF(R180:V180,"Belum Dinilai")&gt;0,"Belum Dinilai",IF(COUNTIF(R180:V180,"Ya")=0,"Tidak Ada Faktor Rentan",IF(COUNTIF(R180:V180,"Ya")=1,"1 Faktor Rentan","2 atau Lebih Faktor Rentan")))</x:f>
        <x:v>Tidak Ada Faktor Rentan</x:v>
      </x:c>
      <x:c r="Z180" s="704" t="str">
        <x:f>IF(OR(Q180="",Q180="Belum Dinilai"),"",IF(Q180="Terverifikasi DTKS/P3KE/MBR",10,IF(Q180="Diusulkan, Belum Terverifikasi",5,0)))</x:f>
      </x:c>
      <x:c r="AA180" s="705" t="n">
        <x:f>IF(COUNTIF(R180:V180,"Belum Dinilai")&gt;0,"",IF(COUNTIF(R180:V180,"Ya")=0,0,IF(COUNTIF(R180:V180,"Ya")=1,5,10)))</x:f>
        <x:v>0</x:v>
      </x:c>
      <x:c r="AB180" s="706" t="str">
        <x:f>IF(OR(Z180="",AA180=""),"",Z180+AA180)</x:f>
      </x:c>
      <x:c r="AC180" s="713"/>
      <x:c r="AD180" s="713"/>
      <x:c r="AE180" s="714"/>
      <x:c r="AF180" s="713"/>
      <x:c r="AG180" s="713"/>
      <x:c r="AH180" s="715"/>
      <x:c r="AI180" s="714"/>
      <x:c r="AJ180" s="713"/>
      <x:c r="AK180" s="715"/>
      <x:c r="AL180" s="713"/>
      <x:c r="AM180" s="716"/>
      <x:c r="AN180" s="716" t="str">
        <x:f>IF(AND(COUNTIF(AC180:AK180,"Ya")=0,AL180=""),IF(COUNTIF(AC180:AK180,"Belum Dinilai")&gt;0,"Belum Dinilai","Tidak ada risiko khusus"),TEXTJOIN(", ",TRUE,IF(AC180="Ya","Bangunan berpotensi roboh",""),IF(AD180="Ya","Bekas kebakaran dan tidak aman dihuni",""),IF(AE180="Ya","Atap atau dinding utama hampir runtuh",""),IF(AF180="Ya","Genangan yang membahayakan",""),IF(AG180="Ya","Struktur rumah tidak stabil",""),IF(AH180="Ya","Instalasi listrik berbahaya",""),IF(AI180="Ya","Komponen bangunan lepas atau lapuk",""),IF(AJ180="Ya","Akses keluar atau evakuasi terbatas",""),IF(AK180="Ya","Lokasi rawan bencana",""),IF(AL180&lt;&gt;"","Lainnya: "&amp;AL180,"")))</x:f>
        <x:v>Tidak ada risiko khusus</x:v>
      </x:c>
      <x:c r="AO180" s="716" t="str">
        <x:f>IF(AR180="","Belum Dinilai",IF(AR180=10,"Risiko Tinggi/Darurat",IF(AR180=5,"Risiko Sedang","Tidak Ada Risiko Khusus")))</x:f>
        <x:v>Belum Dinilai</x:v>
      </x:c>
      <x:c r="AP180" s="716"/>
      <x:c r="AQ180" s="719" t="str">
        <x:f>IF(OR(J180="",J180="Belum Dapat Ditentukan",L180="",L180="Belum Dinilai",N180="",N180="Belum Dinilai",P180="",P180="Belum Dinilai"),"",IF(J180="Permanen",0,IF(J180="Semipermanen",8,IF(J180="Nonpermanen",15,0)))+IF(L180="Baik",0,IF(L180="Rusak Ringan",5,IF(L180="Rusak Sedang",10,IF(L180="Rusak Berat",15,IF(L180="Tidak Ada/Terbuka",20,0)))))+IF(N180="Baik",0,IF(N180="Rusak Ringan",5,IF(N180="Rusak Sedang",10,IF(N180="Rusak Berat",15,IF(N180="Tidak Ada/Terbuka",20,0)))))+IF(P180="Baik",0,IF(P180="Rusak Ringan",4,IF(P180="Rusak Sedang",8,IF(P180="Rusak Berat",12,IF(P180="Tidak Layak",15,0))))))</x:f>
      </x:c>
      <x:c r="AR180" s="719" t="n">
        <x:f>IF(COUNTIF(AC180:AH180,"Ya")&gt;0,10,IF(COUNTIF(AI180:AK180,"Ya")&gt;=2,10,IF(COUNTIF(AI180:AK180,"Ya")=1,MAX(5,IF(AM180="Risiko Tinggi/Darurat",10,IF(AM180="Risiko Sedang",5,0))),IF(AL180&lt;&gt;"",IF(AM180="Risiko Tinggi/Darurat",10,IF(AM180="Risiko Sedang",5,"")),IF(COUNTIF(AC180:AK180,"Belum Dinilai")&gt;0,"",0)))))</x:f>
        <x:v>0</x:v>
      </x:c>
      <x:c r="AS180" s="719" t="str">
        <x:f>IF(OR(AQ180="",AB180="",AR180=""),"",AQ180+AB180+AR180)</x:f>
      </x:c>
      <x:c r="AT180" s="719" t="str">
        <x:f>IF(AS180="","Belum Dapat Ditentukan",IF(AS180&gt;=80,"Sangat Tinggi",IF(OR(AO180="Risiko Tinggi/Darurat",(IF(L180="Rusak Berat",1,0)+IF(L180="Tidak Ada/Terbuka",1,0)+IF(N180="Rusak Berat",1,0)+IF(N180="Tidak Ada/Terbuka",1,0)+IF(P180="Rusak Berat",1,0)+IF(P180="Tidak Layak",1,0))&gt;=2),"Tinggi",IF(AS180&gt;=65,"Tinggi",IF(AS180&gt;=50,"Sedang","Rendah")))))</x:f>
        <x:v>Belum Dapat Ditentukan</x:v>
      </x:c>
      <x:c r="AU180" s="240"/>
      <x:c r="AV180" s="240"/>
      <x:c r="AW180" s="240"/>
      <x:c r="AX180" s="240"/>
      <x:c r="AY180" s="240"/>
      <x:c r="AZ180" s="240"/>
      <x:c r="BA180" s="240"/>
      <x:c r="BB180" s="240"/>
      <x:c r="BC180" s="240"/>
      <x:c r="BD180" s="240"/>
      <x:c r="BE180" s="240"/>
      <x:c r="BF180" s="240"/>
    </x:row>
    <x:row r="181" ht="32" customHeight="1">
      <x:c r="A181" s="314"/>
      <x:c r="B181" s="315"/>
      <x:c r="C181" s="316"/>
      <x:c r="D181" s="316"/>
      <x:c r="E181" s="315"/>
      <x:c r="F181" s="315"/>
      <x:c r="G181" s="315"/>
      <x:c r="H181" s="315"/>
      <x:c r="I181" s="317"/>
      <x:c r="J181" s="315"/>
      <x:c r="K181" s="315"/>
      <x:c r="L181" s="315"/>
      <x:c r="M181" s="367"/>
      <x:c r="N181" s="315"/>
      <x:c r="O181" s="316"/>
      <x:c r="P181" s="349"/>
      <x:c r="Q181" s="707"/>
      <x:c r="R181" s="707"/>
      <x:c r="S181" s="708"/>
      <x:c r="T181" s="709"/>
      <x:c r="U181" s="704"/>
      <x:c r="V181" s="704"/>
      <x:c r="W181" s="704"/>
      <x:c r="X181" s="704" t="str">
        <x:f>IF(COUNTIF(R181:V181,"Belum Dinilai")&gt;0,"Belum Dinilai",IF(COUNTIF(R181:V181,"Ya")=0,"Tidak ada faktor rentan",TEXTJOIN(", ",TRUE,IF(R181="Ya","Lansia",""),IF(S181="Ya","Penyandang disabilitas",""),IF(T181="Ya","Kepala keluarga perempuan",""),IF(U181="Ya","Balita",""),IF(V181="Ya","Anggota keluarga dengan ketergantungan tinggi",""))))</x:f>
        <x:v>Tidak ada faktor rentan</x:v>
      </x:c>
      <x:c r="Y181" s="704" t="str">
        <x:f>IF(COUNTIF(R181:V181,"Belum Dinilai")&gt;0,"Belum Dinilai",IF(COUNTIF(R181:V181,"Ya")=0,"Tidak Ada Faktor Rentan",IF(COUNTIF(R181:V181,"Ya")=1,"1 Faktor Rentan","2 atau Lebih Faktor Rentan")))</x:f>
        <x:v>Tidak Ada Faktor Rentan</x:v>
      </x:c>
      <x:c r="Z181" s="704" t="str">
        <x:f>IF(OR(Q181="",Q181="Belum Dinilai"),"",IF(Q181="Terverifikasi DTKS/P3KE/MBR",10,IF(Q181="Diusulkan, Belum Terverifikasi",5,0)))</x:f>
      </x:c>
      <x:c r="AA181" s="705" t="n">
        <x:f>IF(COUNTIF(R181:V181,"Belum Dinilai")&gt;0,"",IF(COUNTIF(R181:V181,"Ya")=0,0,IF(COUNTIF(R181:V181,"Ya")=1,5,10)))</x:f>
        <x:v>0</x:v>
      </x:c>
      <x:c r="AB181" s="706" t="str">
        <x:f>IF(OR(Z181="",AA181=""),"",Z181+AA181)</x:f>
      </x:c>
      <x:c r="AC181" s="713"/>
      <x:c r="AD181" s="713"/>
      <x:c r="AE181" s="714"/>
      <x:c r="AF181" s="713"/>
      <x:c r="AG181" s="713"/>
      <x:c r="AH181" s="715"/>
      <x:c r="AI181" s="714"/>
      <x:c r="AJ181" s="713"/>
      <x:c r="AK181" s="715"/>
      <x:c r="AL181" s="713"/>
      <x:c r="AM181" s="716"/>
      <x:c r="AN181" s="716" t="str">
        <x:f>IF(AND(COUNTIF(AC181:AK181,"Ya")=0,AL181=""),IF(COUNTIF(AC181:AK181,"Belum Dinilai")&gt;0,"Belum Dinilai","Tidak ada risiko khusus"),TEXTJOIN(", ",TRUE,IF(AC181="Ya","Bangunan berpotensi roboh",""),IF(AD181="Ya","Bekas kebakaran dan tidak aman dihuni",""),IF(AE181="Ya","Atap atau dinding utama hampir runtuh",""),IF(AF181="Ya","Genangan yang membahayakan",""),IF(AG181="Ya","Struktur rumah tidak stabil",""),IF(AH181="Ya","Instalasi listrik berbahaya",""),IF(AI181="Ya","Komponen bangunan lepas atau lapuk",""),IF(AJ181="Ya","Akses keluar atau evakuasi terbatas",""),IF(AK181="Ya","Lokasi rawan bencana",""),IF(AL181&lt;&gt;"","Lainnya: "&amp;AL181,"")))</x:f>
        <x:v>Tidak ada risiko khusus</x:v>
      </x:c>
      <x:c r="AO181" s="716" t="str">
        <x:f>IF(AR181="","Belum Dinilai",IF(AR181=10,"Risiko Tinggi/Darurat",IF(AR181=5,"Risiko Sedang","Tidak Ada Risiko Khusus")))</x:f>
        <x:v>Belum Dinilai</x:v>
      </x:c>
      <x:c r="AP181" s="716"/>
      <x:c r="AQ181" s="719" t="str">
        <x:f>IF(OR(J181="",J181="Belum Dapat Ditentukan",L181="",L181="Belum Dinilai",N181="",N181="Belum Dinilai",P181="",P181="Belum Dinilai"),"",IF(J181="Permanen",0,IF(J181="Semipermanen",8,IF(J181="Nonpermanen",15,0)))+IF(L181="Baik",0,IF(L181="Rusak Ringan",5,IF(L181="Rusak Sedang",10,IF(L181="Rusak Berat",15,IF(L181="Tidak Ada/Terbuka",20,0)))))+IF(N181="Baik",0,IF(N181="Rusak Ringan",5,IF(N181="Rusak Sedang",10,IF(N181="Rusak Berat",15,IF(N181="Tidak Ada/Terbuka",20,0)))))+IF(P181="Baik",0,IF(P181="Rusak Ringan",4,IF(P181="Rusak Sedang",8,IF(P181="Rusak Berat",12,IF(P181="Tidak Layak",15,0))))))</x:f>
      </x:c>
      <x:c r="AR181" s="719" t="n">
        <x:f>IF(COUNTIF(AC181:AH181,"Ya")&gt;0,10,IF(COUNTIF(AI181:AK181,"Ya")&gt;=2,10,IF(COUNTIF(AI181:AK181,"Ya")=1,MAX(5,IF(AM181="Risiko Tinggi/Darurat",10,IF(AM181="Risiko Sedang",5,0))),IF(AL181&lt;&gt;"",IF(AM181="Risiko Tinggi/Darurat",10,IF(AM181="Risiko Sedang",5,"")),IF(COUNTIF(AC181:AK181,"Belum Dinilai")&gt;0,"",0)))))</x:f>
        <x:v>0</x:v>
      </x:c>
      <x:c r="AS181" s="719" t="str">
        <x:f>IF(OR(AQ181="",AB181="",AR181=""),"",AQ181+AB181+AR181)</x:f>
      </x:c>
      <x:c r="AT181" s="719" t="str">
        <x:f>IF(AS181="","Belum Dapat Ditentukan",IF(AS181&gt;=80,"Sangat Tinggi",IF(OR(AO181="Risiko Tinggi/Darurat",(IF(L181="Rusak Berat",1,0)+IF(L181="Tidak Ada/Terbuka",1,0)+IF(N181="Rusak Berat",1,0)+IF(N181="Tidak Ada/Terbuka",1,0)+IF(P181="Rusak Berat",1,0)+IF(P181="Tidak Layak",1,0))&gt;=2),"Tinggi",IF(AS181&gt;=65,"Tinggi",IF(AS181&gt;=50,"Sedang","Rendah")))))</x:f>
        <x:v>Belum Dapat Ditentukan</x:v>
      </x:c>
      <x:c r="AU181" s="240"/>
      <x:c r="AV181" s="240"/>
      <x:c r="AW181" s="240"/>
      <x:c r="AX181" s="240"/>
      <x:c r="AY181" s="240"/>
      <x:c r="AZ181" s="240"/>
      <x:c r="BA181" s="240"/>
      <x:c r="BB181" s="240"/>
      <x:c r="BC181" s="240"/>
      <x:c r="BD181" s="240"/>
      <x:c r="BE181" s="240"/>
      <x:c r="BF181" s="240"/>
    </x:row>
    <x:row r="182" ht="32" customHeight="1">
      <x:c r="A182" s="314"/>
      <x:c r="B182" s="315"/>
      <x:c r="C182" s="316"/>
      <x:c r="D182" s="316"/>
      <x:c r="E182" s="315"/>
      <x:c r="F182" s="315"/>
      <x:c r="G182" s="315"/>
      <x:c r="H182" s="315"/>
      <x:c r="I182" s="317"/>
      <x:c r="J182" s="315"/>
      <x:c r="K182" s="315"/>
      <x:c r="L182" s="315"/>
      <x:c r="M182" s="367"/>
      <x:c r="N182" s="315"/>
      <x:c r="O182" s="316"/>
      <x:c r="P182" s="349"/>
      <x:c r="Q182" s="707"/>
      <x:c r="R182" s="707"/>
      <x:c r="S182" s="708"/>
      <x:c r="T182" s="709"/>
      <x:c r="U182" s="704"/>
      <x:c r="V182" s="704"/>
      <x:c r="W182" s="704"/>
      <x:c r="X182" s="704" t="str">
        <x:f>IF(COUNTIF(R182:V182,"Belum Dinilai")&gt;0,"Belum Dinilai",IF(COUNTIF(R182:V182,"Ya")=0,"Tidak ada faktor rentan",TEXTJOIN(", ",TRUE,IF(R182="Ya","Lansia",""),IF(S182="Ya","Penyandang disabilitas",""),IF(T182="Ya","Kepala keluarga perempuan",""),IF(U182="Ya","Balita",""),IF(V182="Ya","Anggota keluarga dengan ketergantungan tinggi",""))))</x:f>
        <x:v>Tidak ada faktor rentan</x:v>
      </x:c>
      <x:c r="Y182" s="704" t="str">
        <x:f>IF(COUNTIF(R182:V182,"Belum Dinilai")&gt;0,"Belum Dinilai",IF(COUNTIF(R182:V182,"Ya")=0,"Tidak Ada Faktor Rentan",IF(COUNTIF(R182:V182,"Ya")=1,"1 Faktor Rentan","2 atau Lebih Faktor Rentan")))</x:f>
        <x:v>Tidak Ada Faktor Rentan</x:v>
      </x:c>
      <x:c r="Z182" s="704" t="str">
        <x:f>IF(OR(Q182="",Q182="Belum Dinilai"),"",IF(Q182="Terverifikasi DTKS/P3KE/MBR",10,IF(Q182="Diusulkan, Belum Terverifikasi",5,0)))</x:f>
      </x:c>
      <x:c r="AA182" s="705" t="n">
        <x:f>IF(COUNTIF(R182:V182,"Belum Dinilai")&gt;0,"",IF(COUNTIF(R182:V182,"Ya")=0,0,IF(COUNTIF(R182:V182,"Ya")=1,5,10)))</x:f>
        <x:v>0</x:v>
      </x:c>
      <x:c r="AB182" s="706" t="str">
        <x:f>IF(OR(Z182="",AA182=""),"",Z182+AA182)</x:f>
      </x:c>
      <x:c r="AC182" s="713"/>
      <x:c r="AD182" s="713"/>
      <x:c r="AE182" s="714"/>
      <x:c r="AF182" s="713"/>
      <x:c r="AG182" s="713"/>
      <x:c r="AH182" s="715"/>
      <x:c r="AI182" s="714"/>
      <x:c r="AJ182" s="713"/>
      <x:c r="AK182" s="715"/>
      <x:c r="AL182" s="713"/>
      <x:c r="AM182" s="716"/>
      <x:c r="AN182" s="716" t="str">
        <x:f>IF(AND(COUNTIF(AC182:AK182,"Ya")=0,AL182=""),IF(COUNTIF(AC182:AK182,"Belum Dinilai")&gt;0,"Belum Dinilai","Tidak ada risiko khusus"),TEXTJOIN(", ",TRUE,IF(AC182="Ya","Bangunan berpotensi roboh",""),IF(AD182="Ya","Bekas kebakaran dan tidak aman dihuni",""),IF(AE182="Ya","Atap atau dinding utama hampir runtuh",""),IF(AF182="Ya","Genangan yang membahayakan",""),IF(AG182="Ya","Struktur rumah tidak stabil",""),IF(AH182="Ya","Instalasi listrik berbahaya",""),IF(AI182="Ya","Komponen bangunan lepas atau lapuk",""),IF(AJ182="Ya","Akses keluar atau evakuasi terbatas",""),IF(AK182="Ya","Lokasi rawan bencana",""),IF(AL182&lt;&gt;"","Lainnya: "&amp;AL182,"")))</x:f>
        <x:v>Tidak ada risiko khusus</x:v>
      </x:c>
      <x:c r="AO182" s="716" t="str">
        <x:f>IF(AR182="","Belum Dinilai",IF(AR182=10,"Risiko Tinggi/Darurat",IF(AR182=5,"Risiko Sedang","Tidak Ada Risiko Khusus")))</x:f>
        <x:v>Belum Dinilai</x:v>
      </x:c>
      <x:c r="AP182" s="716"/>
      <x:c r="AQ182" s="719" t="str">
        <x:f>IF(OR(J182="",J182="Belum Dapat Ditentukan",L182="",L182="Belum Dinilai",N182="",N182="Belum Dinilai",P182="",P182="Belum Dinilai"),"",IF(J182="Permanen",0,IF(J182="Semipermanen",8,IF(J182="Nonpermanen",15,0)))+IF(L182="Baik",0,IF(L182="Rusak Ringan",5,IF(L182="Rusak Sedang",10,IF(L182="Rusak Berat",15,IF(L182="Tidak Ada/Terbuka",20,0)))))+IF(N182="Baik",0,IF(N182="Rusak Ringan",5,IF(N182="Rusak Sedang",10,IF(N182="Rusak Berat",15,IF(N182="Tidak Ada/Terbuka",20,0)))))+IF(P182="Baik",0,IF(P182="Rusak Ringan",4,IF(P182="Rusak Sedang",8,IF(P182="Rusak Berat",12,IF(P182="Tidak Layak",15,0))))))</x:f>
      </x:c>
      <x:c r="AR182" s="719" t="n">
        <x:f>IF(COUNTIF(AC182:AH182,"Ya")&gt;0,10,IF(COUNTIF(AI182:AK182,"Ya")&gt;=2,10,IF(COUNTIF(AI182:AK182,"Ya")=1,MAX(5,IF(AM182="Risiko Tinggi/Darurat",10,IF(AM182="Risiko Sedang",5,0))),IF(AL182&lt;&gt;"",IF(AM182="Risiko Tinggi/Darurat",10,IF(AM182="Risiko Sedang",5,"")),IF(COUNTIF(AC182:AK182,"Belum Dinilai")&gt;0,"",0)))))</x:f>
        <x:v>0</x:v>
      </x:c>
      <x:c r="AS182" s="719" t="str">
        <x:f>IF(OR(AQ182="",AB182="",AR182=""),"",AQ182+AB182+AR182)</x:f>
      </x:c>
      <x:c r="AT182" s="719" t="str">
        <x:f>IF(AS182="","Belum Dapat Ditentukan",IF(AS182&gt;=80,"Sangat Tinggi",IF(OR(AO182="Risiko Tinggi/Darurat",(IF(L182="Rusak Berat",1,0)+IF(L182="Tidak Ada/Terbuka",1,0)+IF(N182="Rusak Berat",1,0)+IF(N182="Tidak Ada/Terbuka",1,0)+IF(P182="Rusak Berat",1,0)+IF(P182="Tidak Layak",1,0))&gt;=2),"Tinggi",IF(AS182&gt;=65,"Tinggi",IF(AS182&gt;=50,"Sedang","Rendah")))))</x:f>
        <x:v>Belum Dapat Ditentukan</x:v>
      </x:c>
      <x:c r="AU182" s="240"/>
      <x:c r="AV182" s="240"/>
      <x:c r="AW182" s="240"/>
      <x:c r="AX182" s="240"/>
      <x:c r="AY182" s="240"/>
      <x:c r="AZ182" s="240"/>
      <x:c r="BA182" s="240"/>
      <x:c r="BB182" s="240"/>
      <x:c r="BC182" s="240"/>
      <x:c r="BD182" s="240"/>
      <x:c r="BE182" s="240"/>
      <x:c r="BF182" s="240"/>
    </x:row>
    <x:row r="183" ht="32" customHeight="1">
      <x:c r="A183" s="314"/>
      <x:c r="B183" s="315"/>
      <x:c r="C183" s="316"/>
      <x:c r="D183" s="316"/>
      <x:c r="E183" s="315"/>
      <x:c r="F183" s="315"/>
      <x:c r="G183" s="315"/>
      <x:c r="H183" s="315"/>
      <x:c r="I183" s="317"/>
      <x:c r="J183" s="315"/>
      <x:c r="K183" s="315"/>
      <x:c r="L183" s="315"/>
      <x:c r="M183" s="367"/>
      <x:c r="N183" s="315"/>
      <x:c r="O183" s="316"/>
      <x:c r="P183" s="349"/>
      <x:c r="Q183" s="707"/>
      <x:c r="R183" s="707"/>
      <x:c r="S183" s="708"/>
      <x:c r="T183" s="709"/>
      <x:c r="U183" s="704"/>
      <x:c r="V183" s="704"/>
      <x:c r="W183" s="704"/>
      <x:c r="X183" s="704" t="str">
        <x:f>IF(COUNTIF(R183:V183,"Belum Dinilai")&gt;0,"Belum Dinilai",IF(COUNTIF(R183:V183,"Ya")=0,"Tidak ada faktor rentan",TEXTJOIN(", ",TRUE,IF(R183="Ya","Lansia",""),IF(S183="Ya","Penyandang disabilitas",""),IF(T183="Ya","Kepala keluarga perempuan",""),IF(U183="Ya","Balita",""),IF(V183="Ya","Anggota keluarga dengan ketergantungan tinggi",""))))</x:f>
        <x:v>Tidak ada faktor rentan</x:v>
      </x:c>
      <x:c r="Y183" s="704" t="str">
        <x:f>IF(COUNTIF(R183:V183,"Belum Dinilai")&gt;0,"Belum Dinilai",IF(COUNTIF(R183:V183,"Ya")=0,"Tidak Ada Faktor Rentan",IF(COUNTIF(R183:V183,"Ya")=1,"1 Faktor Rentan","2 atau Lebih Faktor Rentan")))</x:f>
        <x:v>Tidak Ada Faktor Rentan</x:v>
      </x:c>
      <x:c r="Z183" s="704" t="str">
        <x:f>IF(OR(Q183="",Q183="Belum Dinilai"),"",IF(Q183="Terverifikasi DTKS/P3KE/MBR",10,IF(Q183="Diusulkan, Belum Terverifikasi",5,0)))</x:f>
      </x:c>
      <x:c r="AA183" s="705" t="n">
        <x:f>IF(COUNTIF(R183:V183,"Belum Dinilai")&gt;0,"",IF(COUNTIF(R183:V183,"Ya")=0,0,IF(COUNTIF(R183:V183,"Ya")=1,5,10)))</x:f>
        <x:v>0</x:v>
      </x:c>
      <x:c r="AB183" s="706" t="str">
        <x:f>IF(OR(Z183="",AA183=""),"",Z183+AA183)</x:f>
      </x:c>
      <x:c r="AC183" s="713"/>
      <x:c r="AD183" s="713"/>
      <x:c r="AE183" s="714"/>
      <x:c r="AF183" s="713"/>
      <x:c r="AG183" s="713"/>
      <x:c r="AH183" s="715"/>
      <x:c r="AI183" s="714"/>
      <x:c r="AJ183" s="713"/>
      <x:c r="AK183" s="715"/>
      <x:c r="AL183" s="713"/>
      <x:c r="AM183" s="716"/>
      <x:c r="AN183" s="716" t="str">
        <x:f>IF(AND(COUNTIF(AC183:AK183,"Ya")=0,AL183=""),IF(COUNTIF(AC183:AK183,"Belum Dinilai")&gt;0,"Belum Dinilai","Tidak ada risiko khusus"),TEXTJOIN(", ",TRUE,IF(AC183="Ya","Bangunan berpotensi roboh",""),IF(AD183="Ya","Bekas kebakaran dan tidak aman dihuni",""),IF(AE183="Ya","Atap atau dinding utama hampir runtuh",""),IF(AF183="Ya","Genangan yang membahayakan",""),IF(AG183="Ya","Struktur rumah tidak stabil",""),IF(AH183="Ya","Instalasi listrik berbahaya",""),IF(AI183="Ya","Komponen bangunan lepas atau lapuk",""),IF(AJ183="Ya","Akses keluar atau evakuasi terbatas",""),IF(AK183="Ya","Lokasi rawan bencana",""),IF(AL183&lt;&gt;"","Lainnya: "&amp;AL183,"")))</x:f>
        <x:v>Tidak ada risiko khusus</x:v>
      </x:c>
      <x:c r="AO183" s="716" t="str">
        <x:f>IF(AR183="","Belum Dinilai",IF(AR183=10,"Risiko Tinggi/Darurat",IF(AR183=5,"Risiko Sedang","Tidak Ada Risiko Khusus")))</x:f>
        <x:v>Belum Dinilai</x:v>
      </x:c>
      <x:c r="AP183" s="716"/>
      <x:c r="AQ183" s="719" t="str">
        <x:f>IF(OR(J183="",J183="Belum Dapat Ditentukan",L183="",L183="Belum Dinilai",N183="",N183="Belum Dinilai",P183="",P183="Belum Dinilai"),"",IF(J183="Permanen",0,IF(J183="Semipermanen",8,IF(J183="Nonpermanen",15,0)))+IF(L183="Baik",0,IF(L183="Rusak Ringan",5,IF(L183="Rusak Sedang",10,IF(L183="Rusak Berat",15,IF(L183="Tidak Ada/Terbuka",20,0)))))+IF(N183="Baik",0,IF(N183="Rusak Ringan",5,IF(N183="Rusak Sedang",10,IF(N183="Rusak Berat",15,IF(N183="Tidak Ada/Terbuka",20,0)))))+IF(P183="Baik",0,IF(P183="Rusak Ringan",4,IF(P183="Rusak Sedang",8,IF(P183="Rusak Berat",12,IF(P183="Tidak Layak",15,0))))))</x:f>
      </x:c>
      <x:c r="AR183" s="719" t="n">
        <x:f>IF(COUNTIF(AC183:AH183,"Ya")&gt;0,10,IF(COUNTIF(AI183:AK183,"Ya")&gt;=2,10,IF(COUNTIF(AI183:AK183,"Ya")=1,MAX(5,IF(AM183="Risiko Tinggi/Darurat",10,IF(AM183="Risiko Sedang",5,0))),IF(AL183&lt;&gt;"",IF(AM183="Risiko Tinggi/Darurat",10,IF(AM183="Risiko Sedang",5,"")),IF(COUNTIF(AC183:AK183,"Belum Dinilai")&gt;0,"",0)))))</x:f>
        <x:v>0</x:v>
      </x:c>
      <x:c r="AS183" s="719" t="str">
        <x:f>IF(OR(AQ183="",AB183="",AR183=""),"",AQ183+AB183+AR183)</x:f>
      </x:c>
      <x:c r="AT183" s="719" t="str">
        <x:f>IF(AS183="","Belum Dapat Ditentukan",IF(AS183&gt;=80,"Sangat Tinggi",IF(OR(AO183="Risiko Tinggi/Darurat",(IF(L183="Rusak Berat",1,0)+IF(L183="Tidak Ada/Terbuka",1,0)+IF(N183="Rusak Berat",1,0)+IF(N183="Tidak Ada/Terbuka",1,0)+IF(P183="Rusak Berat",1,0)+IF(P183="Tidak Layak",1,0))&gt;=2),"Tinggi",IF(AS183&gt;=65,"Tinggi",IF(AS183&gt;=50,"Sedang","Rendah")))))</x:f>
        <x:v>Belum Dapat Ditentukan</x:v>
      </x:c>
      <x:c r="AU183" s="240"/>
      <x:c r="AV183" s="240"/>
      <x:c r="AW183" s="240"/>
      <x:c r="AX183" s="240"/>
      <x:c r="AY183" s="240"/>
      <x:c r="AZ183" s="240"/>
      <x:c r="BA183" s="240"/>
      <x:c r="BB183" s="240"/>
      <x:c r="BC183" s="240"/>
      <x:c r="BD183" s="240"/>
      <x:c r="BE183" s="240"/>
      <x:c r="BF183" s="240"/>
    </x:row>
    <x:row r="184" ht="32" customHeight="1">
      <x:c r="A184" s="314"/>
      <x:c r="B184" s="315"/>
      <x:c r="C184" s="316"/>
      <x:c r="D184" s="316"/>
      <x:c r="E184" s="315"/>
      <x:c r="F184" s="315"/>
      <x:c r="G184" s="315"/>
      <x:c r="H184" s="315"/>
      <x:c r="I184" s="317"/>
      <x:c r="J184" s="315"/>
      <x:c r="K184" s="315"/>
      <x:c r="L184" s="315"/>
      <x:c r="M184" s="367"/>
      <x:c r="N184" s="315"/>
      <x:c r="O184" s="316"/>
      <x:c r="P184" s="349"/>
      <x:c r="Q184" s="707"/>
      <x:c r="R184" s="707"/>
      <x:c r="S184" s="708"/>
      <x:c r="T184" s="709"/>
      <x:c r="U184" s="704"/>
      <x:c r="V184" s="704"/>
      <x:c r="W184" s="704"/>
      <x:c r="X184" s="704" t="str">
        <x:f>IF(COUNTIF(R184:V184,"Belum Dinilai")&gt;0,"Belum Dinilai",IF(COUNTIF(R184:V184,"Ya")=0,"Tidak ada faktor rentan",TEXTJOIN(", ",TRUE,IF(R184="Ya","Lansia",""),IF(S184="Ya","Penyandang disabilitas",""),IF(T184="Ya","Kepala keluarga perempuan",""),IF(U184="Ya","Balita",""),IF(V184="Ya","Anggota keluarga dengan ketergantungan tinggi",""))))</x:f>
        <x:v>Tidak ada faktor rentan</x:v>
      </x:c>
      <x:c r="Y184" s="704" t="str">
        <x:f>IF(COUNTIF(R184:V184,"Belum Dinilai")&gt;0,"Belum Dinilai",IF(COUNTIF(R184:V184,"Ya")=0,"Tidak Ada Faktor Rentan",IF(COUNTIF(R184:V184,"Ya")=1,"1 Faktor Rentan","2 atau Lebih Faktor Rentan")))</x:f>
        <x:v>Tidak Ada Faktor Rentan</x:v>
      </x:c>
      <x:c r="Z184" s="704" t="str">
        <x:f>IF(OR(Q184="",Q184="Belum Dinilai"),"",IF(Q184="Terverifikasi DTKS/P3KE/MBR",10,IF(Q184="Diusulkan, Belum Terverifikasi",5,0)))</x:f>
      </x:c>
      <x:c r="AA184" s="705" t="n">
        <x:f>IF(COUNTIF(R184:V184,"Belum Dinilai")&gt;0,"",IF(COUNTIF(R184:V184,"Ya")=0,0,IF(COUNTIF(R184:V184,"Ya")=1,5,10)))</x:f>
        <x:v>0</x:v>
      </x:c>
      <x:c r="AB184" s="706" t="str">
        <x:f>IF(OR(Z184="",AA184=""),"",Z184+AA184)</x:f>
      </x:c>
      <x:c r="AC184" s="713"/>
      <x:c r="AD184" s="713"/>
      <x:c r="AE184" s="714"/>
      <x:c r="AF184" s="713"/>
      <x:c r="AG184" s="713"/>
      <x:c r="AH184" s="715"/>
      <x:c r="AI184" s="714"/>
      <x:c r="AJ184" s="713"/>
      <x:c r="AK184" s="715"/>
      <x:c r="AL184" s="713"/>
      <x:c r="AM184" s="716"/>
      <x:c r="AN184" s="716" t="str">
        <x:f>IF(AND(COUNTIF(AC184:AK184,"Ya")=0,AL184=""),IF(COUNTIF(AC184:AK184,"Belum Dinilai")&gt;0,"Belum Dinilai","Tidak ada risiko khusus"),TEXTJOIN(", ",TRUE,IF(AC184="Ya","Bangunan berpotensi roboh",""),IF(AD184="Ya","Bekas kebakaran dan tidak aman dihuni",""),IF(AE184="Ya","Atap atau dinding utama hampir runtuh",""),IF(AF184="Ya","Genangan yang membahayakan",""),IF(AG184="Ya","Struktur rumah tidak stabil",""),IF(AH184="Ya","Instalasi listrik berbahaya",""),IF(AI184="Ya","Komponen bangunan lepas atau lapuk",""),IF(AJ184="Ya","Akses keluar atau evakuasi terbatas",""),IF(AK184="Ya","Lokasi rawan bencana",""),IF(AL184&lt;&gt;"","Lainnya: "&amp;AL184,"")))</x:f>
        <x:v>Tidak ada risiko khusus</x:v>
      </x:c>
      <x:c r="AO184" s="716" t="str">
        <x:f>IF(AR184="","Belum Dinilai",IF(AR184=10,"Risiko Tinggi/Darurat",IF(AR184=5,"Risiko Sedang","Tidak Ada Risiko Khusus")))</x:f>
        <x:v>Belum Dinilai</x:v>
      </x:c>
      <x:c r="AP184" s="716"/>
      <x:c r="AQ184" s="719" t="str">
        <x:f>IF(OR(J184="",J184="Belum Dapat Ditentukan",L184="",L184="Belum Dinilai",N184="",N184="Belum Dinilai",P184="",P184="Belum Dinilai"),"",IF(J184="Permanen",0,IF(J184="Semipermanen",8,IF(J184="Nonpermanen",15,0)))+IF(L184="Baik",0,IF(L184="Rusak Ringan",5,IF(L184="Rusak Sedang",10,IF(L184="Rusak Berat",15,IF(L184="Tidak Ada/Terbuka",20,0)))))+IF(N184="Baik",0,IF(N184="Rusak Ringan",5,IF(N184="Rusak Sedang",10,IF(N184="Rusak Berat",15,IF(N184="Tidak Ada/Terbuka",20,0)))))+IF(P184="Baik",0,IF(P184="Rusak Ringan",4,IF(P184="Rusak Sedang",8,IF(P184="Rusak Berat",12,IF(P184="Tidak Layak",15,0))))))</x:f>
      </x:c>
      <x:c r="AR184" s="719" t="n">
        <x:f>IF(COUNTIF(AC184:AH184,"Ya")&gt;0,10,IF(COUNTIF(AI184:AK184,"Ya")&gt;=2,10,IF(COUNTIF(AI184:AK184,"Ya")=1,MAX(5,IF(AM184="Risiko Tinggi/Darurat",10,IF(AM184="Risiko Sedang",5,0))),IF(AL184&lt;&gt;"",IF(AM184="Risiko Tinggi/Darurat",10,IF(AM184="Risiko Sedang",5,"")),IF(COUNTIF(AC184:AK184,"Belum Dinilai")&gt;0,"",0)))))</x:f>
        <x:v>0</x:v>
      </x:c>
      <x:c r="AS184" s="719" t="str">
        <x:f>IF(OR(AQ184="",AB184="",AR184=""),"",AQ184+AB184+AR184)</x:f>
      </x:c>
      <x:c r="AT184" s="719" t="str">
        <x:f>IF(AS184="","Belum Dapat Ditentukan",IF(AS184&gt;=80,"Sangat Tinggi",IF(OR(AO184="Risiko Tinggi/Darurat",(IF(L184="Rusak Berat",1,0)+IF(L184="Tidak Ada/Terbuka",1,0)+IF(N184="Rusak Berat",1,0)+IF(N184="Tidak Ada/Terbuka",1,0)+IF(P184="Rusak Berat",1,0)+IF(P184="Tidak Layak",1,0))&gt;=2),"Tinggi",IF(AS184&gt;=65,"Tinggi",IF(AS184&gt;=50,"Sedang","Rendah")))))</x:f>
        <x:v>Belum Dapat Ditentukan</x:v>
      </x:c>
      <x:c r="AU184" s="240"/>
      <x:c r="AV184" s="240"/>
      <x:c r="AW184" s="240"/>
      <x:c r="AX184" s="240"/>
      <x:c r="AY184" s="240"/>
      <x:c r="AZ184" s="240"/>
      <x:c r="BA184" s="240"/>
      <x:c r="BB184" s="240"/>
      <x:c r="BC184" s="240"/>
      <x:c r="BD184" s="240"/>
      <x:c r="BE184" s="240"/>
      <x:c r="BF184" s="240"/>
    </x:row>
    <x:row r="185" ht="32" customHeight="1">
      <x:c r="A185" s="314"/>
      <x:c r="B185" s="315"/>
      <x:c r="C185" s="316"/>
      <x:c r="D185" s="316"/>
      <x:c r="E185" s="315"/>
      <x:c r="F185" s="315"/>
      <x:c r="G185" s="315"/>
      <x:c r="H185" s="315"/>
      <x:c r="I185" s="317"/>
      <x:c r="J185" s="315"/>
      <x:c r="K185" s="315"/>
      <x:c r="L185" s="315"/>
      <x:c r="M185" s="367"/>
      <x:c r="N185" s="315"/>
      <x:c r="O185" s="316"/>
      <x:c r="P185" s="349"/>
      <x:c r="Q185" s="707"/>
      <x:c r="R185" s="707"/>
      <x:c r="S185" s="708"/>
      <x:c r="T185" s="709"/>
      <x:c r="U185" s="704"/>
      <x:c r="V185" s="704"/>
      <x:c r="W185" s="704"/>
      <x:c r="X185" s="704" t="str">
        <x:f>IF(COUNTIF(R185:V185,"Belum Dinilai")&gt;0,"Belum Dinilai",IF(COUNTIF(R185:V185,"Ya")=0,"Tidak ada faktor rentan",TEXTJOIN(", ",TRUE,IF(R185="Ya","Lansia",""),IF(S185="Ya","Penyandang disabilitas",""),IF(T185="Ya","Kepala keluarga perempuan",""),IF(U185="Ya","Balita",""),IF(V185="Ya","Anggota keluarga dengan ketergantungan tinggi",""))))</x:f>
        <x:v>Tidak ada faktor rentan</x:v>
      </x:c>
      <x:c r="Y185" s="704" t="str">
        <x:f>IF(COUNTIF(R185:V185,"Belum Dinilai")&gt;0,"Belum Dinilai",IF(COUNTIF(R185:V185,"Ya")=0,"Tidak Ada Faktor Rentan",IF(COUNTIF(R185:V185,"Ya")=1,"1 Faktor Rentan","2 atau Lebih Faktor Rentan")))</x:f>
        <x:v>Tidak Ada Faktor Rentan</x:v>
      </x:c>
      <x:c r="Z185" s="704" t="str">
        <x:f>IF(OR(Q185="",Q185="Belum Dinilai"),"",IF(Q185="Terverifikasi DTKS/P3KE/MBR",10,IF(Q185="Diusulkan, Belum Terverifikasi",5,0)))</x:f>
      </x:c>
      <x:c r="AA185" s="705" t="n">
        <x:f>IF(COUNTIF(R185:V185,"Belum Dinilai")&gt;0,"",IF(COUNTIF(R185:V185,"Ya")=0,0,IF(COUNTIF(R185:V185,"Ya")=1,5,10)))</x:f>
        <x:v>0</x:v>
      </x:c>
      <x:c r="AB185" s="706" t="str">
        <x:f>IF(OR(Z185="",AA185=""),"",Z185+AA185)</x:f>
      </x:c>
      <x:c r="AC185" s="713"/>
      <x:c r="AD185" s="713"/>
      <x:c r="AE185" s="714"/>
      <x:c r="AF185" s="713"/>
      <x:c r="AG185" s="713"/>
      <x:c r="AH185" s="715"/>
      <x:c r="AI185" s="714"/>
      <x:c r="AJ185" s="713"/>
      <x:c r="AK185" s="715"/>
      <x:c r="AL185" s="713"/>
      <x:c r="AM185" s="716"/>
      <x:c r="AN185" s="716" t="str">
        <x:f>IF(AND(COUNTIF(AC185:AK185,"Ya")=0,AL185=""),IF(COUNTIF(AC185:AK185,"Belum Dinilai")&gt;0,"Belum Dinilai","Tidak ada risiko khusus"),TEXTJOIN(", ",TRUE,IF(AC185="Ya","Bangunan berpotensi roboh",""),IF(AD185="Ya","Bekas kebakaran dan tidak aman dihuni",""),IF(AE185="Ya","Atap atau dinding utama hampir runtuh",""),IF(AF185="Ya","Genangan yang membahayakan",""),IF(AG185="Ya","Struktur rumah tidak stabil",""),IF(AH185="Ya","Instalasi listrik berbahaya",""),IF(AI185="Ya","Komponen bangunan lepas atau lapuk",""),IF(AJ185="Ya","Akses keluar atau evakuasi terbatas",""),IF(AK185="Ya","Lokasi rawan bencana",""),IF(AL185&lt;&gt;"","Lainnya: "&amp;AL185,"")))</x:f>
        <x:v>Tidak ada risiko khusus</x:v>
      </x:c>
      <x:c r="AO185" s="716" t="str">
        <x:f>IF(AR185="","Belum Dinilai",IF(AR185=10,"Risiko Tinggi/Darurat",IF(AR185=5,"Risiko Sedang","Tidak Ada Risiko Khusus")))</x:f>
        <x:v>Belum Dinilai</x:v>
      </x:c>
      <x:c r="AP185" s="716"/>
      <x:c r="AQ185" s="719" t="str">
        <x:f>IF(OR(J185="",J185="Belum Dapat Ditentukan",L185="",L185="Belum Dinilai",N185="",N185="Belum Dinilai",P185="",P185="Belum Dinilai"),"",IF(J185="Permanen",0,IF(J185="Semipermanen",8,IF(J185="Nonpermanen",15,0)))+IF(L185="Baik",0,IF(L185="Rusak Ringan",5,IF(L185="Rusak Sedang",10,IF(L185="Rusak Berat",15,IF(L185="Tidak Ada/Terbuka",20,0)))))+IF(N185="Baik",0,IF(N185="Rusak Ringan",5,IF(N185="Rusak Sedang",10,IF(N185="Rusak Berat",15,IF(N185="Tidak Ada/Terbuka",20,0)))))+IF(P185="Baik",0,IF(P185="Rusak Ringan",4,IF(P185="Rusak Sedang",8,IF(P185="Rusak Berat",12,IF(P185="Tidak Layak",15,0))))))</x:f>
      </x:c>
      <x:c r="AR185" s="719" t="n">
        <x:f>IF(COUNTIF(AC185:AH185,"Ya")&gt;0,10,IF(COUNTIF(AI185:AK185,"Ya")&gt;=2,10,IF(COUNTIF(AI185:AK185,"Ya")=1,MAX(5,IF(AM185="Risiko Tinggi/Darurat",10,IF(AM185="Risiko Sedang",5,0))),IF(AL185&lt;&gt;"",IF(AM185="Risiko Tinggi/Darurat",10,IF(AM185="Risiko Sedang",5,"")),IF(COUNTIF(AC185:AK185,"Belum Dinilai")&gt;0,"",0)))))</x:f>
        <x:v>0</x:v>
      </x:c>
      <x:c r="AS185" s="719" t="str">
        <x:f>IF(OR(AQ185="",AB185="",AR185=""),"",AQ185+AB185+AR185)</x:f>
      </x:c>
      <x:c r="AT185" s="719" t="str">
        <x:f>IF(AS185="","Belum Dapat Ditentukan",IF(AS185&gt;=80,"Sangat Tinggi",IF(OR(AO185="Risiko Tinggi/Darurat",(IF(L185="Rusak Berat",1,0)+IF(L185="Tidak Ada/Terbuka",1,0)+IF(N185="Rusak Berat",1,0)+IF(N185="Tidak Ada/Terbuka",1,0)+IF(P185="Rusak Berat",1,0)+IF(P185="Tidak Layak",1,0))&gt;=2),"Tinggi",IF(AS185&gt;=65,"Tinggi",IF(AS185&gt;=50,"Sedang","Rendah")))))</x:f>
        <x:v>Belum Dapat Ditentukan</x:v>
      </x:c>
      <x:c r="AU185" s="240"/>
      <x:c r="AV185" s="240"/>
      <x:c r="AW185" s="240"/>
      <x:c r="AX185" s="240"/>
      <x:c r="AY185" s="240"/>
      <x:c r="AZ185" s="240"/>
      <x:c r="BA185" s="240"/>
      <x:c r="BB185" s="240"/>
      <x:c r="BC185" s="240"/>
      <x:c r="BD185" s="240"/>
      <x:c r="BE185" s="240"/>
      <x:c r="BF185" s="240"/>
    </x:row>
    <x:row r="186" ht="32" customHeight="1">
      <x:c r="A186" s="314"/>
      <x:c r="B186" s="315"/>
      <x:c r="C186" s="316"/>
      <x:c r="D186" s="316"/>
      <x:c r="E186" s="315"/>
      <x:c r="F186" s="315"/>
      <x:c r="G186" s="315"/>
      <x:c r="H186" s="315"/>
      <x:c r="I186" s="317"/>
      <x:c r="J186" s="315"/>
      <x:c r="K186" s="315"/>
      <x:c r="L186" s="315"/>
      <x:c r="M186" s="367"/>
      <x:c r="N186" s="315"/>
      <x:c r="O186" s="316"/>
      <x:c r="P186" s="349"/>
      <x:c r="Q186" s="707"/>
      <x:c r="R186" s="707"/>
      <x:c r="S186" s="708"/>
      <x:c r="T186" s="709"/>
      <x:c r="U186" s="704"/>
      <x:c r="V186" s="704"/>
      <x:c r="W186" s="704"/>
      <x:c r="X186" s="704" t="str">
        <x:f>IF(COUNTIF(R186:V186,"Belum Dinilai")&gt;0,"Belum Dinilai",IF(COUNTIF(R186:V186,"Ya")=0,"Tidak ada faktor rentan",TEXTJOIN(", ",TRUE,IF(R186="Ya","Lansia",""),IF(S186="Ya","Penyandang disabilitas",""),IF(T186="Ya","Kepala keluarga perempuan",""),IF(U186="Ya","Balita",""),IF(V186="Ya","Anggota keluarga dengan ketergantungan tinggi",""))))</x:f>
        <x:v>Tidak ada faktor rentan</x:v>
      </x:c>
      <x:c r="Y186" s="704" t="str">
        <x:f>IF(COUNTIF(R186:V186,"Belum Dinilai")&gt;0,"Belum Dinilai",IF(COUNTIF(R186:V186,"Ya")=0,"Tidak Ada Faktor Rentan",IF(COUNTIF(R186:V186,"Ya")=1,"1 Faktor Rentan","2 atau Lebih Faktor Rentan")))</x:f>
        <x:v>Tidak Ada Faktor Rentan</x:v>
      </x:c>
      <x:c r="Z186" s="704" t="str">
        <x:f>IF(OR(Q186="",Q186="Belum Dinilai"),"",IF(Q186="Terverifikasi DTKS/P3KE/MBR",10,IF(Q186="Diusulkan, Belum Terverifikasi",5,0)))</x:f>
      </x:c>
      <x:c r="AA186" s="705" t="n">
        <x:f>IF(COUNTIF(R186:V186,"Belum Dinilai")&gt;0,"",IF(COUNTIF(R186:V186,"Ya")=0,0,IF(COUNTIF(R186:V186,"Ya")=1,5,10)))</x:f>
        <x:v>0</x:v>
      </x:c>
      <x:c r="AB186" s="706" t="str">
        <x:f>IF(OR(Z186="",AA186=""),"",Z186+AA186)</x:f>
      </x:c>
      <x:c r="AC186" s="713"/>
      <x:c r="AD186" s="713"/>
      <x:c r="AE186" s="714"/>
      <x:c r="AF186" s="713"/>
      <x:c r="AG186" s="713"/>
      <x:c r="AH186" s="715"/>
      <x:c r="AI186" s="714"/>
      <x:c r="AJ186" s="713"/>
      <x:c r="AK186" s="715"/>
      <x:c r="AL186" s="713"/>
      <x:c r="AM186" s="716"/>
      <x:c r="AN186" s="716" t="str">
        <x:f>IF(AND(COUNTIF(AC186:AK186,"Ya")=0,AL186=""),IF(COUNTIF(AC186:AK186,"Belum Dinilai")&gt;0,"Belum Dinilai","Tidak ada risiko khusus"),TEXTJOIN(", ",TRUE,IF(AC186="Ya","Bangunan berpotensi roboh",""),IF(AD186="Ya","Bekas kebakaran dan tidak aman dihuni",""),IF(AE186="Ya","Atap atau dinding utama hampir runtuh",""),IF(AF186="Ya","Genangan yang membahayakan",""),IF(AG186="Ya","Struktur rumah tidak stabil",""),IF(AH186="Ya","Instalasi listrik berbahaya",""),IF(AI186="Ya","Komponen bangunan lepas atau lapuk",""),IF(AJ186="Ya","Akses keluar atau evakuasi terbatas",""),IF(AK186="Ya","Lokasi rawan bencana",""),IF(AL186&lt;&gt;"","Lainnya: "&amp;AL186,"")))</x:f>
        <x:v>Tidak ada risiko khusus</x:v>
      </x:c>
      <x:c r="AO186" s="716" t="str">
        <x:f>IF(AR186="","Belum Dinilai",IF(AR186=10,"Risiko Tinggi/Darurat",IF(AR186=5,"Risiko Sedang","Tidak Ada Risiko Khusus")))</x:f>
        <x:v>Belum Dinilai</x:v>
      </x:c>
      <x:c r="AP186" s="716"/>
      <x:c r="AQ186" s="719" t="str">
        <x:f>IF(OR(J186="",J186="Belum Dapat Ditentukan",L186="",L186="Belum Dinilai",N186="",N186="Belum Dinilai",P186="",P186="Belum Dinilai"),"",IF(J186="Permanen",0,IF(J186="Semipermanen",8,IF(J186="Nonpermanen",15,0)))+IF(L186="Baik",0,IF(L186="Rusak Ringan",5,IF(L186="Rusak Sedang",10,IF(L186="Rusak Berat",15,IF(L186="Tidak Ada/Terbuka",20,0)))))+IF(N186="Baik",0,IF(N186="Rusak Ringan",5,IF(N186="Rusak Sedang",10,IF(N186="Rusak Berat",15,IF(N186="Tidak Ada/Terbuka",20,0)))))+IF(P186="Baik",0,IF(P186="Rusak Ringan",4,IF(P186="Rusak Sedang",8,IF(P186="Rusak Berat",12,IF(P186="Tidak Layak",15,0))))))</x:f>
      </x:c>
      <x:c r="AR186" s="719" t="n">
        <x:f>IF(COUNTIF(AC186:AH186,"Ya")&gt;0,10,IF(COUNTIF(AI186:AK186,"Ya")&gt;=2,10,IF(COUNTIF(AI186:AK186,"Ya")=1,MAX(5,IF(AM186="Risiko Tinggi/Darurat",10,IF(AM186="Risiko Sedang",5,0))),IF(AL186&lt;&gt;"",IF(AM186="Risiko Tinggi/Darurat",10,IF(AM186="Risiko Sedang",5,"")),IF(COUNTIF(AC186:AK186,"Belum Dinilai")&gt;0,"",0)))))</x:f>
        <x:v>0</x:v>
      </x:c>
      <x:c r="AS186" s="719" t="str">
        <x:f>IF(OR(AQ186="",AB186="",AR186=""),"",AQ186+AB186+AR186)</x:f>
      </x:c>
      <x:c r="AT186" s="719" t="str">
        <x:f>IF(AS186="","Belum Dapat Ditentukan",IF(AS186&gt;=80,"Sangat Tinggi",IF(OR(AO186="Risiko Tinggi/Darurat",(IF(L186="Rusak Berat",1,0)+IF(L186="Tidak Ada/Terbuka",1,0)+IF(N186="Rusak Berat",1,0)+IF(N186="Tidak Ada/Terbuka",1,0)+IF(P186="Rusak Berat",1,0)+IF(P186="Tidak Layak",1,0))&gt;=2),"Tinggi",IF(AS186&gt;=65,"Tinggi",IF(AS186&gt;=50,"Sedang","Rendah")))))</x:f>
        <x:v>Belum Dapat Ditentukan</x:v>
      </x:c>
      <x:c r="AU186" s="240"/>
      <x:c r="AV186" s="240"/>
      <x:c r="AW186" s="240"/>
      <x:c r="AX186" s="240"/>
      <x:c r="AY186" s="240"/>
      <x:c r="AZ186" s="240"/>
      <x:c r="BA186" s="240"/>
      <x:c r="BB186" s="240"/>
      <x:c r="BC186" s="240"/>
      <x:c r="BD186" s="240"/>
      <x:c r="BE186" s="240"/>
      <x:c r="BF186" s="240"/>
    </x:row>
    <x:row r="187" ht="32" customHeight="1">
      <x:c r="A187" s="314"/>
      <x:c r="B187" s="315"/>
      <x:c r="C187" s="316"/>
      <x:c r="D187" s="316"/>
      <x:c r="E187" s="315"/>
      <x:c r="F187" s="315"/>
      <x:c r="G187" s="315"/>
      <x:c r="H187" s="315"/>
      <x:c r="I187" s="317"/>
      <x:c r="J187" s="315"/>
      <x:c r="K187" s="315"/>
      <x:c r="L187" s="315"/>
      <x:c r="M187" s="367"/>
      <x:c r="N187" s="315"/>
      <x:c r="O187" s="316"/>
      <x:c r="P187" s="349"/>
      <x:c r="Q187" s="707"/>
      <x:c r="R187" s="707"/>
      <x:c r="S187" s="708"/>
      <x:c r="T187" s="709"/>
      <x:c r="U187" s="704"/>
      <x:c r="V187" s="704"/>
      <x:c r="W187" s="704"/>
      <x:c r="X187" s="704" t="str">
        <x:f>IF(COUNTIF(R187:V187,"Belum Dinilai")&gt;0,"Belum Dinilai",IF(COUNTIF(R187:V187,"Ya")=0,"Tidak ada faktor rentan",TEXTJOIN(", ",TRUE,IF(R187="Ya","Lansia",""),IF(S187="Ya","Penyandang disabilitas",""),IF(T187="Ya","Kepala keluarga perempuan",""),IF(U187="Ya","Balita",""),IF(V187="Ya","Anggota keluarga dengan ketergantungan tinggi",""))))</x:f>
        <x:v>Tidak ada faktor rentan</x:v>
      </x:c>
      <x:c r="Y187" s="704" t="str">
        <x:f>IF(COUNTIF(R187:V187,"Belum Dinilai")&gt;0,"Belum Dinilai",IF(COUNTIF(R187:V187,"Ya")=0,"Tidak Ada Faktor Rentan",IF(COUNTIF(R187:V187,"Ya")=1,"1 Faktor Rentan","2 atau Lebih Faktor Rentan")))</x:f>
        <x:v>Tidak Ada Faktor Rentan</x:v>
      </x:c>
      <x:c r="Z187" s="704" t="str">
        <x:f>IF(OR(Q187="",Q187="Belum Dinilai"),"",IF(Q187="Terverifikasi DTKS/P3KE/MBR",10,IF(Q187="Diusulkan, Belum Terverifikasi",5,0)))</x:f>
      </x:c>
      <x:c r="AA187" s="705" t="n">
        <x:f>IF(COUNTIF(R187:V187,"Belum Dinilai")&gt;0,"",IF(COUNTIF(R187:V187,"Ya")=0,0,IF(COUNTIF(R187:V187,"Ya")=1,5,10)))</x:f>
        <x:v>0</x:v>
      </x:c>
      <x:c r="AB187" s="706" t="str">
        <x:f>IF(OR(Z187="",AA187=""),"",Z187+AA187)</x:f>
      </x:c>
      <x:c r="AC187" s="713"/>
      <x:c r="AD187" s="713"/>
      <x:c r="AE187" s="714"/>
      <x:c r="AF187" s="713"/>
      <x:c r="AG187" s="713"/>
      <x:c r="AH187" s="715"/>
      <x:c r="AI187" s="714"/>
      <x:c r="AJ187" s="713"/>
      <x:c r="AK187" s="715"/>
      <x:c r="AL187" s="713"/>
      <x:c r="AM187" s="716"/>
      <x:c r="AN187" s="716" t="str">
        <x:f>IF(AND(COUNTIF(AC187:AK187,"Ya")=0,AL187=""),IF(COUNTIF(AC187:AK187,"Belum Dinilai")&gt;0,"Belum Dinilai","Tidak ada risiko khusus"),TEXTJOIN(", ",TRUE,IF(AC187="Ya","Bangunan berpotensi roboh",""),IF(AD187="Ya","Bekas kebakaran dan tidak aman dihuni",""),IF(AE187="Ya","Atap atau dinding utama hampir runtuh",""),IF(AF187="Ya","Genangan yang membahayakan",""),IF(AG187="Ya","Struktur rumah tidak stabil",""),IF(AH187="Ya","Instalasi listrik berbahaya",""),IF(AI187="Ya","Komponen bangunan lepas atau lapuk",""),IF(AJ187="Ya","Akses keluar atau evakuasi terbatas",""),IF(AK187="Ya","Lokasi rawan bencana",""),IF(AL187&lt;&gt;"","Lainnya: "&amp;AL187,"")))</x:f>
        <x:v>Tidak ada risiko khusus</x:v>
      </x:c>
      <x:c r="AO187" s="716" t="str">
        <x:f>IF(AR187="","Belum Dinilai",IF(AR187=10,"Risiko Tinggi/Darurat",IF(AR187=5,"Risiko Sedang","Tidak Ada Risiko Khusus")))</x:f>
        <x:v>Belum Dinilai</x:v>
      </x:c>
      <x:c r="AP187" s="716"/>
      <x:c r="AQ187" s="719" t="str">
        <x:f>IF(OR(J187="",J187="Belum Dapat Ditentukan",L187="",L187="Belum Dinilai",N187="",N187="Belum Dinilai",P187="",P187="Belum Dinilai"),"",IF(J187="Permanen",0,IF(J187="Semipermanen",8,IF(J187="Nonpermanen",15,0)))+IF(L187="Baik",0,IF(L187="Rusak Ringan",5,IF(L187="Rusak Sedang",10,IF(L187="Rusak Berat",15,IF(L187="Tidak Ada/Terbuka",20,0)))))+IF(N187="Baik",0,IF(N187="Rusak Ringan",5,IF(N187="Rusak Sedang",10,IF(N187="Rusak Berat",15,IF(N187="Tidak Ada/Terbuka",20,0)))))+IF(P187="Baik",0,IF(P187="Rusak Ringan",4,IF(P187="Rusak Sedang",8,IF(P187="Rusak Berat",12,IF(P187="Tidak Layak",15,0))))))</x:f>
      </x:c>
      <x:c r="AR187" s="719" t="n">
        <x:f>IF(COUNTIF(AC187:AH187,"Ya")&gt;0,10,IF(COUNTIF(AI187:AK187,"Ya")&gt;=2,10,IF(COUNTIF(AI187:AK187,"Ya")=1,MAX(5,IF(AM187="Risiko Tinggi/Darurat",10,IF(AM187="Risiko Sedang",5,0))),IF(AL187&lt;&gt;"",IF(AM187="Risiko Tinggi/Darurat",10,IF(AM187="Risiko Sedang",5,"")),IF(COUNTIF(AC187:AK187,"Belum Dinilai")&gt;0,"",0)))))</x:f>
        <x:v>0</x:v>
      </x:c>
      <x:c r="AS187" s="719" t="str">
        <x:f>IF(OR(AQ187="",AB187="",AR187=""),"",AQ187+AB187+AR187)</x:f>
      </x:c>
      <x:c r="AT187" s="719" t="str">
        <x:f>IF(AS187="","Belum Dapat Ditentukan",IF(AS187&gt;=80,"Sangat Tinggi",IF(OR(AO187="Risiko Tinggi/Darurat",(IF(L187="Rusak Berat",1,0)+IF(L187="Tidak Ada/Terbuka",1,0)+IF(N187="Rusak Berat",1,0)+IF(N187="Tidak Ada/Terbuka",1,0)+IF(P187="Rusak Berat",1,0)+IF(P187="Tidak Layak",1,0))&gt;=2),"Tinggi",IF(AS187&gt;=65,"Tinggi",IF(AS187&gt;=50,"Sedang","Rendah")))))</x:f>
        <x:v>Belum Dapat Ditentukan</x:v>
      </x:c>
      <x:c r="AU187" s="240"/>
      <x:c r="AV187" s="240"/>
      <x:c r="AW187" s="240"/>
      <x:c r="AX187" s="240"/>
      <x:c r="AY187" s="240"/>
      <x:c r="AZ187" s="240"/>
      <x:c r="BA187" s="240"/>
      <x:c r="BB187" s="240"/>
      <x:c r="BC187" s="240"/>
      <x:c r="BD187" s="240"/>
      <x:c r="BE187" s="240"/>
      <x:c r="BF187" s="240"/>
    </x:row>
    <x:row r="188" ht="32" customHeight="1">
      <x:c r="A188" s="314"/>
      <x:c r="B188" s="315"/>
      <x:c r="C188" s="316"/>
      <x:c r="D188" s="316"/>
      <x:c r="E188" s="315"/>
      <x:c r="F188" s="315"/>
      <x:c r="G188" s="315"/>
      <x:c r="H188" s="315"/>
      <x:c r="I188" s="317"/>
      <x:c r="J188" s="315"/>
      <x:c r="K188" s="315"/>
      <x:c r="L188" s="315"/>
      <x:c r="M188" s="367"/>
      <x:c r="N188" s="315"/>
      <x:c r="O188" s="316"/>
      <x:c r="P188" s="349"/>
      <x:c r="Q188" s="707"/>
      <x:c r="R188" s="707"/>
      <x:c r="S188" s="708"/>
      <x:c r="T188" s="709"/>
      <x:c r="U188" s="704"/>
      <x:c r="V188" s="704"/>
      <x:c r="W188" s="704"/>
      <x:c r="X188" s="704" t="str">
        <x:f>IF(COUNTIF(R188:V188,"Belum Dinilai")&gt;0,"Belum Dinilai",IF(COUNTIF(R188:V188,"Ya")=0,"Tidak ada faktor rentan",TEXTJOIN(", ",TRUE,IF(R188="Ya","Lansia",""),IF(S188="Ya","Penyandang disabilitas",""),IF(T188="Ya","Kepala keluarga perempuan",""),IF(U188="Ya","Balita",""),IF(V188="Ya","Anggota keluarga dengan ketergantungan tinggi",""))))</x:f>
        <x:v>Tidak ada faktor rentan</x:v>
      </x:c>
      <x:c r="Y188" s="704" t="str">
        <x:f>IF(COUNTIF(R188:V188,"Belum Dinilai")&gt;0,"Belum Dinilai",IF(COUNTIF(R188:V188,"Ya")=0,"Tidak Ada Faktor Rentan",IF(COUNTIF(R188:V188,"Ya")=1,"1 Faktor Rentan","2 atau Lebih Faktor Rentan")))</x:f>
        <x:v>Tidak Ada Faktor Rentan</x:v>
      </x:c>
      <x:c r="Z188" s="704" t="str">
        <x:f>IF(OR(Q188="",Q188="Belum Dinilai"),"",IF(Q188="Terverifikasi DTKS/P3KE/MBR",10,IF(Q188="Diusulkan, Belum Terverifikasi",5,0)))</x:f>
      </x:c>
      <x:c r="AA188" s="705" t="n">
        <x:f>IF(COUNTIF(R188:V188,"Belum Dinilai")&gt;0,"",IF(COUNTIF(R188:V188,"Ya")=0,0,IF(COUNTIF(R188:V188,"Ya")=1,5,10)))</x:f>
        <x:v>0</x:v>
      </x:c>
      <x:c r="AB188" s="706" t="str">
        <x:f>IF(OR(Z188="",AA188=""),"",Z188+AA188)</x:f>
      </x:c>
      <x:c r="AC188" s="713"/>
      <x:c r="AD188" s="713"/>
      <x:c r="AE188" s="714"/>
      <x:c r="AF188" s="713"/>
      <x:c r="AG188" s="713"/>
      <x:c r="AH188" s="715"/>
      <x:c r="AI188" s="714"/>
      <x:c r="AJ188" s="713"/>
      <x:c r="AK188" s="715"/>
      <x:c r="AL188" s="713"/>
      <x:c r="AM188" s="716"/>
      <x:c r="AN188" s="716" t="str">
        <x:f>IF(AND(COUNTIF(AC188:AK188,"Ya")=0,AL188=""),IF(COUNTIF(AC188:AK188,"Belum Dinilai")&gt;0,"Belum Dinilai","Tidak ada risiko khusus"),TEXTJOIN(", ",TRUE,IF(AC188="Ya","Bangunan berpotensi roboh",""),IF(AD188="Ya","Bekas kebakaran dan tidak aman dihuni",""),IF(AE188="Ya","Atap atau dinding utama hampir runtuh",""),IF(AF188="Ya","Genangan yang membahayakan",""),IF(AG188="Ya","Struktur rumah tidak stabil",""),IF(AH188="Ya","Instalasi listrik berbahaya",""),IF(AI188="Ya","Komponen bangunan lepas atau lapuk",""),IF(AJ188="Ya","Akses keluar atau evakuasi terbatas",""),IF(AK188="Ya","Lokasi rawan bencana",""),IF(AL188&lt;&gt;"","Lainnya: "&amp;AL188,"")))</x:f>
        <x:v>Tidak ada risiko khusus</x:v>
      </x:c>
      <x:c r="AO188" s="716" t="str">
        <x:f>IF(AR188="","Belum Dinilai",IF(AR188=10,"Risiko Tinggi/Darurat",IF(AR188=5,"Risiko Sedang","Tidak Ada Risiko Khusus")))</x:f>
        <x:v>Belum Dinilai</x:v>
      </x:c>
      <x:c r="AP188" s="716"/>
      <x:c r="AQ188" s="719" t="str">
        <x:f>IF(OR(J188="",J188="Belum Dapat Ditentukan",L188="",L188="Belum Dinilai",N188="",N188="Belum Dinilai",P188="",P188="Belum Dinilai"),"",IF(J188="Permanen",0,IF(J188="Semipermanen",8,IF(J188="Nonpermanen",15,0)))+IF(L188="Baik",0,IF(L188="Rusak Ringan",5,IF(L188="Rusak Sedang",10,IF(L188="Rusak Berat",15,IF(L188="Tidak Ada/Terbuka",20,0)))))+IF(N188="Baik",0,IF(N188="Rusak Ringan",5,IF(N188="Rusak Sedang",10,IF(N188="Rusak Berat",15,IF(N188="Tidak Ada/Terbuka",20,0)))))+IF(P188="Baik",0,IF(P188="Rusak Ringan",4,IF(P188="Rusak Sedang",8,IF(P188="Rusak Berat",12,IF(P188="Tidak Layak",15,0))))))</x:f>
      </x:c>
      <x:c r="AR188" s="719" t="n">
        <x:f>IF(COUNTIF(AC188:AH188,"Ya")&gt;0,10,IF(COUNTIF(AI188:AK188,"Ya")&gt;=2,10,IF(COUNTIF(AI188:AK188,"Ya")=1,MAX(5,IF(AM188="Risiko Tinggi/Darurat",10,IF(AM188="Risiko Sedang",5,0))),IF(AL188&lt;&gt;"",IF(AM188="Risiko Tinggi/Darurat",10,IF(AM188="Risiko Sedang",5,"")),IF(COUNTIF(AC188:AK188,"Belum Dinilai")&gt;0,"",0)))))</x:f>
        <x:v>0</x:v>
      </x:c>
      <x:c r="AS188" s="719" t="str">
        <x:f>IF(OR(AQ188="",AB188="",AR188=""),"",AQ188+AB188+AR188)</x:f>
      </x:c>
      <x:c r="AT188" s="719" t="str">
        <x:f>IF(AS188="","Belum Dapat Ditentukan",IF(AS188&gt;=80,"Sangat Tinggi",IF(OR(AO188="Risiko Tinggi/Darurat",(IF(L188="Rusak Berat",1,0)+IF(L188="Tidak Ada/Terbuka",1,0)+IF(N188="Rusak Berat",1,0)+IF(N188="Tidak Ada/Terbuka",1,0)+IF(P188="Rusak Berat",1,0)+IF(P188="Tidak Layak",1,0))&gt;=2),"Tinggi",IF(AS188&gt;=65,"Tinggi",IF(AS188&gt;=50,"Sedang","Rendah")))))</x:f>
        <x:v>Belum Dapat Ditentukan</x:v>
      </x:c>
      <x:c r="AU188" s="240"/>
      <x:c r="AV188" s="240"/>
      <x:c r="AW188" s="240"/>
      <x:c r="AX188" s="240"/>
      <x:c r="AY188" s="240"/>
      <x:c r="AZ188" s="240"/>
      <x:c r="BA188" s="240"/>
      <x:c r="BB188" s="240"/>
      <x:c r="BC188" s="240"/>
      <x:c r="BD188" s="240"/>
      <x:c r="BE188" s="240"/>
      <x:c r="BF188" s="240"/>
    </x:row>
    <x:row r="189" ht="32" customHeight="1">
      <x:c r="A189" s="314"/>
      <x:c r="B189" s="315"/>
      <x:c r="C189" s="316"/>
      <x:c r="D189" s="316"/>
      <x:c r="E189" s="315"/>
      <x:c r="F189" s="315"/>
      <x:c r="G189" s="315"/>
      <x:c r="H189" s="315"/>
      <x:c r="I189" s="317"/>
      <x:c r="J189" s="315"/>
      <x:c r="K189" s="315"/>
      <x:c r="L189" s="315"/>
      <x:c r="M189" s="367"/>
      <x:c r="N189" s="315"/>
      <x:c r="O189" s="316"/>
      <x:c r="P189" s="349"/>
      <x:c r="Q189" s="707"/>
      <x:c r="R189" s="707"/>
      <x:c r="S189" s="708"/>
      <x:c r="T189" s="709"/>
      <x:c r="U189" s="704"/>
      <x:c r="V189" s="704"/>
      <x:c r="W189" s="704"/>
      <x:c r="X189" s="704" t="str">
        <x:f>IF(COUNTIF(R189:V189,"Belum Dinilai")&gt;0,"Belum Dinilai",IF(COUNTIF(R189:V189,"Ya")=0,"Tidak ada faktor rentan",TEXTJOIN(", ",TRUE,IF(R189="Ya","Lansia",""),IF(S189="Ya","Penyandang disabilitas",""),IF(T189="Ya","Kepala keluarga perempuan",""),IF(U189="Ya","Balita",""),IF(V189="Ya","Anggota keluarga dengan ketergantungan tinggi",""))))</x:f>
        <x:v>Tidak ada faktor rentan</x:v>
      </x:c>
      <x:c r="Y189" s="704" t="str">
        <x:f>IF(COUNTIF(R189:V189,"Belum Dinilai")&gt;0,"Belum Dinilai",IF(COUNTIF(R189:V189,"Ya")=0,"Tidak Ada Faktor Rentan",IF(COUNTIF(R189:V189,"Ya")=1,"1 Faktor Rentan","2 atau Lebih Faktor Rentan")))</x:f>
        <x:v>Tidak Ada Faktor Rentan</x:v>
      </x:c>
      <x:c r="Z189" s="704" t="str">
        <x:f>IF(OR(Q189="",Q189="Belum Dinilai"),"",IF(Q189="Terverifikasi DTKS/P3KE/MBR",10,IF(Q189="Diusulkan, Belum Terverifikasi",5,0)))</x:f>
      </x:c>
      <x:c r="AA189" s="705" t="n">
        <x:f>IF(COUNTIF(R189:V189,"Belum Dinilai")&gt;0,"",IF(COUNTIF(R189:V189,"Ya")=0,0,IF(COUNTIF(R189:V189,"Ya")=1,5,10)))</x:f>
        <x:v>0</x:v>
      </x:c>
      <x:c r="AB189" s="706" t="str">
        <x:f>IF(OR(Z189="",AA189=""),"",Z189+AA189)</x:f>
      </x:c>
      <x:c r="AC189" s="713"/>
      <x:c r="AD189" s="713"/>
      <x:c r="AE189" s="714"/>
      <x:c r="AF189" s="713"/>
      <x:c r="AG189" s="713"/>
      <x:c r="AH189" s="715"/>
      <x:c r="AI189" s="714"/>
      <x:c r="AJ189" s="713"/>
      <x:c r="AK189" s="715"/>
      <x:c r="AL189" s="713"/>
      <x:c r="AM189" s="716"/>
      <x:c r="AN189" s="716" t="str">
        <x:f>IF(AND(COUNTIF(AC189:AK189,"Ya")=0,AL189=""),IF(COUNTIF(AC189:AK189,"Belum Dinilai")&gt;0,"Belum Dinilai","Tidak ada risiko khusus"),TEXTJOIN(", ",TRUE,IF(AC189="Ya","Bangunan berpotensi roboh",""),IF(AD189="Ya","Bekas kebakaran dan tidak aman dihuni",""),IF(AE189="Ya","Atap atau dinding utama hampir runtuh",""),IF(AF189="Ya","Genangan yang membahayakan",""),IF(AG189="Ya","Struktur rumah tidak stabil",""),IF(AH189="Ya","Instalasi listrik berbahaya",""),IF(AI189="Ya","Komponen bangunan lepas atau lapuk",""),IF(AJ189="Ya","Akses keluar atau evakuasi terbatas",""),IF(AK189="Ya","Lokasi rawan bencana",""),IF(AL189&lt;&gt;"","Lainnya: "&amp;AL189,"")))</x:f>
        <x:v>Tidak ada risiko khusus</x:v>
      </x:c>
      <x:c r="AO189" s="716" t="str">
        <x:f>IF(AR189="","Belum Dinilai",IF(AR189=10,"Risiko Tinggi/Darurat",IF(AR189=5,"Risiko Sedang","Tidak Ada Risiko Khusus")))</x:f>
        <x:v>Belum Dinilai</x:v>
      </x:c>
      <x:c r="AP189" s="716"/>
      <x:c r="AQ189" s="719" t="str">
        <x:f>IF(OR(J189="",J189="Belum Dapat Ditentukan",L189="",L189="Belum Dinilai",N189="",N189="Belum Dinilai",P189="",P189="Belum Dinilai"),"",IF(J189="Permanen",0,IF(J189="Semipermanen",8,IF(J189="Nonpermanen",15,0)))+IF(L189="Baik",0,IF(L189="Rusak Ringan",5,IF(L189="Rusak Sedang",10,IF(L189="Rusak Berat",15,IF(L189="Tidak Ada/Terbuka",20,0)))))+IF(N189="Baik",0,IF(N189="Rusak Ringan",5,IF(N189="Rusak Sedang",10,IF(N189="Rusak Berat",15,IF(N189="Tidak Ada/Terbuka",20,0)))))+IF(P189="Baik",0,IF(P189="Rusak Ringan",4,IF(P189="Rusak Sedang",8,IF(P189="Rusak Berat",12,IF(P189="Tidak Layak",15,0))))))</x:f>
      </x:c>
      <x:c r="AR189" s="719" t="n">
        <x:f>IF(COUNTIF(AC189:AH189,"Ya")&gt;0,10,IF(COUNTIF(AI189:AK189,"Ya")&gt;=2,10,IF(COUNTIF(AI189:AK189,"Ya")=1,MAX(5,IF(AM189="Risiko Tinggi/Darurat",10,IF(AM189="Risiko Sedang",5,0))),IF(AL189&lt;&gt;"",IF(AM189="Risiko Tinggi/Darurat",10,IF(AM189="Risiko Sedang",5,"")),IF(COUNTIF(AC189:AK189,"Belum Dinilai")&gt;0,"",0)))))</x:f>
        <x:v>0</x:v>
      </x:c>
      <x:c r="AS189" s="719" t="str">
        <x:f>IF(OR(AQ189="",AB189="",AR189=""),"",AQ189+AB189+AR189)</x:f>
      </x:c>
      <x:c r="AT189" s="719" t="str">
        <x:f>IF(AS189="","Belum Dapat Ditentukan",IF(AS189&gt;=80,"Sangat Tinggi",IF(OR(AO189="Risiko Tinggi/Darurat",(IF(L189="Rusak Berat",1,0)+IF(L189="Tidak Ada/Terbuka",1,0)+IF(N189="Rusak Berat",1,0)+IF(N189="Tidak Ada/Terbuka",1,0)+IF(P189="Rusak Berat",1,0)+IF(P189="Tidak Layak",1,0))&gt;=2),"Tinggi",IF(AS189&gt;=65,"Tinggi",IF(AS189&gt;=50,"Sedang","Rendah")))))</x:f>
        <x:v>Belum Dapat Ditentukan</x:v>
      </x:c>
      <x:c r="AU189" s="240"/>
      <x:c r="AV189" s="240"/>
      <x:c r="AW189" s="240"/>
      <x:c r="AX189" s="240"/>
      <x:c r="AY189" s="240"/>
      <x:c r="AZ189" s="240"/>
      <x:c r="BA189" s="240"/>
      <x:c r="BB189" s="240"/>
      <x:c r="BC189" s="240"/>
      <x:c r="BD189" s="240"/>
      <x:c r="BE189" s="240"/>
      <x:c r="BF189" s="240"/>
    </x:row>
    <x:row r="190" ht="32" customHeight="1">
      <x:c r="A190" s="314"/>
      <x:c r="B190" s="315"/>
      <x:c r="C190" s="316"/>
      <x:c r="D190" s="316"/>
      <x:c r="E190" s="315"/>
      <x:c r="F190" s="315"/>
      <x:c r="G190" s="315"/>
      <x:c r="H190" s="315"/>
      <x:c r="I190" s="317"/>
      <x:c r="J190" s="315"/>
      <x:c r="K190" s="315"/>
      <x:c r="L190" s="315"/>
      <x:c r="M190" s="367"/>
      <x:c r="N190" s="315"/>
      <x:c r="O190" s="316"/>
      <x:c r="P190" s="349"/>
      <x:c r="Q190" s="707"/>
      <x:c r="R190" s="707"/>
      <x:c r="S190" s="708"/>
      <x:c r="T190" s="709"/>
      <x:c r="U190" s="704"/>
      <x:c r="V190" s="704"/>
      <x:c r="W190" s="704"/>
      <x:c r="X190" s="704" t="str">
        <x:f>IF(COUNTIF(R190:V190,"Belum Dinilai")&gt;0,"Belum Dinilai",IF(COUNTIF(R190:V190,"Ya")=0,"Tidak ada faktor rentan",TEXTJOIN(", ",TRUE,IF(R190="Ya","Lansia",""),IF(S190="Ya","Penyandang disabilitas",""),IF(T190="Ya","Kepala keluarga perempuan",""),IF(U190="Ya","Balita",""),IF(V190="Ya","Anggota keluarga dengan ketergantungan tinggi",""))))</x:f>
        <x:v>Tidak ada faktor rentan</x:v>
      </x:c>
      <x:c r="Y190" s="704" t="str">
        <x:f>IF(COUNTIF(R190:V190,"Belum Dinilai")&gt;0,"Belum Dinilai",IF(COUNTIF(R190:V190,"Ya")=0,"Tidak Ada Faktor Rentan",IF(COUNTIF(R190:V190,"Ya")=1,"1 Faktor Rentan","2 atau Lebih Faktor Rentan")))</x:f>
        <x:v>Tidak Ada Faktor Rentan</x:v>
      </x:c>
      <x:c r="Z190" s="704" t="str">
        <x:f>IF(OR(Q190="",Q190="Belum Dinilai"),"",IF(Q190="Terverifikasi DTKS/P3KE/MBR",10,IF(Q190="Diusulkan, Belum Terverifikasi",5,0)))</x:f>
      </x:c>
      <x:c r="AA190" s="705" t="n">
        <x:f>IF(COUNTIF(R190:V190,"Belum Dinilai")&gt;0,"",IF(COUNTIF(R190:V190,"Ya")=0,0,IF(COUNTIF(R190:V190,"Ya")=1,5,10)))</x:f>
        <x:v>0</x:v>
      </x:c>
      <x:c r="AB190" s="706" t="str">
        <x:f>IF(OR(Z190="",AA190=""),"",Z190+AA190)</x:f>
      </x:c>
      <x:c r="AC190" s="713"/>
      <x:c r="AD190" s="713"/>
      <x:c r="AE190" s="714"/>
      <x:c r="AF190" s="713"/>
      <x:c r="AG190" s="713"/>
      <x:c r="AH190" s="715"/>
      <x:c r="AI190" s="714"/>
      <x:c r="AJ190" s="713"/>
      <x:c r="AK190" s="715"/>
      <x:c r="AL190" s="713"/>
      <x:c r="AM190" s="716"/>
      <x:c r="AN190" s="716" t="str">
        <x:f>IF(AND(COUNTIF(AC190:AK190,"Ya")=0,AL190=""),IF(COUNTIF(AC190:AK190,"Belum Dinilai")&gt;0,"Belum Dinilai","Tidak ada risiko khusus"),TEXTJOIN(", ",TRUE,IF(AC190="Ya","Bangunan berpotensi roboh",""),IF(AD190="Ya","Bekas kebakaran dan tidak aman dihuni",""),IF(AE190="Ya","Atap atau dinding utama hampir runtuh",""),IF(AF190="Ya","Genangan yang membahayakan",""),IF(AG190="Ya","Struktur rumah tidak stabil",""),IF(AH190="Ya","Instalasi listrik berbahaya",""),IF(AI190="Ya","Komponen bangunan lepas atau lapuk",""),IF(AJ190="Ya","Akses keluar atau evakuasi terbatas",""),IF(AK190="Ya","Lokasi rawan bencana",""),IF(AL190&lt;&gt;"","Lainnya: "&amp;AL190,"")))</x:f>
        <x:v>Tidak ada risiko khusus</x:v>
      </x:c>
      <x:c r="AO190" s="716" t="str">
        <x:f>IF(AR190="","Belum Dinilai",IF(AR190=10,"Risiko Tinggi/Darurat",IF(AR190=5,"Risiko Sedang","Tidak Ada Risiko Khusus")))</x:f>
        <x:v>Belum Dinilai</x:v>
      </x:c>
      <x:c r="AP190" s="716"/>
      <x:c r="AQ190" s="719" t="str">
        <x:f>IF(OR(J190="",J190="Belum Dapat Ditentukan",L190="",L190="Belum Dinilai",N190="",N190="Belum Dinilai",P190="",P190="Belum Dinilai"),"",IF(J190="Permanen",0,IF(J190="Semipermanen",8,IF(J190="Nonpermanen",15,0)))+IF(L190="Baik",0,IF(L190="Rusak Ringan",5,IF(L190="Rusak Sedang",10,IF(L190="Rusak Berat",15,IF(L190="Tidak Ada/Terbuka",20,0)))))+IF(N190="Baik",0,IF(N190="Rusak Ringan",5,IF(N190="Rusak Sedang",10,IF(N190="Rusak Berat",15,IF(N190="Tidak Ada/Terbuka",20,0)))))+IF(P190="Baik",0,IF(P190="Rusak Ringan",4,IF(P190="Rusak Sedang",8,IF(P190="Rusak Berat",12,IF(P190="Tidak Layak",15,0))))))</x:f>
      </x:c>
      <x:c r="AR190" s="719" t="n">
        <x:f>IF(COUNTIF(AC190:AH190,"Ya")&gt;0,10,IF(COUNTIF(AI190:AK190,"Ya")&gt;=2,10,IF(COUNTIF(AI190:AK190,"Ya")=1,MAX(5,IF(AM190="Risiko Tinggi/Darurat",10,IF(AM190="Risiko Sedang",5,0))),IF(AL190&lt;&gt;"",IF(AM190="Risiko Tinggi/Darurat",10,IF(AM190="Risiko Sedang",5,"")),IF(COUNTIF(AC190:AK190,"Belum Dinilai")&gt;0,"",0)))))</x:f>
        <x:v>0</x:v>
      </x:c>
      <x:c r="AS190" s="719" t="str">
        <x:f>IF(OR(AQ190="",AB190="",AR190=""),"",AQ190+AB190+AR190)</x:f>
      </x:c>
      <x:c r="AT190" s="719" t="str">
        <x:f>IF(AS190="","Belum Dapat Ditentukan",IF(AS190&gt;=80,"Sangat Tinggi",IF(OR(AO190="Risiko Tinggi/Darurat",(IF(L190="Rusak Berat",1,0)+IF(L190="Tidak Ada/Terbuka",1,0)+IF(N190="Rusak Berat",1,0)+IF(N190="Tidak Ada/Terbuka",1,0)+IF(P190="Rusak Berat",1,0)+IF(P190="Tidak Layak",1,0))&gt;=2),"Tinggi",IF(AS190&gt;=65,"Tinggi",IF(AS190&gt;=50,"Sedang","Rendah")))))</x:f>
        <x:v>Belum Dapat Ditentukan</x:v>
      </x:c>
      <x:c r="AU190" s="240"/>
      <x:c r="AV190" s="240"/>
      <x:c r="AW190" s="240"/>
      <x:c r="AX190" s="240"/>
      <x:c r="AY190" s="240"/>
      <x:c r="AZ190" s="240"/>
      <x:c r="BA190" s="240"/>
      <x:c r="BB190" s="240"/>
      <x:c r="BC190" s="240"/>
      <x:c r="BD190" s="240"/>
      <x:c r="BE190" s="240"/>
      <x:c r="BF190" s="240"/>
    </x:row>
    <x:row r="191" ht="32" customHeight="1">
      <x:c r="A191" s="314"/>
      <x:c r="B191" s="315"/>
      <x:c r="C191" s="316"/>
      <x:c r="D191" s="316"/>
      <x:c r="E191" s="315"/>
      <x:c r="F191" s="315"/>
      <x:c r="G191" s="315"/>
      <x:c r="H191" s="315"/>
      <x:c r="I191" s="317"/>
      <x:c r="J191" s="315"/>
      <x:c r="K191" s="315"/>
      <x:c r="L191" s="315"/>
      <x:c r="M191" s="367"/>
      <x:c r="N191" s="315"/>
      <x:c r="O191" s="316"/>
      <x:c r="P191" s="349"/>
      <x:c r="Q191" s="707"/>
      <x:c r="R191" s="707"/>
      <x:c r="S191" s="708"/>
      <x:c r="T191" s="709"/>
      <x:c r="U191" s="704"/>
      <x:c r="V191" s="704"/>
      <x:c r="W191" s="704"/>
      <x:c r="X191" s="704" t="str">
        <x:f>IF(COUNTIF(R191:V191,"Belum Dinilai")&gt;0,"Belum Dinilai",IF(COUNTIF(R191:V191,"Ya")=0,"Tidak ada faktor rentan",TEXTJOIN(", ",TRUE,IF(R191="Ya","Lansia",""),IF(S191="Ya","Penyandang disabilitas",""),IF(T191="Ya","Kepala keluarga perempuan",""),IF(U191="Ya","Balita",""),IF(V191="Ya","Anggota keluarga dengan ketergantungan tinggi",""))))</x:f>
        <x:v>Tidak ada faktor rentan</x:v>
      </x:c>
      <x:c r="Y191" s="704" t="str">
        <x:f>IF(COUNTIF(R191:V191,"Belum Dinilai")&gt;0,"Belum Dinilai",IF(COUNTIF(R191:V191,"Ya")=0,"Tidak Ada Faktor Rentan",IF(COUNTIF(R191:V191,"Ya")=1,"1 Faktor Rentan","2 atau Lebih Faktor Rentan")))</x:f>
        <x:v>Tidak Ada Faktor Rentan</x:v>
      </x:c>
      <x:c r="Z191" s="704" t="str">
        <x:f>IF(OR(Q191="",Q191="Belum Dinilai"),"",IF(Q191="Terverifikasi DTKS/P3KE/MBR",10,IF(Q191="Diusulkan, Belum Terverifikasi",5,0)))</x:f>
      </x:c>
      <x:c r="AA191" s="705" t="n">
        <x:f>IF(COUNTIF(R191:V191,"Belum Dinilai")&gt;0,"",IF(COUNTIF(R191:V191,"Ya")=0,0,IF(COUNTIF(R191:V191,"Ya")=1,5,10)))</x:f>
        <x:v>0</x:v>
      </x:c>
      <x:c r="AB191" s="706" t="str">
        <x:f>IF(OR(Z191="",AA191=""),"",Z191+AA191)</x:f>
      </x:c>
      <x:c r="AC191" s="713"/>
      <x:c r="AD191" s="713"/>
      <x:c r="AE191" s="714"/>
      <x:c r="AF191" s="713"/>
      <x:c r="AG191" s="713"/>
      <x:c r="AH191" s="715"/>
      <x:c r="AI191" s="714"/>
      <x:c r="AJ191" s="713"/>
      <x:c r="AK191" s="715"/>
      <x:c r="AL191" s="713"/>
      <x:c r="AM191" s="716"/>
      <x:c r="AN191" s="716" t="str">
        <x:f>IF(AND(COUNTIF(AC191:AK191,"Ya")=0,AL191=""),IF(COUNTIF(AC191:AK191,"Belum Dinilai")&gt;0,"Belum Dinilai","Tidak ada risiko khusus"),TEXTJOIN(", ",TRUE,IF(AC191="Ya","Bangunan berpotensi roboh",""),IF(AD191="Ya","Bekas kebakaran dan tidak aman dihuni",""),IF(AE191="Ya","Atap atau dinding utama hampir runtuh",""),IF(AF191="Ya","Genangan yang membahayakan",""),IF(AG191="Ya","Struktur rumah tidak stabil",""),IF(AH191="Ya","Instalasi listrik berbahaya",""),IF(AI191="Ya","Komponen bangunan lepas atau lapuk",""),IF(AJ191="Ya","Akses keluar atau evakuasi terbatas",""),IF(AK191="Ya","Lokasi rawan bencana",""),IF(AL191&lt;&gt;"","Lainnya: "&amp;AL191,"")))</x:f>
        <x:v>Tidak ada risiko khusus</x:v>
      </x:c>
      <x:c r="AO191" s="716" t="str">
        <x:f>IF(AR191="","Belum Dinilai",IF(AR191=10,"Risiko Tinggi/Darurat",IF(AR191=5,"Risiko Sedang","Tidak Ada Risiko Khusus")))</x:f>
        <x:v>Belum Dinilai</x:v>
      </x:c>
      <x:c r="AP191" s="716"/>
      <x:c r="AQ191" s="719" t="str">
        <x:f>IF(OR(J191="",J191="Belum Dapat Ditentukan",L191="",L191="Belum Dinilai",N191="",N191="Belum Dinilai",P191="",P191="Belum Dinilai"),"",IF(J191="Permanen",0,IF(J191="Semipermanen",8,IF(J191="Nonpermanen",15,0)))+IF(L191="Baik",0,IF(L191="Rusak Ringan",5,IF(L191="Rusak Sedang",10,IF(L191="Rusak Berat",15,IF(L191="Tidak Ada/Terbuka",20,0)))))+IF(N191="Baik",0,IF(N191="Rusak Ringan",5,IF(N191="Rusak Sedang",10,IF(N191="Rusak Berat",15,IF(N191="Tidak Ada/Terbuka",20,0)))))+IF(P191="Baik",0,IF(P191="Rusak Ringan",4,IF(P191="Rusak Sedang",8,IF(P191="Rusak Berat",12,IF(P191="Tidak Layak",15,0))))))</x:f>
      </x:c>
      <x:c r="AR191" s="719" t="n">
        <x:f>IF(COUNTIF(AC191:AH191,"Ya")&gt;0,10,IF(COUNTIF(AI191:AK191,"Ya")&gt;=2,10,IF(COUNTIF(AI191:AK191,"Ya")=1,MAX(5,IF(AM191="Risiko Tinggi/Darurat",10,IF(AM191="Risiko Sedang",5,0))),IF(AL191&lt;&gt;"",IF(AM191="Risiko Tinggi/Darurat",10,IF(AM191="Risiko Sedang",5,"")),IF(COUNTIF(AC191:AK191,"Belum Dinilai")&gt;0,"",0)))))</x:f>
        <x:v>0</x:v>
      </x:c>
      <x:c r="AS191" s="719" t="str">
        <x:f>IF(OR(AQ191="",AB191="",AR191=""),"",AQ191+AB191+AR191)</x:f>
      </x:c>
      <x:c r="AT191" s="719" t="str">
        <x:f>IF(AS191="","Belum Dapat Ditentukan",IF(AS191&gt;=80,"Sangat Tinggi",IF(OR(AO191="Risiko Tinggi/Darurat",(IF(L191="Rusak Berat",1,0)+IF(L191="Tidak Ada/Terbuka",1,0)+IF(N191="Rusak Berat",1,0)+IF(N191="Tidak Ada/Terbuka",1,0)+IF(P191="Rusak Berat",1,0)+IF(P191="Tidak Layak",1,0))&gt;=2),"Tinggi",IF(AS191&gt;=65,"Tinggi",IF(AS191&gt;=50,"Sedang","Rendah")))))</x:f>
        <x:v>Belum Dapat Ditentukan</x:v>
      </x:c>
      <x:c r="AU191" s="240"/>
      <x:c r="AV191" s="240"/>
      <x:c r="AW191" s="240"/>
      <x:c r="AX191" s="240"/>
      <x:c r="AY191" s="240"/>
      <x:c r="AZ191" s="240"/>
      <x:c r="BA191" s="240"/>
      <x:c r="BB191" s="240"/>
      <x:c r="BC191" s="240"/>
      <x:c r="BD191" s="240"/>
      <x:c r="BE191" s="240"/>
      <x:c r="BF191" s="240"/>
    </x:row>
    <x:row r="192" ht="32" customHeight="1">
      <x:c r="A192" s="314"/>
      <x:c r="B192" s="315"/>
      <x:c r="C192" s="316"/>
      <x:c r="D192" s="316"/>
      <x:c r="E192" s="315"/>
      <x:c r="F192" s="315"/>
      <x:c r="G192" s="315"/>
      <x:c r="H192" s="315"/>
      <x:c r="I192" s="317"/>
      <x:c r="J192" s="315"/>
      <x:c r="K192" s="315"/>
      <x:c r="L192" s="315"/>
      <x:c r="M192" s="367"/>
      <x:c r="N192" s="315"/>
      <x:c r="O192" s="316"/>
      <x:c r="P192" s="349"/>
      <x:c r="Q192" s="707"/>
      <x:c r="R192" s="707"/>
      <x:c r="S192" s="708"/>
      <x:c r="T192" s="709"/>
      <x:c r="U192" s="704"/>
      <x:c r="V192" s="704"/>
      <x:c r="W192" s="704"/>
      <x:c r="X192" s="704" t="str">
        <x:f>IF(COUNTIF(R192:V192,"Belum Dinilai")&gt;0,"Belum Dinilai",IF(COUNTIF(R192:V192,"Ya")=0,"Tidak ada faktor rentan",TEXTJOIN(", ",TRUE,IF(R192="Ya","Lansia",""),IF(S192="Ya","Penyandang disabilitas",""),IF(T192="Ya","Kepala keluarga perempuan",""),IF(U192="Ya","Balita",""),IF(V192="Ya","Anggota keluarga dengan ketergantungan tinggi",""))))</x:f>
        <x:v>Tidak ada faktor rentan</x:v>
      </x:c>
      <x:c r="Y192" s="704" t="str">
        <x:f>IF(COUNTIF(R192:V192,"Belum Dinilai")&gt;0,"Belum Dinilai",IF(COUNTIF(R192:V192,"Ya")=0,"Tidak Ada Faktor Rentan",IF(COUNTIF(R192:V192,"Ya")=1,"1 Faktor Rentan","2 atau Lebih Faktor Rentan")))</x:f>
        <x:v>Tidak Ada Faktor Rentan</x:v>
      </x:c>
      <x:c r="Z192" s="704" t="str">
        <x:f>IF(OR(Q192="",Q192="Belum Dinilai"),"",IF(Q192="Terverifikasi DTKS/P3KE/MBR",10,IF(Q192="Diusulkan, Belum Terverifikasi",5,0)))</x:f>
      </x:c>
      <x:c r="AA192" s="705" t="n">
        <x:f>IF(COUNTIF(R192:V192,"Belum Dinilai")&gt;0,"",IF(COUNTIF(R192:V192,"Ya")=0,0,IF(COUNTIF(R192:V192,"Ya")=1,5,10)))</x:f>
        <x:v>0</x:v>
      </x:c>
      <x:c r="AB192" s="706" t="str">
        <x:f>IF(OR(Z192="",AA192=""),"",Z192+AA192)</x:f>
      </x:c>
      <x:c r="AC192" s="713"/>
      <x:c r="AD192" s="713"/>
      <x:c r="AE192" s="714"/>
      <x:c r="AF192" s="713"/>
      <x:c r="AG192" s="713"/>
      <x:c r="AH192" s="715"/>
      <x:c r="AI192" s="714"/>
      <x:c r="AJ192" s="713"/>
      <x:c r="AK192" s="715"/>
      <x:c r="AL192" s="713"/>
      <x:c r="AM192" s="716"/>
      <x:c r="AN192" s="716" t="str">
        <x:f>IF(AND(COUNTIF(AC192:AK192,"Ya")=0,AL192=""),IF(COUNTIF(AC192:AK192,"Belum Dinilai")&gt;0,"Belum Dinilai","Tidak ada risiko khusus"),TEXTJOIN(", ",TRUE,IF(AC192="Ya","Bangunan berpotensi roboh",""),IF(AD192="Ya","Bekas kebakaran dan tidak aman dihuni",""),IF(AE192="Ya","Atap atau dinding utama hampir runtuh",""),IF(AF192="Ya","Genangan yang membahayakan",""),IF(AG192="Ya","Struktur rumah tidak stabil",""),IF(AH192="Ya","Instalasi listrik berbahaya",""),IF(AI192="Ya","Komponen bangunan lepas atau lapuk",""),IF(AJ192="Ya","Akses keluar atau evakuasi terbatas",""),IF(AK192="Ya","Lokasi rawan bencana",""),IF(AL192&lt;&gt;"","Lainnya: "&amp;AL192,"")))</x:f>
        <x:v>Tidak ada risiko khusus</x:v>
      </x:c>
      <x:c r="AO192" s="716" t="str">
        <x:f>IF(AR192="","Belum Dinilai",IF(AR192=10,"Risiko Tinggi/Darurat",IF(AR192=5,"Risiko Sedang","Tidak Ada Risiko Khusus")))</x:f>
        <x:v>Belum Dinilai</x:v>
      </x:c>
      <x:c r="AP192" s="716"/>
      <x:c r="AQ192" s="719" t="str">
        <x:f>IF(OR(J192="",J192="Belum Dapat Ditentukan",L192="",L192="Belum Dinilai",N192="",N192="Belum Dinilai",P192="",P192="Belum Dinilai"),"",IF(J192="Permanen",0,IF(J192="Semipermanen",8,IF(J192="Nonpermanen",15,0)))+IF(L192="Baik",0,IF(L192="Rusak Ringan",5,IF(L192="Rusak Sedang",10,IF(L192="Rusak Berat",15,IF(L192="Tidak Ada/Terbuka",20,0)))))+IF(N192="Baik",0,IF(N192="Rusak Ringan",5,IF(N192="Rusak Sedang",10,IF(N192="Rusak Berat",15,IF(N192="Tidak Ada/Terbuka",20,0)))))+IF(P192="Baik",0,IF(P192="Rusak Ringan",4,IF(P192="Rusak Sedang",8,IF(P192="Rusak Berat",12,IF(P192="Tidak Layak",15,0))))))</x:f>
      </x:c>
      <x:c r="AR192" s="719" t="n">
        <x:f>IF(COUNTIF(AC192:AH192,"Ya")&gt;0,10,IF(COUNTIF(AI192:AK192,"Ya")&gt;=2,10,IF(COUNTIF(AI192:AK192,"Ya")=1,MAX(5,IF(AM192="Risiko Tinggi/Darurat",10,IF(AM192="Risiko Sedang",5,0))),IF(AL192&lt;&gt;"",IF(AM192="Risiko Tinggi/Darurat",10,IF(AM192="Risiko Sedang",5,"")),IF(COUNTIF(AC192:AK192,"Belum Dinilai")&gt;0,"",0)))))</x:f>
        <x:v>0</x:v>
      </x:c>
      <x:c r="AS192" s="719" t="str">
        <x:f>IF(OR(AQ192="",AB192="",AR192=""),"",AQ192+AB192+AR192)</x:f>
      </x:c>
      <x:c r="AT192" s="719" t="str">
        <x:f>IF(AS192="","Belum Dapat Ditentukan",IF(AS192&gt;=80,"Sangat Tinggi",IF(OR(AO192="Risiko Tinggi/Darurat",(IF(L192="Rusak Berat",1,0)+IF(L192="Tidak Ada/Terbuka",1,0)+IF(N192="Rusak Berat",1,0)+IF(N192="Tidak Ada/Terbuka",1,0)+IF(P192="Rusak Berat",1,0)+IF(P192="Tidak Layak",1,0))&gt;=2),"Tinggi",IF(AS192&gt;=65,"Tinggi",IF(AS192&gt;=50,"Sedang","Rendah")))))</x:f>
        <x:v>Belum Dapat Ditentukan</x:v>
      </x:c>
      <x:c r="AU192" s="240"/>
      <x:c r="AV192" s="240"/>
      <x:c r="AW192" s="240"/>
      <x:c r="AX192" s="240"/>
      <x:c r="AY192" s="240"/>
      <x:c r="AZ192" s="240"/>
      <x:c r="BA192" s="240"/>
      <x:c r="BB192" s="240"/>
      <x:c r="BC192" s="240"/>
      <x:c r="BD192" s="240"/>
      <x:c r="BE192" s="240"/>
      <x:c r="BF192" s="240"/>
    </x:row>
    <x:row r="193" ht="32" customHeight="1">
      <x:c r="A193" s="314"/>
      <x:c r="B193" s="315"/>
      <x:c r="C193" s="316"/>
      <x:c r="D193" s="316"/>
      <x:c r="E193" s="315"/>
      <x:c r="F193" s="315"/>
      <x:c r="G193" s="315"/>
      <x:c r="H193" s="315"/>
      <x:c r="I193" s="317"/>
      <x:c r="J193" s="315"/>
      <x:c r="K193" s="315"/>
      <x:c r="L193" s="315"/>
      <x:c r="M193" s="367"/>
      <x:c r="N193" s="315"/>
      <x:c r="O193" s="316"/>
      <x:c r="P193" s="349"/>
      <x:c r="Q193" s="707"/>
      <x:c r="R193" s="707"/>
      <x:c r="S193" s="708"/>
      <x:c r="T193" s="709"/>
      <x:c r="U193" s="704"/>
      <x:c r="V193" s="704"/>
      <x:c r="W193" s="704"/>
      <x:c r="X193" s="704" t="str">
        <x:f>IF(COUNTIF(R193:V193,"Belum Dinilai")&gt;0,"Belum Dinilai",IF(COUNTIF(R193:V193,"Ya")=0,"Tidak ada faktor rentan",TEXTJOIN(", ",TRUE,IF(R193="Ya","Lansia",""),IF(S193="Ya","Penyandang disabilitas",""),IF(T193="Ya","Kepala keluarga perempuan",""),IF(U193="Ya","Balita",""),IF(V193="Ya","Anggota keluarga dengan ketergantungan tinggi",""))))</x:f>
        <x:v>Tidak ada faktor rentan</x:v>
      </x:c>
      <x:c r="Y193" s="704" t="str">
        <x:f>IF(COUNTIF(R193:V193,"Belum Dinilai")&gt;0,"Belum Dinilai",IF(COUNTIF(R193:V193,"Ya")=0,"Tidak Ada Faktor Rentan",IF(COUNTIF(R193:V193,"Ya")=1,"1 Faktor Rentan","2 atau Lebih Faktor Rentan")))</x:f>
        <x:v>Tidak Ada Faktor Rentan</x:v>
      </x:c>
      <x:c r="Z193" s="704" t="str">
        <x:f>IF(OR(Q193="",Q193="Belum Dinilai"),"",IF(Q193="Terverifikasi DTKS/P3KE/MBR",10,IF(Q193="Diusulkan, Belum Terverifikasi",5,0)))</x:f>
      </x:c>
      <x:c r="AA193" s="705" t="n">
        <x:f>IF(COUNTIF(R193:V193,"Belum Dinilai")&gt;0,"",IF(COUNTIF(R193:V193,"Ya")=0,0,IF(COUNTIF(R193:V193,"Ya")=1,5,10)))</x:f>
        <x:v>0</x:v>
      </x:c>
      <x:c r="AB193" s="706" t="str">
        <x:f>IF(OR(Z193="",AA193=""),"",Z193+AA193)</x:f>
      </x:c>
      <x:c r="AC193" s="713"/>
      <x:c r="AD193" s="713"/>
      <x:c r="AE193" s="714"/>
      <x:c r="AF193" s="713"/>
      <x:c r="AG193" s="713"/>
      <x:c r="AH193" s="715"/>
      <x:c r="AI193" s="714"/>
      <x:c r="AJ193" s="713"/>
      <x:c r="AK193" s="715"/>
      <x:c r="AL193" s="713"/>
      <x:c r="AM193" s="716"/>
      <x:c r="AN193" s="716" t="str">
        <x:f>IF(AND(COUNTIF(AC193:AK193,"Ya")=0,AL193=""),IF(COUNTIF(AC193:AK193,"Belum Dinilai")&gt;0,"Belum Dinilai","Tidak ada risiko khusus"),TEXTJOIN(", ",TRUE,IF(AC193="Ya","Bangunan berpotensi roboh",""),IF(AD193="Ya","Bekas kebakaran dan tidak aman dihuni",""),IF(AE193="Ya","Atap atau dinding utama hampir runtuh",""),IF(AF193="Ya","Genangan yang membahayakan",""),IF(AG193="Ya","Struktur rumah tidak stabil",""),IF(AH193="Ya","Instalasi listrik berbahaya",""),IF(AI193="Ya","Komponen bangunan lepas atau lapuk",""),IF(AJ193="Ya","Akses keluar atau evakuasi terbatas",""),IF(AK193="Ya","Lokasi rawan bencana",""),IF(AL193&lt;&gt;"","Lainnya: "&amp;AL193,"")))</x:f>
        <x:v>Tidak ada risiko khusus</x:v>
      </x:c>
      <x:c r="AO193" s="716" t="str">
        <x:f>IF(AR193="","Belum Dinilai",IF(AR193=10,"Risiko Tinggi/Darurat",IF(AR193=5,"Risiko Sedang","Tidak Ada Risiko Khusus")))</x:f>
        <x:v>Belum Dinilai</x:v>
      </x:c>
      <x:c r="AP193" s="716"/>
      <x:c r="AQ193" s="719" t="str">
        <x:f>IF(OR(J193="",J193="Belum Dapat Ditentukan",L193="",L193="Belum Dinilai",N193="",N193="Belum Dinilai",P193="",P193="Belum Dinilai"),"",IF(J193="Permanen",0,IF(J193="Semipermanen",8,IF(J193="Nonpermanen",15,0)))+IF(L193="Baik",0,IF(L193="Rusak Ringan",5,IF(L193="Rusak Sedang",10,IF(L193="Rusak Berat",15,IF(L193="Tidak Ada/Terbuka",20,0)))))+IF(N193="Baik",0,IF(N193="Rusak Ringan",5,IF(N193="Rusak Sedang",10,IF(N193="Rusak Berat",15,IF(N193="Tidak Ada/Terbuka",20,0)))))+IF(P193="Baik",0,IF(P193="Rusak Ringan",4,IF(P193="Rusak Sedang",8,IF(P193="Rusak Berat",12,IF(P193="Tidak Layak",15,0))))))</x:f>
      </x:c>
      <x:c r="AR193" s="719" t="n">
        <x:f>IF(COUNTIF(AC193:AH193,"Ya")&gt;0,10,IF(COUNTIF(AI193:AK193,"Ya")&gt;=2,10,IF(COUNTIF(AI193:AK193,"Ya")=1,MAX(5,IF(AM193="Risiko Tinggi/Darurat",10,IF(AM193="Risiko Sedang",5,0))),IF(AL193&lt;&gt;"",IF(AM193="Risiko Tinggi/Darurat",10,IF(AM193="Risiko Sedang",5,"")),IF(COUNTIF(AC193:AK193,"Belum Dinilai")&gt;0,"",0)))))</x:f>
        <x:v>0</x:v>
      </x:c>
      <x:c r="AS193" s="719" t="str">
        <x:f>IF(OR(AQ193="",AB193="",AR193=""),"",AQ193+AB193+AR193)</x:f>
      </x:c>
      <x:c r="AT193" s="719" t="str">
        <x:f>IF(AS193="","Belum Dapat Ditentukan",IF(AS193&gt;=80,"Sangat Tinggi",IF(OR(AO193="Risiko Tinggi/Darurat",(IF(L193="Rusak Berat",1,0)+IF(L193="Tidak Ada/Terbuka",1,0)+IF(N193="Rusak Berat",1,0)+IF(N193="Tidak Ada/Terbuka",1,0)+IF(P193="Rusak Berat",1,0)+IF(P193="Tidak Layak",1,0))&gt;=2),"Tinggi",IF(AS193&gt;=65,"Tinggi",IF(AS193&gt;=50,"Sedang","Rendah")))))</x:f>
        <x:v>Belum Dapat Ditentukan</x:v>
      </x:c>
      <x:c r="AU193" s="240"/>
      <x:c r="AV193" s="240"/>
      <x:c r="AW193" s="240"/>
      <x:c r="AX193" s="240"/>
      <x:c r="AY193" s="240"/>
      <x:c r="AZ193" s="240"/>
      <x:c r="BA193" s="240"/>
      <x:c r="BB193" s="240"/>
      <x:c r="BC193" s="240"/>
      <x:c r="BD193" s="240"/>
      <x:c r="BE193" s="240"/>
      <x:c r="BF193" s="240"/>
    </x:row>
    <x:row r="194" ht="32" customHeight="1">
      <x:c r="A194" s="314"/>
      <x:c r="B194" s="315"/>
      <x:c r="C194" s="316"/>
      <x:c r="D194" s="316"/>
      <x:c r="E194" s="315"/>
      <x:c r="F194" s="315"/>
      <x:c r="G194" s="315"/>
      <x:c r="H194" s="315"/>
      <x:c r="I194" s="317"/>
      <x:c r="J194" s="315"/>
      <x:c r="K194" s="315"/>
      <x:c r="L194" s="315"/>
      <x:c r="M194" s="367"/>
      <x:c r="N194" s="315"/>
      <x:c r="O194" s="316"/>
      <x:c r="P194" s="349"/>
      <x:c r="Q194" s="707"/>
      <x:c r="R194" s="707"/>
      <x:c r="S194" s="708"/>
      <x:c r="T194" s="709"/>
      <x:c r="U194" s="704"/>
      <x:c r="V194" s="704"/>
      <x:c r="W194" s="704"/>
      <x:c r="X194" s="704" t="str">
        <x:f>IF(COUNTIF(R194:V194,"Belum Dinilai")&gt;0,"Belum Dinilai",IF(COUNTIF(R194:V194,"Ya")=0,"Tidak ada faktor rentan",TEXTJOIN(", ",TRUE,IF(R194="Ya","Lansia",""),IF(S194="Ya","Penyandang disabilitas",""),IF(T194="Ya","Kepala keluarga perempuan",""),IF(U194="Ya","Balita",""),IF(V194="Ya","Anggota keluarga dengan ketergantungan tinggi",""))))</x:f>
        <x:v>Tidak ada faktor rentan</x:v>
      </x:c>
      <x:c r="Y194" s="704" t="str">
        <x:f>IF(COUNTIF(R194:V194,"Belum Dinilai")&gt;0,"Belum Dinilai",IF(COUNTIF(R194:V194,"Ya")=0,"Tidak Ada Faktor Rentan",IF(COUNTIF(R194:V194,"Ya")=1,"1 Faktor Rentan","2 atau Lebih Faktor Rentan")))</x:f>
        <x:v>Tidak Ada Faktor Rentan</x:v>
      </x:c>
      <x:c r="Z194" s="704" t="str">
        <x:f>IF(OR(Q194="",Q194="Belum Dinilai"),"",IF(Q194="Terverifikasi DTKS/P3KE/MBR",10,IF(Q194="Diusulkan, Belum Terverifikasi",5,0)))</x:f>
      </x:c>
      <x:c r="AA194" s="705" t="n">
        <x:f>IF(COUNTIF(R194:V194,"Belum Dinilai")&gt;0,"",IF(COUNTIF(R194:V194,"Ya")=0,0,IF(COUNTIF(R194:V194,"Ya")=1,5,10)))</x:f>
        <x:v>0</x:v>
      </x:c>
      <x:c r="AB194" s="706" t="str">
        <x:f>IF(OR(Z194="",AA194=""),"",Z194+AA194)</x:f>
      </x:c>
      <x:c r="AC194" s="713"/>
      <x:c r="AD194" s="713"/>
      <x:c r="AE194" s="714"/>
      <x:c r="AF194" s="713"/>
      <x:c r="AG194" s="713"/>
      <x:c r="AH194" s="715"/>
      <x:c r="AI194" s="714"/>
      <x:c r="AJ194" s="713"/>
      <x:c r="AK194" s="715"/>
      <x:c r="AL194" s="713"/>
      <x:c r="AM194" s="716"/>
      <x:c r="AN194" s="716" t="str">
        <x:f>IF(AND(COUNTIF(AC194:AK194,"Ya")=0,AL194=""),IF(COUNTIF(AC194:AK194,"Belum Dinilai")&gt;0,"Belum Dinilai","Tidak ada risiko khusus"),TEXTJOIN(", ",TRUE,IF(AC194="Ya","Bangunan berpotensi roboh",""),IF(AD194="Ya","Bekas kebakaran dan tidak aman dihuni",""),IF(AE194="Ya","Atap atau dinding utama hampir runtuh",""),IF(AF194="Ya","Genangan yang membahayakan",""),IF(AG194="Ya","Struktur rumah tidak stabil",""),IF(AH194="Ya","Instalasi listrik berbahaya",""),IF(AI194="Ya","Komponen bangunan lepas atau lapuk",""),IF(AJ194="Ya","Akses keluar atau evakuasi terbatas",""),IF(AK194="Ya","Lokasi rawan bencana",""),IF(AL194&lt;&gt;"","Lainnya: "&amp;AL194,"")))</x:f>
        <x:v>Tidak ada risiko khusus</x:v>
      </x:c>
      <x:c r="AO194" s="716" t="str">
        <x:f>IF(AR194="","Belum Dinilai",IF(AR194=10,"Risiko Tinggi/Darurat",IF(AR194=5,"Risiko Sedang","Tidak Ada Risiko Khusus")))</x:f>
        <x:v>Belum Dinilai</x:v>
      </x:c>
      <x:c r="AP194" s="716"/>
      <x:c r="AQ194" s="719" t="str">
        <x:f>IF(OR(J194="",J194="Belum Dapat Ditentukan",L194="",L194="Belum Dinilai",N194="",N194="Belum Dinilai",P194="",P194="Belum Dinilai"),"",IF(J194="Permanen",0,IF(J194="Semipermanen",8,IF(J194="Nonpermanen",15,0)))+IF(L194="Baik",0,IF(L194="Rusak Ringan",5,IF(L194="Rusak Sedang",10,IF(L194="Rusak Berat",15,IF(L194="Tidak Ada/Terbuka",20,0)))))+IF(N194="Baik",0,IF(N194="Rusak Ringan",5,IF(N194="Rusak Sedang",10,IF(N194="Rusak Berat",15,IF(N194="Tidak Ada/Terbuka",20,0)))))+IF(P194="Baik",0,IF(P194="Rusak Ringan",4,IF(P194="Rusak Sedang",8,IF(P194="Rusak Berat",12,IF(P194="Tidak Layak",15,0))))))</x:f>
      </x:c>
      <x:c r="AR194" s="719" t="n">
        <x:f>IF(COUNTIF(AC194:AH194,"Ya")&gt;0,10,IF(COUNTIF(AI194:AK194,"Ya")&gt;=2,10,IF(COUNTIF(AI194:AK194,"Ya")=1,MAX(5,IF(AM194="Risiko Tinggi/Darurat",10,IF(AM194="Risiko Sedang",5,0))),IF(AL194&lt;&gt;"",IF(AM194="Risiko Tinggi/Darurat",10,IF(AM194="Risiko Sedang",5,"")),IF(COUNTIF(AC194:AK194,"Belum Dinilai")&gt;0,"",0)))))</x:f>
        <x:v>0</x:v>
      </x:c>
      <x:c r="AS194" s="719" t="str">
        <x:f>IF(OR(AQ194="",AB194="",AR194=""),"",AQ194+AB194+AR194)</x:f>
      </x:c>
      <x:c r="AT194" s="719" t="str">
        <x:f>IF(AS194="","Belum Dapat Ditentukan",IF(AS194&gt;=80,"Sangat Tinggi",IF(OR(AO194="Risiko Tinggi/Darurat",(IF(L194="Rusak Berat",1,0)+IF(L194="Tidak Ada/Terbuka",1,0)+IF(N194="Rusak Berat",1,0)+IF(N194="Tidak Ada/Terbuka",1,0)+IF(P194="Rusak Berat",1,0)+IF(P194="Tidak Layak",1,0))&gt;=2),"Tinggi",IF(AS194&gt;=65,"Tinggi",IF(AS194&gt;=50,"Sedang","Rendah")))))</x:f>
        <x:v>Belum Dapat Ditentukan</x:v>
      </x:c>
      <x:c r="AU194" s="240"/>
      <x:c r="AV194" s="240"/>
      <x:c r="AW194" s="240"/>
      <x:c r="AX194" s="240"/>
      <x:c r="AY194" s="240"/>
      <x:c r="AZ194" s="240"/>
      <x:c r="BA194" s="240"/>
      <x:c r="BB194" s="240"/>
      <x:c r="BC194" s="240"/>
      <x:c r="BD194" s="240"/>
      <x:c r="BE194" s="240"/>
      <x:c r="BF194" s="240"/>
    </x:row>
    <x:row r="195" ht="32" customHeight="1">
      <x:c r="A195" s="314"/>
      <x:c r="B195" s="315"/>
      <x:c r="C195" s="316"/>
      <x:c r="D195" s="316"/>
      <x:c r="E195" s="315"/>
      <x:c r="F195" s="315"/>
      <x:c r="G195" s="315"/>
      <x:c r="H195" s="315"/>
      <x:c r="I195" s="317"/>
      <x:c r="J195" s="315"/>
      <x:c r="K195" s="315"/>
      <x:c r="L195" s="315"/>
      <x:c r="M195" s="367"/>
      <x:c r="N195" s="315"/>
      <x:c r="O195" s="316"/>
      <x:c r="P195" s="349"/>
      <x:c r="Q195" s="707"/>
      <x:c r="R195" s="707"/>
      <x:c r="S195" s="708"/>
      <x:c r="T195" s="709"/>
      <x:c r="U195" s="704"/>
      <x:c r="V195" s="704"/>
      <x:c r="W195" s="704"/>
      <x:c r="X195" s="704" t="str">
        <x:f>IF(COUNTIF(R195:V195,"Belum Dinilai")&gt;0,"Belum Dinilai",IF(COUNTIF(R195:V195,"Ya")=0,"Tidak ada faktor rentan",TEXTJOIN(", ",TRUE,IF(R195="Ya","Lansia",""),IF(S195="Ya","Penyandang disabilitas",""),IF(T195="Ya","Kepala keluarga perempuan",""),IF(U195="Ya","Balita",""),IF(V195="Ya","Anggota keluarga dengan ketergantungan tinggi",""))))</x:f>
        <x:v>Tidak ada faktor rentan</x:v>
      </x:c>
      <x:c r="Y195" s="704" t="str">
        <x:f>IF(COUNTIF(R195:V195,"Belum Dinilai")&gt;0,"Belum Dinilai",IF(COUNTIF(R195:V195,"Ya")=0,"Tidak Ada Faktor Rentan",IF(COUNTIF(R195:V195,"Ya")=1,"1 Faktor Rentan","2 atau Lebih Faktor Rentan")))</x:f>
        <x:v>Tidak Ada Faktor Rentan</x:v>
      </x:c>
      <x:c r="Z195" s="704" t="str">
        <x:f>IF(OR(Q195="",Q195="Belum Dinilai"),"",IF(Q195="Terverifikasi DTKS/P3KE/MBR",10,IF(Q195="Diusulkan, Belum Terverifikasi",5,0)))</x:f>
      </x:c>
      <x:c r="AA195" s="705" t="n">
        <x:f>IF(COUNTIF(R195:V195,"Belum Dinilai")&gt;0,"",IF(COUNTIF(R195:V195,"Ya")=0,0,IF(COUNTIF(R195:V195,"Ya")=1,5,10)))</x:f>
        <x:v>0</x:v>
      </x:c>
      <x:c r="AB195" s="706" t="str">
        <x:f>IF(OR(Z195="",AA195=""),"",Z195+AA195)</x:f>
      </x:c>
      <x:c r="AC195" s="713"/>
      <x:c r="AD195" s="713"/>
      <x:c r="AE195" s="714"/>
      <x:c r="AF195" s="713"/>
      <x:c r="AG195" s="713"/>
      <x:c r="AH195" s="715"/>
      <x:c r="AI195" s="714"/>
      <x:c r="AJ195" s="713"/>
      <x:c r="AK195" s="715"/>
      <x:c r="AL195" s="713"/>
      <x:c r="AM195" s="716"/>
      <x:c r="AN195" s="716" t="str">
        <x:f>IF(AND(COUNTIF(AC195:AK195,"Ya")=0,AL195=""),IF(COUNTIF(AC195:AK195,"Belum Dinilai")&gt;0,"Belum Dinilai","Tidak ada risiko khusus"),TEXTJOIN(", ",TRUE,IF(AC195="Ya","Bangunan berpotensi roboh",""),IF(AD195="Ya","Bekas kebakaran dan tidak aman dihuni",""),IF(AE195="Ya","Atap atau dinding utama hampir runtuh",""),IF(AF195="Ya","Genangan yang membahayakan",""),IF(AG195="Ya","Struktur rumah tidak stabil",""),IF(AH195="Ya","Instalasi listrik berbahaya",""),IF(AI195="Ya","Komponen bangunan lepas atau lapuk",""),IF(AJ195="Ya","Akses keluar atau evakuasi terbatas",""),IF(AK195="Ya","Lokasi rawan bencana",""),IF(AL195&lt;&gt;"","Lainnya: "&amp;AL195,"")))</x:f>
        <x:v>Tidak ada risiko khusus</x:v>
      </x:c>
      <x:c r="AO195" s="716" t="str">
        <x:f>IF(AR195="","Belum Dinilai",IF(AR195=10,"Risiko Tinggi/Darurat",IF(AR195=5,"Risiko Sedang","Tidak Ada Risiko Khusus")))</x:f>
        <x:v>Belum Dinilai</x:v>
      </x:c>
      <x:c r="AP195" s="716"/>
      <x:c r="AQ195" s="719" t="str">
        <x:f>IF(OR(J195="",J195="Belum Dapat Ditentukan",L195="",L195="Belum Dinilai",N195="",N195="Belum Dinilai",P195="",P195="Belum Dinilai"),"",IF(J195="Permanen",0,IF(J195="Semipermanen",8,IF(J195="Nonpermanen",15,0)))+IF(L195="Baik",0,IF(L195="Rusak Ringan",5,IF(L195="Rusak Sedang",10,IF(L195="Rusak Berat",15,IF(L195="Tidak Ada/Terbuka",20,0)))))+IF(N195="Baik",0,IF(N195="Rusak Ringan",5,IF(N195="Rusak Sedang",10,IF(N195="Rusak Berat",15,IF(N195="Tidak Ada/Terbuka",20,0)))))+IF(P195="Baik",0,IF(P195="Rusak Ringan",4,IF(P195="Rusak Sedang",8,IF(P195="Rusak Berat",12,IF(P195="Tidak Layak",15,0))))))</x:f>
      </x:c>
      <x:c r="AR195" s="719" t="n">
        <x:f>IF(COUNTIF(AC195:AH195,"Ya")&gt;0,10,IF(COUNTIF(AI195:AK195,"Ya")&gt;=2,10,IF(COUNTIF(AI195:AK195,"Ya")=1,MAX(5,IF(AM195="Risiko Tinggi/Darurat",10,IF(AM195="Risiko Sedang",5,0))),IF(AL195&lt;&gt;"",IF(AM195="Risiko Tinggi/Darurat",10,IF(AM195="Risiko Sedang",5,"")),IF(COUNTIF(AC195:AK195,"Belum Dinilai")&gt;0,"",0)))))</x:f>
        <x:v>0</x:v>
      </x:c>
      <x:c r="AS195" s="719" t="str">
        <x:f>IF(OR(AQ195="",AB195="",AR195=""),"",AQ195+AB195+AR195)</x:f>
      </x:c>
      <x:c r="AT195" s="719" t="str">
        <x:f>IF(AS195="","Belum Dapat Ditentukan",IF(AS195&gt;=80,"Sangat Tinggi",IF(OR(AO195="Risiko Tinggi/Darurat",(IF(L195="Rusak Berat",1,0)+IF(L195="Tidak Ada/Terbuka",1,0)+IF(N195="Rusak Berat",1,0)+IF(N195="Tidak Ada/Terbuka",1,0)+IF(P195="Rusak Berat",1,0)+IF(P195="Tidak Layak",1,0))&gt;=2),"Tinggi",IF(AS195&gt;=65,"Tinggi",IF(AS195&gt;=50,"Sedang","Rendah")))))</x:f>
        <x:v>Belum Dapat Ditentukan</x:v>
      </x:c>
      <x:c r="AU195" s="240"/>
      <x:c r="AV195" s="240"/>
      <x:c r="AW195" s="240"/>
      <x:c r="AX195" s="240"/>
      <x:c r="AY195" s="240"/>
      <x:c r="AZ195" s="240"/>
      <x:c r="BA195" s="240"/>
      <x:c r="BB195" s="240"/>
      <x:c r="BC195" s="240"/>
      <x:c r="BD195" s="240"/>
      <x:c r="BE195" s="240"/>
      <x:c r="BF195" s="240"/>
    </x:row>
    <x:row r="196" ht="32" customHeight="1">
      <x:c r="A196" s="314"/>
      <x:c r="B196" s="315"/>
      <x:c r="C196" s="316"/>
      <x:c r="D196" s="316"/>
      <x:c r="E196" s="315"/>
      <x:c r="F196" s="315"/>
      <x:c r="G196" s="315"/>
      <x:c r="H196" s="315"/>
      <x:c r="I196" s="317"/>
      <x:c r="J196" s="315"/>
      <x:c r="K196" s="315"/>
      <x:c r="L196" s="315"/>
      <x:c r="M196" s="367"/>
      <x:c r="N196" s="315"/>
      <x:c r="O196" s="316"/>
      <x:c r="P196" s="349"/>
      <x:c r="Q196" s="707"/>
      <x:c r="R196" s="707"/>
      <x:c r="S196" s="708"/>
      <x:c r="T196" s="709"/>
      <x:c r="U196" s="704"/>
      <x:c r="V196" s="704"/>
      <x:c r="W196" s="704"/>
      <x:c r="X196" s="704" t="str">
        <x:f>IF(COUNTIF(R196:V196,"Belum Dinilai")&gt;0,"Belum Dinilai",IF(COUNTIF(R196:V196,"Ya")=0,"Tidak ada faktor rentan",TEXTJOIN(", ",TRUE,IF(R196="Ya","Lansia",""),IF(S196="Ya","Penyandang disabilitas",""),IF(T196="Ya","Kepala keluarga perempuan",""),IF(U196="Ya","Balita",""),IF(V196="Ya","Anggota keluarga dengan ketergantungan tinggi",""))))</x:f>
        <x:v>Tidak ada faktor rentan</x:v>
      </x:c>
      <x:c r="Y196" s="704" t="str">
        <x:f>IF(COUNTIF(R196:V196,"Belum Dinilai")&gt;0,"Belum Dinilai",IF(COUNTIF(R196:V196,"Ya")=0,"Tidak Ada Faktor Rentan",IF(COUNTIF(R196:V196,"Ya")=1,"1 Faktor Rentan","2 atau Lebih Faktor Rentan")))</x:f>
        <x:v>Tidak Ada Faktor Rentan</x:v>
      </x:c>
      <x:c r="Z196" s="704" t="str">
        <x:f>IF(OR(Q196="",Q196="Belum Dinilai"),"",IF(Q196="Terverifikasi DTKS/P3KE/MBR",10,IF(Q196="Diusulkan, Belum Terverifikasi",5,0)))</x:f>
      </x:c>
      <x:c r="AA196" s="705" t="n">
        <x:f>IF(COUNTIF(R196:V196,"Belum Dinilai")&gt;0,"",IF(COUNTIF(R196:V196,"Ya")=0,0,IF(COUNTIF(R196:V196,"Ya")=1,5,10)))</x:f>
        <x:v>0</x:v>
      </x:c>
      <x:c r="AB196" s="706" t="str">
        <x:f>IF(OR(Z196="",AA196=""),"",Z196+AA196)</x:f>
      </x:c>
      <x:c r="AC196" s="713"/>
      <x:c r="AD196" s="713"/>
      <x:c r="AE196" s="714"/>
      <x:c r="AF196" s="713"/>
      <x:c r="AG196" s="713"/>
      <x:c r="AH196" s="715"/>
      <x:c r="AI196" s="714"/>
      <x:c r="AJ196" s="713"/>
      <x:c r="AK196" s="715"/>
      <x:c r="AL196" s="713"/>
      <x:c r="AM196" s="716"/>
      <x:c r="AN196" s="716" t="str">
        <x:f>IF(AND(COUNTIF(AC196:AK196,"Ya")=0,AL196=""),IF(COUNTIF(AC196:AK196,"Belum Dinilai")&gt;0,"Belum Dinilai","Tidak ada risiko khusus"),TEXTJOIN(", ",TRUE,IF(AC196="Ya","Bangunan berpotensi roboh",""),IF(AD196="Ya","Bekas kebakaran dan tidak aman dihuni",""),IF(AE196="Ya","Atap atau dinding utama hampir runtuh",""),IF(AF196="Ya","Genangan yang membahayakan",""),IF(AG196="Ya","Struktur rumah tidak stabil",""),IF(AH196="Ya","Instalasi listrik berbahaya",""),IF(AI196="Ya","Komponen bangunan lepas atau lapuk",""),IF(AJ196="Ya","Akses keluar atau evakuasi terbatas",""),IF(AK196="Ya","Lokasi rawan bencana",""),IF(AL196&lt;&gt;"","Lainnya: "&amp;AL196,"")))</x:f>
        <x:v>Tidak ada risiko khusus</x:v>
      </x:c>
      <x:c r="AO196" s="716" t="str">
        <x:f>IF(AR196="","Belum Dinilai",IF(AR196=10,"Risiko Tinggi/Darurat",IF(AR196=5,"Risiko Sedang","Tidak Ada Risiko Khusus")))</x:f>
        <x:v>Belum Dinilai</x:v>
      </x:c>
      <x:c r="AP196" s="716"/>
      <x:c r="AQ196" s="719" t="str">
        <x:f>IF(OR(J196="",J196="Belum Dapat Ditentukan",L196="",L196="Belum Dinilai",N196="",N196="Belum Dinilai",P196="",P196="Belum Dinilai"),"",IF(J196="Permanen",0,IF(J196="Semipermanen",8,IF(J196="Nonpermanen",15,0)))+IF(L196="Baik",0,IF(L196="Rusak Ringan",5,IF(L196="Rusak Sedang",10,IF(L196="Rusak Berat",15,IF(L196="Tidak Ada/Terbuka",20,0)))))+IF(N196="Baik",0,IF(N196="Rusak Ringan",5,IF(N196="Rusak Sedang",10,IF(N196="Rusak Berat",15,IF(N196="Tidak Ada/Terbuka",20,0)))))+IF(P196="Baik",0,IF(P196="Rusak Ringan",4,IF(P196="Rusak Sedang",8,IF(P196="Rusak Berat",12,IF(P196="Tidak Layak",15,0))))))</x:f>
      </x:c>
      <x:c r="AR196" s="719" t="n">
        <x:f>IF(COUNTIF(AC196:AH196,"Ya")&gt;0,10,IF(COUNTIF(AI196:AK196,"Ya")&gt;=2,10,IF(COUNTIF(AI196:AK196,"Ya")=1,MAX(5,IF(AM196="Risiko Tinggi/Darurat",10,IF(AM196="Risiko Sedang",5,0))),IF(AL196&lt;&gt;"",IF(AM196="Risiko Tinggi/Darurat",10,IF(AM196="Risiko Sedang",5,"")),IF(COUNTIF(AC196:AK196,"Belum Dinilai")&gt;0,"",0)))))</x:f>
        <x:v>0</x:v>
      </x:c>
      <x:c r="AS196" s="719" t="str">
        <x:f>IF(OR(AQ196="",AB196="",AR196=""),"",AQ196+AB196+AR196)</x:f>
      </x:c>
      <x:c r="AT196" s="719" t="str">
        <x:f>IF(AS196="","Belum Dapat Ditentukan",IF(AS196&gt;=80,"Sangat Tinggi",IF(OR(AO196="Risiko Tinggi/Darurat",(IF(L196="Rusak Berat",1,0)+IF(L196="Tidak Ada/Terbuka",1,0)+IF(N196="Rusak Berat",1,0)+IF(N196="Tidak Ada/Terbuka",1,0)+IF(P196="Rusak Berat",1,0)+IF(P196="Tidak Layak",1,0))&gt;=2),"Tinggi",IF(AS196&gt;=65,"Tinggi",IF(AS196&gt;=50,"Sedang","Rendah")))))</x:f>
        <x:v>Belum Dapat Ditentukan</x:v>
      </x:c>
      <x:c r="AU196" s="240"/>
      <x:c r="AV196" s="240"/>
      <x:c r="AW196" s="240"/>
      <x:c r="AX196" s="240"/>
      <x:c r="AY196" s="240"/>
      <x:c r="AZ196" s="240"/>
      <x:c r="BA196" s="240"/>
      <x:c r="BB196" s="240"/>
      <x:c r="BC196" s="240"/>
      <x:c r="BD196" s="240"/>
      <x:c r="BE196" s="240"/>
      <x:c r="BF196" s="240"/>
    </x:row>
    <x:row r="197" ht="32" customHeight="1">
      <x:c r="A197" s="314"/>
      <x:c r="B197" s="315"/>
      <x:c r="C197" s="316"/>
      <x:c r="D197" s="316"/>
      <x:c r="E197" s="315"/>
      <x:c r="F197" s="315"/>
      <x:c r="G197" s="315"/>
      <x:c r="H197" s="315"/>
      <x:c r="I197" s="317"/>
      <x:c r="J197" s="315"/>
      <x:c r="K197" s="315"/>
      <x:c r="L197" s="315"/>
      <x:c r="M197" s="367"/>
      <x:c r="N197" s="315"/>
      <x:c r="O197" s="316"/>
      <x:c r="P197" s="349"/>
      <x:c r="Q197" s="707"/>
      <x:c r="R197" s="707"/>
      <x:c r="S197" s="708"/>
      <x:c r="T197" s="709"/>
      <x:c r="U197" s="704"/>
      <x:c r="V197" s="704"/>
      <x:c r="W197" s="704"/>
      <x:c r="X197" s="704" t="str">
        <x:f>IF(COUNTIF(R197:V197,"Belum Dinilai")&gt;0,"Belum Dinilai",IF(COUNTIF(R197:V197,"Ya")=0,"Tidak ada faktor rentan",TEXTJOIN(", ",TRUE,IF(R197="Ya","Lansia",""),IF(S197="Ya","Penyandang disabilitas",""),IF(T197="Ya","Kepala keluarga perempuan",""),IF(U197="Ya","Balita",""),IF(V197="Ya","Anggota keluarga dengan ketergantungan tinggi",""))))</x:f>
        <x:v>Tidak ada faktor rentan</x:v>
      </x:c>
      <x:c r="Y197" s="704" t="str">
        <x:f>IF(COUNTIF(R197:V197,"Belum Dinilai")&gt;0,"Belum Dinilai",IF(COUNTIF(R197:V197,"Ya")=0,"Tidak Ada Faktor Rentan",IF(COUNTIF(R197:V197,"Ya")=1,"1 Faktor Rentan","2 atau Lebih Faktor Rentan")))</x:f>
        <x:v>Tidak Ada Faktor Rentan</x:v>
      </x:c>
      <x:c r="Z197" s="704" t="str">
        <x:f>IF(OR(Q197="",Q197="Belum Dinilai"),"",IF(Q197="Terverifikasi DTKS/P3KE/MBR",10,IF(Q197="Diusulkan, Belum Terverifikasi",5,0)))</x:f>
      </x:c>
      <x:c r="AA197" s="705" t="n">
        <x:f>IF(COUNTIF(R197:V197,"Belum Dinilai")&gt;0,"",IF(COUNTIF(R197:V197,"Ya")=0,0,IF(COUNTIF(R197:V197,"Ya")=1,5,10)))</x:f>
        <x:v>0</x:v>
      </x:c>
      <x:c r="AB197" s="706" t="str">
        <x:f>IF(OR(Z197="",AA197=""),"",Z197+AA197)</x:f>
      </x:c>
      <x:c r="AC197" s="713"/>
      <x:c r="AD197" s="713"/>
      <x:c r="AE197" s="714"/>
      <x:c r="AF197" s="713"/>
      <x:c r="AG197" s="713"/>
      <x:c r="AH197" s="715"/>
      <x:c r="AI197" s="714"/>
      <x:c r="AJ197" s="713"/>
      <x:c r="AK197" s="715"/>
      <x:c r="AL197" s="713"/>
      <x:c r="AM197" s="716"/>
      <x:c r="AN197" s="716" t="str">
        <x:f>IF(AND(COUNTIF(AC197:AK197,"Ya")=0,AL197=""),IF(COUNTIF(AC197:AK197,"Belum Dinilai")&gt;0,"Belum Dinilai","Tidak ada risiko khusus"),TEXTJOIN(", ",TRUE,IF(AC197="Ya","Bangunan berpotensi roboh",""),IF(AD197="Ya","Bekas kebakaran dan tidak aman dihuni",""),IF(AE197="Ya","Atap atau dinding utama hampir runtuh",""),IF(AF197="Ya","Genangan yang membahayakan",""),IF(AG197="Ya","Struktur rumah tidak stabil",""),IF(AH197="Ya","Instalasi listrik berbahaya",""),IF(AI197="Ya","Komponen bangunan lepas atau lapuk",""),IF(AJ197="Ya","Akses keluar atau evakuasi terbatas",""),IF(AK197="Ya","Lokasi rawan bencana",""),IF(AL197&lt;&gt;"","Lainnya: "&amp;AL197,"")))</x:f>
        <x:v>Tidak ada risiko khusus</x:v>
      </x:c>
      <x:c r="AO197" s="716" t="str">
        <x:f>IF(AR197="","Belum Dinilai",IF(AR197=10,"Risiko Tinggi/Darurat",IF(AR197=5,"Risiko Sedang","Tidak Ada Risiko Khusus")))</x:f>
        <x:v>Belum Dinilai</x:v>
      </x:c>
      <x:c r="AP197" s="716"/>
      <x:c r="AQ197" s="719" t="str">
        <x:f>IF(OR(J197="",J197="Belum Dapat Ditentukan",L197="",L197="Belum Dinilai",N197="",N197="Belum Dinilai",P197="",P197="Belum Dinilai"),"",IF(J197="Permanen",0,IF(J197="Semipermanen",8,IF(J197="Nonpermanen",15,0)))+IF(L197="Baik",0,IF(L197="Rusak Ringan",5,IF(L197="Rusak Sedang",10,IF(L197="Rusak Berat",15,IF(L197="Tidak Ada/Terbuka",20,0)))))+IF(N197="Baik",0,IF(N197="Rusak Ringan",5,IF(N197="Rusak Sedang",10,IF(N197="Rusak Berat",15,IF(N197="Tidak Ada/Terbuka",20,0)))))+IF(P197="Baik",0,IF(P197="Rusak Ringan",4,IF(P197="Rusak Sedang",8,IF(P197="Rusak Berat",12,IF(P197="Tidak Layak",15,0))))))</x:f>
      </x:c>
      <x:c r="AR197" s="719" t="n">
        <x:f>IF(COUNTIF(AC197:AH197,"Ya")&gt;0,10,IF(COUNTIF(AI197:AK197,"Ya")&gt;=2,10,IF(COUNTIF(AI197:AK197,"Ya")=1,MAX(5,IF(AM197="Risiko Tinggi/Darurat",10,IF(AM197="Risiko Sedang",5,0))),IF(AL197&lt;&gt;"",IF(AM197="Risiko Tinggi/Darurat",10,IF(AM197="Risiko Sedang",5,"")),IF(COUNTIF(AC197:AK197,"Belum Dinilai")&gt;0,"",0)))))</x:f>
        <x:v>0</x:v>
      </x:c>
      <x:c r="AS197" s="719" t="str">
        <x:f>IF(OR(AQ197="",AB197="",AR197=""),"",AQ197+AB197+AR197)</x:f>
      </x:c>
      <x:c r="AT197" s="719" t="str">
        <x:f>IF(AS197="","Belum Dapat Ditentukan",IF(AS197&gt;=80,"Sangat Tinggi",IF(OR(AO197="Risiko Tinggi/Darurat",(IF(L197="Rusak Berat",1,0)+IF(L197="Tidak Ada/Terbuka",1,0)+IF(N197="Rusak Berat",1,0)+IF(N197="Tidak Ada/Terbuka",1,0)+IF(P197="Rusak Berat",1,0)+IF(P197="Tidak Layak",1,0))&gt;=2),"Tinggi",IF(AS197&gt;=65,"Tinggi",IF(AS197&gt;=50,"Sedang","Rendah")))))</x:f>
        <x:v>Belum Dapat Ditentukan</x:v>
      </x:c>
      <x:c r="AU197" s="240"/>
      <x:c r="AV197" s="240"/>
      <x:c r="AW197" s="240"/>
      <x:c r="AX197" s="240"/>
      <x:c r="AY197" s="240"/>
      <x:c r="AZ197" s="240"/>
      <x:c r="BA197" s="240"/>
      <x:c r="BB197" s="240"/>
      <x:c r="BC197" s="240"/>
      <x:c r="BD197" s="240"/>
      <x:c r="BE197" s="240"/>
      <x:c r="BF197" s="240"/>
    </x:row>
    <x:row r="198" ht="32" customHeight="1">
      <x:c r="A198" s="314"/>
      <x:c r="B198" s="315"/>
      <x:c r="C198" s="316"/>
      <x:c r="D198" s="316"/>
      <x:c r="E198" s="315"/>
      <x:c r="F198" s="315"/>
      <x:c r="G198" s="315"/>
      <x:c r="H198" s="315"/>
      <x:c r="I198" s="317"/>
      <x:c r="J198" s="315"/>
      <x:c r="K198" s="315"/>
      <x:c r="L198" s="315"/>
      <x:c r="M198" s="367"/>
      <x:c r="N198" s="315"/>
      <x:c r="O198" s="316"/>
      <x:c r="P198" s="349"/>
      <x:c r="Q198" s="707"/>
      <x:c r="R198" s="707"/>
      <x:c r="S198" s="708"/>
      <x:c r="T198" s="709"/>
      <x:c r="U198" s="704"/>
      <x:c r="V198" s="704"/>
      <x:c r="W198" s="704"/>
      <x:c r="X198" s="704" t="str">
        <x:f>IF(COUNTIF(R198:V198,"Belum Dinilai")&gt;0,"Belum Dinilai",IF(COUNTIF(R198:V198,"Ya")=0,"Tidak ada faktor rentan",TEXTJOIN(", ",TRUE,IF(R198="Ya","Lansia",""),IF(S198="Ya","Penyandang disabilitas",""),IF(T198="Ya","Kepala keluarga perempuan",""),IF(U198="Ya","Balita",""),IF(V198="Ya","Anggota keluarga dengan ketergantungan tinggi",""))))</x:f>
        <x:v>Tidak ada faktor rentan</x:v>
      </x:c>
      <x:c r="Y198" s="704" t="str">
        <x:f>IF(COUNTIF(R198:V198,"Belum Dinilai")&gt;0,"Belum Dinilai",IF(COUNTIF(R198:V198,"Ya")=0,"Tidak Ada Faktor Rentan",IF(COUNTIF(R198:V198,"Ya")=1,"1 Faktor Rentan","2 atau Lebih Faktor Rentan")))</x:f>
        <x:v>Tidak Ada Faktor Rentan</x:v>
      </x:c>
      <x:c r="Z198" s="704" t="str">
        <x:f>IF(OR(Q198="",Q198="Belum Dinilai"),"",IF(Q198="Terverifikasi DTKS/P3KE/MBR",10,IF(Q198="Diusulkan, Belum Terverifikasi",5,0)))</x:f>
      </x:c>
      <x:c r="AA198" s="705" t="n">
        <x:f>IF(COUNTIF(R198:V198,"Belum Dinilai")&gt;0,"",IF(COUNTIF(R198:V198,"Ya")=0,0,IF(COUNTIF(R198:V198,"Ya")=1,5,10)))</x:f>
        <x:v>0</x:v>
      </x:c>
      <x:c r="AB198" s="706" t="str">
        <x:f>IF(OR(Z198="",AA198=""),"",Z198+AA198)</x:f>
      </x:c>
      <x:c r="AC198" s="713"/>
      <x:c r="AD198" s="713"/>
      <x:c r="AE198" s="714"/>
      <x:c r="AF198" s="713"/>
      <x:c r="AG198" s="713"/>
      <x:c r="AH198" s="715"/>
      <x:c r="AI198" s="714"/>
      <x:c r="AJ198" s="713"/>
      <x:c r="AK198" s="715"/>
      <x:c r="AL198" s="713"/>
      <x:c r="AM198" s="716"/>
      <x:c r="AN198" s="716" t="str">
        <x:f>IF(AND(COUNTIF(AC198:AK198,"Ya")=0,AL198=""),IF(COUNTIF(AC198:AK198,"Belum Dinilai")&gt;0,"Belum Dinilai","Tidak ada risiko khusus"),TEXTJOIN(", ",TRUE,IF(AC198="Ya","Bangunan berpotensi roboh",""),IF(AD198="Ya","Bekas kebakaran dan tidak aman dihuni",""),IF(AE198="Ya","Atap atau dinding utama hampir runtuh",""),IF(AF198="Ya","Genangan yang membahayakan",""),IF(AG198="Ya","Struktur rumah tidak stabil",""),IF(AH198="Ya","Instalasi listrik berbahaya",""),IF(AI198="Ya","Komponen bangunan lepas atau lapuk",""),IF(AJ198="Ya","Akses keluar atau evakuasi terbatas",""),IF(AK198="Ya","Lokasi rawan bencana",""),IF(AL198&lt;&gt;"","Lainnya: "&amp;AL198,"")))</x:f>
        <x:v>Tidak ada risiko khusus</x:v>
      </x:c>
      <x:c r="AO198" s="716" t="str">
        <x:f>IF(AR198="","Belum Dinilai",IF(AR198=10,"Risiko Tinggi/Darurat",IF(AR198=5,"Risiko Sedang","Tidak Ada Risiko Khusus")))</x:f>
        <x:v>Belum Dinilai</x:v>
      </x:c>
      <x:c r="AP198" s="716"/>
      <x:c r="AQ198" s="719" t="str">
        <x:f>IF(OR(J198="",J198="Belum Dapat Ditentukan",L198="",L198="Belum Dinilai",N198="",N198="Belum Dinilai",P198="",P198="Belum Dinilai"),"",IF(J198="Permanen",0,IF(J198="Semipermanen",8,IF(J198="Nonpermanen",15,0)))+IF(L198="Baik",0,IF(L198="Rusak Ringan",5,IF(L198="Rusak Sedang",10,IF(L198="Rusak Berat",15,IF(L198="Tidak Ada/Terbuka",20,0)))))+IF(N198="Baik",0,IF(N198="Rusak Ringan",5,IF(N198="Rusak Sedang",10,IF(N198="Rusak Berat",15,IF(N198="Tidak Ada/Terbuka",20,0)))))+IF(P198="Baik",0,IF(P198="Rusak Ringan",4,IF(P198="Rusak Sedang",8,IF(P198="Rusak Berat",12,IF(P198="Tidak Layak",15,0))))))</x:f>
      </x:c>
      <x:c r="AR198" s="719" t="n">
        <x:f>IF(COUNTIF(AC198:AH198,"Ya")&gt;0,10,IF(COUNTIF(AI198:AK198,"Ya")&gt;=2,10,IF(COUNTIF(AI198:AK198,"Ya")=1,MAX(5,IF(AM198="Risiko Tinggi/Darurat",10,IF(AM198="Risiko Sedang",5,0))),IF(AL198&lt;&gt;"",IF(AM198="Risiko Tinggi/Darurat",10,IF(AM198="Risiko Sedang",5,"")),IF(COUNTIF(AC198:AK198,"Belum Dinilai")&gt;0,"",0)))))</x:f>
        <x:v>0</x:v>
      </x:c>
      <x:c r="AS198" s="719" t="str">
        <x:f>IF(OR(AQ198="",AB198="",AR198=""),"",AQ198+AB198+AR198)</x:f>
      </x:c>
      <x:c r="AT198" s="719" t="str">
        <x:f>IF(AS198="","Belum Dapat Ditentukan",IF(AS198&gt;=80,"Sangat Tinggi",IF(OR(AO198="Risiko Tinggi/Darurat",(IF(L198="Rusak Berat",1,0)+IF(L198="Tidak Ada/Terbuka",1,0)+IF(N198="Rusak Berat",1,0)+IF(N198="Tidak Ada/Terbuka",1,0)+IF(P198="Rusak Berat",1,0)+IF(P198="Tidak Layak",1,0))&gt;=2),"Tinggi",IF(AS198&gt;=65,"Tinggi",IF(AS198&gt;=50,"Sedang","Rendah")))))</x:f>
        <x:v>Belum Dapat Ditentukan</x:v>
      </x:c>
      <x:c r="AU198" s="240"/>
      <x:c r="AV198" s="240"/>
      <x:c r="AW198" s="240"/>
      <x:c r="AX198" s="240"/>
      <x:c r="AY198" s="240"/>
      <x:c r="AZ198" s="240"/>
      <x:c r="BA198" s="240"/>
      <x:c r="BB198" s="240"/>
      <x:c r="BC198" s="240"/>
      <x:c r="BD198" s="240"/>
      <x:c r="BE198" s="240"/>
      <x:c r="BF198" s="240"/>
    </x:row>
    <x:row r="199" ht="32" customHeight="1">
      <x:c r="A199" s="314"/>
      <x:c r="B199" s="315"/>
      <x:c r="C199" s="316"/>
      <x:c r="D199" s="316"/>
      <x:c r="E199" s="315"/>
      <x:c r="F199" s="315"/>
      <x:c r="G199" s="315"/>
      <x:c r="H199" s="315"/>
      <x:c r="I199" s="317"/>
      <x:c r="J199" s="315"/>
      <x:c r="K199" s="315"/>
      <x:c r="L199" s="315"/>
      <x:c r="M199" s="367"/>
      <x:c r="N199" s="315"/>
      <x:c r="O199" s="316"/>
      <x:c r="P199" s="349"/>
      <x:c r="Q199" s="707"/>
      <x:c r="R199" s="707"/>
      <x:c r="S199" s="708"/>
      <x:c r="T199" s="709"/>
      <x:c r="U199" s="704"/>
      <x:c r="V199" s="704"/>
      <x:c r="W199" s="704"/>
      <x:c r="X199" s="704" t="str">
        <x:f>IF(COUNTIF(R199:V199,"Belum Dinilai")&gt;0,"Belum Dinilai",IF(COUNTIF(R199:V199,"Ya")=0,"Tidak ada faktor rentan",TEXTJOIN(", ",TRUE,IF(R199="Ya","Lansia",""),IF(S199="Ya","Penyandang disabilitas",""),IF(T199="Ya","Kepala keluarga perempuan",""),IF(U199="Ya","Balita",""),IF(V199="Ya","Anggota keluarga dengan ketergantungan tinggi",""))))</x:f>
        <x:v>Tidak ada faktor rentan</x:v>
      </x:c>
      <x:c r="Y199" s="704" t="str">
        <x:f>IF(COUNTIF(R199:V199,"Belum Dinilai")&gt;0,"Belum Dinilai",IF(COUNTIF(R199:V199,"Ya")=0,"Tidak Ada Faktor Rentan",IF(COUNTIF(R199:V199,"Ya")=1,"1 Faktor Rentan","2 atau Lebih Faktor Rentan")))</x:f>
        <x:v>Tidak Ada Faktor Rentan</x:v>
      </x:c>
      <x:c r="Z199" s="704" t="str">
        <x:f>IF(OR(Q199="",Q199="Belum Dinilai"),"",IF(Q199="Terverifikasi DTKS/P3KE/MBR",10,IF(Q199="Diusulkan, Belum Terverifikasi",5,0)))</x:f>
      </x:c>
      <x:c r="AA199" s="705" t="n">
        <x:f>IF(COUNTIF(R199:V199,"Belum Dinilai")&gt;0,"",IF(COUNTIF(R199:V199,"Ya")=0,0,IF(COUNTIF(R199:V199,"Ya")=1,5,10)))</x:f>
        <x:v>0</x:v>
      </x:c>
      <x:c r="AB199" s="706" t="str">
        <x:f>IF(OR(Z199="",AA199=""),"",Z199+AA199)</x:f>
      </x:c>
      <x:c r="AC199" s="713"/>
      <x:c r="AD199" s="713"/>
      <x:c r="AE199" s="714"/>
      <x:c r="AF199" s="713"/>
      <x:c r="AG199" s="713"/>
      <x:c r="AH199" s="715"/>
      <x:c r="AI199" s="714"/>
      <x:c r="AJ199" s="713"/>
      <x:c r="AK199" s="715"/>
      <x:c r="AL199" s="713"/>
      <x:c r="AM199" s="716"/>
      <x:c r="AN199" s="716" t="str">
        <x:f>IF(AND(COUNTIF(AC199:AK199,"Ya")=0,AL199=""),IF(COUNTIF(AC199:AK199,"Belum Dinilai")&gt;0,"Belum Dinilai","Tidak ada risiko khusus"),TEXTJOIN(", ",TRUE,IF(AC199="Ya","Bangunan berpotensi roboh",""),IF(AD199="Ya","Bekas kebakaran dan tidak aman dihuni",""),IF(AE199="Ya","Atap atau dinding utama hampir runtuh",""),IF(AF199="Ya","Genangan yang membahayakan",""),IF(AG199="Ya","Struktur rumah tidak stabil",""),IF(AH199="Ya","Instalasi listrik berbahaya",""),IF(AI199="Ya","Komponen bangunan lepas atau lapuk",""),IF(AJ199="Ya","Akses keluar atau evakuasi terbatas",""),IF(AK199="Ya","Lokasi rawan bencana",""),IF(AL199&lt;&gt;"","Lainnya: "&amp;AL199,"")))</x:f>
        <x:v>Tidak ada risiko khusus</x:v>
      </x:c>
      <x:c r="AO199" s="716" t="str">
        <x:f>IF(AR199="","Belum Dinilai",IF(AR199=10,"Risiko Tinggi/Darurat",IF(AR199=5,"Risiko Sedang","Tidak Ada Risiko Khusus")))</x:f>
        <x:v>Belum Dinilai</x:v>
      </x:c>
      <x:c r="AP199" s="716"/>
      <x:c r="AQ199" s="719" t="str">
        <x:f>IF(OR(J199="",J199="Belum Dapat Ditentukan",L199="",L199="Belum Dinilai",N199="",N199="Belum Dinilai",P199="",P199="Belum Dinilai"),"",IF(J199="Permanen",0,IF(J199="Semipermanen",8,IF(J199="Nonpermanen",15,0)))+IF(L199="Baik",0,IF(L199="Rusak Ringan",5,IF(L199="Rusak Sedang",10,IF(L199="Rusak Berat",15,IF(L199="Tidak Ada/Terbuka",20,0)))))+IF(N199="Baik",0,IF(N199="Rusak Ringan",5,IF(N199="Rusak Sedang",10,IF(N199="Rusak Berat",15,IF(N199="Tidak Ada/Terbuka",20,0)))))+IF(P199="Baik",0,IF(P199="Rusak Ringan",4,IF(P199="Rusak Sedang",8,IF(P199="Rusak Berat",12,IF(P199="Tidak Layak",15,0))))))</x:f>
      </x:c>
      <x:c r="AR199" s="719" t="n">
        <x:f>IF(COUNTIF(AC199:AH199,"Ya")&gt;0,10,IF(COUNTIF(AI199:AK199,"Ya")&gt;=2,10,IF(COUNTIF(AI199:AK199,"Ya")=1,MAX(5,IF(AM199="Risiko Tinggi/Darurat",10,IF(AM199="Risiko Sedang",5,0))),IF(AL199&lt;&gt;"",IF(AM199="Risiko Tinggi/Darurat",10,IF(AM199="Risiko Sedang",5,"")),IF(COUNTIF(AC199:AK199,"Belum Dinilai")&gt;0,"",0)))))</x:f>
        <x:v>0</x:v>
      </x:c>
      <x:c r="AS199" s="719" t="str">
        <x:f>IF(OR(AQ199="",AB199="",AR199=""),"",AQ199+AB199+AR199)</x:f>
      </x:c>
      <x:c r="AT199" s="719" t="str">
        <x:f>IF(AS199="","Belum Dapat Ditentukan",IF(AS199&gt;=80,"Sangat Tinggi",IF(OR(AO199="Risiko Tinggi/Darurat",(IF(L199="Rusak Berat",1,0)+IF(L199="Tidak Ada/Terbuka",1,0)+IF(N199="Rusak Berat",1,0)+IF(N199="Tidak Ada/Terbuka",1,0)+IF(P199="Rusak Berat",1,0)+IF(P199="Tidak Layak",1,0))&gt;=2),"Tinggi",IF(AS199&gt;=65,"Tinggi",IF(AS199&gt;=50,"Sedang","Rendah")))))</x:f>
        <x:v>Belum Dapat Ditentukan</x:v>
      </x:c>
      <x:c r="AU199" s="240"/>
      <x:c r="AV199" s="240"/>
      <x:c r="AW199" s="240"/>
      <x:c r="AX199" s="240"/>
      <x:c r="AY199" s="240"/>
      <x:c r="AZ199" s="240"/>
      <x:c r="BA199" s="240"/>
      <x:c r="BB199" s="240"/>
      <x:c r="BC199" s="240"/>
      <x:c r="BD199" s="240"/>
      <x:c r="BE199" s="240"/>
      <x:c r="BF199" s="240"/>
    </x:row>
    <x:row r="200" ht="32" customHeight="1">
      <x:c r="A200" s="314"/>
      <x:c r="B200" s="315"/>
      <x:c r="C200" s="316"/>
      <x:c r="D200" s="316"/>
      <x:c r="E200" s="315"/>
      <x:c r="F200" s="315"/>
      <x:c r="G200" s="315"/>
      <x:c r="H200" s="315"/>
      <x:c r="I200" s="317"/>
      <x:c r="J200" s="315"/>
      <x:c r="K200" s="315"/>
      <x:c r="L200" s="315"/>
      <x:c r="M200" s="367"/>
      <x:c r="N200" s="315"/>
      <x:c r="O200" s="316"/>
      <x:c r="P200" s="349"/>
      <x:c r="Q200" s="707"/>
      <x:c r="R200" s="707"/>
      <x:c r="S200" s="708"/>
      <x:c r="T200" s="709"/>
      <x:c r="U200" s="704"/>
      <x:c r="V200" s="704"/>
      <x:c r="W200" s="704"/>
      <x:c r="X200" s="704" t="str">
        <x:f>IF(COUNTIF(R200:V200,"Belum Dinilai")&gt;0,"Belum Dinilai",IF(COUNTIF(R200:V200,"Ya")=0,"Tidak ada faktor rentan",TEXTJOIN(", ",TRUE,IF(R200="Ya","Lansia",""),IF(S200="Ya","Penyandang disabilitas",""),IF(T200="Ya","Kepala keluarga perempuan",""),IF(U200="Ya","Balita",""),IF(V200="Ya","Anggota keluarga dengan ketergantungan tinggi",""))))</x:f>
        <x:v>Tidak ada faktor rentan</x:v>
      </x:c>
      <x:c r="Y200" s="704" t="str">
        <x:f>IF(COUNTIF(R200:V200,"Belum Dinilai")&gt;0,"Belum Dinilai",IF(COUNTIF(R200:V200,"Ya")=0,"Tidak Ada Faktor Rentan",IF(COUNTIF(R200:V200,"Ya")=1,"1 Faktor Rentan","2 atau Lebih Faktor Rentan")))</x:f>
        <x:v>Tidak Ada Faktor Rentan</x:v>
      </x:c>
      <x:c r="Z200" s="704" t="str">
        <x:f>IF(OR(Q200="",Q200="Belum Dinilai"),"",IF(Q200="Terverifikasi DTKS/P3KE/MBR",10,IF(Q200="Diusulkan, Belum Terverifikasi",5,0)))</x:f>
      </x:c>
      <x:c r="AA200" s="705" t="n">
        <x:f>IF(COUNTIF(R200:V200,"Belum Dinilai")&gt;0,"",IF(COUNTIF(R200:V200,"Ya")=0,0,IF(COUNTIF(R200:V200,"Ya")=1,5,10)))</x:f>
        <x:v>0</x:v>
      </x:c>
      <x:c r="AB200" s="706" t="str">
        <x:f>IF(OR(Z200="",AA200=""),"",Z200+AA200)</x:f>
      </x:c>
      <x:c r="AC200" s="713"/>
      <x:c r="AD200" s="713"/>
      <x:c r="AE200" s="714"/>
      <x:c r="AF200" s="713"/>
      <x:c r="AG200" s="713"/>
      <x:c r="AH200" s="715"/>
      <x:c r="AI200" s="714"/>
      <x:c r="AJ200" s="713"/>
      <x:c r="AK200" s="715"/>
      <x:c r="AL200" s="713"/>
      <x:c r="AM200" s="716"/>
      <x:c r="AN200" s="716" t="str">
        <x:f>IF(AND(COUNTIF(AC200:AK200,"Ya")=0,AL200=""),IF(COUNTIF(AC200:AK200,"Belum Dinilai")&gt;0,"Belum Dinilai","Tidak ada risiko khusus"),TEXTJOIN(", ",TRUE,IF(AC200="Ya","Bangunan berpotensi roboh",""),IF(AD200="Ya","Bekas kebakaran dan tidak aman dihuni",""),IF(AE200="Ya","Atap atau dinding utama hampir runtuh",""),IF(AF200="Ya","Genangan yang membahayakan",""),IF(AG200="Ya","Struktur rumah tidak stabil",""),IF(AH200="Ya","Instalasi listrik berbahaya",""),IF(AI200="Ya","Komponen bangunan lepas atau lapuk",""),IF(AJ200="Ya","Akses keluar atau evakuasi terbatas",""),IF(AK200="Ya","Lokasi rawan bencana",""),IF(AL200&lt;&gt;"","Lainnya: "&amp;AL200,"")))</x:f>
        <x:v>Tidak ada risiko khusus</x:v>
      </x:c>
      <x:c r="AO200" s="716" t="str">
        <x:f>IF(AR200="","Belum Dinilai",IF(AR200=10,"Risiko Tinggi/Darurat",IF(AR200=5,"Risiko Sedang","Tidak Ada Risiko Khusus")))</x:f>
        <x:v>Belum Dinilai</x:v>
      </x:c>
      <x:c r="AP200" s="716"/>
      <x:c r="AQ200" s="719" t="str">
        <x:f>IF(OR(J200="",J200="Belum Dapat Ditentukan",L200="",L200="Belum Dinilai",N200="",N200="Belum Dinilai",P200="",P200="Belum Dinilai"),"",IF(J200="Permanen",0,IF(J200="Semipermanen",8,IF(J200="Nonpermanen",15,0)))+IF(L200="Baik",0,IF(L200="Rusak Ringan",5,IF(L200="Rusak Sedang",10,IF(L200="Rusak Berat",15,IF(L200="Tidak Ada/Terbuka",20,0)))))+IF(N200="Baik",0,IF(N200="Rusak Ringan",5,IF(N200="Rusak Sedang",10,IF(N200="Rusak Berat",15,IF(N200="Tidak Ada/Terbuka",20,0)))))+IF(P200="Baik",0,IF(P200="Rusak Ringan",4,IF(P200="Rusak Sedang",8,IF(P200="Rusak Berat",12,IF(P200="Tidak Layak",15,0))))))</x:f>
      </x:c>
      <x:c r="AR200" s="719" t="n">
        <x:f>IF(COUNTIF(AC200:AH200,"Ya")&gt;0,10,IF(COUNTIF(AI200:AK200,"Ya")&gt;=2,10,IF(COUNTIF(AI200:AK200,"Ya")=1,MAX(5,IF(AM200="Risiko Tinggi/Darurat",10,IF(AM200="Risiko Sedang",5,0))),IF(AL200&lt;&gt;"",IF(AM200="Risiko Tinggi/Darurat",10,IF(AM200="Risiko Sedang",5,"")),IF(COUNTIF(AC200:AK200,"Belum Dinilai")&gt;0,"",0)))))</x:f>
        <x:v>0</x:v>
      </x:c>
      <x:c r="AS200" s="719" t="str">
        <x:f>IF(OR(AQ200="",AB200="",AR200=""),"",AQ200+AB200+AR200)</x:f>
      </x:c>
      <x:c r="AT200" s="719" t="str">
        <x:f>IF(AS200="","Belum Dapat Ditentukan",IF(AS200&gt;=80,"Sangat Tinggi",IF(OR(AO200="Risiko Tinggi/Darurat",(IF(L200="Rusak Berat",1,0)+IF(L200="Tidak Ada/Terbuka",1,0)+IF(N200="Rusak Berat",1,0)+IF(N200="Tidak Ada/Terbuka",1,0)+IF(P200="Rusak Berat",1,0)+IF(P200="Tidak Layak",1,0))&gt;=2),"Tinggi",IF(AS200&gt;=65,"Tinggi",IF(AS200&gt;=50,"Sedang","Rendah")))))</x:f>
        <x:v>Belum Dapat Ditentukan</x:v>
      </x:c>
      <x:c r="AU200" s="240"/>
      <x:c r="AV200" s="240"/>
      <x:c r="AW200" s="240"/>
      <x:c r="AX200" s="240"/>
      <x:c r="AY200" s="240"/>
      <x:c r="AZ200" s="240"/>
      <x:c r="BA200" s="240"/>
      <x:c r="BB200" s="240"/>
      <x:c r="BC200" s="240"/>
      <x:c r="BD200" s="240"/>
      <x:c r="BE200" s="240"/>
      <x:c r="BF200" s="240"/>
    </x:row>
    <x:row r="201" ht="32" customHeight="1">
      <x:c r="A201" s="314"/>
      <x:c r="B201" s="315"/>
      <x:c r="C201" s="316"/>
      <x:c r="D201" s="316"/>
      <x:c r="E201" s="315"/>
      <x:c r="F201" s="315"/>
      <x:c r="G201" s="315"/>
      <x:c r="H201" s="315"/>
      <x:c r="I201" s="317"/>
      <x:c r="J201" s="315"/>
      <x:c r="K201" s="315"/>
      <x:c r="L201" s="315"/>
      <x:c r="M201" s="367"/>
      <x:c r="N201" s="315"/>
      <x:c r="O201" s="316"/>
      <x:c r="P201" s="349"/>
      <x:c r="Q201" s="707"/>
      <x:c r="R201" s="707"/>
      <x:c r="S201" s="708"/>
      <x:c r="T201" s="709"/>
      <x:c r="U201" s="704"/>
      <x:c r="V201" s="704"/>
      <x:c r="W201" s="704"/>
      <x:c r="X201" s="704" t="str">
        <x:f>IF(COUNTIF(R201:V201,"Belum Dinilai")&gt;0,"Belum Dinilai",IF(COUNTIF(R201:V201,"Ya")=0,"Tidak ada faktor rentan",TEXTJOIN(", ",TRUE,IF(R201="Ya","Lansia",""),IF(S201="Ya","Penyandang disabilitas",""),IF(T201="Ya","Kepala keluarga perempuan",""),IF(U201="Ya","Balita",""),IF(V201="Ya","Anggota keluarga dengan ketergantungan tinggi",""))))</x:f>
        <x:v>Tidak ada faktor rentan</x:v>
      </x:c>
      <x:c r="Y201" s="704" t="str">
        <x:f>IF(COUNTIF(R201:V201,"Belum Dinilai")&gt;0,"Belum Dinilai",IF(COUNTIF(R201:V201,"Ya")=0,"Tidak Ada Faktor Rentan",IF(COUNTIF(R201:V201,"Ya")=1,"1 Faktor Rentan","2 atau Lebih Faktor Rentan")))</x:f>
        <x:v>Tidak Ada Faktor Rentan</x:v>
      </x:c>
      <x:c r="Z201" s="704" t="str">
        <x:f>IF(OR(Q201="",Q201="Belum Dinilai"),"",IF(Q201="Terverifikasi DTKS/P3KE/MBR",10,IF(Q201="Diusulkan, Belum Terverifikasi",5,0)))</x:f>
      </x:c>
      <x:c r="AA201" s="705" t="n">
        <x:f>IF(COUNTIF(R201:V201,"Belum Dinilai")&gt;0,"",IF(COUNTIF(R201:V201,"Ya")=0,0,IF(COUNTIF(R201:V201,"Ya")=1,5,10)))</x:f>
        <x:v>0</x:v>
      </x:c>
      <x:c r="AB201" s="706" t="str">
        <x:f>IF(OR(Z201="",AA201=""),"",Z201+AA201)</x:f>
      </x:c>
      <x:c r="AC201" s="713"/>
      <x:c r="AD201" s="713"/>
      <x:c r="AE201" s="714"/>
      <x:c r="AF201" s="713"/>
      <x:c r="AG201" s="713"/>
      <x:c r="AH201" s="715"/>
      <x:c r="AI201" s="714"/>
      <x:c r="AJ201" s="713"/>
      <x:c r="AK201" s="715"/>
      <x:c r="AL201" s="713"/>
      <x:c r="AM201" s="716"/>
      <x:c r="AN201" s="716" t="str">
        <x:f>IF(AND(COUNTIF(AC201:AK201,"Ya")=0,AL201=""),IF(COUNTIF(AC201:AK201,"Belum Dinilai")&gt;0,"Belum Dinilai","Tidak ada risiko khusus"),TEXTJOIN(", ",TRUE,IF(AC201="Ya","Bangunan berpotensi roboh",""),IF(AD201="Ya","Bekas kebakaran dan tidak aman dihuni",""),IF(AE201="Ya","Atap atau dinding utama hampir runtuh",""),IF(AF201="Ya","Genangan yang membahayakan",""),IF(AG201="Ya","Struktur rumah tidak stabil",""),IF(AH201="Ya","Instalasi listrik berbahaya",""),IF(AI201="Ya","Komponen bangunan lepas atau lapuk",""),IF(AJ201="Ya","Akses keluar atau evakuasi terbatas",""),IF(AK201="Ya","Lokasi rawan bencana",""),IF(AL201&lt;&gt;"","Lainnya: "&amp;AL201,"")))</x:f>
        <x:v>Tidak ada risiko khusus</x:v>
      </x:c>
      <x:c r="AO201" s="716" t="str">
        <x:f>IF(AR201="","Belum Dinilai",IF(AR201=10,"Risiko Tinggi/Darurat",IF(AR201=5,"Risiko Sedang","Tidak Ada Risiko Khusus")))</x:f>
        <x:v>Belum Dinilai</x:v>
      </x:c>
      <x:c r="AP201" s="716"/>
      <x:c r="AQ201" s="719" t="str">
        <x:f>IF(OR(J201="",J201="Belum Dapat Ditentukan",L201="",L201="Belum Dinilai",N201="",N201="Belum Dinilai",P201="",P201="Belum Dinilai"),"",IF(J201="Permanen",0,IF(J201="Semipermanen",8,IF(J201="Nonpermanen",15,0)))+IF(L201="Baik",0,IF(L201="Rusak Ringan",5,IF(L201="Rusak Sedang",10,IF(L201="Rusak Berat",15,IF(L201="Tidak Ada/Terbuka",20,0)))))+IF(N201="Baik",0,IF(N201="Rusak Ringan",5,IF(N201="Rusak Sedang",10,IF(N201="Rusak Berat",15,IF(N201="Tidak Ada/Terbuka",20,0)))))+IF(P201="Baik",0,IF(P201="Rusak Ringan",4,IF(P201="Rusak Sedang",8,IF(P201="Rusak Berat",12,IF(P201="Tidak Layak",15,0))))))</x:f>
      </x:c>
      <x:c r="AR201" s="719" t="n">
        <x:f>IF(COUNTIF(AC201:AH201,"Ya")&gt;0,10,IF(COUNTIF(AI201:AK201,"Ya")&gt;=2,10,IF(COUNTIF(AI201:AK201,"Ya")=1,MAX(5,IF(AM201="Risiko Tinggi/Darurat",10,IF(AM201="Risiko Sedang",5,0))),IF(AL201&lt;&gt;"",IF(AM201="Risiko Tinggi/Darurat",10,IF(AM201="Risiko Sedang",5,"")),IF(COUNTIF(AC201:AK201,"Belum Dinilai")&gt;0,"",0)))))</x:f>
        <x:v>0</x:v>
      </x:c>
      <x:c r="AS201" s="719" t="str">
        <x:f>IF(OR(AQ201="",AB201="",AR201=""),"",AQ201+AB201+AR201)</x:f>
      </x:c>
      <x:c r="AT201" s="719" t="str">
        <x:f>IF(AS201="","Belum Dapat Ditentukan",IF(AS201&gt;=80,"Sangat Tinggi",IF(OR(AO201="Risiko Tinggi/Darurat",(IF(L201="Rusak Berat",1,0)+IF(L201="Tidak Ada/Terbuka",1,0)+IF(N201="Rusak Berat",1,0)+IF(N201="Tidak Ada/Terbuka",1,0)+IF(P201="Rusak Berat",1,0)+IF(P201="Tidak Layak",1,0))&gt;=2),"Tinggi",IF(AS201&gt;=65,"Tinggi",IF(AS201&gt;=50,"Sedang","Rendah")))))</x:f>
        <x:v>Belum Dapat Ditentukan</x:v>
      </x:c>
      <x:c r="AU201" s="240"/>
      <x:c r="AV201" s="240"/>
      <x:c r="AW201" s="240"/>
      <x:c r="AX201" s="240"/>
      <x:c r="AY201" s="240"/>
      <x:c r="AZ201" s="240"/>
      <x:c r="BA201" s="240"/>
      <x:c r="BB201" s="240"/>
      <x:c r="BC201" s="240"/>
      <x:c r="BD201" s="240"/>
      <x:c r="BE201" s="240"/>
      <x:c r="BF201" s="240"/>
    </x:row>
    <x:row r="202" ht="32" customHeight="1">
      <x:c r="A202" s="314"/>
      <x:c r="B202" s="315"/>
      <x:c r="C202" s="316"/>
      <x:c r="D202" s="316"/>
      <x:c r="E202" s="315"/>
      <x:c r="F202" s="315"/>
      <x:c r="G202" s="315"/>
      <x:c r="H202" s="315"/>
      <x:c r="I202" s="317"/>
      <x:c r="J202" s="315"/>
      <x:c r="K202" s="315"/>
      <x:c r="L202" s="315"/>
      <x:c r="M202" s="367"/>
      <x:c r="N202" s="315"/>
      <x:c r="O202" s="316"/>
      <x:c r="P202" s="349"/>
      <x:c r="Q202" s="707"/>
      <x:c r="R202" s="707"/>
      <x:c r="S202" s="708"/>
      <x:c r="T202" s="709"/>
      <x:c r="U202" s="704"/>
      <x:c r="V202" s="704"/>
      <x:c r="W202" s="704"/>
      <x:c r="X202" s="704" t="str">
        <x:f>IF(COUNTIF(R202:V202,"Belum Dinilai")&gt;0,"Belum Dinilai",IF(COUNTIF(R202:V202,"Ya")=0,"Tidak ada faktor rentan",TEXTJOIN(", ",TRUE,IF(R202="Ya","Lansia",""),IF(S202="Ya","Penyandang disabilitas",""),IF(T202="Ya","Kepala keluarga perempuan",""),IF(U202="Ya","Balita",""),IF(V202="Ya","Anggota keluarga dengan ketergantungan tinggi",""))))</x:f>
        <x:v>Tidak ada faktor rentan</x:v>
      </x:c>
      <x:c r="Y202" s="704" t="str">
        <x:f>IF(COUNTIF(R202:V202,"Belum Dinilai")&gt;0,"Belum Dinilai",IF(COUNTIF(R202:V202,"Ya")=0,"Tidak Ada Faktor Rentan",IF(COUNTIF(R202:V202,"Ya")=1,"1 Faktor Rentan","2 atau Lebih Faktor Rentan")))</x:f>
        <x:v>Tidak Ada Faktor Rentan</x:v>
      </x:c>
      <x:c r="Z202" s="704" t="str">
        <x:f>IF(OR(Q202="",Q202="Belum Dinilai"),"",IF(Q202="Terverifikasi DTKS/P3KE/MBR",10,IF(Q202="Diusulkan, Belum Terverifikasi",5,0)))</x:f>
      </x:c>
      <x:c r="AA202" s="705" t="n">
        <x:f>IF(COUNTIF(R202:V202,"Belum Dinilai")&gt;0,"",IF(COUNTIF(R202:V202,"Ya")=0,0,IF(COUNTIF(R202:V202,"Ya")=1,5,10)))</x:f>
        <x:v>0</x:v>
      </x:c>
      <x:c r="AB202" s="706" t="str">
        <x:f>IF(OR(Z202="",AA202=""),"",Z202+AA202)</x:f>
      </x:c>
      <x:c r="AC202" s="713"/>
      <x:c r="AD202" s="713"/>
      <x:c r="AE202" s="714"/>
      <x:c r="AF202" s="713"/>
      <x:c r="AG202" s="713"/>
      <x:c r="AH202" s="715"/>
      <x:c r="AI202" s="714"/>
      <x:c r="AJ202" s="713"/>
      <x:c r="AK202" s="715"/>
      <x:c r="AL202" s="713"/>
      <x:c r="AM202" s="716"/>
      <x:c r="AN202" s="716" t="str">
        <x:f>IF(AND(COUNTIF(AC202:AK202,"Ya")=0,AL202=""),IF(COUNTIF(AC202:AK202,"Belum Dinilai")&gt;0,"Belum Dinilai","Tidak ada risiko khusus"),TEXTJOIN(", ",TRUE,IF(AC202="Ya","Bangunan berpotensi roboh",""),IF(AD202="Ya","Bekas kebakaran dan tidak aman dihuni",""),IF(AE202="Ya","Atap atau dinding utama hampir runtuh",""),IF(AF202="Ya","Genangan yang membahayakan",""),IF(AG202="Ya","Struktur rumah tidak stabil",""),IF(AH202="Ya","Instalasi listrik berbahaya",""),IF(AI202="Ya","Komponen bangunan lepas atau lapuk",""),IF(AJ202="Ya","Akses keluar atau evakuasi terbatas",""),IF(AK202="Ya","Lokasi rawan bencana",""),IF(AL202&lt;&gt;"","Lainnya: "&amp;AL202,"")))</x:f>
        <x:v>Tidak ada risiko khusus</x:v>
      </x:c>
      <x:c r="AO202" s="716" t="str">
        <x:f>IF(AR202="","Belum Dinilai",IF(AR202=10,"Risiko Tinggi/Darurat",IF(AR202=5,"Risiko Sedang","Tidak Ada Risiko Khusus")))</x:f>
        <x:v>Belum Dinilai</x:v>
      </x:c>
      <x:c r="AP202" s="716"/>
      <x:c r="AQ202" s="719" t="str">
        <x:f>IF(OR(J202="",J202="Belum Dapat Ditentukan",L202="",L202="Belum Dinilai",N202="",N202="Belum Dinilai",P202="",P202="Belum Dinilai"),"",IF(J202="Permanen",0,IF(J202="Semipermanen",8,IF(J202="Nonpermanen",15,0)))+IF(L202="Baik",0,IF(L202="Rusak Ringan",5,IF(L202="Rusak Sedang",10,IF(L202="Rusak Berat",15,IF(L202="Tidak Ada/Terbuka",20,0)))))+IF(N202="Baik",0,IF(N202="Rusak Ringan",5,IF(N202="Rusak Sedang",10,IF(N202="Rusak Berat",15,IF(N202="Tidak Ada/Terbuka",20,0)))))+IF(P202="Baik",0,IF(P202="Rusak Ringan",4,IF(P202="Rusak Sedang",8,IF(P202="Rusak Berat",12,IF(P202="Tidak Layak",15,0))))))</x:f>
      </x:c>
      <x:c r="AR202" s="719" t="n">
        <x:f>IF(COUNTIF(AC202:AH202,"Ya")&gt;0,10,IF(COUNTIF(AI202:AK202,"Ya")&gt;=2,10,IF(COUNTIF(AI202:AK202,"Ya")=1,MAX(5,IF(AM202="Risiko Tinggi/Darurat",10,IF(AM202="Risiko Sedang",5,0))),IF(AL202&lt;&gt;"",IF(AM202="Risiko Tinggi/Darurat",10,IF(AM202="Risiko Sedang",5,"")),IF(COUNTIF(AC202:AK202,"Belum Dinilai")&gt;0,"",0)))))</x:f>
        <x:v>0</x:v>
      </x:c>
      <x:c r="AS202" s="719" t="str">
        <x:f>IF(OR(AQ202="",AB202="",AR202=""),"",AQ202+AB202+AR202)</x:f>
      </x:c>
      <x:c r="AT202" s="719" t="str">
        <x:f>IF(AS202="","Belum Dapat Ditentukan",IF(AS202&gt;=80,"Sangat Tinggi",IF(OR(AO202="Risiko Tinggi/Darurat",(IF(L202="Rusak Berat",1,0)+IF(L202="Tidak Ada/Terbuka",1,0)+IF(N202="Rusak Berat",1,0)+IF(N202="Tidak Ada/Terbuka",1,0)+IF(P202="Rusak Berat",1,0)+IF(P202="Tidak Layak",1,0))&gt;=2),"Tinggi",IF(AS202&gt;=65,"Tinggi",IF(AS202&gt;=50,"Sedang","Rendah")))))</x:f>
        <x:v>Belum Dapat Ditentukan</x:v>
      </x:c>
      <x:c r="AU202" s="240"/>
      <x:c r="AV202" s="240"/>
      <x:c r="AW202" s="240"/>
      <x:c r="AX202" s="240"/>
      <x:c r="AY202" s="240"/>
      <x:c r="AZ202" s="240"/>
      <x:c r="BA202" s="240"/>
      <x:c r="BB202" s="240"/>
      <x:c r="BC202" s="240"/>
      <x:c r="BD202" s="240"/>
      <x:c r="BE202" s="240"/>
      <x:c r="BF202" s="240"/>
    </x:row>
    <x:row r="203" ht="32" customHeight="1">
      <x:c r="A203" s="314"/>
      <x:c r="B203" s="315"/>
      <x:c r="C203" s="316"/>
      <x:c r="D203" s="316"/>
      <x:c r="E203" s="315"/>
      <x:c r="F203" s="315"/>
      <x:c r="G203" s="315"/>
      <x:c r="H203" s="315"/>
      <x:c r="I203" s="317"/>
      <x:c r="J203" s="315"/>
      <x:c r="K203" s="315"/>
      <x:c r="L203" s="315"/>
      <x:c r="M203" s="367"/>
      <x:c r="N203" s="315"/>
      <x:c r="O203" s="316"/>
      <x:c r="P203" s="349"/>
      <x:c r="Q203" s="707"/>
      <x:c r="R203" s="707"/>
      <x:c r="S203" s="708"/>
      <x:c r="T203" s="709"/>
      <x:c r="U203" s="704"/>
      <x:c r="V203" s="704"/>
      <x:c r="W203" s="704"/>
      <x:c r="X203" s="704" t="str">
        <x:f>IF(COUNTIF(R203:V203,"Belum Dinilai")&gt;0,"Belum Dinilai",IF(COUNTIF(R203:V203,"Ya")=0,"Tidak ada faktor rentan",TEXTJOIN(", ",TRUE,IF(R203="Ya","Lansia",""),IF(S203="Ya","Penyandang disabilitas",""),IF(T203="Ya","Kepala keluarga perempuan",""),IF(U203="Ya","Balita",""),IF(V203="Ya","Anggota keluarga dengan ketergantungan tinggi",""))))</x:f>
        <x:v>Tidak ada faktor rentan</x:v>
      </x:c>
      <x:c r="Y203" s="704" t="str">
        <x:f>IF(COUNTIF(R203:V203,"Belum Dinilai")&gt;0,"Belum Dinilai",IF(COUNTIF(R203:V203,"Ya")=0,"Tidak Ada Faktor Rentan",IF(COUNTIF(R203:V203,"Ya")=1,"1 Faktor Rentan","2 atau Lebih Faktor Rentan")))</x:f>
        <x:v>Tidak Ada Faktor Rentan</x:v>
      </x:c>
      <x:c r="Z203" s="704" t="str">
        <x:f>IF(OR(Q203="",Q203="Belum Dinilai"),"",IF(Q203="Terverifikasi DTKS/P3KE/MBR",10,IF(Q203="Diusulkan, Belum Terverifikasi",5,0)))</x:f>
      </x:c>
      <x:c r="AA203" s="705" t="n">
        <x:f>IF(COUNTIF(R203:V203,"Belum Dinilai")&gt;0,"",IF(COUNTIF(R203:V203,"Ya")=0,0,IF(COUNTIF(R203:V203,"Ya")=1,5,10)))</x:f>
        <x:v>0</x:v>
      </x:c>
      <x:c r="AB203" s="706" t="str">
        <x:f>IF(OR(Z203="",AA203=""),"",Z203+AA203)</x:f>
      </x:c>
      <x:c r="AC203" s="713"/>
      <x:c r="AD203" s="713"/>
      <x:c r="AE203" s="714"/>
      <x:c r="AF203" s="713"/>
      <x:c r="AG203" s="713"/>
      <x:c r="AH203" s="715"/>
      <x:c r="AI203" s="714"/>
      <x:c r="AJ203" s="713"/>
      <x:c r="AK203" s="715"/>
      <x:c r="AL203" s="713"/>
      <x:c r="AM203" s="716"/>
      <x:c r="AN203" s="716" t="str">
        <x:f>IF(AND(COUNTIF(AC203:AK203,"Ya")=0,AL203=""),IF(COUNTIF(AC203:AK203,"Belum Dinilai")&gt;0,"Belum Dinilai","Tidak ada risiko khusus"),TEXTJOIN(", ",TRUE,IF(AC203="Ya","Bangunan berpotensi roboh",""),IF(AD203="Ya","Bekas kebakaran dan tidak aman dihuni",""),IF(AE203="Ya","Atap atau dinding utama hampir runtuh",""),IF(AF203="Ya","Genangan yang membahayakan",""),IF(AG203="Ya","Struktur rumah tidak stabil",""),IF(AH203="Ya","Instalasi listrik berbahaya",""),IF(AI203="Ya","Komponen bangunan lepas atau lapuk",""),IF(AJ203="Ya","Akses keluar atau evakuasi terbatas",""),IF(AK203="Ya","Lokasi rawan bencana",""),IF(AL203&lt;&gt;"","Lainnya: "&amp;AL203,"")))</x:f>
        <x:v>Tidak ada risiko khusus</x:v>
      </x:c>
      <x:c r="AO203" s="716" t="str">
        <x:f>IF(AR203="","Belum Dinilai",IF(AR203=10,"Risiko Tinggi/Darurat",IF(AR203=5,"Risiko Sedang","Tidak Ada Risiko Khusus")))</x:f>
        <x:v>Belum Dinilai</x:v>
      </x:c>
      <x:c r="AP203" s="716"/>
      <x:c r="AQ203" s="719" t="str">
        <x:f>IF(OR(J203="",J203="Belum Dapat Ditentukan",L203="",L203="Belum Dinilai",N203="",N203="Belum Dinilai",P203="",P203="Belum Dinilai"),"",IF(J203="Permanen",0,IF(J203="Semipermanen",8,IF(J203="Nonpermanen",15,0)))+IF(L203="Baik",0,IF(L203="Rusak Ringan",5,IF(L203="Rusak Sedang",10,IF(L203="Rusak Berat",15,IF(L203="Tidak Ada/Terbuka",20,0)))))+IF(N203="Baik",0,IF(N203="Rusak Ringan",5,IF(N203="Rusak Sedang",10,IF(N203="Rusak Berat",15,IF(N203="Tidak Ada/Terbuka",20,0)))))+IF(P203="Baik",0,IF(P203="Rusak Ringan",4,IF(P203="Rusak Sedang",8,IF(P203="Rusak Berat",12,IF(P203="Tidak Layak",15,0))))))</x:f>
      </x:c>
      <x:c r="AR203" s="719" t="n">
        <x:f>IF(COUNTIF(AC203:AH203,"Ya")&gt;0,10,IF(COUNTIF(AI203:AK203,"Ya")&gt;=2,10,IF(COUNTIF(AI203:AK203,"Ya")=1,MAX(5,IF(AM203="Risiko Tinggi/Darurat",10,IF(AM203="Risiko Sedang",5,0))),IF(AL203&lt;&gt;"",IF(AM203="Risiko Tinggi/Darurat",10,IF(AM203="Risiko Sedang",5,"")),IF(COUNTIF(AC203:AK203,"Belum Dinilai")&gt;0,"",0)))))</x:f>
        <x:v>0</x:v>
      </x:c>
      <x:c r="AS203" s="719" t="str">
        <x:f>IF(OR(AQ203="",AB203="",AR203=""),"",AQ203+AB203+AR203)</x:f>
      </x:c>
      <x:c r="AT203" s="719" t="str">
        <x:f>IF(AS203="","Belum Dapat Ditentukan",IF(AS203&gt;=80,"Sangat Tinggi",IF(OR(AO203="Risiko Tinggi/Darurat",(IF(L203="Rusak Berat",1,0)+IF(L203="Tidak Ada/Terbuka",1,0)+IF(N203="Rusak Berat",1,0)+IF(N203="Tidak Ada/Terbuka",1,0)+IF(P203="Rusak Berat",1,0)+IF(P203="Tidak Layak",1,0))&gt;=2),"Tinggi",IF(AS203&gt;=65,"Tinggi",IF(AS203&gt;=50,"Sedang","Rendah")))))</x:f>
        <x:v>Belum Dapat Ditentukan</x:v>
      </x:c>
      <x:c r="AU203" s="240"/>
      <x:c r="AV203" s="240"/>
      <x:c r="AW203" s="240"/>
      <x:c r="AX203" s="240"/>
      <x:c r="AY203" s="240"/>
      <x:c r="AZ203" s="240"/>
      <x:c r="BA203" s="240"/>
      <x:c r="BB203" s="240"/>
      <x:c r="BC203" s="240"/>
      <x:c r="BD203" s="240"/>
      <x:c r="BE203" s="240"/>
      <x:c r="BF203" s="240"/>
    </x:row>
    <x:row r="204" ht="32" customHeight="1">
      <x:c r="A204" s="314"/>
      <x:c r="B204" s="315"/>
      <x:c r="C204" s="316"/>
      <x:c r="D204" s="316"/>
      <x:c r="E204" s="315"/>
      <x:c r="F204" s="315"/>
      <x:c r="G204" s="315"/>
      <x:c r="H204" s="315"/>
      <x:c r="I204" s="317"/>
      <x:c r="J204" s="315"/>
      <x:c r="K204" s="315"/>
      <x:c r="L204" s="315"/>
      <x:c r="M204" s="367"/>
      <x:c r="N204" s="315"/>
      <x:c r="O204" s="316"/>
      <x:c r="P204" s="349"/>
      <x:c r="Q204" s="707"/>
      <x:c r="R204" s="707"/>
      <x:c r="S204" s="708"/>
      <x:c r="T204" s="709"/>
      <x:c r="U204" s="704"/>
      <x:c r="V204" s="704"/>
      <x:c r="W204" s="704"/>
      <x:c r="X204" s="704" t="str">
        <x:f>IF(COUNTIF(R204:V204,"Belum Dinilai")&gt;0,"Belum Dinilai",IF(COUNTIF(R204:V204,"Ya")=0,"Tidak ada faktor rentan",TEXTJOIN(", ",TRUE,IF(R204="Ya","Lansia",""),IF(S204="Ya","Penyandang disabilitas",""),IF(T204="Ya","Kepala keluarga perempuan",""),IF(U204="Ya","Balita",""),IF(V204="Ya","Anggota keluarga dengan ketergantungan tinggi",""))))</x:f>
        <x:v>Tidak ada faktor rentan</x:v>
      </x:c>
      <x:c r="Y204" s="704" t="str">
        <x:f>IF(COUNTIF(R204:V204,"Belum Dinilai")&gt;0,"Belum Dinilai",IF(COUNTIF(R204:V204,"Ya")=0,"Tidak Ada Faktor Rentan",IF(COUNTIF(R204:V204,"Ya")=1,"1 Faktor Rentan","2 atau Lebih Faktor Rentan")))</x:f>
        <x:v>Tidak Ada Faktor Rentan</x:v>
      </x:c>
      <x:c r="Z204" s="704" t="str">
        <x:f>IF(OR(Q204="",Q204="Belum Dinilai"),"",IF(Q204="Terverifikasi DTKS/P3KE/MBR",10,IF(Q204="Diusulkan, Belum Terverifikasi",5,0)))</x:f>
      </x:c>
      <x:c r="AA204" s="705" t="n">
        <x:f>IF(COUNTIF(R204:V204,"Belum Dinilai")&gt;0,"",IF(COUNTIF(R204:V204,"Ya")=0,0,IF(COUNTIF(R204:V204,"Ya")=1,5,10)))</x:f>
        <x:v>0</x:v>
      </x:c>
      <x:c r="AB204" s="706" t="str">
        <x:f>IF(OR(Z204="",AA204=""),"",Z204+AA204)</x:f>
      </x:c>
      <x:c r="AC204" s="713"/>
      <x:c r="AD204" s="713"/>
      <x:c r="AE204" s="714"/>
      <x:c r="AF204" s="713"/>
      <x:c r="AG204" s="713"/>
      <x:c r="AH204" s="715"/>
      <x:c r="AI204" s="714"/>
      <x:c r="AJ204" s="713"/>
      <x:c r="AK204" s="715"/>
      <x:c r="AL204" s="713"/>
      <x:c r="AM204" s="716"/>
      <x:c r="AN204" s="716" t="str">
        <x:f>IF(AND(COUNTIF(AC204:AK204,"Ya")=0,AL204=""),IF(COUNTIF(AC204:AK204,"Belum Dinilai")&gt;0,"Belum Dinilai","Tidak ada risiko khusus"),TEXTJOIN(", ",TRUE,IF(AC204="Ya","Bangunan berpotensi roboh",""),IF(AD204="Ya","Bekas kebakaran dan tidak aman dihuni",""),IF(AE204="Ya","Atap atau dinding utama hampir runtuh",""),IF(AF204="Ya","Genangan yang membahayakan",""),IF(AG204="Ya","Struktur rumah tidak stabil",""),IF(AH204="Ya","Instalasi listrik berbahaya",""),IF(AI204="Ya","Komponen bangunan lepas atau lapuk",""),IF(AJ204="Ya","Akses keluar atau evakuasi terbatas",""),IF(AK204="Ya","Lokasi rawan bencana",""),IF(AL204&lt;&gt;"","Lainnya: "&amp;AL204,"")))</x:f>
        <x:v>Tidak ada risiko khusus</x:v>
      </x:c>
      <x:c r="AO204" s="716" t="str">
        <x:f>IF(AR204="","Belum Dinilai",IF(AR204=10,"Risiko Tinggi/Darurat",IF(AR204=5,"Risiko Sedang","Tidak Ada Risiko Khusus")))</x:f>
        <x:v>Belum Dinilai</x:v>
      </x:c>
      <x:c r="AP204" s="716"/>
      <x:c r="AQ204" s="719" t="str">
        <x:f>IF(OR(J204="",J204="Belum Dapat Ditentukan",L204="",L204="Belum Dinilai",N204="",N204="Belum Dinilai",P204="",P204="Belum Dinilai"),"",IF(J204="Permanen",0,IF(J204="Semipermanen",8,IF(J204="Nonpermanen",15,0)))+IF(L204="Baik",0,IF(L204="Rusak Ringan",5,IF(L204="Rusak Sedang",10,IF(L204="Rusak Berat",15,IF(L204="Tidak Ada/Terbuka",20,0)))))+IF(N204="Baik",0,IF(N204="Rusak Ringan",5,IF(N204="Rusak Sedang",10,IF(N204="Rusak Berat",15,IF(N204="Tidak Ada/Terbuka",20,0)))))+IF(P204="Baik",0,IF(P204="Rusak Ringan",4,IF(P204="Rusak Sedang",8,IF(P204="Rusak Berat",12,IF(P204="Tidak Layak",15,0))))))</x:f>
      </x:c>
      <x:c r="AR204" s="719" t="n">
        <x:f>IF(COUNTIF(AC204:AH204,"Ya")&gt;0,10,IF(COUNTIF(AI204:AK204,"Ya")&gt;=2,10,IF(COUNTIF(AI204:AK204,"Ya")=1,MAX(5,IF(AM204="Risiko Tinggi/Darurat",10,IF(AM204="Risiko Sedang",5,0))),IF(AL204&lt;&gt;"",IF(AM204="Risiko Tinggi/Darurat",10,IF(AM204="Risiko Sedang",5,"")),IF(COUNTIF(AC204:AK204,"Belum Dinilai")&gt;0,"",0)))))</x:f>
        <x:v>0</x:v>
      </x:c>
      <x:c r="AS204" s="719" t="str">
        <x:f>IF(OR(AQ204="",AB204="",AR204=""),"",AQ204+AB204+AR204)</x:f>
      </x:c>
      <x:c r="AT204" s="719" t="str">
        <x:f>IF(AS204="","Belum Dapat Ditentukan",IF(AS204&gt;=80,"Sangat Tinggi",IF(OR(AO204="Risiko Tinggi/Darurat",(IF(L204="Rusak Berat",1,0)+IF(L204="Tidak Ada/Terbuka",1,0)+IF(N204="Rusak Berat",1,0)+IF(N204="Tidak Ada/Terbuka",1,0)+IF(P204="Rusak Berat",1,0)+IF(P204="Tidak Layak",1,0))&gt;=2),"Tinggi",IF(AS204&gt;=65,"Tinggi",IF(AS204&gt;=50,"Sedang","Rendah")))))</x:f>
        <x:v>Belum Dapat Ditentukan</x:v>
      </x:c>
      <x:c r="AU204" s="240"/>
      <x:c r="AV204" s="240"/>
      <x:c r="AW204" s="240"/>
      <x:c r="AX204" s="240"/>
      <x:c r="AY204" s="240"/>
      <x:c r="AZ204" s="240"/>
      <x:c r="BA204" s="240"/>
      <x:c r="BB204" s="240"/>
      <x:c r="BC204" s="240"/>
      <x:c r="BD204" s="240"/>
      <x:c r="BE204" s="240"/>
      <x:c r="BF204" s="240"/>
    </x:row>
    <x:row r="205" ht="32" customHeight="1">
      <x:c r="A205" s="314"/>
      <x:c r="B205" s="315"/>
      <x:c r="C205" s="316"/>
      <x:c r="D205" s="316"/>
      <x:c r="E205" s="315"/>
      <x:c r="F205" s="315"/>
      <x:c r="G205" s="315"/>
      <x:c r="H205" s="315"/>
      <x:c r="I205" s="317"/>
      <x:c r="J205" s="315"/>
      <x:c r="K205" s="315"/>
      <x:c r="L205" s="315"/>
      <x:c r="M205" s="367"/>
      <x:c r="N205" s="315"/>
      <x:c r="O205" s="316"/>
      <x:c r="P205" s="349"/>
      <x:c r="Q205" s="707"/>
      <x:c r="R205" s="707"/>
      <x:c r="S205" s="708"/>
      <x:c r="T205" s="709"/>
      <x:c r="U205" s="704"/>
      <x:c r="V205" s="704"/>
      <x:c r="W205" s="704"/>
      <x:c r="X205" s="704" t="str">
        <x:f>IF(COUNTIF(R205:V205,"Belum Dinilai")&gt;0,"Belum Dinilai",IF(COUNTIF(R205:V205,"Ya")=0,"Tidak ada faktor rentan",TEXTJOIN(", ",TRUE,IF(R205="Ya","Lansia",""),IF(S205="Ya","Penyandang disabilitas",""),IF(T205="Ya","Kepala keluarga perempuan",""),IF(U205="Ya","Balita",""),IF(V205="Ya","Anggota keluarga dengan ketergantungan tinggi",""))))</x:f>
        <x:v>Tidak ada faktor rentan</x:v>
      </x:c>
      <x:c r="Y205" s="704" t="str">
        <x:f>IF(COUNTIF(R205:V205,"Belum Dinilai")&gt;0,"Belum Dinilai",IF(COUNTIF(R205:V205,"Ya")=0,"Tidak Ada Faktor Rentan",IF(COUNTIF(R205:V205,"Ya")=1,"1 Faktor Rentan","2 atau Lebih Faktor Rentan")))</x:f>
        <x:v>Tidak Ada Faktor Rentan</x:v>
      </x:c>
      <x:c r="Z205" s="704" t="str">
        <x:f>IF(OR(Q205="",Q205="Belum Dinilai"),"",IF(Q205="Terverifikasi DTKS/P3KE/MBR",10,IF(Q205="Diusulkan, Belum Terverifikasi",5,0)))</x:f>
      </x:c>
      <x:c r="AA205" s="705" t="n">
        <x:f>IF(COUNTIF(R205:V205,"Belum Dinilai")&gt;0,"",IF(COUNTIF(R205:V205,"Ya")=0,0,IF(COUNTIF(R205:V205,"Ya")=1,5,10)))</x:f>
        <x:v>0</x:v>
      </x:c>
      <x:c r="AB205" s="706" t="str">
        <x:f>IF(OR(Z205="",AA205=""),"",Z205+AA205)</x:f>
      </x:c>
      <x:c r="AC205" s="713"/>
      <x:c r="AD205" s="713"/>
      <x:c r="AE205" s="714"/>
      <x:c r="AF205" s="713"/>
      <x:c r="AG205" s="713"/>
      <x:c r="AH205" s="715"/>
      <x:c r="AI205" s="714"/>
      <x:c r="AJ205" s="713"/>
      <x:c r="AK205" s="715"/>
      <x:c r="AL205" s="713"/>
      <x:c r="AM205" s="716"/>
      <x:c r="AN205" s="716" t="str">
        <x:f>IF(AND(COUNTIF(AC205:AK205,"Ya")=0,AL205=""),IF(COUNTIF(AC205:AK205,"Belum Dinilai")&gt;0,"Belum Dinilai","Tidak ada risiko khusus"),TEXTJOIN(", ",TRUE,IF(AC205="Ya","Bangunan berpotensi roboh",""),IF(AD205="Ya","Bekas kebakaran dan tidak aman dihuni",""),IF(AE205="Ya","Atap atau dinding utama hampir runtuh",""),IF(AF205="Ya","Genangan yang membahayakan",""),IF(AG205="Ya","Struktur rumah tidak stabil",""),IF(AH205="Ya","Instalasi listrik berbahaya",""),IF(AI205="Ya","Komponen bangunan lepas atau lapuk",""),IF(AJ205="Ya","Akses keluar atau evakuasi terbatas",""),IF(AK205="Ya","Lokasi rawan bencana",""),IF(AL205&lt;&gt;"","Lainnya: "&amp;AL205,"")))</x:f>
        <x:v>Tidak ada risiko khusus</x:v>
      </x:c>
      <x:c r="AO205" s="716" t="str">
        <x:f>IF(AR205="","Belum Dinilai",IF(AR205=10,"Risiko Tinggi/Darurat",IF(AR205=5,"Risiko Sedang","Tidak Ada Risiko Khusus")))</x:f>
        <x:v>Belum Dinilai</x:v>
      </x:c>
      <x:c r="AP205" s="716"/>
      <x:c r="AQ205" s="719" t="str">
        <x:f>IF(OR(J205="",J205="Belum Dapat Ditentukan",L205="",L205="Belum Dinilai",N205="",N205="Belum Dinilai",P205="",P205="Belum Dinilai"),"",IF(J205="Permanen",0,IF(J205="Semipermanen",8,IF(J205="Nonpermanen",15,0)))+IF(L205="Baik",0,IF(L205="Rusak Ringan",5,IF(L205="Rusak Sedang",10,IF(L205="Rusak Berat",15,IF(L205="Tidak Ada/Terbuka",20,0)))))+IF(N205="Baik",0,IF(N205="Rusak Ringan",5,IF(N205="Rusak Sedang",10,IF(N205="Rusak Berat",15,IF(N205="Tidak Ada/Terbuka",20,0)))))+IF(P205="Baik",0,IF(P205="Rusak Ringan",4,IF(P205="Rusak Sedang",8,IF(P205="Rusak Berat",12,IF(P205="Tidak Layak",15,0))))))</x:f>
      </x:c>
      <x:c r="AR205" s="719" t="n">
        <x:f>IF(COUNTIF(AC205:AH205,"Ya")&gt;0,10,IF(COUNTIF(AI205:AK205,"Ya")&gt;=2,10,IF(COUNTIF(AI205:AK205,"Ya")=1,MAX(5,IF(AM205="Risiko Tinggi/Darurat",10,IF(AM205="Risiko Sedang",5,0))),IF(AL205&lt;&gt;"",IF(AM205="Risiko Tinggi/Darurat",10,IF(AM205="Risiko Sedang",5,"")),IF(COUNTIF(AC205:AK205,"Belum Dinilai")&gt;0,"",0)))))</x:f>
        <x:v>0</x:v>
      </x:c>
      <x:c r="AS205" s="719" t="str">
        <x:f>IF(OR(AQ205="",AB205="",AR205=""),"",AQ205+AB205+AR205)</x:f>
      </x:c>
      <x:c r="AT205" s="719" t="str">
        <x:f>IF(AS205="","Belum Dapat Ditentukan",IF(AS205&gt;=80,"Sangat Tinggi",IF(OR(AO205="Risiko Tinggi/Darurat",(IF(L205="Rusak Berat",1,0)+IF(L205="Tidak Ada/Terbuka",1,0)+IF(N205="Rusak Berat",1,0)+IF(N205="Tidak Ada/Terbuka",1,0)+IF(P205="Rusak Berat",1,0)+IF(P205="Tidak Layak",1,0))&gt;=2),"Tinggi",IF(AS205&gt;=65,"Tinggi",IF(AS205&gt;=50,"Sedang","Rendah")))))</x:f>
        <x:v>Belum Dapat Ditentukan</x:v>
      </x:c>
      <x:c r="AU205" s="240"/>
      <x:c r="AV205" s="240"/>
      <x:c r="AW205" s="240"/>
      <x:c r="AX205" s="240"/>
      <x:c r="AY205" s="240"/>
      <x:c r="AZ205" s="240"/>
      <x:c r="BA205" s="240"/>
      <x:c r="BB205" s="240"/>
      <x:c r="BC205" s="240"/>
      <x:c r="BD205" s="240"/>
      <x:c r="BE205" s="240"/>
      <x:c r="BF205" s="240"/>
    </x:row>
    <x:row r="206" ht="32" customHeight="1">
      <x:c r="A206" s="314"/>
      <x:c r="B206" s="315"/>
      <x:c r="C206" s="316"/>
      <x:c r="D206" s="316"/>
      <x:c r="E206" s="315"/>
      <x:c r="F206" s="315"/>
      <x:c r="G206" s="315"/>
      <x:c r="H206" s="315"/>
      <x:c r="I206" s="317"/>
      <x:c r="J206" s="315"/>
      <x:c r="K206" s="315"/>
      <x:c r="L206" s="315"/>
      <x:c r="M206" s="367"/>
      <x:c r="N206" s="315"/>
      <x:c r="O206" s="316"/>
      <x:c r="P206" s="349"/>
      <x:c r="Q206" s="707"/>
      <x:c r="R206" s="707"/>
      <x:c r="S206" s="708"/>
      <x:c r="T206" s="709"/>
      <x:c r="U206" s="704"/>
      <x:c r="V206" s="704"/>
      <x:c r="W206" s="704"/>
      <x:c r="X206" s="704" t="str">
        <x:f>IF(COUNTIF(R206:V206,"Belum Dinilai")&gt;0,"Belum Dinilai",IF(COUNTIF(R206:V206,"Ya")=0,"Tidak ada faktor rentan",TEXTJOIN(", ",TRUE,IF(R206="Ya","Lansia",""),IF(S206="Ya","Penyandang disabilitas",""),IF(T206="Ya","Kepala keluarga perempuan",""),IF(U206="Ya","Balita",""),IF(V206="Ya","Anggota keluarga dengan ketergantungan tinggi",""))))</x:f>
        <x:v>Tidak ada faktor rentan</x:v>
      </x:c>
      <x:c r="Y206" s="704" t="str">
        <x:f>IF(COUNTIF(R206:V206,"Belum Dinilai")&gt;0,"Belum Dinilai",IF(COUNTIF(R206:V206,"Ya")=0,"Tidak Ada Faktor Rentan",IF(COUNTIF(R206:V206,"Ya")=1,"1 Faktor Rentan","2 atau Lebih Faktor Rentan")))</x:f>
        <x:v>Tidak Ada Faktor Rentan</x:v>
      </x:c>
      <x:c r="Z206" s="704" t="str">
        <x:f>IF(OR(Q206="",Q206="Belum Dinilai"),"",IF(Q206="Terverifikasi DTKS/P3KE/MBR",10,IF(Q206="Diusulkan, Belum Terverifikasi",5,0)))</x:f>
      </x:c>
      <x:c r="AA206" s="705" t="n">
        <x:f>IF(COUNTIF(R206:V206,"Belum Dinilai")&gt;0,"",IF(COUNTIF(R206:V206,"Ya")=0,0,IF(COUNTIF(R206:V206,"Ya")=1,5,10)))</x:f>
        <x:v>0</x:v>
      </x:c>
      <x:c r="AB206" s="706" t="str">
        <x:f>IF(OR(Z206="",AA206=""),"",Z206+AA206)</x:f>
      </x:c>
      <x:c r="AC206" s="713"/>
      <x:c r="AD206" s="713"/>
      <x:c r="AE206" s="714"/>
      <x:c r="AF206" s="713"/>
      <x:c r="AG206" s="713"/>
      <x:c r="AH206" s="715"/>
      <x:c r="AI206" s="714"/>
      <x:c r="AJ206" s="713"/>
      <x:c r="AK206" s="715"/>
      <x:c r="AL206" s="713"/>
      <x:c r="AM206" s="716"/>
      <x:c r="AN206" s="716" t="str">
        <x:f>IF(AND(COUNTIF(AC206:AK206,"Ya")=0,AL206=""),IF(COUNTIF(AC206:AK206,"Belum Dinilai")&gt;0,"Belum Dinilai","Tidak ada risiko khusus"),TEXTJOIN(", ",TRUE,IF(AC206="Ya","Bangunan berpotensi roboh",""),IF(AD206="Ya","Bekas kebakaran dan tidak aman dihuni",""),IF(AE206="Ya","Atap atau dinding utama hampir runtuh",""),IF(AF206="Ya","Genangan yang membahayakan",""),IF(AG206="Ya","Struktur rumah tidak stabil",""),IF(AH206="Ya","Instalasi listrik berbahaya",""),IF(AI206="Ya","Komponen bangunan lepas atau lapuk",""),IF(AJ206="Ya","Akses keluar atau evakuasi terbatas",""),IF(AK206="Ya","Lokasi rawan bencana",""),IF(AL206&lt;&gt;"","Lainnya: "&amp;AL206,"")))</x:f>
        <x:v>Tidak ada risiko khusus</x:v>
      </x:c>
      <x:c r="AO206" s="716" t="str">
        <x:f>IF(AR206="","Belum Dinilai",IF(AR206=10,"Risiko Tinggi/Darurat",IF(AR206=5,"Risiko Sedang","Tidak Ada Risiko Khusus")))</x:f>
        <x:v>Belum Dinilai</x:v>
      </x:c>
      <x:c r="AP206" s="716"/>
      <x:c r="AQ206" s="719" t="str">
        <x:f>IF(OR(J206="",J206="Belum Dapat Ditentukan",L206="",L206="Belum Dinilai",N206="",N206="Belum Dinilai",P206="",P206="Belum Dinilai"),"",IF(J206="Permanen",0,IF(J206="Semipermanen",8,IF(J206="Nonpermanen",15,0)))+IF(L206="Baik",0,IF(L206="Rusak Ringan",5,IF(L206="Rusak Sedang",10,IF(L206="Rusak Berat",15,IF(L206="Tidak Ada/Terbuka",20,0)))))+IF(N206="Baik",0,IF(N206="Rusak Ringan",5,IF(N206="Rusak Sedang",10,IF(N206="Rusak Berat",15,IF(N206="Tidak Ada/Terbuka",20,0)))))+IF(P206="Baik",0,IF(P206="Rusak Ringan",4,IF(P206="Rusak Sedang",8,IF(P206="Rusak Berat",12,IF(P206="Tidak Layak",15,0))))))</x:f>
      </x:c>
      <x:c r="AR206" s="719" t="n">
        <x:f>IF(COUNTIF(AC206:AH206,"Ya")&gt;0,10,IF(COUNTIF(AI206:AK206,"Ya")&gt;=2,10,IF(COUNTIF(AI206:AK206,"Ya")=1,MAX(5,IF(AM206="Risiko Tinggi/Darurat",10,IF(AM206="Risiko Sedang",5,0))),IF(AL206&lt;&gt;"",IF(AM206="Risiko Tinggi/Darurat",10,IF(AM206="Risiko Sedang",5,"")),IF(COUNTIF(AC206:AK206,"Belum Dinilai")&gt;0,"",0)))))</x:f>
        <x:v>0</x:v>
      </x:c>
      <x:c r="AS206" s="719" t="str">
        <x:f>IF(OR(AQ206="",AB206="",AR206=""),"",AQ206+AB206+AR206)</x:f>
      </x:c>
      <x:c r="AT206" s="719" t="str">
        <x:f>IF(AS206="","Belum Dapat Ditentukan",IF(AS206&gt;=80,"Sangat Tinggi",IF(OR(AO206="Risiko Tinggi/Darurat",(IF(L206="Rusak Berat",1,0)+IF(L206="Tidak Ada/Terbuka",1,0)+IF(N206="Rusak Berat",1,0)+IF(N206="Tidak Ada/Terbuka",1,0)+IF(P206="Rusak Berat",1,0)+IF(P206="Tidak Layak",1,0))&gt;=2),"Tinggi",IF(AS206&gt;=65,"Tinggi",IF(AS206&gt;=50,"Sedang","Rendah")))))</x:f>
        <x:v>Belum Dapat Ditentukan</x:v>
      </x:c>
      <x:c r="AU206" s="240"/>
      <x:c r="AV206" s="240"/>
      <x:c r="AW206" s="240"/>
      <x:c r="AX206" s="240"/>
      <x:c r="AY206" s="240"/>
      <x:c r="AZ206" s="240"/>
      <x:c r="BA206" s="240"/>
      <x:c r="BB206" s="240"/>
      <x:c r="BC206" s="240"/>
      <x:c r="BD206" s="240"/>
      <x:c r="BE206" s="240"/>
      <x:c r="BF206" s="240"/>
    </x:row>
    <x:row r="207" ht="32" customHeight="1">
      <x:c r="A207" s="314"/>
      <x:c r="B207" s="315"/>
      <x:c r="C207" s="316"/>
      <x:c r="D207" s="316"/>
      <x:c r="E207" s="315"/>
      <x:c r="F207" s="315"/>
      <x:c r="G207" s="315"/>
      <x:c r="H207" s="315"/>
      <x:c r="I207" s="317"/>
      <x:c r="J207" s="315"/>
      <x:c r="K207" s="315"/>
      <x:c r="L207" s="315"/>
      <x:c r="M207" s="367"/>
      <x:c r="N207" s="315"/>
      <x:c r="O207" s="316"/>
      <x:c r="P207" s="349"/>
      <x:c r="Q207" s="707"/>
      <x:c r="R207" s="707"/>
      <x:c r="S207" s="708"/>
      <x:c r="T207" s="709"/>
      <x:c r="U207" s="704"/>
      <x:c r="V207" s="704"/>
      <x:c r="W207" s="704"/>
      <x:c r="X207" s="704" t="str">
        <x:f>IF(COUNTIF(R207:V207,"Belum Dinilai")&gt;0,"Belum Dinilai",IF(COUNTIF(R207:V207,"Ya")=0,"Tidak ada faktor rentan",TEXTJOIN(", ",TRUE,IF(R207="Ya","Lansia",""),IF(S207="Ya","Penyandang disabilitas",""),IF(T207="Ya","Kepala keluarga perempuan",""),IF(U207="Ya","Balita",""),IF(V207="Ya","Anggota keluarga dengan ketergantungan tinggi",""))))</x:f>
        <x:v>Tidak ada faktor rentan</x:v>
      </x:c>
      <x:c r="Y207" s="704" t="str">
        <x:f>IF(COUNTIF(R207:V207,"Belum Dinilai")&gt;0,"Belum Dinilai",IF(COUNTIF(R207:V207,"Ya")=0,"Tidak Ada Faktor Rentan",IF(COUNTIF(R207:V207,"Ya")=1,"1 Faktor Rentan","2 atau Lebih Faktor Rentan")))</x:f>
        <x:v>Tidak Ada Faktor Rentan</x:v>
      </x:c>
      <x:c r="Z207" s="704" t="str">
        <x:f>IF(OR(Q207="",Q207="Belum Dinilai"),"",IF(Q207="Terverifikasi DTKS/P3KE/MBR",10,IF(Q207="Diusulkan, Belum Terverifikasi",5,0)))</x:f>
      </x:c>
      <x:c r="AA207" s="705" t="n">
        <x:f>IF(COUNTIF(R207:V207,"Belum Dinilai")&gt;0,"",IF(COUNTIF(R207:V207,"Ya")=0,0,IF(COUNTIF(R207:V207,"Ya")=1,5,10)))</x:f>
        <x:v>0</x:v>
      </x:c>
      <x:c r="AB207" s="706" t="str">
        <x:f>IF(OR(Z207="",AA207=""),"",Z207+AA207)</x:f>
      </x:c>
      <x:c r="AC207" s="713"/>
      <x:c r="AD207" s="713"/>
      <x:c r="AE207" s="714"/>
      <x:c r="AF207" s="713"/>
      <x:c r="AG207" s="713"/>
      <x:c r="AH207" s="715"/>
      <x:c r="AI207" s="714"/>
      <x:c r="AJ207" s="713"/>
      <x:c r="AK207" s="715"/>
      <x:c r="AL207" s="713"/>
      <x:c r="AM207" s="716"/>
      <x:c r="AN207" s="716" t="str">
        <x:f>IF(AND(COUNTIF(AC207:AK207,"Ya")=0,AL207=""),IF(COUNTIF(AC207:AK207,"Belum Dinilai")&gt;0,"Belum Dinilai","Tidak ada risiko khusus"),TEXTJOIN(", ",TRUE,IF(AC207="Ya","Bangunan berpotensi roboh",""),IF(AD207="Ya","Bekas kebakaran dan tidak aman dihuni",""),IF(AE207="Ya","Atap atau dinding utama hampir runtuh",""),IF(AF207="Ya","Genangan yang membahayakan",""),IF(AG207="Ya","Struktur rumah tidak stabil",""),IF(AH207="Ya","Instalasi listrik berbahaya",""),IF(AI207="Ya","Komponen bangunan lepas atau lapuk",""),IF(AJ207="Ya","Akses keluar atau evakuasi terbatas",""),IF(AK207="Ya","Lokasi rawan bencana",""),IF(AL207&lt;&gt;"","Lainnya: "&amp;AL207,"")))</x:f>
        <x:v>Tidak ada risiko khusus</x:v>
      </x:c>
      <x:c r="AO207" s="716" t="str">
        <x:f>IF(AR207="","Belum Dinilai",IF(AR207=10,"Risiko Tinggi/Darurat",IF(AR207=5,"Risiko Sedang","Tidak Ada Risiko Khusus")))</x:f>
        <x:v>Belum Dinilai</x:v>
      </x:c>
      <x:c r="AP207" s="716"/>
      <x:c r="AQ207" s="719" t="str">
        <x:f>IF(OR(J207="",J207="Belum Dapat Ditentukan",L207="",L207="Belum Dinilai",N207="",N207="Belum Dinilai",P207="",P207="Belum Dinilai"),"",IF(J207="Permanen",0,IF(J207="Semipermanen",8,IF(J207="Nonpermanen",15,0)))+IF(L207="Baik",0,IF(L207="Rusak Ringan",5,IF(L207="Rusak Sedang",10,IF(L207="Rusak Berat",15,IF(L207="Tidak Ada/Terbuka",20,0)))))+IF(N207="Baik",0,IF(N207="Rusak Ringan",5,IF(N207="Rusak Sedang",10,IF(N207="Rusak Berat",15,IF(N207="Tidak Ada/Terbuka",20,0)))))+IF(P207="Baik",0,IF(P207="Rusak Ringan",4,IF(P207="Rusak Sedang",8,IF(P207="Rusak Berat",12,IF(P207="Tidak Layak",15,0))))))</x:f>
      </x:c>
      <x:c r="AR207" s="719" t="n">
        <x:f>IF(COUNTIF(AC207:AH207,"Ya")&gt;0,10,IF(COUNTIF(AI207:AK207,"Ya")&gt;=2,10,IF(COUNTIF(AI207:AK207,"Ya")=1,MAX(5,IF(AM207="Risiko Tinggi/Darurat",10,IF(AM207="Risiko Sedang",5,0))),IF(AL207&lt;&gt;"",IF(AM207="Risiko Tinggi/Darurat",10,IF(AM207="Risiko Sedang",5,"")),IF(COUNTIF(AC207:AK207,"Belum Dinilai")&gt;0,"",0)))))</x:f>
        <x:v>0</x:v>
      </x:c>
      <x:c r="AS207" s="719" t="str">
        <x:f>IF(OR(AQ207="",AB207="",AR207=""),"",AQ207+AB207+AR207)</x:f>
      </x:c>
      <x:c r="AT207" s="719" t="str">
        <x:f>IF(AS207="","Belum Dapat Ditentukan",IF(AS207&gt;=80,"Sangat Tinggi",IF(OR(AO207="Risiko Tinggi/Darurat",(IF(L207="Rusak Berat",1,0)+IF(L207="Tidak Ada/Terbuka",1,0)+IF(N207="Rusak Berat",1,0)+IF(N207="Tidak Ada/Terbuka",1,0)+IF(P207="Rusak Berat",1,0)+IF(P207="Tidak Layak",1,0))&gt;=2),"Tinggi",IF(AS207&gt;=65,"Tinggi",IF(AS207&gt;=50,"Sedang","Rendah")))))</x:f>
        <x:v>Belum Dapat Ditentukan</x:v>
      </x:c>
      <x:c r="AU207" s="240"/>
      <x:c r="AV207" s="240"/>
      <x:c r="AW207" s="240"/>
      <x:c r="AX207" s="240"/>
      <x:c r="AY207" s="240"/>
      <x:c r="AZ207" s="240"/>
      <x:c r="BA207" s="240"/>
      <x:c r="BB207" s="240"/>
      <x:c r="BC207" s="240"/>
      <x:c r="BD207" s="240"/>
      <x:c r="BE207" s="240"/>
      <x:c r="BF207" s="240"/>
    </x:row>
    <x:row r="208" ht="32" customHeight="1">
      <x:c r="A208" s="314"/>
      <x:c r="B208" s="315"/>
      <x:c r="C208" s="316"/>
      <x:c r="D208" s="316"/>
      <x:c r="E208" s="315"/>
      <x:c r="F208" s="315"/>
      <x:c r="G208" s="315"/>
      <x:c r="H208" s="315"/>
      <x:c r="I208" s="317"/>
      <x:c r="J208" s="315"/>
      <x:c r="K208" s="315"/>
      <x:c r="L208" s="315"/>
      <x:c r="M208" s="367"/>
      <x:c r="N208" s="315"/>
      <x:c r="O208" s="316"/>
      <x:c r="P208" s="349"/>
      <x:c r="Q208" s="707"/>
      <x:c r="R208" s="707"/>
      <x:c r="S208" s="708"/>
      <x:c r="T208" s="709"/>
      <x:c r="U208" s="704"/>
      <x:c r="V208" s="704"/>
      <x:c r="W208" s="704"/>
      <x:c r="X208" s="704" t="str">
        <x:f>IF(COUNTIF(R208:V208,"Belum Dinilai")&gt;0,"Belum Dinilai",IF(COUNTIF(R208:V208,"Ya")=0,"Tidak ada faktor rentan",TEXTJOIN(", ",TRUE,IF(R208="Ya","Lansia",""),IF(S208="Ya","Penyandang disabilitas",""),IF(T208="Ya","Kepala keluarga perempuan",""),IF(U208="Ya","Balita",""),IF(V208="Ya","Anggota keluarga dengan ketergantungan tinggi",""))))</x:f>
        <x:v>Tidak ada faktor rentan</x:v>
      </x:c>
      <x:c r="Y208" s="704" t="str">
        <x:f>IF(COUNTIF(R208:V208,"Belum Dinilai")&gt;0,"Belum Dinilai",IF(COUNTIF(R208:V208,"Ya")=0,"Tidak Ada Faktor Rentan",IF(COUNTIF(R208:V208,"Ya")=1,"1 Faktor Rentan","2 atau Lebih Faktor Rentan")))</x:f>
        <x:v>Tidak Ada Faktor Rentan</x:v>
      </x:c>
      <x:c r="Z208" s="704" t="str">
        <x:f>IF(OR(Q208="",Q208="Belum Dinilai"),"",IF(Q208="Terverifikasi DTKS/P3KE/MBR",10,IF(Q208="Diusulkan, Belum Terverifikasi",5,0)))</x:f>
      </x:c>
      <x:c r="AA208" s="705" t="n">
        <x:f>IF(COUNTIF(R208:V208,"Belum Dinilai")&gt;0,"",IF(COUNTIF(R208:V208,"Ya")=0,0,IF(COUNTIF(R208:V208,"Ya")=1,5,10)))</x:f>
        <x:v>0</x:v>
      </x:c>
      <x:c r="AB208" s="706" t="str">
        <x:f>IF(OR(Z208="",AA208=""),"",Z208+AA208)</x:f>
      </x:c>
      <x:c r="AC208" s="713"/>
      <x:c r="AD208" s="713"/>
      <x:c r="AE208" s="714"/>
      <x:c r="AF208" s="713"/>
      <x:c r="AG208" s="713"/>
      <x:c r="AH208" s="715"/>
      <x:c r="AI208" s="714"/>
      <x:c r="AJ208" s="713"/>
      <x:c r="AK208" s="715"/>
      <x:c r="AL208" s="713"/>
      <x:c r="AM208" s="716"/>
      <x:c r="AN208" s="716" t="str">
        <x:f>IF(AND(COUNTIF(AC208:AK208,"Ya")=0,AL208=""),IF(COUNTIF(AC208:AK208,"Belum Dinilai")&gt;0,"Belum Dinilai","Tidak ada risiko khusus"),TEXTJOIN(", ",TRUE,IF(AC208="Ya","Bangunan berpotensi roboh",""),IF(AD208="Ya","Bekas kebakaran dan tidak aman dihuni",""),IF(AE208="Ya","Atap atau dinding utama hampir runtuh",""),IF(AF208="Ya","Genangan yang membahayakan",""),IF(AG208="Ya","Struktur rumah tidak stabil",""),IF(AH208="Ya","Instalasi listrik berbahaya",""),IF(AI208="Ya","Komponen bangunan lepas atau lapuk",""),IF(AJ208="Ya","Akses keluar atau evakuasi terbatas",""),IF(AK208="Ya","Lokasi rawan bencana",""),IF(AL208&lt;&gt;"","Lainnya: "&amp;AL208,"")))</x:f>
        <x:v>Tidak ada risiko khusus</x:v>
      </x:c>
      <x:c r="AO208" s="716" t="str">
        <x:f>IF(AR208="","Belum Dinilai",IF(AR208=10,"Risiko Tinggi/Darurat",IF(AR208=5,"Risiko Sedang","Tidak Ada Risiko Khusus")))</x:f>
        <x:v>Belum Dinilai</x:v>
      </x:c>
      <x:c r="AP208" s="716"/>
      <x:c r="AQ208" s="719" t="str">
        <x:f>IF(OR(J208="",J208="Belum Dapat Ditentukan",L208="",L208="Belum Dinilai",N208="",N208="Belum Dinilai",P208="",P208="Belum Dinilai"),"",IF(J208="Permanen",0,IF(J208="Semipermanen",8,IF(J208="Nonpermanen",15,0)))+IF(L208="Baik",0,IF(L208="Rusak Ringan",5,IF(L208="Rusak Sedang",10,IF(L208="Rusak Berat",15,IF(L208="Tidak Ada/Terbuka",20,0)))))+IF(N208="Baik",0,IF(N208="Rusak Ringan",5,IF(N208="Rusak Sedang",10,IF(N208="Rusak Berat",15,IF(N208="Tidak Ada/Terbuka",20,0)))))+IF(P208="Baik",0,IF(P208="Rusak Ringan",4,IF(P208="Rusak Sedang",8,IF(P208="Rusak Berat",12,IF(P208="Tidak Layak",15,0))))))</x:f>
      </x:c>
      <x:c r="AR208" s="719" t="n">
        <x:f>IF(COUNTIF(AC208:AH208,"Ya")&gt;0,10,IF(COUNTIF(AI208:AK208,"Ya")&gt;=2,10,IF(COUNTIF(AI208:AK208,"Ya")=1,MAX(5,IF(AM208="Risiko Tinggi/Darurat",10,IF(AM208="Risiko Sedang",5,0))),IF(AL208&lt;&gt;"",IF(AM208="Risiko Tinggi/Darurat",10,IF(AM208="Risiko Sedang",5,"")),IF(COUNTIF(AC208:AK208,"Belum Dinilai")&gt;0,"",0)))))</x:f>
        <x:v>0</x:v>
      </x:c>
      <x:c r="AS208" s="719" t="str">
        <x:f>IF(OR(AQ208="",AB208="",AR208=""),"",AQ208+AB208+AR208)</x:f>
      </x:c>
      <x:c r="AT208" s="719" t="str">
        <x:f>IF(AS208="","Belum Dapat Ditentukan",IF(AS208&gt;=80,"Sangat Tinggi",IF(OR(AO208="Risiko Tinggi/Darurat",(IF(L208="Rusak Berat",1,0)+IF(L208="Tidak Ada/Terbuka",1,0)+IF(N208="Rusak Berat",1,0)+IF(N208="Tidak Ada/Terbuka",1,0)+IF(P208="Rusak Berat",1,0)+IF(P208="Tidak Layak",1,0))&gt;=2),"Tinggi",IF(AS208&gt;=65,"Tinggi",IF(AS208&gt;=50,"Sedang","Rendah")))))</x:f>
        <x:v>Belum Dapat Ditentukan</x:v>
      </x:c>
      <x:c r="AU208" s="240"/>
      <x:c r="AV208" s="240"/>
      <x:c r="AW208" s="240"/>
      <x:c r="AX208" s="240"/>
      <x:c r="AY208" s="240"/>
      <x:c r="AZ208" s="240"/>
      <x:c r="BA208" s="240"/>
      <x:c r="BB208" s="240"/>
      <x:c r="BC208" s="240"/>
      <x:c r="BD208" s="240"/>
      <x:c r="BE208" s="240"/>
      <x:c r="BF208" s="240"/>
    </x:row>
    <x:row r="209" ht="32" customHeight="1">
      <x:c r="A209" s="314"/>
      <x:c r="B209" s="315"/>
      <x:c r="C209" s="316"/>
      <x:c r="D209" s="316"/>
      <x:c r="E209" s="315"/>
      <x:c r="F209" s="315"/>
      <x:c r="G209" s="315"/>
      <x:c r="H209" s="315"/>
      <x:c r="I209" s="317"/>
      <x:c r="J209" s="315"/>
      <x:c r="K209" s="315"/>
      <x:c r="L209" s="315"/>
      <x:c r="M209" s="367"/>
      <x:c r="N209" s="315"/>
      <x:c r="O209" s="316"/>
      <x:c r="P209" s="349"/>
      <x:c r="Q209" s="707"/>
      <x:c r="R209" s="707"/>
      <x:c r="S209" s="708"/>
      <x:c r="T209" s="709"/>
      <x:c r="U209" s="704"/>
      <x:c r="V209" s="704"/>
      <x:c r="W209" s="704"/>
      <x:c r="X209" s="704" t="str">
        <x:f>IF(COUNTIF(R209:V209,"Belum Dinilai")&gt;0,"Belum Dinilai",IF(COUNTIF(R209:V209,"Ya")=0,"Tidak ada faktor rentan",TEXTJOIN(", ",TRUE,IF(R209="Ya","Lansia",""),IF(S209="Ya","Penyandang disabilitas",""),IF(T209="Ya","Kepala keluarga perempuan",""),IF(U209="Ya","Balita",""),IF(V209="Ya","Anggota keluarga dengan ketergantungan tinggi",""))))</x:f>
        <x:v>Tidak ada faktor rentan</x:v>
      </x:c>
      <x:c r="Y209" s="704" t="str">
        <x:f>IF(COUNTIF(R209:V209,"Belum Dinilai")&gt;0,"Belum Dinilai",IF(COUNTIF(R209:V209,"Ya")=0,"Tidak Ada Faktor Rentan",IF(COUNTIF(R209:V209,"Ya")=1,"1 Faktor Rentan","2 atau Lebih Faktor Rentan")))</x:f>
        <x:v>Tidak Ada Faktor Rentan</x:v>
      </x:c>
      <x:c r="Z209" s="704" t="str">
        <x:f>IF(OR(Q209="",Q209="Belum Dinilai"),"",IF(Q209="Terverifikasi DTKS/P3KE/MBR",10,IF(Q209="Diusulkan, Belum Terverifikasi",5,0)))</x:f>
      </x:c>
      <x:c r="AA209" s="705" t="n">
        <x:f>IF(COUNTIF(R209:V209,"Belum Dinilai")&gt;0,"",IF(COUNTIF(R209:V209,"Ya")=0,0,IF(COUNTIF(R209:V209,"Ya")=1,5,10)))</x:f>
        <x:v>0</x:v>
      </x:c>
      <x:c r="AB209" s="706" t="str">
        <x:f>IF(OR(Z209="",AA209=""),"",Z209+AA209)</x:f>
      </x:c>
      <x:c r="AC209" s="713"/>
      <x:c r="AD209" s="713"/>
      <x:c r="AE209" s="714"/>
      <x:c r="AF209" s="713"/>
      <x:c r="AG209" s="713"/>
      <x:c r="AH209" s="715"/>
      <x:c r="AI209" s="714"/>
      <x:c r="AJ209" s="713"/>
      <x:c r="AK209" s="715"/>
      <x:c r="AL209" s="713"/>
      <x:c r="AM209" s="716"/>
      <x:c r="AN209" s="716" t="str">
        <x:f>IF(AND(COUNTIF(AC209:AK209,"Ya")=0,AL209=""),IF(COUNTIF(AC209:AK209,"Belum Dinilai")&gt;0,"Belum Dinilai","Tidak ada risiko khusus"),TEXTJOIN(", ",TRUE,IF(AC209="Ya","Bangunan berpotensi roboh",""),IF(AD209="Ya","Bekas kebakaran dan tidak aman dihuni",""),IF(AE209="Ya","Atap atau dinding utama hampir runtuh",""),IF(AF209="Ya","Genangan yang membahayakan",""),IF(AG209="Ya","Struktur rumah tidak stabil",""),IF(AH209="Ya","Instalasi listrik berbahaya",""),IF(AI209="Ya","Komponen bangunan lepas atau lapuk",""),IF(AJ209="Ya","Akses keluar atau evakuasi terbatas",""),IF(AK209="Ya","Lokasi rawan bencana",""),IF(AL209&lt;&gt;"","Lainnya: "&amp;AL209,"")))</x:f>
        <x:v>Tidak ada risiko khusus</x:v>
      </x:c>
      <x:c r="AO209" s="716" t="str">
        <x:f>IF(AR209="","Belum Dinilai",IF(AR209=10,"Risiko Tinggi/Darurat",IF(AR209=5,"Risiko Sedang","Tidak Ada Risiko Khusus")))</x:f>
        <x:v>Belum Dinilai</x:v>
      </x:c>
      <x:c r="AP209" s="716"/>
      <x:c r="AQ209" s="719" t="str">
        <x:f>IF(OR(J209="",J209="Belum Dapat Ditentukan",L209="",L209="Belum Dinilai",N209="",N209="Belum Dinilai",P209="",P209="Belum Dinilai"),"",IF(J209="Permanen",0,IF(J209="Semipermanen",8,IF(J209="Nonpermanen",15,0)))+IF(L209="Baik",0,IF(L209="Rusak Ringan",5,IF(L209="Rusak Sedang",10,IF(L209="Rusak Berat",15,IF(L209="Tidak Ada/Terbuka",20,0)))))+IF(N209="Baik",0,IF(N209="Rusak Ringan",5,IF(N209="Rusak Sedang",10,IF(N209="Rusak Berat",15,IF(N209="Tidak Ada/Terbuka",20,0)))))+IF(P209="Baik",0,IF(P209="Rusak Ringan",4,IF(P209="Rusak Sedang",8,IF(P209="Rusak Berat",12,IF(P209="Tidak Layak",15,0))))))</x:f>
      </x:c>
      <x:c r="AR209" s="719" t="n">
        <x:f>IF(COUNTIF(AC209:AH209,"Ya")&gt;0,10,IF(COUNTIF(AI209:AK209,"Ya")&gt;=2,10,IF(COUNTIF(AI209:AK209,"Ya")=1,MAX(5,IF(AM209="Risiko Tinggi/Darurat",10,IF(AM209="Risiko Sedang",5,0))),IF(AL209&lt;&gt;"",IF(AM209="Risiko Tinggi/Darurat",10,IF(AM209="Risiko Sedang",5,"")),IF(COUNTIF(AC209:AK209,"Belum Dinilai")&gt;0,"",0)))))</x:f>
        <x:v>0</x:v>
      </x:c>
      <x:c r="AS209" s="719" t="str">
        <x:f>IF(OR(AQ209="",AB209="",AR209=""),"",AQ209+AB209+AR209)</x:f>
      </x:c>
      <x:c r="AT209" s="719" t="str">
        <x:f>IF(AS209="","Belum Dapat Ditentukan",IF(AS209&gt;=80,"Sangat Tinggi",IF(OR(AO209="Risiko Tinggi/Darurat",(IF(L209="Rusak Berat",1,0)+IF(L209="Tidak Ada/Terbuka",1,0)+IF(N209="Rusak Berat",1,0)+IF(N209="Tidak Ada/Terbuka",1,0)+IF(P209="Rusak Berat",1,0)+IF(P209="Tidak Layak",1,0))&gt;=2),"Tinggi",IF(AS209&gt;=65,"Tinggi",IF(AS209&gt;=50,"Sedang","Rendah")))))</x:f>
        <x:v>Belum Dapat Ditentukan</x:v>
      </x:c>
      <x:c r="AU209" s="240"/>
      <x:c r="AV209" s="240"/>
      <x:c r="AW209" s="240"/>
      <x:c r="AX209" s="240"/>
      <x:c r="AY209" s="240"/>
      <x:c r="AZ209" s="240"/>
      <x:c r="BA209" s="240"/>
      <x:c r="BB209" s="240"/>
      <x:c r="BC209" s="240"/>
      <x:c r="BD209" s="240"/>
      <x:c r="BE209" s="240"/>
      <x:c r="BF209" s="240"/>
    </x:row>
    <x:row r="210" ht="32" customHeight="1">
      <x:c r="A210" s="314"/>
      <x:c r="B210" s="315"/>
      <x:c r="C210" s="316"/>
      <x:c r="D210" s="316"/>
      <x:c r="E210" s="315"/>
      <x:c r="F210" s="315"/>
      <x:c r="G210" s="315"/>
      <x:c r="H210" s="315"/>
      <x:c r="I210" s="317"/>
      <x:c r="J210" s="315"/>
      <x:c r="K210" s="315"/>
      <x:c r="L210" s="315"/>
      <x:c r="M210" s="367"/>
      <x:c r="N210" s="315"/>
      <x:c r="O210" s="316"/>
      <x:c r="P210" s="349"/>
      <x:c r="Q210" s="707"/>
      <x:c r="R210" s="707"/>
      <x:c r="S210" s="708"/>
      <x:c r="T210" s="709"/>
      <x:c r="U210" s="704"/>
      <x:c r="V210" s="704"/>
      <x:c r="W210" s="704"/>
      <x:c r="X210" s="704" t="str">
        <x:f>IF(COUNTIF(R210:V210,"Belum Dinilai")&gt;0,"Belum Dinilai",IF(COUNTIF(R210:V210,"Ya")=0,"Tidak ada faktor rentan",TEXTJOIN(", ",TRUE,IF(R210="Ya","Lansia",""),IF(S210="Ya","Penyandang disabilitas",""),IF(T210="Ya","Kepala keluarga perempuan",""),IF(U210="Ya","Balita",""),IF(V210="Ya","Anggota keluarga dengan ketergantungan tinggi",""))))</x:f>
        <x:v>Tidak ada faktor rentan</x:v>
      </x:c>
      <x:c r="Y210" s="704" t="str">
        <x:f>IF(COUNTIF(R210:V210,"Belum Dinilai")&gt;0,"Belum Dinilai",IF(COUNTIF(R210:V210,"Ya")=0,"Tidak Ada Faktor Rentan",IF(COUNTIF(R210:V210,"Ya")=1,"1 Faktor Rentan","2 atau Lebih Faktor Rentan")))</x:f>
        <x:v>Tidak Ada Faktor Rentan</x:v>
      </x:c>
      <x:c r="Z210" s="704" t="str">
        <x:f>IF(OR(Q210="",Q210="Belum Dinilai"),"",IF(Q210="Terverifikasi DTKS/P3KE/MBR",10,IF(Q210="Diusulkan, Belum Terverifikasi",5,0)))</x:f>
      </x:c>
      <x:c r="AA210" s="705" t="n">
        <x:f>IF(COUNTIF(R210:V210,"Belum Dinilai")&gt;0,"",IF(COUNTIF(R210:V210,"Ya")=0,0,IF(COUNTIF(R210:V210,"Ya")=1,5,10)))</x:f>
        <x:v>0</x:v>
      </x:c>
      <x:c r="AB210" s="706" t="str">
        <x:f>IF(OR(Z210="",AA210=""),"",Z210+AA210)</x:f>
      </x:c>
      <x:c r="AC210" s="713"/>
      <x:c r="AD210" s="713"/>
      <x:c r="AE210" s="714"/>
      <x:c r="AF210" s="713"/>
      <x:c r="AG210" s="713"/>
      <x:c r="AH210" s="715"/>
      <x:c r="AI210" s="714"/>
      <x:c r="AJ210" s="713"/>
      <x:c r="AK210" s="715"/>
      <x:c r="AL210" s="713"/>
      <x:c r="AM210" s="716"/>
      <x:c r="AN210" s="716" t="str">
        <x:f>IF(AND(COUNTIF(AC210:AK210,"Ya")=0,AL210=""),IF(COUNTIF(AC210:AK210,"Belum Dinilai")&gt;0,"Belum Dinilai","Tidak ada risiko khusus"),TEXTJOIN(", ",TRUE,IF(AC210="Ya","Bangunan berpotensi roboh",""),IF(AD210="Ya","Bekas kebakaran dan tidak aman dihuni",""),IF(AE210="Ya","Atap atau dinding utama hampir runtuh",""),IF(AF210="Ya","Genangan yang membahayakan",""),IF(AG210="Ya","Struktur rumah tidak stabil",""),IF(AH210="Ya","Instalasi listrik berbahaya",""),IF(AI210="Ya","Komponen bangunan lepas atau lapuk",""),IF(AJ210="Ya","Akses keluar atau evakuasi terbatas",""),IF(AK210="Ya","Lokasi rawan bencana",""),IF(AL210&lt;&gt;"","Lainnya: "&amp;AL210,"")))</x:f>
        <x:v>Tidak ada risiko khusus</x:v>
      </x:c>
      <x:c r="AO210" s="716" t="str">
        <x:f>IF(AR210="","Belum Dinilai",IF(AR210=10,"Risiko Tinggi/Darurat",IF(AR210=5,"Risiko Sedang","Tidak Ada Risiko Khusus")))</x:f>
        <x:v>Belum Dinilai</x:v>
      </x:c>
      <x:c r="AP210" s="716"/>
      <x:c r="AQ210" s="719" t="str">
        <x:f>IF(OR(J210="",J210="Belum Dapat Ditentukan",L210="",L210="Belum Dinilai",N210="",N210="Belum Dinilai",P210="",P210="Belum Dinilai"),"",IF(J210="Permanen",0,IF(J210="Semipermanen",8,IF(J210="Nonpermanen",15,0)))+IF(L210="Baik",0,IF(L210="Rusak Ringan",5,IF(L210="Rusak Sedang",10,IF(L210="Rusak Berat",15,IF(L210="Tidak Ada/Terbuka",20,0)))))+IF(N210="Baik",0,IF(N210="Rusak Ringan",5,IF(N210="Rusak Sedang",10,IF(N210="Rusak Berat",15,IF(N210="Tidak Ada/Terbuka",20,0)))))+IF(P210="Baik",0,IF(P210="Rusak Ringan",4,IF(P210="Rusak Sedang",8,IF(P210="Rusak Berat",12,IF(P210="Tidak Layak",15,0))))))</x:f>
      </x:c>
      <x:c r="AR210" s="719" t="n">
        <x:f>IF(COUNTIF(AC210:AH210,"Ya")&gt;0,10,IF(COUNTIF(AI210:AK210,"Ya")&gt;=2,10,IF(COUNTIF(AI210:AK210,"Ya")=1,MAX(5,IF(AM210="Risiko Tinggi/Darurat",10,IF(AM210="Risiko Sedang",5,0))),IF(AL210&lt;&gt;"",IF(AM210="Risiko Tinggi/Darurat",10,IF(AM210="Risiko Sedang",5,"")),IF(COUNTIF(AC210:AK210,"Belum Dinilai")&gt;0,"",0)))))</x:f>
        <x:v>0</x:v>
      </x:c>
      <x:c r="AS210" s="719" t="str">
        <x:f>IF(OR(AQ210="",AB210="",AR210=""),"",AQ210+AB210+AR210)</x:f>
      </x:c>
      <x:c r="AT210" s="719" t="str">
        <x:f>IF(AS210="","Belum Dapat Ditentukan",IF(AS210&gt;=80,"Sangat Tinggi",IF(OR(AO210="Risiko Tinggi/Darurat",(IF(L210="Rusak Berat",1,0)+IF(L210="Tidak Ada/Terbuka",1,0)+IF(N210="Rusak Berat",1,0)+IF(N210="Tidak Ada/Terbuka",1,0)+IF(P210="Rusak Berat",1,0)+IF(P210="Tidak Layak",1,0))&gt;=2),"Tinggi",IF(AS210&gt;=65,"Tinggi",IF(AS210&gt;=50,"Sedang","Rendah")))))</x:f>
        <x:v>Belum Dapat Ditentukan</x:v>
      </x:c>
      <x:c r="AU210" s="240"/>
      <x:c r="AV210" s="240"/>
      <x:c r="AW210" s="240"/>
      <x:c r="AX210" s="240"/>
      <x:c r="AY210" s="240"/>
      <x:c r="AZ210" s="240"/>
      <x:c r="BA210" s="240"/>
      <x:c r="BB210" s="240"/>
      <x:c r="BC210" s="240"/>
      <x:c r="BD210" s="240"/>
      <x:c r="BE210" s="240"/>
      <x:c r="BF210" s="240"/>
    </x:row>
    <x:row r="211" ht="32" customHeight="1">
      <x:c r="A211" s="314"/>
      <x:c r="B211" s="315"/>
      <x:c r="C211" s="316"/>
      <x:c r="D211" s="316"/>
      <x:c r="E211" s="315"/>
      <x:c r="F211" s="315"/>
      <x:c r="G211" s="315"/>
      <x:c r="H211" s="315"/>
      <x:c r="I211" s="317"/>
      <x:c r="J211" s="315"/>
      <x:c r="K211" s="315"/>
      <x:c r="L211" s="315"/>
      <x:c r="M211" s="367"/>
      <x:c r="N211" s="315"/>
      <x:c r="O211" s="316"/>
      <x:c r="P211" s="349"/>
      <x:c r="Q211" s="707"/>
      <x:c r="R211" s="707"/>
      <x:c r="S211" s="708"/>
      <x:c r="T211" s="709"/>
      <x:c r="U211" s="704"/>
      <x:c r="V211" s="704"/>
      <x:c r="W211" s="704"/>
      <x:c r="X211" s="704" t="str">
        <x:f>IF(COUNTIF(R211:V211,"Belum Dinilai")&gt;0,"Belum Dinilai",IF(COUNTIF(R211:V211,"Ya")=0,"Tidak ada faktor rentan",TEXTJOIN(", ",TRUE,IF(R211="Ya","Lansia",""),IF(S211="Ya","Penyandang disabilitas",""),IF(T211="Ya","Kepala keluarga perempuan",""),IF(U211="Ya","Balita",""),IF(V211="Ya","Anggota keluarga dengan ketergantungan tinggi",""))))</x:f>
        <x:v>Tidak ada faktor rentan</x:v>
      </x:c>
      <x:c r="Y211" s="704" t="str">
        <x:f>IF(COUNTIF(R211:V211,"Belum Dinilai")&gt;0,"Belum Dinilai",IF(COUNTIF(R211:V211,"Ya")=0,"Tidak Ada Faktor Rentan",IF(COUNTIF(R211:V211,"Ya")=1,"1 Faktor Rentan","2 atau Lebih Faktor Rentan")))</x:f>
        <x:v>Tidak Ada Faktor Rentan</x:v>
      </x:c>
      <x:c r="Z211" s="704" t="str">
        <x:f>IF(OR(Q211="",Q211="Belum Dinilai"),"",IF(Q211="Terverifikasi DTKS/P3KE/MBR",10,IF(Q211="Diusulkan, Belum Terverifikasi",5,0)))</x:f>
      </x:c>
      <x:c r="AA211" s="705" t="n">
        <x:f>IF(COUNTIF(R211:V211,"Belum Dinilai")&gt;0,"",IF(COUNTIF(R211:V211,"Ya")=0,0,IF(COUNTIF(R211:V211,"Ya")=1,5,10)))</x:f>
        <x:v>0</x:v>
      </x:c>
      <x:c r="AB211" s="706" t="str">
        <x:f>IF(OR(Z211="",AA211=""),"",Z211+AA211)</x:f>
      </x:c>
      <x:c r="AC211" s="713"/>
      <x:c r="AD211" s="713"/>
      <x:c r="AE211" s="714"/>
      <x:c r="AF211" s="713"/>
      <x:c r="AG211" s="713"/>
      <x:c r="AH211" s="715"/>
      <x:c r="AI211" s="714"/>
      <x:c r="AJ211" s="713"/>
      <x:c r="AK211" s="715"/>
      <x:c r="AL211" s="713"/>
      <x:c r="AM211" s="716"/>
      <x:c r="AN211" s="716" t="str">
        <x:f>IF(AND(COUNTIF(AC211:AK211,"Ya")=0,AL211=""),IF(COUNTIF(AC211:AK211,"Belum Dinilai")&gt;0,"Belum Dinilai","Tidak ada risiko khusus"),TEXTJOIN(", ",TRUE,IF(AC211="Ya","Bangunan berpotensi roboh",""),IF(AD211="Ya","Bekas kebakaran dan tidak aman dihuni",""),IF(AE211="Ya","Atap atau dinding utama hampir runtuh",""),IF(AF211="Ya","Genangan yang membahayakan",""),IF(AG211="Ya","Struktur rumah tidak stabil",""),IF(AH211="Ya","Instalasi listrik berbahaya",""),IF(AI211="Ya","Komponen bangunan lepas atau lapuk",""),IF(AJ211="Ya","Akses keluar atau evakuasi terbatas",""),IF(AK211="Ya","Lokasi rawan bencana",""),IF(AL211&lt;&gt;"","Lainnya: "&amp;AL211,"")))</x:f>
        <x:v>Tidak ada risiko khusus</x:v>
      </x:c>
      <x:c r="AO211" s="716" t="str">
        <x:f>IF(AR211="","Belum Dinilai",IF(AR211=10,"Risiko Tinggi/Darurat",IF(AR211=5,"Risiko Sedang","Tidak Ada Risiko Khusus")))</x:f>
        <x:v>Belum Dinilai</x:v>
      </x:c>
      <x:c r="AP211" s="716"/>
      <x:c r="AQ211" s="719" t="str">
        <x:f>IF(OR(J211="",J211="Belum Dapat Ditentukan",L211="",L211="Belum Dinilai",N211="",N211="Belum Dinilai",P211="",P211="Belum Dinilai"),"",IF(J211="Permanen",0,IF(J211="Semipermanen",8,IF(J211="Nonpermanen",15,0)))+IF(L211="Baik",0,IF(L211="Rusak Ringan",5,IF(L211="Rusak Sedang",10,IF(L211="Rusak Berat",15,IF(L211="Tidak Ada/Terbuka",20,0)))))+IF(N211="Baik",0,IF(N211="Rusak Ringan",5,IF(N211="Rusak Sedang",10,IF(N211="Rusak Berat",15,IF(N211="Tidak Ada/Terbuka",20,0)))))+IF(P211="Baik",0,IF(P211="Rusak Ringan",4,IF(P211="Rusak Sedang",8,IF(P211="Rusak Berat",12,IF(P211="Tidak Layak",15,0))))))</x:f>
      </x:c>
      <x:c r="AR211" s="719" t="n">
        <x:f>IF(COUNTIF(AC211:AH211,"Ya")&gt;0,10,IF(COUNTIF(AI211:AK211,"Ya")&gt;=2,10,IF(COUNTIF(AI211:AK211,"Ya")=1,MAX(5,IF(AM211="Risiko Tinggi/Darurat",10,IF(AM211="Risiko Sedang",5,0))),IF(AL211&lt;&gt;"",IF(AM211="Risiko Tinggi/Darurat",10,IF(AM211="Risiko Sedang",5,"")),IF(COUNTIF(AC211:AK211,"Belum Dinilai")&gt;0,"",0)))))</x:f>
        <x:v>0</x:v>
      </x:c>
      <x:c r="AS211" s="719" t="str">
        <x:f>IF(OR(AQ211="",AB211="",AR211=""),"",AQ211+AB211+AR211)</x:f>
      </x:c>
      <x:c r="AT211" s="719" t="str">
        <x:f>IF(AS211="","Belum Dapat Ditentukan",IF(AS211&gt;=80,"Sangat Tinggi",IF(OR(AO211="Risiko Tinggi/Darurat",(IF(L211="Rusak Berat",1,0)+IF(L211="Tidak Ada/Terbuka",1,0)+IF(N211="Rusak Berat",1,0)+IF(N211="Tidak Ada/Terbuka",1,0)+IF(P211="Rusak Berat",1,0)+IF(P211="Tidak Layak",1,0))&gt;=2),"Tinggi",IF(AS211&gt;=65,"Tinggi",IF(AS211&gt;=50,"Sedang","Rendah")))))</x:f>
        <x:v>Belum Dapat Ditentukan</x:v>
      </x:c>
      <x:c r="AU211" s="240"/>
      <x:c r="AV211" s="240"/>
      <x:c r="AW211" s="240"/>
      <x:c r="AX211" s="240"/>
      <x:c r="AY211" s="240"/>
      <x:c r="AZ211" s="240"/>
      <x:c r="BA211" s="240"/>
      <x:c r="BB211" s="240"/>
      <x:c r="BC211" s="240"/>
      <x:c r="BD211" s="240"/>
      <x:c r="BE211" s="240"/>
      <x:c r="BF211" s="240"/>
    </x:row>
    <x:row r="212" ht="32" customHeight="1">
      <x:c r="A212" s="314"/>
      <x:c r="B212" s="315"/>
      <x:c r="C212" s="316"/>
      <x:c r="D212" s="316"/>
      <x:c r="E212" s="315"/>
      <x:c r="F212" s="315"/>
      <x:c r="G212" s="315"/>
      <x:c r="H212" s="315"/>
      <x:c r="I212" s="317"/>
      <x:c r="J212" s="315"/>
      <x:c r="K212" s="315"/>
      <x:c r="L212" s="315"/>
      <x:c r="M212" s="367"/>
      <x:c r="N212" s="315"/>
      <x:c r="O212" s="316"/>
      <x:c r="P212" s="349"/>
      <x:c r="Q212" s="707"/>
      <x:c r="R212" s="707"/>
      <x:c r="S212" s="708"/>
      <x:c r="T212" s="709"/>
      <x:c r="U212" s="704"/>
      <x:c r="V212" s="704"/>
      <x:c r="W212" s="704"/>
      <x:c r="X212" s="704" t="str">
        <x:f>IF(COUNTIF(R212:V212,"Belum Dinilai")&gt;0,"Belum Dinilai",IF(COUNTIF(R212:V212,"Ya")=0,"Tidak ada faktor rentan",TEXTJOIN(", ",TRUE,IF(R212="Ya","Lansia",""),IF(S212="Ya","Penyandang disabilitas",""),IF(T212="Ya","Kepala keluarga perempuan",""),IF(U212="Ya","Balita",""),IF(V212="Ya","Anggota keluarga dengan ketergantungan tinggi",""))))</x:f>
        <x:v>Tidak ada faktor rentan</x:v>
      </x:c>
      <x:c r="Y212" s="704" t="str">
        <x:f>IF(COUNTIF(R212:V212,"Belum Dinilai")&gt;0,"Belum Dinilai",IF(COUNTIF(R212:V212,"Ya")=0,"Tidak Ada Faktor Rentan",IF(COUNTIF(R212:V212,"Ya")=1,"1 Faktor Rentan","2 atau Lebih Faktor Rentan")))</x:f>
        <x:v>Tidak Ada Faktor Rentan</x:v>
      </x:c>
      <x:c r="Z212" s="704" t="str">
        <x:f>IF(OR(Q212="",Q212="Belum Dinilai"),"",IF(Q212="Terverifikasi DTKS/P3KE/MBR",10,IF(Q212="Diusulkan, Belum Terverifikasi",5,0)))</x:f>
      </x:c>
      <x:c r="AA212" s="705" t="n">
        <x:f>IF(COUNTIF(R212:V212,"Belum Dinilai")&gt;0,"",IF(COUNTIF(R212:V212,"Ya")=0,0,IF(COUNTIF(R212:V212,"Ya")=1,5,10)))</x:f>
        <x:v>0</x:v>
      </x:c>
      <x:c r="AB212" s="706" t="str">
        <x:f>IF(OR(Z212="",AA212=""),"",Z212+AA212)</x:f>
      </x:c>
      <x:c r="AC212" s="713"/>
      <x:c r="AD212" s="713"/>
      <x:c r="AE212" s="714"/>
      <x:c r="AF212" s="713"/>
      <x:c r="AG212" s="713"/>
      <x:c r="AH212" s="715"/>
      <x:c r="AI212" s="714"/>
      <x:c r="AJ212" s="713"/>
      <x:c r="AK212" s="715"/>
      <x:c r="AL212" s="713"/>
      <x:c r="AM212" s="716"/>
      <x:c r="AN212" s="716" t="str">
        <x:f>IF(AND(COUNTIF(AC212:AK212,"Ya")=0,AL212=""),IF(COUNTIF(AC212:AK212,"Belum Dinilai")&gt;0,"Belum Dinilai","Tidak ada risiko khusus"),TEXTJOIN(", ",TRUE,IF(AC212="Ya","Bangunan berpotensi roboh",""),IF(AD212="Ya","Bekas kebakaran dan tidak aman dihuni",""),IF(AE212="Ya","Atap atau dinding utama hampir runtuh",""),IF(AF212="Ya","Genangan yang membahayakan",""),IF(AG212="Ya","Struktur rumah tidak stabil",""),IF(AH212="Ya","Instalasi listrik berbahaya",""),IF(AI212="Ya","Komponen bangunan lepas atau lapuk",""),IF(AJ212="Ya","Akses keluar atau evakuasi terbatas",""),IF(AK212="Ya","Lokasi rawan bencana",""),IF(AL212&lt;&gt;"","Lainnya: "&amp;AL212,"")))</x:f>
        <x:v>Tidak ada risiko khusus</x:v>
      </x:c>
      <x:c r="AO212" s="716" t="str">
        <x:f>IF(AR212="","Belum Dinilai",IF(AR212=10,"Risiko Tinggi/Darurat",IF(AR212=5,"Risiko Sedang","Tidak Ada Risiko Khusus")))</x:f>
        <x:v>Belum Dinilai</x:v>
      </x:c>
      <x:c r="AP212" s="716"/>
      <x:c r="AQ212" s="719" t="str">
        <x:f>IF(OR(J212="",J212="Belum Dapat Ditentukan",L212="",L212="Belum Dinilai",N212="",N212="Belum Dinilai",P212="",P212="Belum Dinilai"),"",IF(J212="Permanen",0,IF(J212="Semipermanen",8,IF(J212="Nonpermanen",15,0)))+IF(L212="Baik",0,IF(L212="Rusak Ringan",5,IF(L212="Rusak Sedang",10,IF(L212="Rusak Berat",15,IF(L212="Tidak Ada/Terbuka",20,0)))))+IF(N212="Baik",0,IF(N212="Rusak Ringan",5,IF(N212="Rusak Sedang",10,IF(N212="Rusak Berat",15,IF(N212="Tidak Ada/Terbuka",20,0)))))+IF(P212="Baik",0,IF(P212="Rusak Ringan",4,IF(P212="Rusak Sedang",8,IF(P212="Rusak Berat",12,IF(P212="Tidak Layak",15,0))))))</x:f>
      </x:c>
      <x:c r="AR212" s="719" t="n">
        <x:f>IF(COUNTIF(AC212:AH212,"Ya")&gt;0,10,IF(COUNTIF(AI212:AK212,"Ya")&gt;=2,10,IF(COUNTIF(AI212:AK212,"Ya")=1,MAX(5,IF(AM212="Risiko Tinggi/Darurat",10,IF(AM212="Risiko Sedang",5,0))),IF(AL212&lt;&gt;"",IF(AM212="Risiko Tinggi/Darurat",10,IF(AM212="Risiko Sedang",5,"")),IF(COUNTIF(AC212:AK212,"Belum Dinilai")&gt;0,"",0)))))</x:f>
        <x:v>0</x:v>
      </x:c>
      <x:c r="AS212" s="719" t="str">
        <x:f>IF(OR(AQ212="",AB212="",AR212=""),"",AQ212+AB212+AR212)</x:f>
      </x:c>
      <x:c r="AT212" s="719" t="str">
        <x:f>IF(AS212="","Belum Dapat Ditentukan",IF(AS212&gt;=80,"Sangat Tinggi",IF(OR(AO212="Risiko Tinggi/Darurat",(IF(L212="Rusak Berat",1,0)+IF(L212="Tidak Ada/Terbuka",1,0)+IF(N212="Rusak Berat",1,0)+IF(N212="Tidak Ada/Terbuka",1,0)+IF(P212="Rusak Berat",1,0)+IF(P212="Tidak Layak",1,0))&gt;=2),"Tinggi",IF(AS212&gt;=65,"Tinggi",IF(AS212&gt;=50,"Sedang","Rendah")))))</x:f>
        <x:v>Belum Dapat Ditentukan</x:v>
      </x:c>
      <x:c r="AU212" s="240"/>
      <x:c r="AV212" s="240"/>
      <x:c r="AW212" s="240"/>
      <x:c r="AX212" s="240"/>
      <x:c r="AY212" s="240"/>
      <x:c r="AZ212" s="240"/>
      <x:c r="BA212" s="240"/>
      <x:c r="BB212" s="240"/>
      <x:c r="BC212" s="240"/>
      <x:c r="BD212" s="240"/>
      <x:c r="BE212" s="240"/>
      <x:c r="BF212" s="240"/>
    </x:row>
    <x:row r="213" ht="32" customHeight="1">
      <x:c r="A213" s="314"/>
      <x:c r="B213" s="315"/>
      <x:c r="C213" s="316"/>
      <x:c r="D213" s="316"/>
      <x:c r="E213" s="315"/>
      <x:c r="F213" s="315"/>
      <x:c r="G213" s="315"/>
      <x:c r="H213" s="315"/>
      <x:c r="I213" s="317"/>
      <x:c r="J213" s="315"/>
      <x:c r="K213" s="315"/>
      <x:c r="L213" s="315"/>
      <x:c r="M213" s="367"/>
      <x:c r="N213" s="315"/>
      <x:c r="O213" s="316"/>
      <x:c r="P213" s="349"/>
      <x:c r="Q213" s="707"/>
      <x:c r="R213" s="707"/>
      <x:c r="S213" s="708"/>
      <x:c r="T213" s="709"/>
      <x:c r="U213" s="704"/>
      <x:c r="V213" s="704"/>
      <x:c r="W213" s="704"/>
      <x:c r="X213" s="704" t="str">
        <x:f>IF(COUNTIF(R213:V213,"Belum Dinilai")&gt;0,"Belum Dinilai",IF(COUNTIF(R213:V213,"Ya")=0,"Tidak ada faktor rentan",TEXTJOIN(", ",TRUE,IF(R213="Ya","Lansia",""),IF(S213="Ya","Penyandang disabilitas",""),IF(T213="Ya","Kepala keluarga perempuan",""),IF(U213="Ya","Balita",""),IF(V213="Ya","Anggota keluarga dengan ketergantungan tinggi",""))))</x:f>
        <x:v>Tidak ada faktor rentan</x:v>
      </x:c>
      <x:c r="Y213" s="704" t="str">
        <x:f>IF(COUNTIF(R213:V213,"Belum Dinilai")&gt;0,"Belum Dinilai",IF(COUNTIF(R213:V213,"Ya")=0,"Tidak Ada Faktor Rentan",IF(COUNTIF(R213:V213,"Ya")=1,"1 Faktor Rentan","2 atau Lebih Faktor Rentan")))</x:f>
        <x:v>Tidak Ada Faktor Rentan</x:v>
      </x:c>
      <x:c r="Z213" s="704" t="str">
        <x:f>IF(OR(Q213="",Q213="Belum Dinilai"),"",IF(Q213="Terverifikasi DTKS/P3KE/MBR",10,IF(Q213="Diusulkan, Belum Terverifikasi",5,0)))</x:f>
      </x:c>
      <x:c r="AA213" s="705" t="n">
        <x:f>IF(COUNTIF(R213:V213,"Belum Dinilai")&gt;0,"",IF(COUNTIF(R213:V213,"Ya")=0,0,IF(COUNTIF(R213:V213,"Ya")=1,5,10)))</x:f>
        <x:v>0</x:v>
      </x:c>
      <x:c r="AB213" s="706" t="str">
        <x:f>IF(OR(Z213="",AA213=""),"",Z213+AA213)</x:f>
      </x:c>
      <x:c r="AC213" s="713"/>
      <x:c r="AD213" s="713"/>
      <x:c r="AE213" s="714"/>
      <x:c r="AF213" s="713"/>
      <x:c r="AG213" s="713"/>
      <x:c r="AH213" s="715"/>
      <x:c r="AI213" s="714"/>
      <x:c r="AJ213" s="713"/>
      <x:c r="AK213" s="715"/>
      <x:c r="AL213" s="713"/>
      <x:c r="AM213" s="716"/>
      <x:c r="AN213" s="716" t="str">
        <x:f>IF(AND(COUNTIF(AC213:AK213,"Ya")=0,AL213=""),IF(COUNTIF(AC213:AK213,"Belum Dinilai")&gt;0,"Belum Dinilai","Tidak ada risiko khusus"),TEXTJOIN(", ",TRUE,IF(AC213="Ya","Bangunan berpotensi roboh",""),IF(AD213="Ya","Bekas kebakaran dan tidak aman dihuni",""),IF(AE213="Ya","Atap atau dinding utama hampir runtuh",""),IF(AF213="Ya","Genangan yang membahayakan",""),IF(AG213="Ya","Struktur rumah tidak stabil",""),IF(AH213="Ya","Instalasi listrik berbahaya",""),IF(AI213="Ya","Komponen bangunan lepas atau lapuk",""),IF(AJ213="Ya","Akses keluar atau evakuasi terbatas",""),IF(AK213="Ya","Lokasi rawan bencana",""),IF(AL213&lt;&gt;"","Lainnya: "&amp;AL213,"")))</x:f>
        <x:v>Tidak ada risiko khusus</x:v>
      </x:c>
      <x:c r="AO213" s="716" t="str">
        <x:f>IF(AR213="","Belum Dinilai",IF(AR213=10,"Risiko Tinggi/Darurat",IF(AR213=5,"Risiko Sedang","Tidak Ada Risiko Khusus")))</x:f>
        <x:v>Belum Dinilai</x:v>
      </x:c>
      <x:c r="AP213" s="716"/>
      <x:c r="AQ213" s="719" t="str">
        <x:f>IF(OR(J213="",J213="Belum Dapat Ditentukan",L213="",L213="Belum Dinilai",N213="",N213="Belum Dinilai",P213="",P213="Belum Dinilai"),"",IF(J213="Permanen",0,IF(J213="Semipermanen",8,IF(J213="Nonpermanen",15,0)))+IF(L213="Baik",0,IF(L213="Rusak Ringan",5,IF(L213="Rusak Sedang",10,IF(L213="Rusak Berat",15,IF(L213="Tidak Ada/Terbuka",20,0)))))+IF(N213="Baik",0,IF(N213="Rusak Ringan",5,IF(N213="Rusak Sedang",10,IF(N213="Rusak Berat",15,IF(N213="Tidak Ada/Terbuka",20,0)))))+IF(P213="Baik",0,IF(P213="Rusak Ringan",4,IF(P213="Rusak Sedang",8,IF(P213="Rusak Berat",12,IF(P213="Tidak Layak",15,0))))))</x:f>
      </x:c>
      <x:c r="AR213" s="719" t="n">
        <x:f>IF(COUNTIF(AC213:AH213,"Ya")&gt;0,10,IF(COUNTIF(AI213:AK213,"Ya")&gt;=2,10,IF(COUNTIF(AI213:AK213,"Ya")=1,MAX(5,IF(AM213="Risiko Tinggi/Darurat",10,IF(AM213="Risiko Sedang",5,0))),IF(AL213&lt;&gt;"",IF(AM213="Risiko Tinggi/Darurat",10,IF(AM213="Risiko Sedang",5,"")),IF(COUNTIF(AC213:AK213,"Belum Dinilai")&gt;0,"",0)))))</x:f>
        <x:v>0</x:v>
      </x:c>
      <x:c r="AS213" s="719" t="str">
        <x:f>IF(OR(AQ213="",AB213="",AR213=""),"",AQ213+AB213+AR213)</x:f>
      </x:c>
      <x:c r="AT213" s="719" t="str">
        <x:f>IF(AS213="","Belum Dapat Ditentukan",IF(AS213&gt;=80,"Sangat Tinggi",IF(OR(AO213="Risiko Tinggi/Darurat",(IF(L213="Rusak Berat",1,0)+IF(L213="Tidak Ada/Terbuka",1,0)+IF(N213="Rusak Berat",1,0)+IF(N213="Tidak Ada/Terbuka",1,0)+IF(P213="Rusak Berat",1,0)+IF(P213="Tidak Layak",1,0))&gt;=2),"Tinggi",IF(AS213&gt;=65,"Tinggi",IF(AS213&gt;=50,"Sedang","Rendah")))))</x:f>
        <x:v>Belum Dapat Ditentukan</x:v>
      </x:c>
      <x:c r="AU213" s="240"/>
      <x:c r="AV213" s="240"/>
      <x:c r="AW213" s="240"/>
      <x:c r="AX213" s="240"/>
      <x:c r="AY213" s="240"/>
      <x:c r="AZ213" s="240"/>
      <x:c r="BA213" s="240"/>
      <x:c r="BB213" s="240"/>
      <x:c r="BC213" s="240"/>
      <x:c r="BD213" s="240"/>
      <x:c r="BE213" s="240"/>
      <x:c r="BF213" s="240"/>
    </x:row>
    <x:row r="214" ht="32" customHeight="1">
      <x:c r="A214" s="314"/>
      <x:c r="B214" s="315"/>
      <x:c r="C214" s="316"/>
      <x:c r="D214" s="316"/>
      <x:c r="E214" s="315"/>
      <x:c r="F214" s="315"/>
      <x:c r="G214" s="315"/>
      <x:c r="H214" s="315"/>
      <x:c r="I214" s="317"/>
      <x:c r="J214" s="315"/>
      <x:c r="K214" s="315"/>
      <x:c r="L214" s="315"/>
      <x:c r="M214" s="367"/>
      <x:c r="N214" s="315"/>
      <x:c r="O214" s="316"/>
      <x:c r="P214" s="349"/>
      <x:c r="Q214" s="707"/>
      <x:c r="R214" s="707"/>
      <x:c r="S214" s="708"/>
      <x:c r="T214" s="709"/>
      <x:c r="U214" s="704"/>
      <x:c r="V214" s="704"/>
      <x:c r="W214" s="704"/>
      <x:c r="X214" s="704" t="str">
        <x:f>IF(COUNTIF(R214:V214,"Belum Dinilai")&gt;0,"Belum Dinilai",IF(COUNTIF(R214:V214,"Ya")=0,"Tidak ada faktor rentan",TEXTJOIN(", ",TRUE,IF(R214="Ya","Lansia",""),IF(S214="Ya","Penyandang disabilitas",""),IF(T214="Ya","Kepala keluarga perempuan",""),IF(U214="Ya","Balita",""),IF(V214="Ya","Anggota keluarga dengan ketergantungan tinggi",""))))</x:f>
        <x:v>Tidak ada faktor rentan</x:v>
      </x:c>
      <x:c r="Y214" s="704" t="str">
        <x:f>IF(COUNTIF(R214:V214,"Belum Dinilai")&gt;0,"Belum Dinilai",IF(COUNTIF(R214:V214,"Ya")=0,"Tidak Ada Faktor Rentan",IF(COUNTIF(R214:V214,"Ya")=1,"1 Faktor Rentan","2 atau Lebih Faktor Rentan")))</x:f>
        <x:v>Tidak Ada Faktor Rentan</x:v>
      </x:c>
      <x:c r="Z214" s="704" t="str">
        <x:f>IF(OR(Q214="",Q214="Belum Dinilai"),"",IF(Q214="Terverifikasi DTKS/P3KE/MBR",10,IF(Q214="Diusulkan, Belum Terverifikasi",5,0)))</x:f>
      </x:c>
      <x:c r="AA214" s="705" t="n">
        <x:f>IF(COUNTIF(R214:V214,"Belum Dinilai")&gt;0,"",IF(COUNTIF(R214:V214,"Ya")=0,0,IF(COUNTIF(R214:V214,"Ya")=1,5,10)))</x:f>
        <x:v>0</x:v>
      </x:c>
      <x:c r="AB214" s="706" t="str">
        <x:f>IF(OR(Z214="",AA214=""),"",Z214+AA214)</x:f>
      </x:c>
      <x:c r="AC214" s="713"/>
      <x:c r="AD214" s="713"/>
      <x:c r="AE214" s="714"/>
      <x:c r="AF214" s="713"/>
      <x:c r="AG214" s="713"/>
      <x:c r="AH214" s="715"/>
      <x:c r="AI214" s="714"/>
      <x:c r="AJ214" s="713"/>
      <x:c r="AK214" s="715"/>
      <x:c r="AL214" s="713"/>
      <x:c r="AM214" s="716"/>
      <x:c r="AN214" s="716" t="str">
        <x:f>IF(AND(COUNTIF(AC214:AK214,"Ya")=0,AL214=""),IF(COUNTIF(AC214:AK214,"Belum Dinilai")&gt;0,"Belum Dinilai","Tidak ada risiko khusus"),TEXTJOIN(", ",TRUE,IF(AC214="Ya","Bangunan berpotensi roboh",""),IF(AD214="Ya","Bekas kebakaran dan tidak aman dihuni",""),IF(AE214="Ya","Atap atau dinding utama hampir runtuh",""),IF(AF214="Ya","Genangan yang membahayakan",""),IF(AG214="Ya","Struktur rumah tidak stabil",""),IF(AH214="Ya","Instalasi listrik berbahaya",""),IF(AI214="Ya","Komponen bangunan lepas atau lapuk",""),IF(AJ214="Ya","Akses keluar atau evakuasi terbatas",""),IF(AK214="Ya","Lokasi rawan bencana",""),IF(AL214&lt;&gt;"","Lainnya: "&amp;AL214,"")))</x:f>
        <x:v>Tidak ada risiko khusus</x:v>
      </x:c>
      <x:c r="AO214" s="716" t="str">
        <x:f>IF(AR214="","Belum Dinilai",IF(AR214=10,"Risiko Tinggi/Darurat",IF(AR214=5,"Risiko Sedang","Tidak Ada Risiko Khusus")))</x:f>
        <x:v>Belum Dinilai</x:v>
      </x:c>
      <x:c r="AP214" s="716"/>
      <x:c r="AQ214" s="719" t="str">
        <x:f>IF(OR(J214="",J214="Belum Dapat Ditentukan",L214="",L214="Belum Dinilai",N214="",N214="Belum Dinilai",P214="",P214="Belum Dinilai"),"",IF(J214="Permanen",0,IF(J214="Semipermanen",8,IF(J214="Nonpermanen",15,0)))+IF(L214="Baik",0,IF(L214="Rusak Ringan",5,IF(L214="Rusak Sedang",10,IF(L214="Rusak Berat",15,IF(L214="Tidak Ada/Terbuka",20,0)))))+IF(N214="Baik",0,IF(N214="Rusak Ringan",5,IF(N214="Rusak Sedang",10,IF(N214="Rusak Berat",15,IF(N214="Tidak Ada/Terbuka",20,0)))))+IF(P214="Baik",0,IF(P214="Rusak Ringan",4,IF(P214="Rusak Sedang",8,IF(P214="Rusak Berat",12,IF(P214="Tidak Layak",15,0))))))</x:f>
      </x:c>
      <x:c r="AR214" s="719" t="n">
        <x:f>IF(COUNTIF(AC214:AH214,"Ya")&gt;0,10,IF(COUNTIF(AI214:AK214,"Ya")&gt;=2,10,IF(COUNTIF(AI214:AK214,"Ya")=1,MAX(5,IF(AM214="Risiko Tinggi/Darurat",10,IF(AM214="Risiko Sedang",5,0))),IF(AL214&lt;&gt;"",IF(AM214="Risiko Tinggi/Darurat",10,IF(AM214="Risiko Sedang",5,"")),IF(COUNTIF(AC214:AK214,"Belum Dinilai")&gt;0,"",0)))))</x:f>
        <x:v>0</x:v>
      </x:c>
      <x:c r="AS214" s="719" t="str">
        <x:f>IF(OR(AQ214="",AB214="",AR214=""),"",AQ214+AB214+AR214)</x:f>
      </x:c>
      <x:c r="AT214" s="719" t="str">
        <x:f>IF(AS214="","Belum Dapat Ditentukan",IF(AS214&gt;=80,"Sangat Tinggi",IF(OR(AO214="Risiko Tinggi/Darurat",(IF(L214="Rusak Berat",1,0)+IF(L214="Tidak Ada/Terbuka",1,0)+IF(N214="Rusak Berat",1,0)+IF(N214="Tidak Ada/Terbuka",1,0)+IF(P214="Rusak Berat",1,0)+IF(P214="Tidak Layak",1,0))&gt;=2),"Tinggi",IF(AS214&gt;=65,"Tinggi",IF(AS214&gt;=50,"Sedang","Rendah")))))</x:f>
        <x:v>Belum Dapat Ditentukan</x:v>
      </x:c>
      <x:c r="AU214" s="240"/>
      <x:c r="AV214" s="240"/>
      <x:c r="AW214" s="240"/>
      <x:c r="AX214" s="240"/>
      <x:c r="AY214" s="240"/>
      <x:c r="AZ214" s="240"/>
      <x:c r="BA214" s="240"/>
      <x:c r="BB214" s="240"/>
      <x:c r="BC214" s="240"/>
      <x:c r="BD214" s="240"/>
      <x:c r="BE214" s="240"/>
      <x:c r="BF214" s="240"/>
    </x:row>
    <x:row r="215" ht="32" customHeight="1">
      <x:c r="A215" s="314"/>
      <x:c r="B215" s="315"/>
      <x:c r="C215" s="316"/>
      <x:c r="D215" s="316"/>
      <x:c r="E215" s="315"/>
      <x:c r="F215" s="315"/>
      <x:c r="G215" s="315"/>
      <x:c r="H215" s="315"/>
      <x:c r="I215" s="317"/>
      <x:c r="J215" s="315"/>
      <x:c r="K215" s="315"/>
      <x:c r="L215" s="315"/>
      <x:c r="M215" s="367"/>
      <x:c r="N215" s="315"/>
      <x:c r="O215" s="316"/>
      <x:c r="P215" s="349"/>
      <x:c r="Q215" s="707"/>
      <x:c r="R215" s="707"/>
      <x:c r="S215" s="708"/>
      <x:c r="T215" s="709"/>
      <x:c r="U215" s="704"/>
      <x:c r="V215" s="704"/>
      <x:c r="W215" s="704"/>
      <x:c r="X215" s="704" t="str">
        <x:f>IF(COUNTIF(R215:V215,"Belum Dinilai")&gt;0,"Belum Dinilai",IF(COUNTIF(R215:V215,"Ya")=0,"Tidak ada faktor rentan",TEXTJOIN(", ",TRUE,IF(R215="Ya","Lansia",""),IF(S215="Ya","Penyandang disabilitas",""),IF(T215="Ya","Kepala keluarga perempuan",""),IF(U215="Ya","Balita",""),IF(V215="Ya","Anggota keluarga dengan ketergantungan tinggi",""))))</x:f>
        <x:v>Tidak ada faktor rentan</x:v>
      </x:c>
      <x:c r="Y215" s="704" t="str">
        <x:f>IF(COUNTIF(R215:V215,"Belum Dinilai")&gt;0,"Belum Dinilai",IF(COUNTIF(R215:V215,"Ya")=0,"Tidak Ada Faktor Rentan",IF(COUNTIF(R215:V215,"Ya")=1,"1 Faktor Rentan","2 atau Lebih Faktor Rentan")))</x:f>
        <x:v>Tidak Ada Faktor Rentan</x:v>
      </x:c>
      <x:c r="Z215" s="704" t="str">
        <x:f>IF(OR(Q215="",Q215="Belum Dinilai"),"",IF(Q215="Terverifikasi DTKS/P3KE/MBR",10,IF(Q215="Diusulkan, Belum Terverifikasi",5,0)))</x:f>
      </x:c>
      <x:c r="AA215" s="705" t="n">
        <x:f>IF(COUNTIF(R215:V215,"Belum Dinilai")&gt;0,"",IF(COUNTIF(R215:V215,"Ya")=0,0,IF(COUNTIF(R215:V215,"Ya")=1,5,10)))</x:f>
        <x:v>0</x:v>
      </x:c>
      <x:c r="AB215" s="706" t="str">
        <x:f>IF(OR(Z215="",AA215=""),"",Z215+AA215)</x:f>
      </x:c>
      <x:c r="AC215" s="713"/>
      <x:c r="AD215" s="713"/>
      <x:c r="AE215" s="714"/>
      <x:c r="AF215" s="713"/>
      <x:c r="AG215" s="713"/>
      <x:c r="AH215" s="715"/>
      <x:c r="AI215" s="714"/>
      <x:c r="AJ215" s="713"/>
      <x:c r="AK215" s="715"/>
      <x:c r="AL215" s="713"/>
      <x:c r="AM215" s="716"/>
      <x:c r="AN215" s="716" t="str">
        <x:f>IF(AND(COUNTIF(AC215:AK215,"Ya")=0,AL215=""),IF(COUNTIF(AC215:AK215,"Belum Dinilai")&gt;0,"Belum Dinilai","Tidak ada risiko khusus"),TEXTJOIN(", ",TRUE,IF(AC215="Ya","Bangunan berpotensi roboh",""),IF(AD215="Ya","Bekas kebakaran dan tidak aman dihuni",""),IF(AE215="Ya","Atap atau dinding utama hampir runtuh",""),IF(AF215="Ya","Genangan yang membahayakan",""),IF(AG215="Ya","Struktur rumah tidak stabil",""),IF(AH215="Ya","Instalasi listrik berbahaya",""),IF(AI215="Ya","Komponen bangunan lepas atau lapuk",""),IF(AJ215="Ya","Akses keluar atau evakuasi terbatas",""),IF(AK215="Ya","Lokasi rawan bencana",""),IF(AL215&lt;&gt;"","Lainnya: "&amp;AL215,"")))</x:f>
        <x:v>Tidak ada risiko khusus</x:v>
      </x:c>
      <x:c r="AO215" s="716" t="str">
        <x:f>IF(AR215="","Belum Dinilai",IF(AR215=10,"Risiko Tinggi/Darurat",IF(AR215=5,"Risiko Sedang","Tidak Ada Risiko Khusus")))</x:f>
        <x:v>Belum Dinilai</x:v>
      </x:c>
      <x:c r="AP215" s="716"/>
      <x:c r="AQ215" s="719" t="str">
        <x:f>IF(OR(J215="",J215="Belum Dapat Ditentukan",L215="",L215="Belum Dinilai",N215="",N215="Belum Dinilai",P215="",P215="Belum Dinilai"),"",IF(J215="Permanen",0,IF(J215="Semipermanen",8,IF(J215="Nonpermanen",15,0)))+IF(L215="Baik",0,IF(L215="Rusak Ringan",5,IF(L215="Rusak Sedang",10,IF(L215="Rusak Berat",15,IF(L215="Tidak Ada/Terbuka",20,0)))))+IF(N215="Baik",0,IF(N215="Rusak Ringan",5,IF(N215="Rusak Sedang",10,IF(N215="Rusak Berat",15,IF(N215="Tidak Ada/Terbuka",20,0)))))+IF(P215="Baik",0,IF(P215="Rusak Ringan",4,IF(P215="Rusak Sedang",8,IF(P215="Rusak Berat",12,IF(P215="Tidak Layak",15,0))))))</x:f>
      </x:c>
      <x:c r="AR215" s="719" t="n">
        <x:f>IF(COUNTIF(AC215:AH215,"Ya")&gt;0,10,IF(COUNTIF(AI215:AK215,"Ya")&gt;=2,10,IF(COUNTIF(AI215:AK215,"Ya")=1,MAX(5,IF(AM215="Risiko Tinggi/Darurat",10,IF(AM215="Risiko Sedang",5,0))),IF(AL215&lt;&gt;"",IF(AM215="Risiko Tinggi/Darurat",10,IF(AM215="Risiko Sedang",5,"")),IF(COUNTIF(AC215:AK215,"Belum Dinilai")&gt;0,"",0)))))</x:f>
        <x:v>0</x:v>
      </x:c>
      <x:c r="AS215" s="719" t="str">
        <x:f>IF(OR(AQ215="",AB215="",AR215=""),"",AQ215+AB215+AR215)</x:f>
      </x:c>
      <x:c r="AT215" s="719" t="str">
        <x:f>IF(AS215="","Belum Dapat Ditentukan",IF(AS215&gt;=80,"Sangat Tinggi",IF(OR(AO215="Risiko Tinggi/Darurat",(IF(L215="Rusak Berat",1,0)+IF(L215="Tidak Ada/Terbuka",1,0)+IF(N215="Rusak Berat",1,0)+IF(N215="Tidak Ada/Terbuka",1,0)+IF(P215="Rusak Berat",1,0)+IF(P215="Tidak Layak",1,0))&gt;=2),"Tinggi",IF(AS215&gt;=65,"Tinggi",IF(AS215&gt;=50,"Sedang","Rendah")))))</x:f>
        <x:v>Belum Dapat Ditentukan</x:v>
      </x:c>
      <x:c r="AU215" s="240"/>
      <x:c r="AV215" s="240"/>
      <x:c r="AW215" s="240"/>
      <x:c r="AX215" s="240"/>
      <x:c r="AY215" s="240"/>
      <x:c r="AZ215" s="240"/>
      <x:c r="BA215" s="240"/>
      <x:c r="BB215" s="240"/>
      <x:c r="BC215" s="240"/>
      <x:c r="BD215" s="240"/>
      <x:c r="BE215" s="240"/>
      <x:c r="BF215" s="240"/>
    </x:row>
    <x:row r="216" ht="32" customHeight="1">
      <x:c r="A216" s="314"/>
      <x:c r="B216" s="315"/>
      <x:c r="C216" s="316"/>
      <x:c r="D216" s="316"/>
      <x:c r="E216" s="315"/>
      <x:c r="F216" s="315"/>
      <x:c r="G216" s="315"/>
      <x:c r="H216" s="315"/>
      <x:c r="I216" s="317"/>
      <x:c r="J216" s="315"/>
      <x:c r="K216" s="315"/>
      <x:c r="L216" s="315"/>
      <x:c r="M216" s="367"/>
      <x:c r="N216" s="315"/>
      <x:c r="O216" s="316"/>
      <x:c r="P216" s="349"/>
      <x:c r="Q216" s="707"/>
      <x:c r="R216" s="707"/>
      <x:c r="S216" s="708"/>
      <x:c r="T216" s="709"/>
      <x:c r="U216" s="704"/>
      <x:c r="V216" s="704"/>
      <x:c r="W216" s="704"/>
      <x:c r="X216" s="704" t="str">
        <x:f>IF(COUNTIF(R216:V216,"Belum Dinilai")&gt;0,"Belum Dinilai",IF(COUNTIF(R216:V216,"Ya")=0,"Tidak ada faktor rentan",TEXTJOIN(", ",TRUE,IF(R216="Ya","Lansia",""),IF(S216="Ya","Penyandang disabilitas",""),IF(T216="Ya","Kepala keluarga perempuan",""),IF(U216="Ya","Balita",""),IF(V216="Ya","Anggota keluarga dengan ketergantungan tinggi",""))))</x:f>
        <x:v>Tidak ada faktor rentan</x:v>
      </x:c>
      <x:c r="Y216" s="704" t="str">
        <x:f>IF(COUNTIF(R216:V216,"Belum Dinilai")&gt;0,"Belum Dinilai",IF(COUNTIF(R216:V216,"Ya")=0,"Tidak Ada Faktor Rentan",IF(COUNTIF(R216:V216,"Ya")=1,"1 Faktor Rentan","2 atau Lebih Faktor Rentan")))</x:f>
        <x:v>Tidak Ada Faktor Rentan</x:v>
      </x:c>
      <x:c r="Z216" s="704" t="str">
        <x:f>IF(OR(Q216="",Q216="Belum Dinilai"),"",IF(Q216="Terverifikasi DTKS/P3KE/MBR",10,IF(Q216="Diusulkan, Belum Terverifikasi",5,0)))</x:f>
      </x:c>
      <x:c r="AA216" s="705" t="n">
        <x:f>IF(COUNTIF(R216:V216,"Belum Dinilai")&gt;0,"",IF(COUNTIF(R216:V216,"Ya")=0,0,IF(COUNTIF(R216:V216,"Ya")=1,5,10)))</x:f>
        <x:v>0</x:v>
      </x:c>
      <x:c r="AB216" s="706" t="str">
        <x:f>IF(OR(Z216="",AA216=""),"",Z216+AA216)</x:f>
      </x:c>
      <x:c r="AC216" s="713"/>
      <x:c r="AD216" s="713"/>
      <x:c r="AE216" s="714"/>
      <x:c r="AF216" s="713"/>
      <x:c r="AG216" s="713"/>
      <x:c r="AH216" s="715"/>
      <x:c r="AI216" s="714"/>
      <x:c r="AJ216" s="713"/>
      <x:c r="AK216" s="715"/>
      <x:c r="AL216" s="713"/>
      <x:c r="AM216" s="716"/>
      <x:c r="AN216" s="716" t="str">
        <x:f>IF(AND(COUNTIF(AC216:AK216,"Ya")=0,AL216=""),IF(COUNTIF(AC216:AK216,"Belum Dinilai")&gt;0,"Belum Dinilai","Tidak ada risiko khusus"),TEXTJOIN(", ",TRUE,IF(AC216="Ya","Bangunan berpotensi roboh",""),IF(AD216="Ya","Bekas kebakaran dan tidak aman dihuni",""),IF(AE216="Ya","Atap atau dinding utama hampir runtuh",""),IF(AF216="Ya","Genangan yang membahayakan",""),IF(AG216="Ya","Struktur rumah tidak stabil",""),IF(AH216="Ya","Instalasi listrik berbahaya",""),IF(AI216="Ya","Komponen bangunan lepas atau lapuk",""),IF(AJ216="Ya","Akses keluar atau evakuasi terbatas",""),IF(AK216="Ya","Lokasi rawan bencana",""),IF(AL216&lt;&gt;"","Lainnya: "&amp;AL216,"")))</x:f>
        <x:v>Tidak ada risiko khusus</x:v>
      </x:c>
      <x:c r="AO216" s="716" t="str">
        <x:f>IF(AR216="","Belum Dinilai",IF(AR216=10,"Risiko Tinggi/Darurat",IF(AR216=5,"Risiko Sedang","Tidak Ada Risiko Khusus")))</x:f>
        <x:v>Belum Dinilai</x:v>
      </x:c>
      <x:c r="AP216" s="716"/>
      <x:c r="AQ216" s="719" t="str">
        <x:f>IF(OR(J216="",J216="Belum Dapat Ditentukan",L216="",L216="Belum Dinilai",N216="",N216="Belum Dinilai",P216="",P216="Belum Dinilai"),"",IF(J216="Permanen",0,IF(J216="Semipermanen",8,IF(J216="Nonpermanen",15,0)))+IF(L216="Baik",0,IF(L216="Rusak Ringan",5,IF(L216="Rusak Sedang",10,IF(L216="Rusak Berat",15,IF(L216="Tidak Ada/Terbuka",20,0)))))+IF(N216="Baik",0,IF(N216="Rusak Ringan",5,IF(N216="Rusak Sedang",10,IF(N216="Rusak Berat",15,IF(N216="Tidak Ada/Terbuka",20,0)))))+IF(P216="Baik",0,IF(P216="Rusak Ringan",4,IF(P216="Rusak Sedang",8,IF(P216="Rusak Berat",12,IF(P216="Tidak Layak",15,0))))))</x:f>
      </x:c>
      <x:c r="AR216" s="719" t="n">
        <x:f>IF(COUNTIF(AC216:AH216,"Ya")&gt;0,10,IF(COUNTIF(AI216:AK216,"Ya")&gt;=2,10,IF(COUNTIF(AI216:AK216,"Ya")=1,MAX(5,IF(AM216="Risiko Tinggi/Darurat",10,IF(AM216="Risiko Sedang",5,0))),IF(AL216&lt;&gt;"",IF(AM216="Risiko Tinggi/Darurat",10,IF(AM216="Risiko Sedang",5,"")),IF(COUNTIF(AC216:AK216,"Belum Dinilai")&gt;0,"",0)))))</x:f>
        <x:v>0</x:v>
      </x:c>
      <x:c r="AS216" s="719" t="str">
        <x:f>IF(OR(AQ216="",AB216="",AR216=""),"",AQ216+AB216+AR216)</x:f>
      </x:c>
      <x:c r="AT216" s="719" t="str">
        <x:f>IF(AS216="","Belum Dapat Ditentukan",IF(AS216&gt;=80,"Sangat Tinggi",IF(OR(AO216="Risiko Tinggi/Darurat",(IF(L216="Rusak Berat",1,0)+IF(L216="Tidak Ada/Terbuka",1,0)+IF(N216="Rusak Berat",1,0)+IF(N216="Tidak Ada/Terbuka",1,0)+IF(P216="Rusak Berat",1,0)+IF(P216="Tidak Layak",1,0))&gt;=2),"Tinggi",IF(AS216&gt;=65,"Tinggi",IF(AS216&gt;=50,"Sedang","Rendah")))))</x:f>
        <x:v>Belum Dapat Ditentukan</x:v>
      </x:c>
      <x:c r="AU216" s="240"/>
      <x:c r="AV216" s="240"/>
      <x:c r="AW216" s="240"/>
      <x:c r="AX216" s="240"/>
      <x:c r="AY216" s="240"/>
      <x:c r="AZ216" s="240"/>
      <x:c r="BA216" s="240"/>
      <x:c r="BB216" s="240"/>
      <x:c r="BC216" s="240"/>
      <x:c r="BD216" s="240"/>
      <x:c r="BE216" s="240"/>
      <x:c r="BF216" s="240"/>
    </x:row>
    <x:row r="217" ht="32" customHeight="1">
      <x:c r="A217" s="314"/>
      <x:c r="B217" s="315"/>
      <x:c r="C217" s="316"/>
      <x:c r="D217" s="316"/>
      <x:c r="E217" s="315"/>
      <x:c r="F217" s="315"/>
      <x:c r="G217" s="315"/>
      <x:c r="H217" s="315"/>
      <x:c r="I217" s="317"/>
      <x:c r="J217" s="315"/>
      <x:c r="K217" s="315"/>
      <x:c r="L217" s="315"/>
      <x:c r="M217" s="367"/>
      <x:c r="N217" s="315"/>
      <x:c r="O217" s="316"/>
      <x:c r="P217" s="349"/>
      <x:c r="Q217" s="707"/>
      <x:c r="R217" s="707"/>
      <x:c r="S217" s="708"/>
      <x:c r="T217" s="709"/>
      <x:c r="U217" s="704"/>
      <x:c r="V217" s="704"/>
      <x:c r="W217" s="704"/>
      <x:c r="X217" s="704" t="str">
        <x:f>IF(COUNTIF(R217:V217,"Belum Dinilai")&gt;0,"Belum Dinilai",IF(COUNTIF(R217:V217,"Ya")=0,"Tidak ada faktor rentan",TEXTJOIN(", ",TRUE,IF(R217="Ya","Lansia",""),IF(S217="Ya","Penyandang disabilitas",""),IF(T217="Ya","Kepala keluarga perempuan",""),IF(U217="Ya","Balita",""),IF(V217="Ya","Anggota keluarga dengan ketergantungan tinggi",""))))</x:f>
        <x:v>Tidak ada faktor rentan</x:v>
      </x:c>
      <x:c r="Y217" s="704" t="str">
        <x:f>IF(COUNTIF(R217:V217,"Belum Dinilai")&gt;0,"Belum Dinilai",IF(COUNTIF(R217:V217,"Ya")=0,"Tidak Ada Faktor Rentan",IF(COUNTIF(R217:V217,"Ya")=1,"1 Faktor Rentan","2 atau Lebih Faktor Rentan")))</x:f>
        <x:v>Tidak Ada Faktor Rentan</x:v>
      </x:c>
      <x:c r="Z217" s="704" t="str">
        <x:f>IF(OR(Q217="",Q217="Belum Dinilai"),"",IF(Q217="Terverifikasi DTKS/P3KE/MBR",10,IF(Q217="Diusulkan, Belum Terverifikasi",5,0)))</x:f>
      </x:c>
      <x:c r="AA217" s="705" t="n">
        <x:f>IF(COUNTIF(R217:V217,"Belum Dinilai")&gt;0,"",IF(COUNTIF(R217:V217,"Ya")=0,0,IF(COUNTIF(R217:V217,"Ya")=1,5,10)))</x:f>
        <x:v>0</x:v>
      </x:c>
      <x:c r="AB217" s="706" t="str">
        <x:f>IF(OR(Z217="",AA217=""),"",Z217+AA217)</x:f>
      </x:c>
      <x:c r="AC217" s="713"/>
      <x:c r="AD217" s="713"/>
      <x:c r="AE217" s="714"/>
      <x:c r="AF217" s="713"/>
      <x:c r="AG217" s="713"/>
      <x:c r="AH217" s="715"/>
      <x:c r="AI217" s="714"/>
      <x:c r="AJ217" s="713"/>
      <x:c r="AK217" s="715"/>
      <x:c r="AL217" s="713"/>
      <x:c r="AM217" s="716"/>
      <x:c r="AN217" s="716" t="str">
        <x:f>IF(AND(COUNTIF(AC217:AK217,"Ya")=0,AL217=""),IF(COUNTIF(AC217:AK217,"Belum Dinilai")&gt;0,"Belum Dinilai","Tidak ada risiko khusus"),TEXTJOIN(", ",TRUE,IF(AC217="Ya","Bangunan berpotensi roboh",""),IF(AD217="Ya","Bekas kebakaran dan tidak aman dihuni",""),IF(AE217="Ya","Atap atau dinding utama hampir runtuh",""),IF(AF217="Ya","Genangan yang membahayakan",""),IF(AG217="Ya","Struktur rumah tidak stabil",""),IF(AH217="Ya","Instalasi listrik berbahaya",""),IF(AI217="Ya","Komponen bangunan lepas atau lapuk",""),IF(AJ217="Ya","Akses keluar atau evakuasi terbatas",""),IF(AK217="Ya","Lokasi rawan bencana",""),IF(AL217&lt;&gt;"","Lainnya: "&amp;AL217,"")))</x:f>
        <x:v>Tidak ada risiko khusus</x:v>
      </x:c>
      <x:c r="AO217" s="716" t="str">
        <x:f>IF(AR217="","Belum Dinilai",IF(AR217=10,"Risiko Tinggi/Darurat",IF(AR217=5,"Risiko Sedang","Tidak Ada Risiko Khusus")))</x:f>
        <x:v>Belum Dinilai</x:v>
      </x:c>
      <x:c r="AP217" s="716"/>
      <x:c r="AQ217" s="719" t="str">
        <x:f>IF(OR(J217="",J217="Belum Dapat Ditentukan",L217="",L217="Belum Dinilai",N217="",N217="Belum Dinilai",P217="",P217="Belum Dinilai"),"",IF(J217="Permanen",0,IF(J217="Semipermanen",8,IF(J217="Nonpermanen",15,0)))+IF(L217="Baik",0,IF(L217="Rusak Ringan",5,IF(L217="Rusak Sedang",10,IF(L217="Rusak Berat",15,IF(L217="Tidak Ada/Terbuka",20,0)))))+IF(N217="Baik",0,IF(N217="Rusak Ringan",5,IF(N217="Rusak Sedang",10,IF(N217="Rusak Berat",15,IF(N217="Tidak Ada/Terbuka",20,0)))))+IF(P217="Baik",0,IF(P217="Rusak Ringan",4,IF(P217="Rusak Sedang",8,IF(P217="Rusak Berat",12,IF(P217="Tidak Layak",15,0))))))</x:f>
      </x:c>
      <x:c r="AR217" s="719" t="n">
        <x:f>IF(COUNTIF(AC217:AH217,"Ya")&gt;0,10,IF(COUNTIF(AI217:AK217,"Ya")&gt;=2,10,IF(COUNTIF(AI217:AK217,"Ya")=1,MAX(5,IF(AM217="Risiko Tinggi/Darurat",10,IF(AM217="Risiko Sedang",5,0))),IF(AL217&lt;&gt;"",IF(AM217="Risiko Tinggi/Darurat",10,IF(AM217="Risiko Sedang",5,"")),IF(COUNTIF(AC217:AK217,"Belum Dinilai")&gt;0,"",0)))))</x:f>
        <x:v>0</x:v>
      </x:c>
      <x:c r="AS217" s="719" t="str">
        <x:f>IF(OR(AQ217="",AB217="",AR217=""),"",AQ217+AB217+AR217)</x:f>
      </x:c>
      <x:c r="AT217" s="719" t="str">
        <x:f>IF(AS217="","Belum Dapat Ditentukan",IF(AS217&gt;=80,"Sangat Tinggi",IF(OR(AO217="Risiko Tinggi/Darurat",(IF(L217="Rusak Berat",1,0)+IF(L217="Tidak Ada/Terbuka",1,0)+IF(N217="Rusak Berat",1,0)+IF(N217="Tidak Ada/Terbuka",1,0)+IF(P217="Rusak Berat",1,0)+IF(P217="Tidak Layak",1,0))&gt;=2),"Tinggi",IF(AS217&gt;=65,"Tinggi",IF(AS217&gt;=50,"Sedang","Rendah")))))</x:f>
        <x:v>Belum Dapat Ditentukan</x:v>
      </x:c>
      <x:c r="AU217" s="240"/>
      <x:c r="AV217" s="240"/>
      <x:c r="AW217" s="240"/>
      <x:c r="AX217" s="240"/>
      <x:c r="AY217" s="240"/>
      <x:c r="AZ217" s="240"/>
      <x:c r="BA217" s="240"/>
      <x:c r="BB217" s="240"/>
      <x:c r="BC217" s="240"/>
      <x:c r="BD217" s="240"/>
      <x:c r="BE217" s="240"/>
      <x:c r="BF217" s="240"/>
    </x:row>
    <x:row r="218" ht="32" customHeight="1">
      <x:c r="A218" s="314"/>
      <x:c r="B218" s="315"/>
      <x:c r="C218" s="316"/>
      <x:c r="D218" s="316"/>
      <x:c r="E218" s="315"/>
      <x:c r="F218" s="315"/>
      <x:c r="G218" s="315"/>
      <x:c r="H218" s="315"/>
      <x:c r="I218" s="317"/>
      <x:c r="J218" s="315"/>
      <x:c r="K218" s="315"/>
      <x:c r="L218" s="315"/>
      <x:c r="M218" s="367"/>
      <x:c r="N218" s="315"/>
      <x:c r="O218" s="316"/>
      <x:c r="P218" s="349"/>
      <x:c r="Q218" s="707"/>
      <x:c r="R218" s="707"/>
      <x:c r="S218" s="708"/>
      <x:c r="T218" s="709"/>
      <x:c r="U218" s="704"/>
      <x:c r="V218" s="704"/>
      <x:c r="W218" s="704"/>
      <x:c r="X218" s="704" t="str">
        <x:f>IF(COUNTIF(R218:V218,"Belum Dinilai")&gt;0,"Belum Dinilai",IF(COUNTIF(R218:V218,"Ya")=0,"Tidak ada faktor rentan",TEXTJOIN(", ",TRUE,IF(R218="Ya","Lansia",""),IF(S218="Ya","Penyandang disabilitas",""),IF(T218="Ya","Kepala keluarga perempuan",""),IF(U218="Ya","Balita",""),IF(V218="Ya","Anggota keluarga dengan ketergantungan tinggi",""))))</x:f>
        <x:v>Tidak ada faktor rentan</x:v>
      </x:c>
      <x:c r="Y218" s="704" t="str">
        <x:f>IF(COUNTIF(R218:V218,"Belum Dinilai")&gt;0,"Belum Dinilai",IF(COUNTIF(R218:V218,"Ya")=0,"Tidak Ada Faktor Rentan",IF(COUNTIF(R218:V218,"Ya")=1,"1 Faktor Rentan","2 atau Lebih Faktor Rentan")))</x:f>
        <x:v>Tidak Ada Faktor Rentan</x:v>
      </x:c>
      <x:c r="Z218" s="704" t="str">
        <x:f>IF(OR(Q218="",Q218="Belum Dinilai"),"",IF(Q218="Terverifikasi DTKS/P3KE/MBR",10,IF(Q218="Diusulkan, Belum Terverifikasi",5,0)))</x:f>
      </x:c>
      <x:c r="AA218" s="705" t="n">
        <x:f>IF(COUNTIF(R218:V218,"Belum Dinilai")&gt;0,"",IF(COUNTIF(R218:V218,"Ya")=0,0,IF(COUNTIF(R218:V218,"Ya")=1,5,10)))</x:f>
        <x:v>0</x:v>
      </x:c>
      <x:c r="AB218" s="706" t="str">
        <x:f>IF(OR(Z218="",AA218=""),"",Z218+AA218)</x:f>
      </x:c>
      <x:c r="AC218" s="713"/>
      <x:c r="AD218" s="713"/>
      <x:c r="AE218" s="714"/>
      <x:c r="AF218" s="713"/>
      <x:c r="AG218" s="713"/>
      <x:c r="AH218" s="715"/>
      <x:c r="AI218" s="714"/>
      <x:c r="AJ218" s="713"/>
      <x:c r="AK218" s="715"/>
      <x:c r="AL218" s="713"/>
      <x:c r="AM218" s="716"/>
      <x:c r="AN218" s="716" t="str">
        <x:f>IF(AND(COUNTIF(AC218:AK218,"Ya")=0,AL218=""),IF(COUNTIF(AC218:AK218,"Belum Dinilai")&gt;0,"Belum Dinilai","Tidak ada risiko khusus"),TEXTJOIN(", ",TRUE,IF(AC218="Ya","Bangunan berpotensi roboh",""),IF(AD218="Ya","Bekas kebakaran dan tidak aman dihuni",""),IF(AE218="Ya","Atap atau dinding utama hampir runtuh",""),IF(AF218="Ya","Genangan yang membahayakan",""),IF(AG218="Ya","Struktur rumah tidak stabil",""),IF(AH218="Ya","Instalasi listrik berbahaya",""),IF(AI218="Ya","Komponen bangunan lepas atau lapuk",""),IF(AJ218="Ya","Akses keluar atau evakuasi terbatas",""),IF(AK218="Ya","Lokasi rawan bencana",""),IF(AL218&lt;&gt;"","Lainnya: "&amp;AL218,"")))</x:f>
        <x:v>Tidak ada risiko khusus</x:v>
      </x:c>
      <x:c r="AO218" s="716" t="str">
        <x:f>IF(AR218="","Belum Dinilai",IF(AR218=10,"Risiko Tinggi/Darurat",IF(AR218=5,"Risiko Sedang","Tidak Ada Risiko Khusus")))</x:f>
        <x:v>Belum Dinilai</x:v>
      </x:c>
      <x:c r="AP218" s="716"/>
      <x:c r="AQ218" s="719" t="str">
        <x:f>IF(OR(J218="",J218="Belum Dapat Ditentukan",L218="",L218="Belum Dinilai",N218="",N218="Belum Dinilai",P218="",P218="Belum Dinilai"),"",IF(J218="Permanen",0,IF(J218="Semipermanen",8,IF(J218="Nonpermanen",15,0)))+IF(L218="Baik",0,IF(L218="Rusak Ringan",5,IF(L218="Rusak Sedang",10,IF(L218="Rusak Berat",15,IF(L218="Tidak Ada/Terbuka",20,0)))))+IF(N218="Baik",0,IF(N218="Rusak Ringan",5,IF(N218="Rusak Sedang",10,IF(N218="Rusak Berat",15,IF(N218="Tidak Ada/Terbuka",20,0)))))+IF(P218="Baik",0,IF(P218="Rusak Ringan",4,IF(P218="Rusak Sedang",8,IF(P218="Rusak Berat",12,IF(P218="Tidak Layak",15,0))))))</x:f>
      </x:c>
      <x:c r="AR218" s="719" t="n">
        <x:f>IF(COUNTIF(AC218:AH218,"Ya")&gt;0,10,IF(COUNTIF(AI218:AK218,"Ya")&gt;=2,10,IF(COUNTIF(AI218:AK218,"Ya")=1,MAX(5,IF(AM218="Risiko Tinggi/Darurat",10,IF(AM218="Risiko Sedang",5,0))),IF(AL218&lt;&gt;"",IF(AM218="Risiko Tinggi/Darurat",10,IF(AM218="Risiko Sedang",5,"")),IF(COUNTIF(AC218:AK218,"Belum Dinilai")&gt;0,"",0)))))</x:f>
        <x:v>0</x:v>
      </x:c>
      <x:c r="AS218" s="719" t="str">
        <x:f>IF(OR(AQ218="",AB218="",AR218=""),"",AQ218+AB218+AR218)</x:f>
      </x:c>
      <x:c r="AT218" s="719" t="str">
        <x:f>IF(AS218="","Belum Dapat Ditentukan",IF(AS218&gt;=80,"Sangat Tinggi",IF(OR(AO218="Risiko Tinggi/Darurat",(IF(L218="Rusak Berat",1,0)+IF(L218="Tidak Ada/Terbuka",1,0)+IF(N218="Rusak Berat",1,0)+IF(N218="Tidak Ada/Terbuka",1,0)+IF(P218="Rusak Berat",1,0)+IF(P218="Tidak Layak",1,0))&gt;=2),"Tinggi",IF(AS218&gt;=65,"Tinggi",IF(AS218&gt;=50,"Sedang","Rendah")))))</x:f>
        <x:v>Belum Dapat Ditentukan</x:v>
      </x:c>
      <x:c r="AU218" s="240"/>
      <x:c r="AV218" s="240"/>
      <x:c r="AW218" s="240"/>
      <x:c r="AX218" s="240"/>
      <x:c r="AY218" s="240"/>
      <x:c r="AZ218" s="240"/>
      <x:c r="BA218" s="240"/>
      <x:c r="BB218" s="240"/>
      <x:c r="BC218" s="240"/>
      <x:c r="BD218" s="240"/>
      <x:c r="BE218" s="240"/>
      <x:c r="BF218" s="240"/>
    </x:row>
    <x:row r="219" ht="32" customHeight="1">
      <x:c r="A219" s="314"/>
      <x:c r="B219" s="315"/>
      <x:c r="C219" s="316"/>
      <x:c r="D219" s="316"/>
      <x:c r="E219" s="315"/>
      <x:c r="F219" s="315"/>
      <x:c r="G219" s="315"/>
      <x:c r="H219" s="315"/>
      <x:c r="I219" s="317"/>
      <x:c r="J219" s="315"/>
      <x:c r="K219" s="315"/>
      <x:c r="L219" s="315"/>
      <x:c r="M219" s="367"/>
      <x:c r="N219" s="315"/>
      <x:c r="O219" s="316"/>
      <x:c r="P219" s="349"/>
      <x:c r="Q219" s="707"/>
      <x:c r="R219" s="707"/>
      <x:c r="S219" s="708"/>
      <x:c r="T219" s="709"/>
      <x:c r="U219" s="704"/>
      <x:c r="V219" s="704"/>
      <x:c r="W219" s="704"/>
      <x:c r="X219" s="704" t="str">
        <x:f>IF(COUNTIF(R219:V219,"Belum Dinilai")&gt;0,"Belum Dinilai",IF(COUNTIF(R219:V219,"Ya")=0,"Tidak ada faktor rentan",TEXTJOIN(", ",TRUE,IF(R219="Ya","Lansia",""),IF(S219="Ya","Penyandang disabilitas",""),IF(T219="Ya","Kepala keluarga perempuan",""),IF(U219="Ya","Balita",""),IF(V219="Ya","Anggota keluarga dengan ketergantungan tinggi",""))))</x:f>
        <x:v>Tidak ada faktor rentan</x:v>
      </x:c>
      <x:c r="Y219" s="704" t="str">
        <x:f>IF(COUNTIF(R219:V219,"Belum Dinilai")&gt;0,"Belum Dinilai",IF(COUNTIF(R219:V219,"Ya")=0,"Tidak Ada Faktor Rentan",IF(COUNTIF(R219:V219,"Ya")=1,"1 Faktor Rentan","2 atau Lebih Faktor Rentan")))</x:f>
        <x:v>Tidak Ada Faktor Rentan</x:v>
      </x:c>
      <x:c r="Z219" s="704" t="str">
        <x:f>IF(OR(Q219="",Q219="Belum Dinilai"),"",IF(Q219="Terverifikasi DTKS/P3KE/MBR",10,IF(Q219="Diusulkan, Belum Terverifikasi",5,0)))</x:f>
      </x:c>
      <x:c r="AA219" s="705" t="n">
        <x:f>IF(COUNTIF(R219:V219,"Belum Dinilai")&gt;0,"",IF(COUNTIF(R219:V219,"Ya")=0,0,IF(COUNTIF(R219:V219,"Ya")=1,5,10)))</x:f>
        <x:v>0</x:v>
      </x:c>
      <x:c r="AB219" s="706" t="str">
        <x:f>IF(OR(Z219="",AA219=""),"",Z219+AA219)</x:f>
      </x:c>
      <x:c r="AC219" s="713"/>
      <x:c r="AD219" s="713"/>
      <x:c r="AE219" s="714"/>
      <x:c r="AF219" s="713"/>
      <x:c r="AG219" s="713"/>
      <x:c r="AH219" s="715"/>
      <x:c r="AI219" s="714"/>
      <x:c r="AJ219" s="713"/>
      <x:c r="AK219" s="715"/>
      <x:c r="AL219" s="713"/>
      <x:c r="AM219" s="716"/>
      <x:c r="AN219" s="716" t="str">
        <x:f>IF(AND(COUNTIF(AC219:AK219,"Ya")=0,AL219=""),IF(COUNTIF(AC219:AK219,"Belum Dinilai")&gt;0,"Belum Dinilai","Tidak ada risiko khusus"),TEXTJOIN(", ",TRUE,IF(AC219="Ya","Bangunan berpotensi roboh",""),IF(AD219="Ya","Bekas kebakaran dan tidak aman dihuni",""),IF(AE219="Ya","Atap atau dinding utama hampir runtuh",""),IF(AF219="Ya","Genangan yang membahayakan",""),IF(AG219="Ya","Struktur rumah tidak stabil",""),IF(AH219="Ya","Instalasi listrik berbahaya",""),IF(AI219="Ya","Komponen bangunan lepas atau lapuk",""),IF(AJ219="Ya","Akses keluar atau evakuasi terbatas",""),IF(AK219="Ya","Lokasi rawan bencana",""),IF(AL219&lt;&gt;"","Lainnya: "&amp;AL219,"")))</x:f>
        <x:v>Tidak ada risiko khusus</x:v>
      </x:c>
      <x:c r="AO219" s="716" t="str">
        <x:f>IF(AR219="","Belum Dinilai",IF(AR219=10,"Risiko Tinggi/Darurat",IF(AR219=5,"Risiko Sedang","Tidak Ada Risiko Khusus")))</x:f>
        <x:v>Belum Dinilai</x:v>
      </x:c>
      <x:c r="AP219" s="716"/>
      <x:c r="AQ219" s="719" t="str">
        <x:f>IF(OR(J219="",J219="Belum Dapat Ditentukan",L219="",L219="Belum Dinilai",N219="",N219="Belum Dinilai",P219="",P219="Belum Dinilai"),"",IF(J219="Permanen",0,IF(J219="Semipermanen",8,IF(J219="Nonpermanen",15,0)))+IF(L219="Baik",0,IF(L219="Rusak Ringan",5,IF(L219="Rusak Sedang",10,IF(L219="Rusak Berat",15,IF(L219="Tidak Ada/Terbuka",20,0)))))+IF(N219="Baik",0,IF(N219="Rusak Ringan",5,IF(N219="Rusak Sedang",10,IF(N219="Rusak Berat",15,IF(N219="Tidak Ada/Terbuka",20,0)))))+IF(P219="Baik",0,IF(P219="Rusak Ringan",4,IF(P219="Rusak Sedang",8,IF(P219="Rusak Berat",12,IF(P219="Tidak Layak",15,0))))))</x:f>
      </x:c>
      <x:c r="AR219" s="719" t="n">
        <x:f>IF(COUNTIF(AC219:AH219,"Ya")&gt;0,10,IF(COUNTIF(AI219:AK219,"Ya")&gt;=2,10,IF(COUNTIF(AI219:AK219,"Ya")=1,MAX(5,IF(AM219="Risiko Tinggi/Darurat",10,IF(AM219="Risiko Sedang",5,0))),IF(AL219&lt;&gt;"",IF(AM219="Risiko Tinggi/Darurat",10,IF(AM219="Risiko Sedang",5,"")),IF(COUNTIF(AC219:AK219,"Belum Dinilai")&gt;0,"",0)))))</x:f>
        <x:v>0</x:v>
      </x:c>
      <x:c r="AS219" s="719" t="str">
        <x:f>IF(OR(AQ219="",AB219="",AR219=""),"",AQ219+AB219+AR219)</x:f>
      </x:c>
      <x:c r="AT219" s="719" t="str">
        <x:f>IF(AS219="","Belum Dapat Ditentukan",IF(AS219&gt;=80,"Sangat Tinggi",IF(OR(AO219="Risiko Tinggi/Darurat",(IF(L219="Rusak Berat",1,0)+IF(L219="Tidak Ada/Terbuka",1,0)+IF(N219="Rusak Berat",1,0)+IF(N219="Tidak Ada/Terbuka",1,0)+IF(P219="Rusak Berat",1,0)+IF(P219="Tidak Layak",1,0))&gt;=2),"Tinggi",IF(AS219&gt;=65,"Tinggi",IF(AS219&gt;=50,"Sedang","Rendah")))))</x:f>
        <x:v>Belum Dapat Ditentukan</x:v>
      </x:c>
      <x:c r="AU219" s="240"/>
      <x:c r="AV219" s="240"/>
      <x:c r="AW219" s="240"/>
      <x:c r="AX219" s="240"/>
      <x:c r="AY219" s="240"/>
      <x:c r="AZ219" s="240"/>
      <x:c r="BA219" s="240"/>
      <x:c r="BB219" s="240"/>
      <x:c r="BC219" s="240"/>
      <x:c r="BD219" s="240"/>
      <x:c r="BE219" s="240"/>
      <x:c r="BF219" s="240"/>
    </x:row>
    <x:row r="220" ht="32" customHeight="1">
      <x:c r="A220" s="314"/>
      <x:c r="B220" s="315"/>
      <x:c r="C220" s="316"/>
      <x:c r="D220" s="316"/>
      <x:c r="E220" s="315"/>
      <x:c r="F220" s="315"/>
      <x:c r="G220" s="315"/>
      <x:c r="H220" s="315"/>
      <x:c r="I220" s="317"/>
      <x:c r="J220" s="315"/>
      <x:c r="K220" s="315"/>
      <x:c r="L220" s="315"/>
      <x:c r="M220" s="367"/>
      <x:c r="N220" s="315"/>
      <x:c r="O220" s="316"/>
      <x:c r="P220" s="349"/>
      <x:c r="Q220" s="707"/>
      <x:c r="R220" s="707"/>
      <x:c r="S220" s="708"/>
      <x:c r="T220" s="709"/>
      <x:c r="U220" s="704"/>
      <x:c r="V220" s="704"/>
      <x:c r="W220" s="704"/>
      <x:c r="X220" s="704" t="str">
        <x:f>IF(COUNTIF(R220:V220,"Belum Dinilai")&gt;0,"Belum Dinilai",IF(COUNTIF(R220:V220,"Ya")=0,"Tidak ada faktor rentan",TEXTJOIN(", ",TRUE,IF(R220="Ya","Lansia",""),IF(S220="Ya","Penyandang disabilitas",""),IF(T220="Ya","Kepala keluarga perempuan",""),IF(U220="Ya","Balita",""),IF(V220="Ya","Anggota keluarga dengan ketergantungan tinggi",""))))</x:f>
        <x:v>Tidak ada faktor rentan</x:v>
      </x:c>
      <x:c r="Y220" s="704" t="str">
        <x:f>IF(COUNTIF(R220:V220,"Belum Dinilai")&gt;0,"Belum Dinilai",IF(COUNTIF(R220:V220,"Ya")=0,"Tidak Ada Faktor Rentan",IF(COUNTIF(R220:V220,"Ya")=1,"1 Faktor Rentan","2 atau Lebih Faktor Rentan")))</x:f>
        <x:v>Tidak Ada Faktor Rentan</x:v>
      </x:c>
      <x:c r="Z220" s="704" t="str">
        <x:f>IF(OR(Q220="",Q220="Belum Dinilai"),"",IF(Q220="Terverifikasi DTKS/P3KE/MBR",10,IF(Q220="Diusulkan, Belum Terverifikasi",5,0)))</x:f>
      </x:c>
      <x:c r="AA220" s="705" t="n">
        <x:f>IF(COUNTIF(R220:V220,"Belum Dinilai")&gt;0,"",IF(COUNTIF(R220:V220,"Ya")=0,0,IF(COUNTIF(R220:V220,"Ya")=1,5,10)))</x:f>
        <x:v>0</x:v>
      </x:c>
      <x:c r="AB220" s="706" t="str">
        <x:f>IF(OR(Z220="",AA220=""),"",Z220+AA220)</x:f>
      </x:c>
      <x:c r="AC220" s="713"/>
      <x:c r="AD220" s="713"/>
      <x:c r="AE220" s="714"/>
      <x:c r="AF220" s="713"/>
      <x:c r="AG220" s="713"/>
      <x:c r="AH220" s="715"/>
      <x:c r="AI220" s="714"/>
      <x:c r="AJ220" s="713"/>
      <x:c r="AK220" s="715"/>
      <x:c r="AL220" s="713"/>
      <x:c r="AM220" s="716"/>
      <x:c r="AN220" s="716" t="str">
        <x:f>IF(AND(COUNTIF(AC220:AK220,"Ya")=0,AL220=""),IF(COUNTIF(AC220:AK220,"Belum Dinilai")&gt;0,"Belum Dinilai","Tidak ada risiko khusus"),TEXTJOIN(", ",TRUE,IF(AC220="Ya","Bangunan berpotensi roboh",""),IF(AD220="Ya","Bekas kebakaran dan tidak aman dihuni",""),IF(AE220="Ya","Atap atau dinding utama hampir runtuh",""),IF(AF220="Ya","Genangan yang membahayakan",""),IF(AG220="Ya","Struktur rumah tidak stabil",""),IF(AH220="Ya","Instalasi listrik berbahaya",""),IF(AI220="Ya","Komponen bangunan lepas atau lapuk",""),IF(AJ220="Ya","Akses keluar atau evakuasi terbatas",""),IF(AK220="Ya","Lokasi rawan bencana",""),IF(AL220&lt;&gt;"","Lainnya: "&amp;AL220,"")))</x:f>
        <x:v>Tidak ada risiko khusus</x:v>
      </x:c>
      <x:c r="AO220" s="716" t="str">
        <x:f>IF(AR220="","Belum Dinilai",IF(AR220=10,"Risiko Tinggi/Darurat",IF(AR220=5,"Risiko Sedang","Tidak Ada Risiko Khusus")))</x:f>
        <x:v>Belum Dinilai</x:v>
      </x:c>
      <x:c r="AP220" s="716"/>
      <x:c r="AQ220" s="719" t="str">
        <x:f>IF(OR(J220="",J220="Belum Dapat Ditentukan",L220="",L220="Belum Dinilai",N220="",N220="Belum Dinilai",P220="",P220="Belum Dinilai"),"",IF(J220="Permanen",0,IF(J220="Semipermanen",8,IF(J220="Nonpermanen",15,0)))+IF(L220="Baik",0,IF(L220="Rusak Ringan",5,IF(L220="Rusak Sedang",10,IF(L220="Rusak Berat",15,IF(L220="Tidak Ada/Terbuka",20,0)))))+IF(N220="Baik",0,IF(N220="Rusak Ringan",5,IF(N220="Rusak Sedang",10,IF(N220="Rusak Berat",15,IF(N220="Tidak Ada/Terbuka",20,0)))))+IF(P220="Baik",0,IF(P220="Rusak Ringan",4,IF(P220="Rusak Sedang",8,IF(P220="Rusak Berat",12,IF(P220="Tidak Layak",15,0))))))</x:f>
      </x:c>
      <x:c r="AR220" s="719" t="n">
        <x:f>IF(COUNTIF(AC220:AH220,"Ya")&gt;0,10,IF(COUNTIF(AI220:AK220,"Ya")&gt;=2,10,IF(COUNTIF(AI220:AK220,"Ya")=1,MAX(5,IF(AM220="Risiko Tinggi/Darurat",10,IF(AM220="Risiko Sedang",5,0))),IF(AL220&lt;&gt;"",IF(AM220="Risiko Tinggi/Darurat",10,IF(AM220="Risiko Sedang",5,"")),IF(COUNTIF(AC220:AK220,"Belum Dinilai")&gt;0,"",0)))))</x:f>
        <x:v>0</x:v>
      </x:c>
      <x:c r="AS220" s="719" t="str">
        <x:f>IF(OR(AQ220="",AB220="",AR220=""),"",AQ220+AB220+AR220)</x:f>
      </x:c>
      <x:c r="AT220" s="719" t="str">
        <x:f>IF(AS220="","Belum Dapat Ditentukan",IF(AS220&gt;=80,"Sangat Tinggi",IF(OR(AO220="Risiko Tinggi/Darurat",(IF(L220="Rusak Berat",1,0)+IF(L220="Tidak Ada/Terbuka",1,0)+IF(N220="Rusak Berat",1,0)+IF(N220="Tidak Ada/Terbuka",1,0)+IF(P220="Rusak Berat",1,0)+IF(P220="Tidak Layak",1,0))&gt;=2),"Tinggi",IF(AS220&gt;=65,"Tinggi",IF(AS220&gt;=50,"Sedang","Rendah")))))</x:f>
        <x:v>Belum Dapat Ditentukan</x:v>
      </x:c>
      <x:c r="AU220" s="240"/>
      <x:c r="AV220" s="240"/>
      <x:c r="AW220" s="240"/>
      <x:c r="AX220" s="240"/>
      <x:c r="AY220" s="240"/>
      <x:c r="AZ220" s="240"/>
      <x:c r="BA220" s="240"/>
      <x:c r="BB220" s="240"/>
      <x:c r="BC220" s="240"/>
      <x:c r="BD220" s="240"/>
      <x:c r="BE220" s="240"/>
      <x:c r="BF220" s="240"/>
    </x:row>
    <x:row r="221" ht="32" customHeight="1">
      <x:c r="A221" s="314"/>
      <x:c r="B221" s="315"/>
      <x:c r="C221" s="316"/>
      <x:c r="D221" s="316"/>
      <x:c r="E221" s="315"/>
      <x:c r="F221" s="315"/>
      <x:c r="G221" s="315"/>
      <x:c r="H221" s="315"/>
      <x:c r="I221" s="317"/>
      <x:c r="J221" s="315"/>
      <x:c r="K221" s="315"/>
      <x:c r="L221" s="315"/>
      <x:c r="M221" s="367"/>
      <x:c r="N221" s="315"/>
      <x:c r="O221" s="316"/>
      <x:c r="P221" s="349"/>
      <x:c r="Q221" s="707"/>
      <x:c r="R221" s="707"/>
      <x:c r="S221" s="708"/>
      <x:c r="T221" s="709"/>
      <x:c r="U221" s="704"/>
      <x:c r="V221" s="704"/>
      <x:c r="W221" s="704"/>
      <x:c r="X221" s="704" t="str">
        <x:f>IF(COUNTIF(R221:V221,"Belum Dinilai")&gt;0,"Belum Dinilai",IF(COUNTIF(R221:V221,"Ya")=0,"Tidak ada faktor rentan",TEXTJOIN(", ",TRUE,IF(R221="Ya","Lansia",""),IF(S221="Ya","Penyandang disabilitas",""),IF(T221="Ya","Kepala keluarga perempuan",""),IF(U221="Ya","Balita",""),IF(V221="Ya","Anggota keluarga dengan ketergantungan tinggi",""))))</x:f>
        <x:v>Tidak ada faktor rentan</x:v>
      </x:c>
      <x:c r="Y221" s="704" t="str">
        <x:f>IF(COUNTIF(R221:V221,"Belum Dinilai")&gt;0,"Belum Dinilai",IF(COUNTIF(R221:V221,"Ya")=0,"Tidak Ada Faktor Rentan",IF(COUNTIF(R221:V221,"Ya")=1,"1 Faktor Rentan","2 atau Lebih Faktor Rentan")))</x:f>
        <x:v>Tidak Ada Faktor Rentan</x:v>
      </x:c>
      <x:c r="Z221" s="704" t="str">
        <x:f>IF(OR(Q221="",Q221="Belum Dinilai"),"",IF(Q221="Terverifikasi DTKS/P3KE/MBR",10,IF(Q221="Diusulkan, Belum Terverifikasi",5,0)))</x:f>
      </x:c>
      <x:c r="AA221" s="705" t="n">
        <x:f>IF(COUNTIF(R221:V221,"Belum Dinilai")&gt;0,"",IF(COUNTIF(R221:V221,"Ya")=0,0,IF(COUNTIF(R221:V221,"Ya")=1,5,10)))</x:f>
        <x:v>0</x:v>
      </x:c>
      <x:c r="AB221" s="706" t="str">
        <x:f>IF(OR(Z221="",AA221=""),"",Z221+AA221)</x:f>
      </x:c>
      <x:c r="AC221" s="713"/>
      <x:c r="AD221" s="713"/>
      <x:c r="AE221" s="714"/>
      <x:c r="AF221" s="713"/>
      <x:c r="AG221" s="713"/>
      <x:c r="AH221" s="715"/>
      <x:c r="AI221" s="714"/>
      <x:c r="AJ221" s="713"/>
      <x:c r="AK221" s="715"/>
      <x:c r="AL221" s="713"/>
      <x:c r="AM221" s="716"/>
      <x:c r="AN221" s="716" t="str">
        <x:f>IF(AND(COUNTIF(AC221:AK221,"Ya")=0,AL221=""),IF(COUNTIF(AC221:AK221,"Belum Dinilai")&gt;0,"Belum Dinilai","Tidak ada risiko khusus"),TEXTJOIN(", ",TRUE,IF(AC221="Ya","Bangunan berpotensi roboh",""),IF(AD221="Ya","Bekas kebakaran dan tidak aman dihuni",""),IF(AE221="Ya","Atap atau dinding utama hampir runtuh",""),IF(AF221="Ya","Genangan yang membahayakan",""),IF(AG221="Ya","Struktur rumah tidak stabil",""),IF(AH221="Ya","Instalasi listrik berbahaya",""),IF(AI221="Ya","Komponen bangunan lepas atau lapuk",""),IF(AJ221="Ya","Akses keluar atau evakuasi terbatas",""),IF(AK221="Ya","Lokasi rawan bencana",""),IF(AL221&lt;&gt;"","Lainnya: "&amp;AL221,"")))</x:f>
        <x:v>Tidak ada risiko khusus</x:v>
      </x:c>
      <x:c r="AO221" s="716" t="str">
        <x:f>IF(AR221="","Belum Dinilai",IF(AR221=10,"Risiko Tinggi/Darurat",IF(AR221=5,"Risiko Sedang","Tidak Ada Risiko Khusus")))</x:f>
        <x:v>Belum Dinilai</x:v>
      </x:c>
      <x:c r="AP221" s="716"/>
      <x:c r="AQ221" s="719" t="str">
        <x:f>IF(OR(J221="",J221="Belum Dapat Ditentukan",L221="",L221="Belum Dinilai",N221="",N221="Belum Dinilai",P221="",P221="Belum Dinilai"),"",IF(J221="Permanen",0,IF(J221="Semipermanen",8,IF(J221="Nonpermanen",15,0)))+IF(L221="Baik",0,IF(L221="Rusak Ringan",5,IF(L221="Rusak Sedang",10,IF(L221="Rusak Berat",15,IF(L221="Tidak Ada/Terbuka",20,0)))))+IF(N221="Baik",0,IF(N221="Rusak Ringan",5,IF(N221="Rusak Sedang",10,IF(N221="Rusak Berat",15,IF(N221="Tidak Ada/Terbuka",20,0)))))+IF(P221="Baik",0,IF(P221="Rusak Ringan",4,IF(P221="Rusak Sedang",8,IF(P221="Rusak Berat",12,IF(P221="Tidak Layak",15,0))))))</x:f>
      </x:c>
      <x:c r="AR221" s="719" t="n">
        <x:f>IF(COUNTIF(AC221:AH221,"Ya")&gt;0,10,IF(COUNTIF(AI221:AK221,"Ya")&gt;=2,10,IF(COUNTIF(AI221:AK221,"Ya")=1,MAX(5,IF(AM221="Risiko Tinggi/Darurat",10,IF(AM221="Risiko Sedang",5,0))),IF(AL221&lt;&gt;"",IF(AM221="Risiko Tinggi/Darurat",10,IF(AM221="Risiko Sedang",5,"")),IF(COUNTIF(AC221:AK221,"Belum Dinilai")&gt;0,"",0)))))</x:f>
        <x:v>0</x:v>
      </x:c>
      <x:c r="AS221" s="719" t="str">
        <x:f>IF(OR(AQ221="",AB221="",AR221=""),"",AQ221+AB221+AR221)</x:f>
      </x:c>
      <x:c r="AT221" s="719" t="str">
        <x:f>IF(AS221="","Belum Dapat Ditentukan",IF(AS221&gt;=80,"Sangat Tinggi",IF(OR(AO221="Risiko Tinggi/Darurat",(IF(L221="Rusak Berat",1,0)+IF(L221="Tidak Ada/Terbuka",1,0)+IF(N221="Rusak Berat",1,0)+IF(N221="Tidak Ada/Terbuka",1,0)+IF(P221="Rusak Berat",1,0)+IF(P221="Tidak Layak",1,0))&gt;=2),"Tinggi",IF(AS221&gt;=65,"Tinggi",IF(AS221&gt;=50,"Sedang","Rendah")))))</x:f>
        <x:v>Belum Dapat Ditentukan</x:v>
      </x:c>
      <x:c r="AU221" s="240"/>
      <x:c r="AV221" s="240"/>
      <x:c r="AW221" s="240"/>
      <x:c r="AX221" s="240"/>
      <x:c r="AY221" s="240"/>
      <x:c r="AZ221" s="240"/>
      <x:c r="BA221" s="240"/>
      <x:c r="BB221" s="240"/>
      <x:c r="BC221" s="240"/>
      <x:c r="BD221" s="240"/>
      <x:c r="BE221" s="240"/>
      <x:c r="BF221" s="240"/>
    </x:row>
    <x:row r="222" ht="32" customHeight="1">
      <x:c r="A222" s="314"/>
      <x:c r="B222" s="315"/>
      <x:c r="C222" s="316"/>
      <x:c r="D222" s="316"/>
      <x:c r="E222" s="315"/>
      <x:c r="F222" s="315"/>
      <x:c r="G222" s="315"/>
      <x:c r="H222" s="315"/>
      <x:c r="I222" s="317"/>
      <x:c r="J222" s="315"/>
      <x:c r="K222" s="315"/>
      <x:c r="L222" s="315"/>
      <x:c r="M222" s="367"/>
      <x:c r="N222" s="315"/>
      <x:c r="O222" s="316"/>
      <x:c r="P222" s="349"/>
      <x:c r="Q222" s="707"/>
      <x:c r="R222" s="707"/>
      <x:c r="S222" s="708"/>
      <x:c r="T222" s="709"/>
      <x:c r="U222" s="704"/>
      <x:c r="V222" s="704"/>
      <x:c r="W222" s="704"/>
      <x:c r="X222" s="704" t="str">
        <x:f>IF(COUNTIF(R222:V222,"Belum Dinilai")&gt;0,"Belum Dinilai",IF(COUNTIF(R222:V222,"Ya")=0,"Tidak ada faktor rentan",TEXTJOIN(", ",TRUE,IF(R222="Ya","Lansia",""),IF(S222="Ya","Penyandang disabilitas",""),IF(T222="Ya","Kepala keluarga perempuan",""),IF(U222="Ya","Balita",""),IF(V222="Ya","Anggota keluarga dengan ketergantungan tinggi",""))))</x:f>
        <x:v>Tidak ada faktor rentan</x:v>
      </x:c>
      <x:c r="Y222" s="704" t="str">
        <x:f>IF(COUNTIF(R222:V222,"Belum Dinilai")&gt;0,"Belum Dinilai",IF(COUNTIF(R222:V222,"Ya")=0,"Tidak Ada Faktor Rentan",IF(COUNTIF(R222:V222,"Ya")=1,"1 Faktor Rentan","2 atau Lebih Faktor Rentan")))</x:f>
        <x:v>Tidak Ada Faktor Rentan</x:v>
      </x:c>
      <x:c r="Z222" s="704" t="str">
        <x:f>IF(OR(Q222="",Q222="Belum Dinilai"),"",IF(Q222="Terverifikasi DTKS/P3KE/MBR",10,IF(Q222="Diusulkan, Belum Terverifikasi",5,0)))</x:f>
      </x:c>
      <x:c r="AA222" s="705" t="n">
        <x:f>IF(COUNTIF(R222:V222,"Belum Dinilai")&gt;0,"",IF(COUNTIF(R222:V222,"Ya")=0,0,IF(COUNTIF(R222:V222,"Ya")=1,5,10)))</x:f>
        <x:v>0</x:v>
      </x:c>
      <x:c r="AB222" s="706" t="str">
        <x:f>IF(OR(Z222="",AA222=""),"",Z222+AA222)</x:f>
      </x:c>
      <x:c r="AC222" s="713"/>
      <x:c r="AD222" s="713"/>
      <x:c r="AE222" s="714"/>
      <x:c r="AF222" s="713"/>
      <x:c r="AG222" s="713"/>
      <x:c r="AH222" s="715"/>
      <x:c r="AI222" s="714"/>
      <x:c r="AJ222" s="713"/>
      <x:c r="AK222" s="715"/>
      <x:c r="AL222" s="713"/>
      <x:c r="AM222" s="716"/>
      <x:c r="AN222" s="716" t="str">
        <x:f>IF(AND(COUNTIF(AC222:AK222,"Ya")=0,AL222=""),IF(COUNTIF(AC222:AK222,"Belum Dinilai")&gt;0,"Belum Dinilai","Tidak ada risiko khusus"),TEXTJOIN(", ",TRUE,IF(AC222="Ya","Bangunan berpotensi roboh",""),IF(AD222="Ya","Bekas kebakaran dan tidak aman dihuni",""),IF(AE222="Ya","Atap atau dinding utama hampir runtuh",""),IF(AF222="Ya","Genangan yang membahayakan",""),IF(AG222="Ya","Struktur rumah tidak stabil",""),IF(AH222="Ya","Instalasi listrik berbahaya",""),IF(AI222="Ya","Komponen bangunan lepas atau lapuk",""),IF(AJ222="Ya","Akses keluar atau evakuasi terbatas",""),IF(AK222="Ya","Lokasi rawan bencana",""),IF(AL222&lt;&gt;"","Lainnya: "&amp;AL222,"")))</x:f>
        <x:v>Tidak ada risiko khusus</x:v>
      </x:c>
      <x:c r="AO222" s="716" t="str">
        <x:f>IF(AR222="","Belum Dinilai",IF(AR222=10,"Risiko Tinggi/Darurat",IF(AR222=5,"Risiko Sedang","Tidak Ada Risiko Khusus")))</x:f>
        <x:v>Belum Dinilai</x:v>
      </x:c>
      <x:c r="AP222" s="716"/>
      <x:c r="AQ222" s="719" t="str">
        <x:f>IF(OR(J222="",J222="Belum Dapat Ditentukan",L222="",L222="Belum Dinilai",N222="",N222="Belum Dinilai",P222="",P222="Belum Dinilai"),"",IF(J222="Permanen",0,IF(J222="Semipermanen",8,IF(J222="Nonpermanen",15,0)))+IF(L222="Baik",0,IF(L222="Rusak Ringan",5,IF(L222="Rusak Sedang",10,IF(L222="Rusak Berat",15,IF(L222="Tidak Ada/Terbuka",20,0)))))+IF(N222="Baik",0,IF(N222="Rusak Ringan",5,IF(N222="Rusak Sedang",10,IF(N222="Rusak Berat",15,IF(N222="Tidak Ada/Terbuka",20,0)))))+IF(P222="Baik",0,IF(P222="Rusak Ringan",4,IF(P222="Rusak Sedang",8,IF(P222="Rusak Berat",12,IF(P222="Tidak Layak",15,0))))))</x:f>
      </x:c>
      <x:c r="AR222" s="719" t="n">
        <x:f>IF(COUNTIF(AC222:AH222,"Ya")&gt;0,10,IF(COUNTIF(AI222:AK222,"Ya")&gt;=2,10,IF(COUNTIF(AI222:AK222,"Ya")=1,MAX(5,IF(AM222="Risiko Tinggi/Darurat",10,IF(AM222="Risiko Sedang",5,0))),IF(AL222&lt;&gt;"",IF(AM222="Risiko Tinggi/Darurat",10,IF(AM222="Risiko Sedang",5,"")),IF(COUNTIF(AC222:AK222,"Belum Dinilai")&gt;0,"",0)))))</x:f>
        <x:v>0</x:v>
      </x:c>
      <x:c r="AS222" s="719" t="str">
        <x:f>IF(OR(AQ222="",AB222="",AR222=""),"",AQ222+AB222+AR222)</x:f>
      </x:c>
      <x:c r="AT222" s="719" t="str">
        <x:f>IF(AS222="","Belum Dapat Ditentukan",IF(AS222&gt;=80,"Sangat Tinggi",IF(OR(AO222="Risiko Tinggi/Darurat",(IF(L222="Rusak Berat",1,0)+IF(L222="Tidak Ada/Terbuka",1,0)+IF(N222="Rusak Berat",1,0)+IF(N222="Tidak Ada/Terbuka",1,0)+IF(P222="Rusak Berat",1,0)+IF(P222="Tidak Layak",1,0))&gt;=2),"Tinggi",IF(AS222&gt;=65,"Tinggi",IF(AS222&gt;=50,"Sedang","Rendah")))))</x:f>
        <x:v>Belum Dapat Ditentukan</x:v>
      </x:c>
      <x:c r="AU222" s="240"/>
      <x:c r="AV222" s="240"/>
      <x:c r="AW222" s="240"/>
      <x:c r="AX222" s="240"/>
      <x:c r="AY222" s="240"/>
      <x:c r="AZ222" s="240"/>
      <x:c r="BA222" s="240"/>
      <x:c r="BB222" s="240"/>
      <x:c r="BC222" s="240"/>
      <x:c r="BD222" s="240"/>
      <x:c r="BE222" s="240"/>
      <x:c r="BF222" s="240"/>
    </x:row>
    <x:row r="223" ht="32" customHeight="1">
      <x:c r="A223" s="314"/>
      <x:c r="B223" s="315"/>
      <x:c r="C223" s="316"/>
      <x:c r="D223" s="316"/>
      <x:c r="E223" s="315"/>
      <x:c r="F223" s="315"/>
      <x:c r="G223" s="315"/>
      <x:c r="H223" s="315"/>
      <x:c r="I223" s="317"/>
      <x:c r="J223" s="315"/>
      <x:c r="K223" s="315"/>
      <x:c r="L223" s="315"/>
      <x:c r="M223" s="367"/>
      <x:c r="N223" s="315"/>
      <x:c r="O223" s="316"/>
      <x:c r="P223" s="349"/>
      <x:c r="Q223" s="707"/>
      <x:c r="R223" s="707"/>
      <x:c r="S223" s="708"/>
      <x:c r="T223" s="709"/>
      <x:c r="U223" s="704"/>
      <x:c r="V223" s="704"/>
      <x:c r="W223" s="704"/>
      <x:c r="X223" s="704" t="str">
        <x:f>IF(COUNTIF(R223:V223,"Belum Dinilai")&gt;0,"Belum Dinilai",IF(COUNTIF(R223:V223,"Ya")=0,"Tidak ada faktor rentan",TEXTJOIN(", ",TRUE,IF(R223="Ya","Lansia",""),IF(S223="Ya","Penyandang disabilitas",""),IF(T223="Ya","Kepala keluarga perempuan",""),IF(U223="Ya","Balita",""),IF(V223="Ya","Anggota keluarga dengan ketergantungan tinggi",""))))</x:f>
        <x:v>Tidak ada faktor rentan</x:v>
      </x:c>
      <x:c r="Y223" s="704" t="str">
        <x:f>IF(COUNTIF(R223:V223,"Belum Dinilai")&gt;0,"Belum Dinilai",IF(COUNTIF(R223:V223,"Ya")=0,"Tidak Ada Faktor Rentan",IF(COUNTIF(R223:V223,"Ya")=1,"1 Faktor Rentan","2 atau Lebih Faktor Rentan")))</x:f>
        <x:v>Tidak Ada Faktor Rentan</x:v>
      </x:c>
      <x:c r="Z223" s="704" t="str">
        <x:f>IF(OR(Q223="",Q223="Belum Dinilai"),"",IF(Q223="Terverifikasi DTKS/P3KE/MBR",10,IF(Q223="Diusulkan, Belum Terverifikasi",5,0)))</x:f>
      </x:c>
      <x:c r="AA223" s="705" t="n">
        <x:f>IF(COUNTIF(R223:V223,"Belum Dinilai")&gt;0,"",IF(COUNTIF(R223:V223,"Ya")=0,0,IF(COUNTIF(R223:V223,"Ya")=1,5,10)))</x:f>
        <x:v>0</x:v>
      </x:c>
      <x:c r="AB223" s="706" t="str">
        <x:f>IF(OR(Z223="",AA223=""),"",Z223+AA223)</x:f>
      </x:c>
      <x:c r="AC223" s="713"/>
      <x:c r="AD223" s="713"/>
      <x:c r="AE223" s="714"/>
      <x:c r="AF223" s="713"/>
      <x:c r="AG223" s="713"/>
      <x:c r="AH223" s="715"/>
      <x:c r="AI223" s="714"/>
      <x:c r="AJ223" s="713"/>
      <x:c r="AK223" s="715"/>
      <x:c r="AL223" s="713"/>
      <x:c r="AM223" s="716"/>
      <x:c r="AN223" s="716" t="str">
        <x:f>IF(AND(COUNTIF(AC223:AK223,"Ya")=0,AL223=""),IF(COUNTIF(AC223:AK223,"Belum Dinilai")&gt;0,"Belum Dinilai","Tidak ada risiko khusus"),TEXTJOIN(", ",TRUE,IF(AC223="Ya","Bangunan berpotensi roboh",""),IF(AD223="Ya","Bekas kebakaran dan tidak aman dihuni",""),IF(AE223="Ya","Atap atau dinding utama hampir runtuh",""),IF(AF223="Ya","Genangan yang membahayakan",""),IF(AG223="Ya","Struktur rumah tidak stabil",""),IF(AH223="Ya","Instalasi listrik berbahaya",""),IF(AI223="Ya","Komponen bangunan lepas atau lapuk",""),IF(AJ223="Ya","Akses keluar atau evakuasi terbatas",""),IF(AK223="Ya","Lokasi rawan bencana",""),IF(AL223&lt;&gt;"","Lainnya: "&amp;AL223,"")))</x:f>
        <x:v>Tidak ada risiko khusus</x:v>
      </x:c>
      <x:c r="AO223" s="716" t="str">
        <x:f>IF(AR223="","Belum Dinilai",IF(AR223=10,"Risiko Tinggi/Darurat",IF(AR223=5,"Risiko Sedang","Tidak Ada Risiko Khusus")))</x:f>
        <x:v>Belum Dinilai</x:v>
      </x:c>
      <x:c r="AP223" s="716"/>
      <x:c r="AQ223" s="719" t="str">
        <x:f>IF(OR(J223="",J223="Belum Dapat Ditentukan",L223="",L223="Belum Dinilai",N223="",N223="Belum Dinilai",P223="",P223="Belum Dinilai"),"",IF(J223="Permanen",0,IF(J223="Semipermanen",8,IF(J223="Nonpermanen",15,0)))+IF(L223="Baik",0,IF(L223="Rusak Ringan",5,IF(L223="Rusak Sedang",10,IF(L223="Rusak Berat",15,IF(L223="Tidak Ada/Terbuka",20,0)))))+IF(N223="Baik",0,IF(N223="Rusak Ringan",5,IF(N223="Rusak Sedang",10,IF(N223="Rusak Berat",15,IF(N223="Tidak Ada/Terbuka",20,0)))))+IF(P223="Baik",0,IF(P223="Rusak Ringan",4,IF(P223="Rusak Sedang",8,IF(P223="Rusak Berat",12,IF(P223="Tidak Layak",15,0))))))</x:f>
      </x:c>
      <x:c r="AR223" s="719" t="n">
        <x:f>IF(COUNTIF(AC223:AH223,"Ya")&gt;0,10,IF(COUNTIF(AI223:AK223,"Ya")&gt;=2,10,IF(COUNTIF(AI223:AK223,"Ya")=1,MAX(5,IF(AM223="Risiko Tinggi/Darurat",10,IF(AM223="Risiko Sedang",5,0))),IF(AL223&lt;&gt;"",IF(AM223="Risiko Tinggi/Darurat",10,IF(AM223="Risiko Sedang",5,"")),IF(COUNTIF(AC223:AK223,"Belum Dinilai")&gt;0,"",0)))))</x:f>
        <x:v>0</x:v>
      </x:c>
      <x:c r="AS223" s="719" t="str">
        <x:f>IF(OR(AQ223="",AB223="",AR223=""),"",AQ223+AB223+AR223)</x:f>
      </x:c>
      <x:c r="AT223" s="719" t="str">
        <x:f>IF(AS223="","Belum Dapat Ditentukan",IF(AS223&gt;=80,"Sangat Tinggi",IF(OR(AO223="Risiko Tinggi/Darurat",(IF(L223="Rusak Berat",1,0)+IF(L223="Tidak Ada/Terbuka",1,0)+IF(N223="Rusak Berat",1,0)+IF(N223="Tidak Ada/Terbuka",1,0)+IF(P223="Rusak Berat",1,0)+IF(P223="Tidak Layak",1,0))&gt;=2),"Tinggi",IF(AS223&gt;=65,"Tinggi",IF(AS223&gt;=50,"Sedang","Rendah")))))</x:f>
        <x:v>Belum Dapat Ditentukan</x:v>
      </x:c>
      <x:c r="AU223" s="240"/>
      <x:c r="AV223" s="240"/>
      <x:c r="AW223" s="240"/>
      <x:c r="AX223" s="240"/>
      <x:c r="AY223" s="240"/>
      <x:c r="AZ223" s="240"/>
      <x:c r="BA223" s="240"/>
      <x:c r="BB223" s="240"/>
      <x:c r="BC223" s="240"/>
      <x:c r="BD223" s="240"/>
      <x:c r="BE223" s="240"/>
      <x:c r="BF223" s="240"/>
    </x:row>
    <x:row r="224" ht="32" customHeight="1">
      <x:c r="A224" s="314"/>
      <x:c r="B224" s="315"/>
      <x:c r="C224" s="316"/>
      <x:c r="D224" s="316"/>
      <x:c r="E224" s="315"/>
      <x:c r="F224" s="315"/>
      <x:c r="G224" s="315"/>
      <x:c r="H224" s="315"/>
      <x:c r="I224" s="317"/>
      <x:c r="J224" s="315"/>
      <x:c r="K224" s="315"/>
      <x:c r="L224" s="315"/>
      <x:c r="M224" s="367"/>
      <x:c r="N224" s="315"/>
      <x:c r="O224" s="316"/>
      <x:c r="P224" s="349"/>
      <x:c r="Q224" s="707"/>
      <x:c r="R224" s="707"/>
      <x:c r="S224" s="708"/>
      <x:c r="T224" s="709"/>
      <x:c r="U224" s="704"/>
      <x:c r="V224" s="704"/>
      <x:c r="W224" s="704"/>
      <x:c r="X224" s="704" t="str">
        <x:f>IF(COUNTIF(R224:V224,"Belum Dinilai")&gt;0,"Belum Dinilai",IF(COUNTIF(R224:V224,"Ya")=0,"Tidak ada faktor rentan",TEXTJOIN(", ",TRUE,IF(R224="Ya","Lansia",""),IF(S224="Ya","Penyandang disabilitas",""),IF(T224="Ya","Kepala keluarga perempuan",""),IF(U224="Ya","Balita",""),IF(V224="Ya","Anggota keluarga dengan ketergantungan tinggi",""))))</x:f>
        <x:v>Tidak ada faktor rentan</x:v>
      </x:c>
      <x:c r="Y224" s="704" t="str">
        <x:f>IF(COUNTIF(R224:V224,"Belum Dinilai")&gt;0,"Belum Dinilai",IF(COUNTIF(R224:V224,"Ya")=0,"Tidak Ada Faktor Rentan",IF(COUNTIF(R224:V224,"Ya")=1,"1 Faktor Rentan","2 atau Lebih Faktor Rentan")))</x:f>
        <x:v>Tidak Ada Faktor Rentan</x:v>
      </x:c>
      <x:c r="Z224" s="704" t="str">
        <x:f>IF(OR(Q224="",Q224="Belum Dinilai"),"",IF(Q224="Terverifikasi DTKS/P3KE/MBR",10,IF(Q224="Diusulkan, Belum Terverifikasi",5,0)))</x:f>
      </x:c>
      <x:c r="AA224" s="705" t="n">
        <x:f>IF(COUNTIF(R224:V224,"Belum Dinilai")&gt;0,"",IF(COUNTIF(R224:V224,"Ya")=0,0,IF(COUNTIF(R224:V224,"Ya")=1,5,10)))</x:f>
        <x:v>0</x:v>
      </x:c>
      <x:c r="AB224" s="706" t="str">
        <x:f>IF(OR(Z224="",AA224=""),"",Z224+AA224)</x:f>
      </x:c>
      <x:c r="AC224" s="713"/>
      <x:c r="AD224" s="713"/>
      <x:c r="AE224" s="714"/>
      <x:c r="AF224" s="713"/>
      <x:c r="AG224" s="713"/>
      <x:c r="AH224" s="715"/>
      <x:c r="AI224" s="714"/>
      <x:c r="AJ224" s="713"/>
      <x:c r="AK224" s="715"/>
      <x:c r="AL224" s="713"/>
      <x:c r="AM224" s="716"/>
      <x:c r="AN224" s="716" t="str">
        <x:f>IF(AND(COUNTIF(AC224:AK224,"Ya")=0,AL224=""),IF(COUNTIF(AC224:AK224,"Belum Dinilai")&gt;0,"Belum Dinilai","Tidak ada risiko khusus"),TEXTJOIN(", ",TRUE,IF(AC224="Ya","Bangunan berpotensi roboh",""),IF(AD224="Ya","Bekas kebakaran dan tidak aman dihuni",""),IF(AE224="Ya","Atap atau dinding utama hampir runtuh",""),IF(AF224="Ya","Genangan yang membahayakan",""),IF(AG224="Ya","Struktur rumah tidak stabil",""),IF(AH224="Ya","Instalasi listrik berbahaya",""),IF(AI224="Ya","Komponen bangunan lepas atau lapuk",""),IF(AJ224="Ya","Akses keluar atau evakuasi terbatas",""),IF(AK224="Ya","Lokasi rawan bencana",""),IF(AL224&lt;&gt;"","Lainnya: "&amp;AL224,"")))</x:f>
        <x:v>Tidak ada risiko khusus</x:v>
      </x:c>
      <x:c r="AO224" s="716" t="str">
        <x:f>IF(AR224="","Belum Dinilai",IF(AR224=10,"Risiko Tinggi/Darurat",IF(AR224=5,"Risiko Sedang","Tidak Ada Risiko Khusus")))</x:f>
        <x:v>Belum Dinilai</x:v>
      </x:c>
      <x:c r="AP224" s="716"/>
      <x:c r="AQ224" s="719" t="str">
        <x:f>IF(OR(J224="",J224="Belum Dapat Ditentukan",L224="",L224="Belum Dinilai",N224="",N224="Belum Dinilai",P224="",P224="Belum Dinilai"),"",IF(J224="Permanen",0,IF(J224="Semipermanen",8,IF(J224="Nonpermanen",15,0)))+IF(L224="Baik",0,IF(L224="Rusak Ringan",5,IF(L224="Rusak Sedang",10,IF(L224="Rusak Berat",15,IF(L224="Tidak Ada/Terbuka",20,0)))))+IF(N224="Baik",0,IF(N224="Rusak Ringan",5,IF(N224="Rusak Sedang",10,IF(N224="Rusak Berat",15,IF(N224="Tidak Ada/Terbuka",20,0)))))+IF(P224="Baik",0,IF(P224="Rusak Ringan",4,IF(P224="Rusak Sedang",8,IF(P224="Rusak Berat",12,IF(P224="Tidak Layak",15,0))))))</x:f>
      </x:c>
      <x:c r="AR224" s="719" t="n">
        <x:f>IF(COUNTIF(AC224:AH224,"Ya")&gt;0,10,IF(COUNTIF(AI224:AK224,"Ya")&gt;=2,10,IF(COUNTIF(AI224:AK224,"Ya")=1,MAX(5,IF(AM224="Risiko Tinggi/Darurat",10,IF(AM224="Risiko Sedang",5,0))),IF(AL224&lt;&gt;"",IF(AM224="Risiko Tinggi/Darurat",10,IF(AM224="Risiko Sedang",5,"")),IF(COUNTIF(AC224:AK224,"Belum Dinilai")&gt;0,"",0)))))</x:f>
        <x:v>0</x:v>
      </x:c>
      <x:c r="AS224" s="719" t="str">
        <x:f>IF(OR(AQ224="",AB224="",AR224=""),"",AQ224+AB224+AR224)</x:f>
      </x:c>
      <x:c r="AT224" s="719" t="str">
        <x:f>IF(AS224="","Belum Dapat Ditentukan",IF(AS224&gt;=80,"Sangat Tinggi",IF(OR(AO224="Risiko Tinggi/Darurat",(IF(L224="Rusak Berat",1,0)+IF(L224="Tidak Ada/Terbuka",1,0)+IF(N224="Rusak Berat",1,0)+IF(N224="Tidak Ada/Terbuka",1,0)+IF(P224="Rusak Berat",1,0)+IF(P224="Tidak Layak",1,0))&gt;=2),"Tinggi",IF(AS224&gt;=65,"Tinggi",IF(AS224&gt;=50,"Sedang","Rendah")))))</x:f>
        <x:v>Belum Dapat Ditentukan</x:v>
      </x:c>
      <x:c r="AU224" s="240"/>
      <x:c r="AV224" s="240"/>
      <x:c r="AW224" s="240"/>
      <x:c r="AX224" s="240"/>
      <x:c r="AY224" s="240"/>
      <x:c r="AZ224" s="240"/>
      <x:c r="BA224" s="240"/>
      <x:c r="BB224" s="240"/>
      <x:c r="BC224" s="240"/>
      <x:c r="BD224" s="240"/>
      <x:c r="BE224" s="240"/>
      <x:c r="BF224" s="240"/>
    </x:row>
    <x:row r="225" ht="32" customHeight="1">
      <x:c r="A225" s="314"/>
      <x:c r="B225" s="315"/>
      <x:c r="C225" s="316"/>
      <x:c r="D225" s="316"/>
      <x:c r="E225" s="315"/>
      <x:c r="F225" s="315"/>
      <x:c r="G225" s="315"/>
      <x:c r="H225" s="315"/>
      <x:c r="I225" s="317"/>
      <x:c r="J225" s="315"/>
      <x:c r="K225" s="315"/>
      <x:c r="L225" s="315"/>
      <x:c r="M225" s="367"/>
      <x:c r="N225" s="315"/>
      <x:c r="O225" s="316"/>
      <x:c r="P225" s="349"/>
      <x:c r="Q225" s="707"/>
      <x:c r="R225" s="707"/>
      <x:c r="S225" s="708"/>
      <x:c r="T225" s="709"/>
      <x:c r="U225" s="704"/>
      <x:c r="V225" s="704"/>
      <x:c r="W225" s="704"/>
      <x:c r="X225" s="704" t="str">
        <x:f>IF(COUNTIF(R225:V225,"Belum Dinilai")&gt;0,"Belum Dinilai",IF(COUNTIF(R225:V225,"Ya")=0,"Tidak ada faktor rentan",TEXTJOIN(", ",TRUE,IF(R225="Ya","Lansia",""),IF(S225="Ya","Penyandang disabilitas",""),IF(T225="Ya","Kepala keluarga perempuan",""),IF(U225="Ya","Balita",""),IF(V225="Ya","Anggota keluarga dengan ketergantungan tinggi",""))))</x:f>
        <x:v>Tidak ada faktor rentan</x:v>
      </x:c>
      <x:c r="Y225" s="704" t="str">
        <x:f>IF(COUNTIF(R225:V225,"Belum Dinilai")&gt;0,"Belum Dinilai",IF(COUNTIF(R225:V225,"Ya")=0,"Tidak Ada Faktor Rentan",IF(COUNTIF(R225:V225,"Ya")=1,"1 Faktor Rentan","2 atau Lebih Faktor Rentan")))</x:f>
        <x:v>Tidak Ada Faktor Rentan</x:v>
      </x:c>
      <x:c r="Z225" s="704" t="str">
        <x:f>IF(OR(Q225="",Q225="Belum Dinilai"),"",IF(Q225="Terverifikasi DTKS/P3KE/MBR",10,IF(Q225="Diusulkan, Belum Terverifikasi",5,0)))</x:f>
      </x:c>
      <x:c r="AA225" s="705" t="n">
        <x:f>IF(COUNTIF(R225:V225,"Belum Dinilai")&gt;0,"",IF(COUNTIF(R225:V225,"Ya")=0,0,IF(COUNTIF(R225:V225,"Ya")=1,5,10)))</x:f>
        <x:v>0</x:v>
      </x:c>
      <x:c r="AB225" s="706" t="str">
        <x:f>IF(OR(Z225="",AA225=""),"",Z225+AA225)</x:f>
      </x:c>
      <x:c r="AC225" s="713"/>
      <x:c r="AD225" s="713"/>
      <x:c r="AE225" s="714"/>
      <x:c r="AF225" s="713"/>
      <x:c r="AG225" s="713"/>
      <x:c r="AH225" s="715"/>
      <x:c r="AI225" s="714"/>
      <x:c r="AJ225" s="713"/>
      <x:c r="AK225" s="715"/>
      <x:c r="AL225" s="713"/>
      <x:c r="AM225" s="716"/>
      <x:c r="AN225" s="716" t="str">
        <x:f>IF(AND(COUNTIF(AC225:AK225,"Ya")=0,AL225=""),IF(COUNTIF(AC225:AK225,"Belum Dinilai")&gt;0,"Belum Dinilai","Tidak ada risiko khusus"),TEXTJOIN(", ",TRUE,IF(AC225="Ya","Bangunan berpotensi roboh",""),IF(AD225="Ya","Bekas kebakaran dan tidak aman dihuni",""),IF(AE225="Ya","Atap atau dinding utama hampir runtuh",""),IF(AF225="Ya","Genangan yang membahayakan",""),IF(AG225="Ya","Struktur rumah tidak stabil",""),IF(AH225="Ya","Instalasi listrik berbahaya",""),IF(AI225="Ya","Komponen bangunan lepas atau lapuk",""),IF(AJ225="Ya","Akses keluar atau evakuasi terbatas",""),IF(AK225="Ya","Lokasi rawan bencana",""),IF(AL225&lt;&gt;"","Lainnya: "&amp;AL225,"")))</x:f>
        <x:v>Tidak ada risiko khusus</x:v>
      </x:c>
      <x:c r="AO225" s="716" t="str">
        <x:f>IF(AR225="","Belum Dinilai",IF(AR225=10,"Risiko Tinggi/Darurat",IF(AR225=5,"Risiko Sedang","Tidak Ada Risiko Khusus")))</x:f>
        <x:v>Belum Dinilai</x:v>
      </x:c>
      <x:c r="AP225" s="716"/>
      <x:c r="AQ225" s="719" t="str">
        <x:f>IF(OR(J225="",J225="Belum Dapat Ditentukan",L225="",L225="Belum Dinilai",N225="",N225="Belum Dinilai",P225="",P225="Belum Dinilai"),"",IF(J225="Permanen",0,IF(J225="Semipermanen",8,IF(J225="Nonpermanen",15,0)))+IF(L225="Baik",0,IF(L225="Rusak Ringan",5,IF(L225="Rusak Sedang",10,IF(L225="Rusak Berat",15,IF(L225="Tidak Ada/Terbuka",20,0)))))+IF(N225="Baik",0,IF(N225="Rusak Ringan",5,IF(N225="Rusak Sedang",10,IF(N225="Rusak Berat",15,IF(N225="Tidak Ada/Terbuka",20,0)))))+IF(P225="Baik",0,IF(P225="Rusak Ringan",4,IF(P225="Rusak Sedang",8,IF(P225="Rusak Berat",12,IF(P225="Tidak Layak",15,0))))))</x:f>
      </x:c>
      <x:c r="AR225" s="719" t="n">
        <x:f>IF(COUNTIF(AC225:AH225,"Ya")&gt;0,10,IF(COUNTIF(AI225:AK225,"Ya")&gt;=2,10,IF(COUNTIF(AI225:AK225,"Ya")=1,MAX(5,IF(AM225="Risiko Tinggi/Darurat",10,IF(AM225="Risiko Sedang",5,0))),IF(AL225&lt;&gt;"",IF(AM225="Risiko Tinggi/Darurat",10,IF(AM225="Risiko Sedang",5,"")),IF(COUNTIF(AC225:AK225,"Belum Dinilai")&gt;0,"",0)))))</x:f>
        <x:v>0</x:v>
      </x:c>
      <x:c r="AS225" s="719" t="str">
        <x:f>IF(OR(AQ225="",AB225="",AR225=""),"",AQ225+AB225+AR225)</x:f>
      </x:c>
      <x:c r="AT225" s="719" t="str">
        <x:f>IF(AS225="","Belum Dapat Ditentukan",IF(AS225&gt;=80,"Sangat Tinggi",IF(OR(AO225="Risiko Tinggi/Darurat",(IF(L225="Rusak Berat",1,0)+IF(L225="Tidak Ada/Terbuka",1,0)+IF(N225="Rusak Berat",1,0)+IF(N225="Tidak Ada/Terbuka",1,0)+IF(P225="Rusak Berat",1,0)+IF(P225="Tidak Layak",1,0))&gt;=2),"Tinggi",IF(AS225&gt;=65,"Tinggi",IF(AS225&gt;=50,"Sedang","Rendah")))))</x:f>
        <x:v>Belum Dapat Ditentukan</x:v>
      </x:c>
      <x:c r="AU225" s="240"/>
      <x:c r="AV225" s="240"/>
      <x:c r="AW225" s="240"/>
      <x:c r="AX225" s="240"/>
      <x:c r="AY225" s="240"/>
      <x:c r="AZ225" s="240"/>
      <x:c r="BA225" s="240"/>
      <x:c r="BB225" s="240"/>
      <x:c r="BC225" s="240"/>
      <x:c r="BD225" s="240"/>
      <x:c r="BE225" s="240"/>
      <x:c r="BF225" s="240"/>
    </x:row>
    <x:row r="226" ht="32" customHeight="1">
      <x:c r="A226" s="314"/>
      <x:c r="B226" s="315"/>
      <x:c r="C226" s="316"/>
      <x:c r="D226" s="316"/>
      <x:c r="E226" s="315"/>
      <x:c r="F226" s="315"/>
      <x:c r="G226" s="315"/>
      <x:c r="H226" s="315"/>
      <x:c r="I226" s="317"/>
      <x:c r="J226" s="315"/>
      <x:c r="K226" s="315"/>
      <x:c r="L226" s="315"/>
      <x:c r="M226" s="367"/>
      <x:c r="N226" s="315"/>
      <x:c r="O226" s="316"/>
      <x:c r="P226" s="349"/>
      <x:c r="Q226" s="707"/>
      <x:c r="R226" s="707"/>
      <x:c r="S226" s="708"/>
      <x:c r="T226" s="709"/>
      <x:c r="U226" s="704"/>
      <x:c r="V226" s="704"/>
      <x:c r="W226" s="704"/>
      <x:c r="X226" s="704" t="str">
        <x:f>IF(COUNTIF(R226:V226,"Belum Dinilai")&gt;0,"Belum Dinilai",IF(COUNTIF(R226:V226,"Ya")=0,"Tidak ada faktor rentan",TEXTJOIN(", ",TRUE,IF(R226="Ya","Lansia",""),IF(S226="Ya","Penyandang disabilitas",""),IF(T226="Ya","Kepala keluarga perempuan",""),IF(U226="Ya","Balita",""),IF(V226="Ya","Anggota keluarga dengan ketergantungan tinggi",""))))</x:f>
        <x:v>Tidak ada faktor rentan</x:v>
      </x:c>
      <x:c r="Y226" s="704" t="str">
        <x:f>IF(COUNTIF(R226:V226,"Belum Dinilai")&gt;0,"Belum Dinilai",IF(COUNTIF(R226:V226,"Ya")=0,"Tidak Ada Faktor Rentan",IF(COUNTIF(R226:V226,"Ya")=1,"1 Faktor Rentan","2 atau Lebih Faktor Rentan")))</x:f>
        <x:v>Tidak Ada Faktor Rentan</x:v>
      </x:c>
      <x:c r="Z226" s="704" t="str">
        <x:f>IF(OR(Q226="",Q226="Belum Dinilai"),"",IF(Q226="Terverifikasi DTKS/P3KE/MBR",10,IF(Q226="Diusulkan, Belum Terverifikasi",5,0)))</x:f>
      </x:c>
      <x:c r="AA226" s="705" t="n">
        <x:f>IF(COUNTIF(R226:V226,"Belum Dinilai")&gt;0,"",IF(COUNTIF(R226:V226,"Ya")=0,0,IF(COUNTIF(R226:V226,"Ya")=1,5,10)))</x:f>
        <x:v>0</x:v>
      </x:c>
      <x:c r="AB226" s="706" t="str">
        <x:f>IF(OR(Z226="",AA226=""),"",Z226+AA226)</x:f>
      </x:c>
      <x:c r="AC226" s="713"/>
      <x:c r="AD226" s="713"/>
      <x:c r="AE226" s="714"/>
      <x:c r="AF226" s="713"/>
      <x:c r="AG226" s="713"/>
      <x:c r="AH226" s="715"/>
      <x:c r="AI226" s="714"/>
      <x:c r="AJ226" s="713"/>
      <x:c r="AK226" s="715"/>
      <x:c r="AL226" s="713"/>
      <x:c r="AM226" s="716"/>
      <x:c r="AN226" s="716" t="str">
        <x:f>IF(AND(COUNTIF(AC226:AK226,"Ya")=0,AL226=""),IF(COUNTIF(AC226:AK226,"Belum Dinilai")&gt;0,"Belum Dinilai","Tidak ada risiko khusus"),TEXTJOIN(", ",TRUE,IF(AC226="Ya","Bangunan berpotensi roboh",""),IF(AD226="Ya","Bekas kebakaran dan tidak aman dihuni",""),IF(AE226="Ya","Atap atau dinding utama hampir runtuh",""),IF(AF226="Ya","Genangan yang membahayakan",""),IF(AG226="Ya","Struktur rumah tidak stabil",""),IF(AH226="Ya","Instalasi listrik berbahaya",""),IF(AI226="Ya","Komponen bangunan lepas atau lapuk",""),IF(AJ226="Ya","Akses keluar atau evakuasi terbatas",""),IF(AK226="Ya","Lokasi rawan bencana",""),IF(AL226&lt;&gt;"","Lainnya: "&amp;AL226,"")))</x:f>
        <x:v>Tidak ada risiko khusus</x:v>
      </x:c>
      <x:c r="AO226" s="716" t="str">
        <x:f>IF(AR226="","Belum Dinilai",IF(AR226=10,"Risiko Tinggi/Darurat",IF(AR226=5,"Risiko Sedang","Tidak Ada Risiko Khusus")))</x:f>
        <x:v>Belum Dinilai</x:v>
      </x:c>
      <x:c r="AP226" s="716"/>
      <x:c r="AQ226" s="719" t="str">
        <x:f>IF(OR(J226="",J226="Belum Dapat Ditentukan",L226="",L226="Belum Dinilai",N226="",N226="Belum Dinilai",P226="",P226="Belum Dinilai"),"",IF(J226="Permanen",0,IF(J226="Semipermanen",8,IF(J226="Nonpermanen",15,0)))+IF(L226="Baik",0,IF(L226="Rusak Ringan",5,IF(L226="Rusak Sedang",10,IF(L226="Rusak Berat",15,IF(L226="Tidak Ada/Terbuka",20,0)))))+IF(N226="Baik",0,IF(N226="Rusak Ringan",5,IF(N226="Rusak Sedang",10,IF(N226="Rusak Berat",15,IF(N226="Tidak Ada/Terbuka",20,0)))))+IF(P226="Baik",0,IF(P226="Rusak Ringan",4,IF(P226="Rusak Sedang",8,IF(P226="Rusak Berat",12,IF(P226="Tidak Layak",15,0))))))</x:f>
      </x:c>
      <x:c r="AR226" s="719" t="n">
        <x:f>IF(COUNTIF(AC226:AH226,"Ya")&gt;0,10,IF(COUNTIF(AI226:AK226,"Ya")&gt;=2,10,IF(COUNTIF(AI226:AK226,"Ya")=1,MAX(5,IF(AM226="Risiko Tinggi/Darurat",10,IF(AM226="Risiko Sedang",5,0))),IF(AL226&lt;&gt;"",IF(AM226="Risiko Tinggi/Darurat",10,IF(AM226="Risiko Sedang",5,"")),IF(COUNTIF(AC226:AK226,"Belum Dinilai")&gt;0,"",0)))))</x:f>
        <x:v>0</x:v>
      </x:c>
      <x:c r="AS226" s="719" t="str">
        <x:f>IF(OR(AQ226="",AB226="",AR226=""),"",AQ226+AB226+AR226)</x:f>
      </x:c>
      <x:c r="AT226" s="719" t="str">
        <x:f>IF(AS226="","Belum Dapat Ditentukan",IF(AS226&gt;=80,"Sangat Tinggi",IF(OR(AO226="Risiko Tinggi/Darurat",(IF(L226="Rusak Berat",1,0)+IF(L226="Tidak Ada/Terbuka",1,0)+IF(N226="Rusak Berat",1,0)+IF(N226="Tidak Ada/Terbuka",1,0)+IF(P226="Rusak Berat",1,0)+IF(P226="Tidak Layak",1,0))&gt;=2),"Tinggi",IF(AS226&gt;=65,"Tinggi",IF(AS226&gt;=50,"Sedang","Rendah")))))</x:f>
        <x:v>Belum Dapat Ditentukan</x:v>
      </x:c>
      <x:c r="AU226" s="240"/>
      <x:c r="AV226" s="240"/>
      <x:c r="AW226" s="240"/>
      <x:c r="AX226" s="240"/>
      <x:c r="AY226" s="240"/>
      <x:c r="AZ226" s="240"/>
      <x:c r="BA226" s="240"/>
      <x:c r="BB226" s="240"/>
      <x:c r="BC226" s="240"/>
      <x:c r="BD226" s="240"/>
      <x:c r="BE226" s="240"/>
      <x:c r="BF226" s="240"/>
    </x:row>
    <x:row r="227" ht="32" customHeight="1">
      <x:c r="A227" s="314"/>
      <x:c r="B227" s="315"/>
      <x:c r="C227" s="316"/>
      <x:c r="D227" s="316"/>
      <x:c r="E227" s="315"/>
      <x:c r="F227" s="315"/>
      <x:c r="G227" s="315"/>
      <x:c r="H227" s="315"/>
      <x:c r="I227" s="317"/>
      <x:c r="J227" s="315"/>
      <x:c r="K227" s="315"/>
      <x:c r="L227" s="315"/>
      <x:c r="M227" s="367"/>
      <x:c r="N227" s="315"/>
      <x:c r="O227" s="316"/>
      <x:c r="P227" s="349"/>
      <x:c r="Q227" s="707"/>
      <x:c r="R227" s="707"/>
      <x:c r="S227" s="708"/>
      <x:c r="T227" s="709"/>
      <x:c r="U227" s="704"/>
      <x:c r="V227" s="704"/>
      <x:c r="W227" s="704"/>
      <x:c r="X227" s="704" t="str">
        <x:f>IF(COUNTIF(R227:V227,"Belum Dinilai")&gt;0,"Belum Dinilai",IF(COUNTIF(R227:V227,"Ya")=0,"Tidak ada faktor rentan",TEXTJOIN(", ",TRUE,IF(R227="Ya","Lansia",""),IF(S227="Ya","Penyandang disabilitas",""),IF(T227="Ya","Kepala keluarga perempuan",""),IF(U227="Ya","Balita",""),IF(V227="Ya","Anggota keluarga dengan ketergantungan tinggi",""))))</x:f>
        <x:v>Tidak ada faktor rentan</x:v>
      </x:c>
      <x:c r="Y227" s="704" t="str">
        <x:f>IF(COUNTIF(R227:V227,"Belum Dinilai")&gt;0,"Belum Dinilai",IF(COUNTIF(R227:V227,"Ya")=0,"Tidak Ada Faktor Rentan",IF(COUNTIF(R227:V227,"Ya")=1,"1 Faktor Rentan","2 atau Lebih Faktor Rentan")))</x:f>
        <x:v>Tidak Ada Faktor Rentan</x:v>
      </x:c>
      <x:c r="Z227" s="704" t="str">
        <x:f>IF(OR(Q227="",Q227="Belum Dinilai"),"",IF(Q227="Terverifikasi DTKS/P3KE/MBR",10,IF(Q227="Diusulkan, Belum Terverifikasi",5,0)))</x:f>
      </x:c>
      <x:c r="AA227" s="705" t="n">
        <x:f>IF(COUNTIF(R227:V227,"Belum Dinilai")&gt;0,"",IF(COUNTIF(R227:V227,"Ya")=0,0,IF(COUNTIF(R227:V227,"Ya")=1,5,10)))</x:f>
        <x:v>0</x:v>
      </x:c>
      <x:c r="AB227" s="706" t="str">
        <x:f>IF(OR(Z227="",AA227=""),"",Z227+AA227)</x:f>
      </x:c>
      <x:c r="AC227" s="713"/>
      <x:c r="AD227" s="713"/>
      <x:c r="AE227" s="714"/>
      <x:c r="AF227" s="713"/>
      <x:c r="AG227" s="713"/>
      <x:c r="AH227" s="715"/>
      <x:c r="AI227" s="714"/>
      <x:c r="AJ227" s="713"/>
      <x:c r="AK227" s="715"/>
      <x:c r="AL227" s="713"/>
      <x:c r="AM227" s="716"/>
      <x:c r="AN227" s="716" t="str">
        <x:f>IF(AND(COUNTIF(AC227:AK227,"Ya")=0,AL227=""),IF(COUNTIF(AC227:AK227,"Belum Dinilai")&gt;0,"Belum Dinilai","Tidak ada risiko khusus"),TEXTJOIN(", ",TRUE,IF(AC227="Ya","Bangunan berpotensi roboh",""),IF(AD227="Ya","Bekas kebakaran dan tidak aman dihuni",""),IF(AE227="Ya","Atap atau dinding utama hampir runtuh",""),IF(AF227="Ya","Genangan yang membahayakan",""),IF(AG227="Ya","Struktur rumah tidak stabil",""),IF(AH227="Ya","Instalasi listrik berbahaya",""),IF(AI227="Ya","Komponen bangunan lepas atau lapuk",""),IF(AJ227="Ya","Akses keluar atau evakuasi terbatas",""),IF(AK227="Ya","Lokasi rawan bencana",""),IF(AL227&lt;&gt;"","Lainnya: "&amp;AL227,"")))</x:f>
        <x:v>Tidak ada risiko khusus</x:v>
      </x:c>
      <x:c r="AO227" s="716" t="str">
        <x:f>IF(AR227="","Belum Dinilai",IF(AR227=10,"Risiko Tinggi/Darurat",IF(AR227=5,"Risiko Sedang","Tidak Ada Risiko Khusus")))</x:f>
        <x:v>Belum Dinilai</x:v>
      </x:c>
      <x:c r="AP227" s="716"/>
      <x:c r="AQ227" s="719" t="str">
        <x:f>IF(OR(J227="",J227="Belum Dapat Ditentukan",L227="",L227="Belum Dinilai",N227="",N227="Belum Dinilai",P227="",P227="Belum Dinilai"),"",IF(J227="Permanen",0,IF(J227="Semipermanen",8,IF(J227="Nonpermanen",15,0)))+IF(L227="Baik",0,IF(L227="Rusak Ringan",5,IF(L227="Rusak Sedang",10,IF(L227="Rusak Berat",15,IF(L227="Tidak Ada/Terbuka",20,0)))))+IF(N227="Baik",0,IF(N227="Rusak Ringan",5,IF(N227="Rusak Sedang",10,IF(N227="Rusak Berat",15,IF(N227="Tidak Ada/Terbuka",20,0)))))+IF(P227="Baik",0,IF(P227="Rusak Ringan",4,IF(P227="Rusak Sedang",8,IF(P227="Rusak Berat",12,IF(P227="Tidak Layak",15,0))))))</x:f>
      </x:c>
      <x:c r="AR227" s="719" t="n">
        <x:f>IF(COUNTIF(AC227:AH227,"Ya")&gt;0,10,IF(COUNTIF(AI227:AK227,"Ya")&gt;=2,10,IF(COUNTIF(AI227:AK227,"Ya")=1,MAX(5,IF(AM227="Risiko Tinggi/Darurat",10,IF(AM227="Risiko Sedang",5,0))),IF(AL227&lt;&gt;"",IF(AM227="Risiko Tinggi/Darurat",10,IF(AM227="Risiko Sedang",5,"")),IF(COUNTIF(AC227:AK227,"Belum Dinilai")&gt;0,"",0)))))</x:f>
        <x:v>0</x:v>
      </x:c>
      <x:c r="AS227" s="719" t="str">
        <x:f>IF(OR(AQ227="",AB227="",AR227=""),"",AQ227+AB227+AR227)</x:f>
      </x:c>
      <x:c r="AT227" s="719" t="str">
        <x:f>IF(AS227="","Belum Dapat Ditentukan",IF(AS227&gt;=80,"Sangat Tinggi",IF(OR(AO227="Risiko Tinggi/Darurat",(IF(L227="Rusak Berat",1,0)+IF(L227="Tidak Ada/Terbuka",1,0)+IF(N227="Rusak Berat",1,0)+IF(N227="Tidak Ada/Terbuka",1,0)+IF(P227="Rusak Berat",1,0)+IF(P227="Tidak Layak",1,0))&gt;=2),"Tinggi",IF(AS227&gt;=65,"Tinggi",IF(AS227&gt;=50,"Sedang","Rendah")))))</x:f>
        <x:v>Belum Dapat Ditentukan</x:v>
      </x:c>
      <x:c r="AU227" s="240"/>
      <x:c r="AV227" s="240"/>
      <x:c r="AW227" s="240"/>
      <x:c r="AX227" s="240"/>
      <x:c r="AY227" s="240"/>
      <x:c r="AZ227" s="240"/>
      <x:c r="BA227" s="240"/>
      <x:c r="BB227" s="240"/>
      <x:c r="BC227" s="240"/>
      <x:c r="BD227" s="240"/>
      <x:c r="BE227" s="240"/>
      <x:c r="BF227" s="240"/>
    </x:row>
    <x:row r="228" ht="32" customHeight="1">
      <x:c r="A228" s="314"/>
      <x:c r="B228" s="315"/>
      <x:c r="C228" s="316"/>
      <x:c r="D228" s="316"/>
      <x:c r="E228" s="315"/>
      <x:c r="F228" s="315"/>
      <x:c r="G228" s="315"/>
      <x:c r="H228" s="315"/>
      <x:c r="I228" s="317"/>
      <x:c r="J228" s="315"/>
      <x:c r="K228" s="315"/>
      <x:c r="L228" s="315"/>
      <x:c r="M228" s="367"/>
      <x:c r="N228" s="315"/>
      <x:c r="O228" s="316"/>
      <x:c r="P228" s="349"/>
      <x:c r="Q228" s="707"/>
      <x:c r="R228" s="707"/>
      <x:c r="S228" s="708"/>
      <x:c r="T228" s="709"/>
      <x:c r="U228" s="704"/>
      <x:c r="V228" s="704"/>
      <x:c r="W228" s="704"/>
      <x:c r="X228" s="704" t="str">
        <x:f>IF(COUNTIF(R228:V228,"Belum Dinilai")&gt;0,"Belum Dinilai",IF(COUNTIF(R228:V228,"Ya")=0,"Tidak ada faktor rentan",TEXTJOIN(", ",TRUE,IF(R228="Ya","Lansia",""),IF(S228="Ya","Penyandang disabilitas",""),IF(T228="Ya","Kepala keluarga perempuan",""),IF(U228="Ya","Balita",""),IF(V228="Ya","Anggota keluarga dengan ketergantungan tinggi",""))))</x:f>
        <x:v>Tidak ada faktor rentan</x:v>
      </x:c>
      <x:c r="Y228" s="704" t="str">
        <x:f>IF(COUNTIF(R228:V228,"Belum Dinilai")&gt;0,"Belum Dinilai",IF(COUNTIF(R228:V228,"Ya")=0,"Tidak Ada Faktor Rentan",IF(COUNTIF(R228:V228,"Ya")=1,"1 Faktor Rentan","2 atau Lebih Faktor Rentan")))</x:f>
        <x:v>Tidak Ada Faktor Rentan</x:v>
      </x:c>
      <x:c r="Z228" s="704" t="str">
        <x:f>IF(OR(Q228="",Q228="Belum Dinilai"),"",IF(Q228="Terverifikasi DTKS/P3KE/MBR",10,IF(Q228="Diusulkan, Belum Terverifikasi",5,0)))</x:f>
      </x:c>
      <x:c r="AA228" s="705" t="n">
        <x:f>IF(COUNTIF(R228:V228,"Belum Dinilai")&gt;0,"",IF(COUNTIF(R228:V228,"Ya")=0,0,IF(COUNTIF(R228:V228,"Ya")=1,5,10)))</x:f>
        <x:v>0</x:v>
      </x:c>
      <x:c r="AB228" s="706" t="str">
        <x:f>IF(OR(Z228="",AA228=""),"",Z228+AA228)</x:f>
      </x:c>
      <x:c r="AC228" s="713"/>
      <x:c r="AD228" s="713"/>
      <x:c r="AE228" s="714"/>
      <x:c r="AF228" s="713"/>
      <x:c r="AG228" s="713"/>
      <x:c r="AH228" s="715"/>
      <x:c r="AI228" s="714"/>
      <x:c r="AJ228" s="713"/>
      <x:c r="AK228" s="715"/>
      <x:c r="AL228" s="713"/>
      <x:c r="AM228" s="716"/>
      <x:c r="AN228" s="716" t="str">
        <x:f>IF(AND(COUNTIF(AC228:AK228,"Ya")=0,AL228=""),IF(COUNTIF(AC228:AK228,"Belum Dinilai")&gt;0,"Belum Dinilai","Tidak ada risiko khusus"),TEXTJOIN(", ",TRUE,IF(AC228="Ya","Bangunan berpotensi roboh",""),IF(AD228="Ya","Bekas kebakaran dan tidak aman dihuni",""),IF(AE228="Ya","Atap atau dinding utama hampir runtuh",""),IF(AF228="Ya","Genangan yang membahayakan",""),IF(AG228="Ya","Struktur rumah tidak stabil",""),IF(AH228="Ya","Instalasi listrik berbahaya",""),IF(AI228="Ya","Komponen bangunan lepas atau lapuk",""),IF(AJ228="Ya","Akses keluar atau evakuasi terbatas",""),IF(AK228="Ya","Lokasi rawan bencana",""),IF(AL228&lt;&gt;"","Lainnya: "&amp;AL228,"")))</x:f>
        <x:v>Tidak ada risiko khusus</x:v>
      </x:c>
      <x:c r="AO228" s="716" t="str">
        <x:f>IF(AR228="","Belum Dinilai",IF(AR228=10,"Risiko Tinggi/Darurat",IF(AR228=5,"Risiko Sedang","Tidak Ada Risiko Khusus")))</x:f>
        <x:v>Belum Dinilai</x:v>
      </x:c>
      <x:c r="AP228" s="716"/>
      <x:c r="AQ228" s="719" t="str">
        <x:f>IF(OR(J228="",J228="Belum Dapat Ditentukan",L228="",L228="Belum Dinilai",N228="",N228="Belum Dinilai",P228="",P228="Belum Dinilai"),"",IF(J228="Permanen",0,IF(J228="Semipermanen",8,IF(J228="Nonpermanen",15,0)))+IF(L228="Baik",0,IF(L228="Rusak Ringan",5,IF(L228="Rusak Sedang",10,IF(L228="Rusak Berat",15,IF(L228="Tidak Ada/Terbuka",20,0)))))+IF(N228="Baik",0,IF(N228="Rusak Ringan",5,IF(N228="Rusak Sedang",10,IF(N228="Rusak Berat",15,IF(N228="Tidak Ada/Terbuka",20,0)))))+IF(P228="Baik",0,IF(P228="Rusak Ringan",4,IF(P228="Rusak Sedang",8,IF(P228="Rusak Berat",12,IF(P228="Tidak Layak",15,0))))))</x:f>
      </x:c>
      <x:c r="AR228" s="719" t="n">
        <x:f>IF(COUNTIF(AC228:AH228,"Ya")&gt;0,10,IF(COUNTIF(AI228:AK228,"Ya")&gt;=2,10,IF(COUNTIF(AI228:AK228,"Ya")=1,MAX(5,IF(AM228="Risiko Tinggi/Darurat",10,IF(AM228="Risiko Sedang",5,0))),IF(AL228&lt;&gt;"",IF(AM228="Risiko Tinggi/Darurat",10,IF(AM228="Risiko Sedang",5,"")),IF(COUNTIF(AC228:AK228,"Belum Dinilai")&gt;0,"",0)))))</x:f>
        <x:v>0</x:v>
      </x:c>
      <x:c r="AS228" s="719" t="str">
        <x:f>IF(OR(AQ228="",AB228="",AR228=""),"",AQ228+AB228+AR228)</x:f>
      </x:c>
      <x:c r="AT228" s="719" t="str">
        <x:f>IF(AS228="","Belum Dapat Ditentukan",IF(AS228&gt;=80,"Sangat Tinggi",IF(OR(AO228="Risiko Tinggi/Darurat",(IF(L228="Rusak Berat",1,0)+IF(L228="Tidak Ada/Terbuka",1,0)+IF(N228="Rusak Berat",1,0)+IF(N228="Tidak Ada/Terbuka",1,0)+IF(P228="Rusak Berat",1,0)+IF(P228="Tidak Layak",1,0))&gt;=2),"Tinggi",IF(AS228&gt;=65,"Tinggi",IF(AS228&gt;=50,"Sedang","Rendah")))))</x:f>
        <x:v>Belum Dapat Ditentukan</x:v>
      </x:c>
      <x:c r="AU228" s="240"/>
      <x:c r="AV228" s="240"/>
      <x:c r="AW228" s="240"/>
      <x:c r="AX228" s="240"/>
      <x:c r="AY228" s="240"/>
      <x:c r="AZ228" s="240"/>
      <x:c r="BA228" s="240"/>
      <x:c r="BB228" s="240"/>
      <x:c r="BC228" s="240"/>
      <x:c r="BD228" s="240"/>
      <x:c r="BE228" s="240"/>
      <x:c r="BF228" s="240"/>
    </x:row>
    <x:row r="229" ht="32" customHeight="1">
      <x:c r="A229" s="314"/>
      <x:c r="B229" s="315"/>
      <x:c r="C229" s="316"/>
      <x:c r="D229" s="316"/>
      <x:c r="E229" s="315"/>
      <x:c r="F229" s="315"/>
      <x:c r="G229" s="315"/>
      <x:c r="H229" s="315"/>
      <x:c r="I229" s="317"/>
      <x:c r="J229" s="315"/>
      <x:c r="K229" s="315"/>
      <x:c r="L229" s="315"/>
      <x:c r="M229" s="367"/>
      <x:c r="N229" s="315"/>
      <x:c r="O229" s="316"/>
      <x:c r="P229" s="349"/>
      <x:c r="Q229" s="707"/>
      <x:c r="R229" s="707"/>
      <x:c r="S229" s="708"/>
      <x:c r="T229" s="709"/>
      <x:c r="U229" s="704"/>
      <x:c r="V229" s="704"/>
      <x:c r="W229" s="704"/>
      <x:c r="X229" s="704" t="str">
        <x:f>IF(COUNTIF(R229:V229,"Belum Dinilai")&gt;0,"Belum Dinilai",IF(COUNTIF(R229:V229,"Ya")=0,"Tidak ada faktor rentan",TEXTJOIN(", ",TRUE,IF(R229="Ya","Lansia",""),IF(S229="Ya","Penyandang disabilitas",""),IF(T229="Ya","Kepala keluarga perempuan",""),IF(U229="Ya","Balita",""),IF(V229="Ya","Anggota keluarga dengan ketergantungan tinggi",""))))</x:f>
        <x:v>Tidak ada faktor rentan</x:v>
      </x:c>
      <x:c r="Y229" s="704" t="str">
        <x:f>IF(COUNTIF(R229:V229,"Belum Dinilai")&gt;0,"Belum Dinilai",IF(COUNTIF(R229:V229,"Ya")=0,"Tidak Ada Faktor Rentan",IF(COUNTIF(R229:V229,"Ya")=1,"1 Faktor Rentan","2 atau Lebih Faktor Rentan")))</x:f>
        <x:v>Tidak Ada Faktor Rentan</x:v>
      </x:c>
      <x:c r="Z229" s="704" t="str">
        <x:f>IF(OR(Q229="",Q229="Belum Dinilai"),"",IF(Q229="Terverifikasi DTKS/P3KE/MBR",10,IF(Q229="Diusulkan, Belum Terverifikasi",5,0)))</x:f>
      </x:c>
      <x:c r="AA229" s="705" t="n">
        <x:f>IF(COUNTIF(R229:V229,"Belum Dinilai")&gt;0,"",IF(COUNTIF(R229:V229,"Ya")=0,0,IF(COUNTIF(R229:V229,"Ya")=1,5,10)))</x:f>
        <x:v>0</x:v>
      </x:c>
      <x:c r="AB229" s="706" t="str">
        <x:f>IF(OR(Z229="",AA229=""),"",Z229+AA229)</x:f>
      </x:c>
      <x:c r="AC229" s="713"/>
      <x:c r="AD229" s="713"/>
      <x:c r="AE229" s="714"/>
      <x:c r="AF229" s="713"/>
      <x:c r="AG229" s="713"/>
      <x:c r="AH229" s="715"/>
      <x:c r="AI229" s="714"/>
      <x:c r="AJ229" s="713"/>
      <x:c r="AK229" s="715"/>
      <x:c r="AL229" s="713"/>
      <x:c r="AM229" s="716"/>
      <x:c r="AN229" s="716" t="str">
        <x:f>IF(AND(COUNTIF(AC229:AK229,"Ya")=0,AL229=""),IF(COUNTIF(AC229:AK229,"Belum Dinilai")&gt;0,"Belum Dinilai","Tidak ada risiko khusus"),TEXTJOIN(", ",TRUE,IF(AC229="Ya","Bangunan berpotensi roboh",""),IF(AD229="Ya","Bekas kebakaran dan tidak aman dihuni",""),IF(AE229="Ya","Atap atau dinding utama hampir runtuh",""),IF(AF229="Ya","Genangan yang membahayakan",""),IF(AG229="Ya","Struktur rumah tidak stabil",""),IF(AH229="Ya","Instalasi listrik berbahaya",""),IF(AI229="Ya","Komponen bangunan lepas atau lapuk",""),IF(AJ229="Ya","Akses keluar atau evakuasi terbatas",""),IF(AK229="Ya","Lokasi rawan bencana",""),IF(AL229&lt;&gt;"","Lainnya: "&amp;AL229,"")))</x:f>
        <x:v>Tidak ada risiko khusus</x:v>
      </x:c>
      <x:c r="AO229" s="716" t="str">
        <x:f>IF(AR229="","Belum Dinilai",IF(AR229=10,"Risiko Tinggi/Darurat",IF(AR229=5,"Risiko Sedang","Tidak Ada Risiko Khusus")))</x:f>
        <x:v>Belum Dinilai</x:v>
      </x:c>
      <x:c r="AP229" s="716"/>
      <x:c r="AQ229" s="719" t="str">
        <x:f>IF(OR(J229="",J229="Belum Dapat Ditentukan",L229="",L229="Belum Dinilai",N229="",N229="Belum Dinilai",P229="",P229="Belum Dinilai"),"",IF(J229="Permanen",0,IF(J229="Semipermanen",8,IF(J229="Nonpermanen",15,0)))+IF(L229="Baik",0,IF(L229="Rusak Ringan",5,IF(L229="Rusak Sedang",10,IF(L229="Rusak Berat",15,IF(L229="Tidak Ada/Terbuka",20,0)))))+IF(N229="Baik",0,IF(N229="Rusak Ringan",5,IF(N229="Rusak Sedang",10,IF(N229="Rusak Berat",15,IF(N229="Tidak Ada/Terbuka",20,0)))))+IF(P229="Baik",0,IF(P229="Rusak Ringan",4,IF(P229="Rusak Sedang",8,IF(P229="Rusak Berat",12,IF(P229="Tidak Layak",15,0))))))</x:f>
      </x:c>
      <x:c r="AR229" s="719" t="n">
        <x:f>IF(COUNTIF(AC229:AH229,"Ya")&gt;0,10,IF(COUNTIF(AI229:AK229,"Ya")&gt;=2,10,IF(COUNTIF(AI229:AK229,"Ya")=1,MAX(5,IF(AM229="Risiko Tinggi/Darurat",10,IF(AM229="Risiko Sedang",5,0))),IF(AL229&lt;&gt;"",IF(AM229="Risiko Tinggi/Darurat",10,IF(AM229="Risiko Sedang",5,"")),IF(COUNTIF(AC229:AK229,"Belum Dinilai")&gt;0,"",0)))))</x:f>
        <x:v>0</x:v>
      </x:c>
      <x:c r="AS229" s="719" t="str">
        <x:f>IF(OR(AQ229="",AB229="",AR229=""),"",AQ229+AB229+AR229)</x:f>
      </x:c>
      <x:c r="AT229" s="719" t="str">
        <x:f>IF(AS229="","Belum Dapat Ditentukan",IF(AS229&gt;=80,"Sangat Tinggi",IF(OR(AO229="Risiko Tinggi/Darurat",(IF(L229="Rusak Berat",1,0)+IF(L229="Tidak Ada/Terbuka",1,0)+IF(N229="Rusak Berat",1,0)+IF(N229="Tidak Ada/Terbuka",1,0)+IF(P229="Rusak Berat",1,0)+IF(P229="Tidak Layak",1,0))&gt;=2),"Tinggi",IF(AS229&gt;=65,"Tinggi",IF(AS229&gt;=50,"Sedang","Rendah")))))</x:f>
        <x:v>Belum Dapat Ditentukan</x:v>
      </x:c>
      <x:c r="AU229" s="240"/>
      <x:c r="AV229" s="240"/>
      <x:c r="AW229" s="240"/>
      <x:c r="AX229" s="240"/>
      <x:c r="AY229" s="240"/>
      <x:c r="AZ229" s="240"/>
      <x:c r="BA229" s="240"/>
      <x:c r="BB229" s="240"/>
      <x:c r="BC229" s="240"/>
      <x:c r="BD229" s="240"/>
      <x:c r="BE229" s="240"/>
      <x:c r="BF229" s="240"/>
    </x:row>
    <x:row r="230" ht="32" customHeight="1">
      <x:c r="A230" s="314"/>
      <x:c r="B230" s="315"/>
      <x:c r="C230" s="316"/>
      <x:c r="D230" s="316"/>
      <x:c r="E230" s="315"/>
      <x:c r="F230" s="315"/>
      <x:c r="G230" s="315"/>
      <x:c r="H230" s="315"/>
      <x:c r="I230" s="317"/>
      <x:c r="J230" s="315"/>
      <x:c r="K230" s="315"/>
      <x:c r="L230" s="315"/>
      <x:c r="M230" s="367"/>
      <x:c r="N230" s="315"/>
      <x:c r="O230" s="316"/>
      <x:c r="P230" s="349"/>
      <x:c r="Q230" s="707"/>
      <x:c r="R230" s="707"/>
      <x:c r="S230" s="708"/>
      <x:c r="T230" s="709"/>
      <x:c r="U230" s="704"/>
      <x:c r="V230" s="704"/>
      <x:c r="W230" s="704"/>
      <x:c r="X230" s="704" t="str">
        <x:f>IF(COUNTIF(R230:V230,"Belum Dinilai")&gt;0,"Belum Dinilai",IF(COUNTIF(R230:V230,"Ya")=0,"Tidak ada faktor rentan",TEXTJOIN(", ",TRUE,IF(R230="Ya","Lansia",""),IF(S230="Ya","Penyandang disabilitas",""),IF(T230="Ya","Kepala keluarga perempuan",""),IF(U230="Ya","Balita",""),IF(V230="Ya","Anggota keluarga dengan ketergantungan tinggi",""))))</x:f>
        <x:v>Tidak ada faktor rentan</x:v>
      </x:c>
      <x:c r="Y230" s="704" t="str">
        <x:f>IF(COUNTIF(R230:V230,"Belum Dinilai")&gt;0,"Belum Dinilai",IF(COUNTIF(R230:V230,"Ya")=0,"Tidak Ada Faktor Rentan",IF(COUNTIF(R230:V230,"Ya")=1,"1 Faktor Rentan","2 atau Lebih Faktor Rentan")))</x:f>
        <x:v>Tidak Ada Faktor Rentan</x:v>
      </x:c>
      <x:c r="Z230" s="704" t="str">
        <x:f>IF(OR(Q230="",Q230="Belum Dinilai"),"",IF(Q230="Terverifikasi DTKS/P3KE/MBR",10,IF(Q230="Diusulkan, Belum Terverifikasi",5,0)))</x:f>
      </x:c>
      <x:c r="AA230" s="705" t="n">
        <x:f>IF(COUNTIF(R230:V230,"Belum Dinilai")&gt;0,"",IF(COUNTIF(R230:V230,"Ya")=0,0,IF(COUNTIF(R230:V230,"Ya")=1,5,10)))</x:f>
        <x:v>0</x:v>
      </x:c>
      <x:c r="AB230" s="706" t="str">
        <x:f>IF(OR(Z230="",AA230=""),"",Z230+AA230)</x:f>
      </x:c>
      <x:c r="AC230" s="713"/>
      <x:c r="AD230" s="713"/>
      <x:c r="AE230" s="714"/>
      <x:c r="AF230" s="713"/>
      <x:c r="AG230" s="713"/>
      <x:c r="AH230" s="715"/>
      <x:c r="AI230" s="714"/>
      <x:c r="AJ230" s="713"/>
      <x:c r="AK230" s="715"/>
      <x:c r="AL230" s="713"/>
      <x:c r="AM230" s="716"/>
      <x:c r="AN230" s="716" t="str">
        <x:f>IF(AND(COUNTIF(AC230:AK230,"Ya")=0,AL230=""),IF(COUNTIF(AC230:AK230,"Belum Dinilai")&gt;0,"Belum Dinilai","Tidak ada risiko khusus"),TEXTJOIN(", ",TRUE,IF(AC230="Ya","Bangunan berpotensi roboh",""),IF(AD230="Ya","Bekas kebakaran dan tidak aman dihuni",""),IF(AE230="Ya","Atap atau dinding utama hampir runtuh",""),IF(AF230="Ya","Genangan yang membahayakan",""),IF(AG230="Ya","Struktur rumah tidak stabil",""),IF(AH230="Ya","Instalasi listrik berbahaya",""),IF(AI230="Ya","Komponen bangunan lepas atau lapuk",""),IF(AJ230="Ya","Akses keluar atau evakuasi terbatas",""),IF(AK230="Ya","Lokasi rawan bencana",""),IF(AL230&lt;&gt;"","Lainnya: "&amp;AL230,"")))</x:f>
        <x:v>Tidak ada risiko khusus</x:v>
      </x:c>
      <x:c r="AO230" s="716" t="str">
        <x:f>IF(AR230="","Belum Dinilai",IF(AR230=10,"Risiko Tinggi/Darurat",IF(AR230=5,"Risiko Sedang","Tidak Ada Risiko Khusus")))</x:f>
        <x:v>Belum Dinilai</x:v>
      </x:c>
      <x:c r="AP230" s="716"/>
      <x:c r="AQ230" s="719" t="str">
        <x:f>IF(OR(J230="",J230="Belum Dapat Ditentukan",L230="",L230="Belum Dinilai",N230="",N230="Belum Dinilai",P230="",P230="Belum Dinilai"),"",IF(J230="Permanen",0,IF(J230="Semipermanen",8,IF(J230="Nonpermanen",15,0)))+IF(L230="Baik",0,IF(L230="Rusak Ringan",5,IF(L230="Rusak Sedang",10,IF(L230="Rusak Berat",15,IF(L230="Tidak Ada/Terbuka",20,0)))))+IF(N230="Baik",0,IF(N230="Rusak Ringan",5,IF(N230="Rusak Sedang",10,IF(N230="Rusak Berat",15,IF(N230="Tidak Ada/Terbuka",20,0)))))+IF(P230="Baik",0,IF(P230="Rusak Ringan",4,IF(P230="Rusak Sedang",8,IF(P230="Rusak Berat",12,IF(P230="Tidak Layak",15,0))))))</x:f>
      </x:c>
      <x:c r="AR230" s="719" t="n">
        <x:f>IF(COUNTIF(AC230:AH230,"Ya")&gt;0,10,IF(COUNTIF(AI230:AK230,"Ya")&gt;=2,10,IF(COUNTIF(AI230:AK230,"Ya")=1,MAX(5,IF(AM230="Risiko Tinggi/Darurat",10,IF(AM230="Risiko Sedang",5,0))),IF(AL230&lt;&gt;"",IF(AM230="Risiko Tinggi/Darurat",10,IF(AM230="Risiko Sedang",5,"")),IF(COUNTIF(AC230:AK230,"Belum Dinilai")&gt;0,"",0)))))</x:f>
        <x:v>0</x:v>
      </x:c>
      <x:c r="AS230" s="719" t="str">
        <x:f>IF(OR(AQ230="",AB230="",AR230=""),"",AQ230+AB230+AR230)</x:f>
      </x:c>
      <x:c r="AT230" s="719" t="str">
        <x:f>IF(AS230="","Belum Dapat Ditentukan",IF(AS230&gt;=80,"Sangat Tinggi",IF(OR(AO230="Risiko Tinggi/Darurat",(IF(L230="Rusak Berat",1,0)+IF(L230="Tidak Ada/Terbuka",1,0)+IF(N230="Rusak Berat",1,0)+IF(N230="Tidak Ada/Terbuka",1,0)+IF(P230="Rusak Berat",1,0)+IF(P230="Tidak Layak",1,0))&gt;=2),"Tinggi",IF(AS230&gt;=65,"Tinggi",IF(AS230&gt;=50,"Sedang","Rendah")))))</x:f>
        <x:v>Belum Dapat Ditentukan</x:v>
      </x:c>
      <x:c r="AU230" s="240"/>
      <x:c r="AV230" s="240"/>
      <x:c r="AW230" s="240"/>
      <x:c r="AX230" s="240"/>
      <x:c r="AY230" s="240"/>
      <x:c r="AZ230" s="240"/>
      <x:c r="BA230" s="240"/>
      <x:c r="BB230" s="240"/>
      <x:c r="BC230" s="240"/>
      <x:c r="BD230" s="240"/>
      <x:c r="BE230" s="240"/>
      <x:c r="BF230" s="240"/>
    </x:row>
    <x:row r="231" ht="32" customHeight="1">
      <x:c r="A231" s="314"/>
      <x:c r="B231" s="315"/>
      <x:c r="C231" s="316"/>
      <x:c r="D231" s="316"/>
      <x:c r="E231" s="315"/>
      <x:c r="F231" s="315"/>
      <x:c r="G231" s="315"/>
      <x:c r="H231" s="315"/>
      <x:c r="I231" s="317"/>
      <x:c r="J231" s="315"/>
      <x:c r="K231" s="315"/>
      <x:c r="L231" s="315"/>
      <x:c r="M231" s="367"/>
      <x:c r="N231" s="315"/>
      <x:c r="O231" s="316"/>
      <x:c r="P231" s="349"/>
      <x:c r="Q231" s="707"/>
      <x:c r="R231" s="707"/>
      <x:c r="S231" s="708"/>
      <x:c r="T231" s="709"/>
      <x:c r="U231" s="704"/>
      <x:c r="V231" s="704"/>
      <x:c r="W231" s="704"/>
      <x:c r="X231" s="704" t="str">
        <x:f>IF(COUNTIF(R231:V231,"Belum Dinilai")&gt;0,"Belum Dinilai",IF(COUNTIF(R231:V231,"Ya")=0,"Tidak ada faktor rentan",TEXTJOIN(", ",TRUE,IF(R231="Ya","Lansia",""),IF(S231="Ya","Penyandang disabilitas",""),IF(T231="Ya","Kepala keluarga perempuan",""),IF(U231="Ya","Balita",""),IF(V231="Ya","Anggota keluarga dengan ketergantungan tinggi",""))))</x:f>
        <x:v>Tidak ada faktor rentan</x:v>
      </x:c>
      <x:c r="Y231" s="704" t="str">
        <x:f>IF(COUNTIF(R231:V231,"Belum Dinilai")&gt;0,"Belum Dinilai",IF(COUNTIF(R231:V231,"Ya")=0,"Tidak Ada Faktor Rentan",IF(COUNTIF(R231:V231,"Ya")=1,"1 Faktor Rentan","2 atau Lebih Faktor Rentan")))</x:f>
        <x:v>Tidak Ada Faktor Rentan</x:v>
      </x:c>
      <x:c r="Z231" s="704" t="str">
        <x:f>IF(OR(Q231="",Q231="Belum Dinilai"),"",IF(Q231="Terverifikasi DTKS/P3KE/MBR",10,IF(Q231="Diusulkan, Belum Terverifikasi",5,0)))</x:f>
      </x:c>
      <x:c r="AA231" s="705" t="n">
        <x:f>IF(COUNTIF(R231:V231,"Belum Dinilai")&gt;0,"",IF(COUNTIF(R231:V231,"Ya")=0,0,IF(COUNTIF(R231:V231,"Ya")=1,5,10)))</x:f>
        <x:v>0</x:v>
      </x:c>
      <x:c r="AB231" s="706" t="str">
        <x:f>IF(OR(Z231="",AA231=""),"",Z231+AA231)</x:f>
      </x:c>
      <x:c r="AC231" s="713"/>
      <x:c r="AD231" s="713"/>
      <x:c r="AE231" s="714"/>
      <x:c r="AF231" s="713"/>
      <x:c r="AG231" s="713"/>
      <x:c r="AH231" s="715"/>
      <x:c r="AI231" s="714"/>
      <x:c r="AJ231" s="713"/>
      <x:c r="AK231" s="715"/>
      <x:c r="AL231" s="713"/>
      <x:c r="AM231" s="716"/>
      <x:c r="AN231" s="716" t="str">
        <x:f>IF(AND(COUNTIF(AC231:AK231,"Ya")=0,AL231=""),IF(COUNTIF(AC231:AK231,"Belum Dinilai")&gt;0,"Belum Dinilai","Tidak ada risiko khusus"),TEXTJOIN(", ",TRUE,IF(AC231="Ya","Bangunan berpotensi roboh",""),IF(AD231="Ya","Bekas kebakaran dan tidak aman dihuni",""),IF(AE231="Ya","Atap atau dinding utama hampir runtuh",""),IF(AF231="Ya","Genangan yang membahayakan",""),IF(AG231="Ya","Struktur rumah tidak stabil",""),IF(AH231="Ya","Instalasi listrik berbahaya",""),IF(AI231="Ya","Komponen bangunan lepas atau lapuk",""),IF(AJ231="Ya","Akses keluar atau evakuasi terbatas",""),IF(AK231="Ya","Lokasi rawan bencana",""),IF(AL231&lt;&gt;"","Lainnya: "&amp;AL231,"")))</x:f>
        <x:v>Tidak ada risiko khusus</x:v>
      </x:c>
      <x:c r="AO231" s="716" t="str">
        <x:f>IF(AR231="","Belum Dinilai",IF(AR231=10,"Risiko Tinggi/Darurat",IF(AR231=5,"Risiko Sedang","Tidak Ada Risiko Khusus")))</x:f>
        <x:v>Belum Dinilai</x:v>
      </x:c>
      <x:c r="AP231" s="716"/>
      <x:c r="AQ231" s="719" t="str">
        <x:f>IF(OR(J231="",J231="Belum Dapat Ditentukan",L231="",L231="Belum Dinilai",N231="",N231="Belum Dinilai",P231="",P231="Belum Dinilai"),"",IF(J231="Permanen",0,IF(J231="Semipermanen",8,IF(J231="Nonpermanen",15,0)))+IF(L231="Baik",0,IF(L231="Rusak Ringan",5,IF(L231="Rusak Sedang",10,IF(L231="Rusak Berat",15,IF(L231="Tidak Ada/Terbuka",20,0)))))+IF(N231="Baik",0,IF(N231="Rusak Ringan",5,IF(N231="Rusak Sedang",10,IF(N231="Rusak Berat",15,IF(N231="Tidak Ada/Terbuka",20,0)))))+IF(P231="Baik",0,IF(P231="Rusak Ringan",4,IF(P231="Rusak Sedang",8,IF(P231="Rusak Berat",12,IF(P231="Tidak Layak",15,0))))))</x:f>
      </x:c>
      <x:c r="AR231" s="719" t="n">
        <x:f>IF(COUNTIF(AC231:AH231,"Ya")&gt;0,10,IF(COUNTIF(AI231:AK231,"Ya")&gt;=2,10,IF(COUNTIF(AI231:AK231,"Ya")=1,MAX(5,IF(AM231="Risiko Tinggi/Darurat",10,IF(AM231="Risiko Sedang",5,0))),IF(AL231&lt;&gt;"",IF(AM231="Risiko Tinggi/Darurat",10,IF(AM231="Risiko Sedang",5,"")),IF(COUNTIF(AC231:AK231,"Belum Dinilai")&gt;0,"",0)))))</x:f>
        <x:v>0</x:v>
      </x:c>
      <x:c r="AS231" s="719" t="str">
        <x:f>IF(OR(AQ231="",AB231="",AR231=""),"",AQ231+AB231+AR231)</x:f>
      </x:c>
      <x:c r="AT231" s="719" t="str">
        <x:f>IF(AS231="","Belum Dapat Ditentukan",IF(AS231&gt;=80,"Sangat Tinggi",IF(OR(AO231="Risiko Tinggi/Darurat",(IF(L231="Rusak Berat",1,0)+IF(L231="Tidak Ada/Terbuka",1,0)+IF(N231="Rusak Berat",1,0)+IF(N231="Tidak Ada/Terbuka",1,0)+IF(P231="Rusak Berat",1,0)+IF(P231="Tidak Layak",1,0))&gt;=2),"Tinggi",IF(AS231&gt;=65,"Tinggi",IF(AS231&gt;=50,"Sedang","Rendah")))))</x:f>
        <x:v>Belum Dapat Ditentukan</x:v>
      </x:c>
      <x:c r="AU231" s="240"/>
      <x:c r="AV231" s="240"/>
      <x:c r="AW231" s="240"/>
      <x:c r="AX231" s="240"/>
      <x:c r="AY231" s="240"/>
      <x:c r="AZ231" s="240"/>
      <x:c r="BA231" s="240"/>
      <x:c r="BB231" s="240"/>
      <x:c r="BC231" s="240"/>
      <x:c r="BD231" s="240"/>
      <x:c r="BE231" s="240"/>
      <x:c r="BF231" s="240"/>
    </x:row>
    <x:row r="232" ht="32" customHeight="1">
      <x:c r="A232" s="314"/>
      <x:c r="B232" s="315"/>
      <x:c r="C232" s="316"/>
      <x:c r="D232" s="316"/>
      <x:c r="E232" s="315"/>
      <x:c r="F232" s="315"/>
      <x:c r="G232" s="315"/>
      <x:c r="H232" s="315"/>
      <x:c r="I232" s="317"/>
      <x:c r="J232" s="315"/>
      <x:c r="K232" s="315"/>
      <x:c r="L232" s="315"/>
      <x:c r="M232" s="367"/>
      <x:c r="N232" s="315"/>
      <x:c r="O232" s="316"/>
      <x:c r="P232" s="349"/>
      <x:c r="Q232" s="707"/>
      <x:c r="R232" s="707"/>
      <x:c r="S232" s="708"/>
      <x:c r="T232" s="709"/>
      <x:c r="U232" s="704"/>
      <x:c r="V232" s="704"/>
      <x:c r="W232" s="704"/>
      <x:c r="X232" s="704" t="str">
        <x:f>IF(COUNTIF(R232:V232,"Belum Dinilai")&gt;0,"Belum Dinilai",IF(COUNTIF(R232:V232,"Ya")=0,"Tidak ada faktor rentan",TEXTJOIN(", ",TRUE,IF(R232="Ya","Lansia",""),IF(S232="Ya","Penyandang disabilitas",""),IF(T232="Ya","Kepala keluarga perempuan",""),IF(U232="Ya","Balita",""),IF(V232="Ya","Anggota keluarga dengan ketergantungan tinggi",""))))</x:f>
        <x:v>Tidak ada faktor rentan</x:v>
      </x:c>
      <x:c r="Y232" s="704" t="str">
        <x:f>IF(COUNTIF(R232:V232,"Belum Dinilai")&gt;0,"Belum Dinilai",IF(COUNTIF(R232:V232,"Ya")=0,"Tidak Ada Faktor Rentan",IF(COUNTIF(R232:V232,"Ya")=1,"1 Faktor Rentan","2 atau Lebih Faktor Rentan")))</x:f>
        <x:v>Tidak Ada Faktor Rentan</x:v>
      </x:c>
      <x:c r="Z232" s="704" t="str">
        <x:f>IF(OR(Q232="",Q232="Belum Dinilai"),"",IF(Q232="Terverifikasi DTKS/P3KE/MBR",10,IF(Q232="Diusulkan, Belum Terverifikasi",5,0)))</x:f>
      </x:c>
      <x:c r="AA232" s="705" t="n">
        <x:f>IF(COUNTIF(R232:V232,"Belum Dinilai")&gt;0,"",IF(COUNTIF(R232:V232,"Ya")=0,0,IF(COUNTIF(R232:V232,"Ya")=1,5,10)))</x:f>
        <x:v>0</x:v>
      </x:c>
      <x:c r="AB232" s="706" t="str">
        <x:f>IF(OR(Z232="",AA232=""),"",Z232+AA232)</x:f>
      </x:c>
      <x:c r="AC232" s="713"/>
      <x:c r="AD232" s="713"/>
      <x:c r="AE232" s="714"/>
      <x:c r="AF232" s="713"/>
      <x:c r="AG232" s="713"/>
      <x:c r="AH232" s="715"/>
      <x:c r="AI232" s="714"/>
      <x:c r="AJ232" s="713"/>
      <x:c r="AK232" s="715"/>
      <x:c r="AL232" s="713"/>
      <x:c r="AM232" s="716"/>
      <x:c r="AN232" s="716" t="str">
        <x:f>IF(AND(COUNTIF(AC232:AK232,"Ya")=0,AL232=""),IF(COUNTIF(AC232:AK232,"Belum Dinilai")&gt;0,"Belum Dinilai","Tidak ada risiko khusus"),TEXTJOIN(", ",TRUE,IF(AC232="Ya","Bangunan berpotensi roboh",""),IF(AD232="Ya","Bekas kebakaran dan tidak aman dihuni",""),IF(AE232="Ya","Atap atau dinding utama hampir runtuh",""),IF(AF232="Ya","Genangan yang membahayakan",""),IF(AG232="Ya","Struktur rumah tidak stabil",""),IF(AH232="Ya","Instalasi listrik berbahaya",""),IF(AI232="Ya","Komponen bangunan lepas atau lapuk",""),IF(AJ232="Ya","Akses keluar atau evakuasi terbatas",""),IF(AK232="Ya","Lokasi rawan bencana",""),IF(AL232&lt;&gt;"","Lainnya: "&amp;AL232,"")))</x:f>
        <x:v>Tidak ada risiko khusus</x:v>
      </x:c>
      <x:c r="AO232" s="716" t="str">
        <x:f>IF(AR232="","Belum Dinilai",IF(AR232=10,"Risiko Tinggi/Darurat",IF(AR232=5,"Risiko Sedang","Tidak Ada Risiko Khusus")))</x:f>
        <x:v>Belum Dinilai</x:v>
      </x:c>
      <x:c r="AP232" s="716"/>
      <x:c r="AQ232" s="719" t="str">
        <x:f>IF(OR(J232="",J232="Belum Dapat Ditentukan",L232="",L232="Belum Dinilai",N232="",N232="Belum Dinilai",P232="",P232="Belum Dinilai"),"",IF(J232="Permanen",0,IF(J232="Semipermanen",8,IF(J232="Nonpermanen",15,0)))+IF(L232="Baik",0,IF(L232="Rusak Ringan",5,IF(L232="Rusak Sedang",10,IF(L232="Rusak Berat",15,IF(L232="Tidak Ada/Terbuka",20,0)))))+IF(N232="Baik",0,IF(N232="Rusak Ringan",5,IF(N232="Rusak Sedang",10,IF(N232="Rusak Berat",15,IF(N232="Tidak Ada/Terbuka",20,0)))))+IF(P232="Baik",0,IF(P232="Rusak Ringan",4,IF(P232="Rusak Sedang",8,IF(P232="Rusak Berat",12,IF(P232="Tidak Layak",15,0))))))</x:f>
      </x:c>
      <x:c r="AR232" s="719" t="n">
        <x:f>IF(COUNTIF(AC232:AH232,"Ya")&gt;0,10,IF(COUNTIF(AI232:AK232,"Ya")&gt;=2,10,IF(COUNTIF(AI232:AK232,"Ya")=1,MAX(5,IF(AM232="Risiko Tinggi/Darurat",10,IF(AM232="Risiko Sedang",5,0))),IF(AL232&lt;&gt;"",IF(AM232="Risiko Tinggi/Darurat",10,IF(AM232="Risiko Sedang",5,"")),IF(COUNTIF(AC232:AK232,"Belum Dinilai")&gt;0,"",0)))))</x:f>
        <x:v>0</x:v>
      </x:c>
      <x:c r="AS232" s="719" t="str">
        <x:f>IF(OR(AQ232="",AB232="",AR232=""),"",AQ232+AB232+AR232)</x:f>
      </x:c>
      <x:c r="AT232" s="719" t="str">
        <x:f>IF(AS232="","Belum Dapat Ditentukan",IF(AS232&gt;=80,"Sangat Tinggi",IF(OR(AO232="Risiko Tinggi/Darurat",(IF(L232="Rusak Berat",1,0)+IF(L232="Tidak Ada/Terbuka",1,0)+IF(N232="Rusak Berat",1,0)+IF(N232="Tidak Ada/Terbuka",1,0)+IF(P232="Rusak Berat",1,0)+IF(P232="Tidak Layak",1,0))&gt;=2),"Tinggi",IF(AS232&gt;=65,"Tinggi",IF(AS232&gt;=50,"Sedang","Rendah")))))</x:f>
        <x:v>Belum Dapat Ditentukan</x:v>
      </x:c>
      <x:c r="AU232" s="240"/>
      <x:c r="AV232" s="240"/>
      <x:c r="AW232" s="240"/>
      <x:c r="AX232" s="240"/>
      <x:c r="AY232" s="240"/>
      <x:c r="AZ232" s="240"/>
      <x:c r="BA232" s="240"/>
      <x:c r="BB232" s="240"/>
      <x:c r="BC232" s="240"/>
      <x:c r="BD232" s="240"/>
      <x:c r="BE232" s="240"/>
      <x:c r="BF232" s="240"/>
    </x:row>
    <x:row r="233" ht="32" customHeight="1">
      <x:c r="A233" s="314"/>
      <x:c r="B233" s="315"/>
      <x:c r="C233" s="316"/>
      <x:c r="D233" s="316"/>
      <x:c r="E233" s="315"/>
      <x:c r="F233" s="315"/>
      <x:c r="G233" s="315"/>
      <x:c r="H233" s="315"/>
      <x:c r="I233" s="317"/>
      <x:c r="J233" s="315"/>
      <x:c r="K233" s="315"/>
      <x:c r="L233" s="315"/>
      <x:c r="M233" s="367"/>
      <x:c r="N233" s="315"/>
      <x:c r="O233" s="316"/>
      <x:c r="P233" s="349"/>
      <x:c r="Q233" s="707"/>
      <x:c r="R233" s="707"/>
      <x:c r="S233" s="708"/>
      <x:c r="T233" s="709"/>
      <x:c r="U233" s="704"/>
      <x:c r="V233" s="704"/>
      <x:c r="W233" s="704"/>
      <x:c r="X233" s="704" t="str">
        <x:f>IF(COUNTIF(R233:V233,"Belum Dinilai")&gt;0,"Belum Dinilai",IF(COUNTIF(R233:V233,"Ya")=0,"Tidak ada faktor rentan",TEXTJOIN(", ",TRUE,IF(R233="Ya","Lansia",""),IF(S233="Ya","Penyandang disabilitas",""),IF(T233="Ya","Kepala keluarga perempuan",""),IF(U233="Ya","Balita",""),IF(V233="Ya","Anggota keluarga dengan ketergantungan tinggi",""))))</x:f>
        <x:v>Tidak ada faktor rentan</x:v>
      </x:c>
      <x:c r="Y233" s="704" t="str">
        <x:f>IF(COUNTIF(R233:V233,"Belum Dinilai")&gt;0,"Belum Dinilai",IF(COUNTIF(R233:V233,"Ya")=0,"Tidak Ada Faktor Rentan",IF(COUNTIF(R233:V233,"Ya")=1,"1 Faktor Rentan","2 atau Lebih Faktor Rentan")))</x:f>
        <x:v>Tidak Ada Faktor Rentan</x:v>
      </x:c>
      <x:c r="Z233" s="704" t="str">
        <x:f>IF(OR(Q233="",Q233="Belum Dinilai"),"",IF(Q233="Terverifikasi DTKS/P3KE/MBR",10,IF(Q233="Diusulkan, Belum Terverifikasi",5,0)))</x:f>
      </x:c>
      <x:c r="AA233" s="705" t="n">
        <x:f>IF(COUNTIF(R233:V233,"Belum Dinilai")&gt;0,"",IF(COUNTIF(R233:V233,"Ya")=0,0,IF(COUNTIF(R233:V233,"Ya")=1,5,10)))</x:f>
        <x:v>0</x:v>
      </x:c>
      <x:c r="AB233" s="706" t="str">
        <x:f>IF(OR(Z233="",AA233=""),"",Z233+AA233)</x:f>
      </x:c>
      <x:c r="AC233" s="713"/>
      <x:c r="AD233" s="713"/>
      <x:c r="AE233" s="714"/>
      <x:c r="AF233" s="713"/>
      <x:c r="AG233" s="713"/>
      <x:c r="AH233" s="715"/>
      <x:c r="AI233" s="714"/>
      <x:c r="AJ233" s="713"/>
      <x:c r="AK233" s="715"/>
      <x:c r="AL233" s="713"/>
      <x:c r="AM233" s="716"/>
      <x:c r="AN233" s="716" t="str">
        <x:f>IF(AND(COUNTIF(AC233:AK233,"Ya")=0,AL233=""),IF(COUNTIF(AC233:AK233,"Belum Dinilai")&gt;0,"Belum Dinilai","Tidak ada risiko khusus"),TEXTJOIN(", ",TRUE,IF(AC233="Ya","Bangunan berpotensi roboh",""),IF(AD233="Ya","Bekas kebakaran dan tidak aman dihuni",""),IF(AE233="Ya","Atap atau dinding utama hampir runtuh",""),IF(AF233="Ya","Genangan yang membahayakan",""),IF(AG233="Ya","Struktur rumah tidak stabil",""),IF(AH233="Ya","Instalasi listrik berbahaya",""),IF(AI233="Ya","Komponen bangunan lepas atau lapuk",""),IF(AJ233="Ya","Akses keluar atau evakuasi terbatas",""),IF(AK233="Ya","Lokasi rawan bencana",""),IF(AL233&lt;&gt;"","Lainnya: "&amp;AL233,"")))</x:f>
        <x:v>Tidak ada risiko khusus</x:v>
      </x:c>
      <x:c r="AO233" s="716" t="str">
        <x:f>IF(AR233="","Belum Dinilai",IF(AR233=10,"Risiko Tinggi/Darurat",IF(AR233=5,"Risiko Sedang","Tidak Ada Risiko Khusus")))</x:f>
        <x:v>Belum Dinilai</x:v>
      </x:c>
      <x:c r="AP233" s="716"/>
      <x:c r="AQ233" s="719" t="str">
        <x:f>IF(OR(J233="",J233="Belum Dapat Ditentukan",L233="",L233="Belum Dinilai",N233="",N233="Belum Dinilai",P233="",P233="Belum Dinilai"),"",IF(J233="Permanen",0,IF(J233="Semipermanen",8,IF(J233="Nonpermanen",15,0)))+IF(L233="Baik",0,IF(L233="Rusak Ringan",5,IF(L233="Rusak Sedang",10,IF(L233="Rusak Berat",15,IF(L233="Tidak Ada/Terbuka",20,0)))))+IF(N233="Baik",0,IF(N233="Rusak Ringan",5,IF(N233="Rusak Sedang",10,IF(N233="Rusak Berat",15,IF(N233="Tidak Ada/Terbuka",20,0)))))+IF(P233="Baik",0,IF(P233="Rusak Ringan",4,IF(P233="Rusak Sedang",8,IF(P233="Rusak Berat",12,IF(P233="Tidak Layak",15,0))))))</x:f>
      </x:c>
      <x:c r="AR233" s="719" t="n">
        <x:f>IF(COUNTIF(AC233:AH233,"Ya")&gt;0,10,IF(COUNTIF(AI233:AK233,"Ya")&gt;=2,10,IF(COUNTIF(AI233:AK233,"Ya")=1,MAX(5,IF(AM233="Risiko Tinggi/Darurat",10,IF(AM233="Risiko Sedang",5,0))),IF(AL233&lt;&gt;"",IF(AM233="Risiko Tinggi/Darurat",10,IF(AM233="Risiko Sedang",5,"")),IF(COUNTIF(AC233:AK233,"Belum Dinilai")&gt;0,"",0)))))</x:f>
        <x:v>0</x:v>
      </x:c>
      <x:c r="AS233" s="719" t="str">
        <x:f>IF(OR(AQ233="",AB233="",AR233=""),"",AQ233+AB233+AR233)</x:f>
      </x:c>
      <x:c r="AT233" s="719" t="str">
        <x:f>IF(AS233="","Belum Dapat Ditentukan",IF(AS233&gt;=80,"Sangat Tinggi",IF(OR(AO233="Risiko Tinggi/Darurat",(IF(L233="Rusak Berat",1,0)+IF(L233="Tidak Ada/Terbuka",1,0)+IF(N233="Rusak Berat",1,0)+IF(N233="Tidak Ada/Terbuka",1,0)+IF(P233="Rusak Berat",1,0)+IF(P233="Tidak Layak",1,0))&gt;=2),"Tinggi",IF(AS233&gt;=65,"Tinggi",IF(AS233&gt;=50,"Sedang","Rendah")))))</x:f>
        <x:v>Belum Dapat Ditentukan</x:v>
      </x:c>
      <x:c r="AU233" s="240"/>
      <x:c r="AV233" s="240"/>
      <x:c r="AW233" s="240"/>
      <x:c r="AX233" s="240"/>
      <x:c r="AY233" s="240"/>
      <x:c r="AZ233" s="240"/>
      <x:c r="BA233" s="240"/>
      <x:c r="BB233" s="240"/>
      <x:c r="BC233" s="240"/>
      <x:c r="BD233" s="240"/>
      <x:c r="BE233" s="240"/>
      <x:c r="BF233" s="240"/>
    </x:row>
    <x:row r="234" ht="32" customHeight="1">
      <x:c r="A234" s="314"/>
      <x:c r="B234" s="315"/>
      <x:c r="C234" s="316"/>
      <x:c r="D234" s="316"/>
      <x:c r="E234" s="315"/>
      <x:c r="F234" s="315"/>
      <x:c r="G234" s="315"/>
      <x:c r="H234" s="315"/>
      <x:c r="I234" s="317"/>
      <x:c r="J234" s="315"/>
      <x:c r="K234" s="315"/>
      <x:c r="L234" s="315"/>
      <x:c r="M234" s="367"/>
      <x:c r="N234" s="315"/>
      <x:c r="O234" s="316"/>
      <x:c r="P234" s="349"/>
      <x:c r="Q234" s="707"/>
      <x:c r="R234" s="707"/>
      <x:c r="S234" s="708"/>
      <x:c r="T234" s="709"/>
      <x:c r="U234" s="704"/>
      <x:c r="V234" s="704"/>
      <x:c r="W234" s="704"/>
      <x:c r="X234" s="704" t="str">
        <x:f>IF(COUNTIF(R234:V234,"Belum Dinilai")&gt;0,"Belum Dinilai",IF(COUNTIF(R234:V234,"Ya")=0,"Tidak ada faktor rentan",TEXTJOIN(", ",TRUE,IF(R234="Ya","Lansia",""),IF(S234="Ya","Penyandang disabilitas",""),IF(T234="Ya","Kepala keluarga perempuan",""),IF(U234="Ya","Balita",""),IF(V234="Ya","Anggota keluarga dengan ketergantungan tinggi",""))))</x:f>
        <x:v>Tidak ada faktor rentan</x:v>
      </x:c>
      <x:c r="Y234" s="704" t="str">
        <x:f>IF(COUNTIF(R234:V234,"Belum Dinilai")&gt;0,"Belum Dinilai",IF(COUNTIF(R234:V234,"Ya")=0,"Tidak Ada Faktor Rentan",IF(COUNTIF(R234:V234,"Ya")=1,"1 Faktor Rentan","2 atau Lebih Faktor Rentan")))</x:f>
        <x:v>Tidak Ada Faktor Rentan</x:v>
      </x:c>
      <x:c r="Z234" s="704" t="str">
        <x:f>IF(OR(Q234="",Q234="Belum Dinilai"),"",IF(Q234="Terverifikasi DTKS/P3KE/MBR",10,IF(Q234="Diusulkan, Belum Terverifikasi",5,0)))</x:f>
      </x:c>
      <x:c r="AA234" s="705" t="n">
        <x:f>IF(COUNTIF(R234:V234,"Belum Dinilai")&gt;0,"",IF(COUNTIF(R234:V234,"Ya")=0,0,IF(COUNTIF(R234:V234,"Ya")=1,5,10)))</x:f>
        <x:v>0</x:v>
      </x:c>
      <x:c r="AB234" s="706" t="str">
        <x:f>IF(OR(Z234="",AA234=""),"",Z234+AA234)</x:f>
      </x:c>
      <x:c r="AC234" s="713"/>
      <x:c r="AD234" s="713"/>
      <x:c r="AE234" s="714"/>
      <x:c r="AF234" s="713"/>
      <x:c r="AG234" s="713"/>
      <x:c r="AH234" s="715"/>
      <x:c r="AI234" s="714"/>
      <x:c r="AJ234" s="713"/>
      <x:c r="AK234" s="715"/>
      <x:c r="AL234" s="713"/>
      <x:c r="AM234" s="716"/>
      <x:c r="AN234" s="716" t="str">
        <x:f>IF(AND(COUNTIF(AC234:AK234,"Ya")=0,AL234=""),IF(COUNTIF(AC234:AK234,"Belum Dinilai")&gt;0,"Belum Dinilai","Tidak ada risiko khusus"),TEXTJOIN(", ",TRUE,IF(AC234="Ya","Bangunan berpotensi roboh",""),IF(AD234="Ya","Bekas kebakaran dan tidak aman dihuni",""),IF(AE234="Ya","Atap atau dinding utama hampir runtuh",""),IF(AF234="Ya","Genangan yang membahayakan",""),IF(AG234="Ya","Struktur rumah tidak stabil",""),IF(AH234="Ya","Instalasi listrik berbahaya",""),IF(AI234="Ya","Komponen bangunan lepas atau lapuk",""),IF(AJ234="Ya","Akses keluar atau evakuasi terbatas",""),IF(AK234="Ya","Lokasi rawan bencana",""),IF(AL234&lt;&gt;"","Lainnya: "&amp;AL234,"")))</x:f>
        <x:v>Tidak ada risiko khusus</x:v>
      </x:c>
      <x:c r="AO234" s="716" t="str">
        <x:f>IF(AR234="","Belum Dinilai",IF(AR234=10,"Risiko Tinggi/Darurat",IF(AR234=5,"Risiko Sedang","Tidak Ada Risiko Khusus")))</x:f>
        <x:v>Belum Dinilai</x:v>
      </x:c>
      <x:c r="AP234" s="716"/>
      <x:c r="AQ234" s="719" t="str">
        <x:f>IF(OR(J234="",J234="Belum Dapat Ditentukan",L234="",L234="Belum Dinilai",N234="",N234="Belum Dinilai",P234="",P234="Belum Dinilai"),"",IF(J234="Permanen",0,IF(J234="Semipermanen",8,IF(J234="Nonpermanen",15,0)))+IF(L234="Baik",0,IF(L234="Rusak Ringan",5,IF(L234="Rusak Sedang",10,IF(L234="Rusak Berat",15,IF(L234="Tidak Ada/Terbuka",20,0)))))+IF(N234="Baik",0,IF(N234="Rusak Ringan",5,IF(N234="Rusak Sedang",10,IF(N234="Rusak Berat",15,IF(N234="Tidak Ada/Terbuka",20,0)))))+IF(P234="Baik",0,IF(P234="Rusak Ringan",4,IF(P234="Rusak Sedang",8,IF(P234="Rusak Berat",12,IF(P234="Tidak Layak",15,0))))))</x:f>
      </x:c>
      <x:c r="AR234" s="719" t="n">
        <x:f>IF(COUNTIF(AC234:AH234,"Ya")&gt;0,10,IF(COUNTIF(AI234:AK234,"Ya")&gt;=2,10,IF(COUNTIF(AI234:AK234,"Ya")=1,MAX(5,IF(AM234="Risiko Tinggi/Darurat",10,IF(AM234="Risiko Sedang",5,0))),IF(AL234&lt;&gt;"",IF(AM234="Risiko Tinggi/Darurat",10,IF(AM234="Risiko Sedang",5,"")),IF(COUNTIF(AC234:AK234,"Belum Dinilai")&gt;0,"",0)))))</x:f>
        <x:v>0</x:v>
      </x:c>
      <x:c r="AS234" s="719" t="str">
        <x:f>IF(OR(AQ234="",AB234="",AR234=""),"",AQ234+AB234+AR234)</x:f>
      </x:c>
      <x:c r="AT234" s="719" t="str">
        <x:f>IF(AS234="","Belum Dapat Ditentukan",IF(AS234&gt;=80,"Sangat Tinggi",IF(OR(AO234="Risiko Tinggi/Darurat",(IF(L234="Rusak Berat",1,0)+IF(L234="Tidak Ada/Terbuka",1,0)+IF(N234="Rusak Berat",1,0)+IF(N234="Tidak Ada/Terbuka",1,0)+IF(P234="Rusak Berat",1,0)+IF(P234="Tidak Layak",1,0))&gt;=2),"Tinggi",IF(AS234&gt;=65,"Tinggi",IF(AS234&gt;=50,"Sedang","Rendah")))))</x:f>
        <x:v>Belum Dapat Ditentukan</x:v>
      </x:c>
      <x:c r="AU234" s="240"/>
      <x:c r="AV234" s="240"/>
      <x:c r="AW234" s="240"/>
      <x:c r="AX234" s="240"/>
      <x:c r="AY234" s="240"/>
      <x:c r="AZ234" s="240"/>
      <x:c r="BA234" s="240"/>
      <x:c r="BB234" s="240"/>
      <x:c r="BC234" s="240"/>
      <x:c r="BD234" s="240"/>
      <x:c r="BE234" s="240"/>
      <x:c r="BF234" s="240"/>
    </x:row>
    <x:row r="235" ht="32" customHeight="1">
      <x:c r="A235" s="314"/>
      <x:c r="B235" s="315"/>
      <x:c r="C235" s="316"/>
      <x:c r="D235" s="316"/>
      <x:c r="E235" s="315"/>
      <x:c r="F235" s="315"/>
      <x:c r="G235" s="315"/>
      <x:c r="H235" s="315"/>
      <x:c r="I235" s="317"/>
      <x:c r="J235" s="315"/>
      <x:c r="K235" s="315"/>
      <x:c r="L235" s="315"/>
      <x:c r="M235" s="367"/>
      <x:c r="N235" s="315"/>
      <x:c r="O235" s="316"/>
      <x:c r="P235" s="349"/>
      <x:c r="Q235" s="707"/>
      <x:c r="R235" s="707"/>
      <x:c r="S235" s="708"/>
      <x:c r="T235" s="709"/>
      <x:c r="U235" s="704"/>
      <x:c r="V235" s="704"/>
      <x:c r="W235" s="704"/>
      <x:c r="X235" s="704" t="str">
        <x:f>IF(COUNTIF(R235:V235,"Belum Dinilai")&gt;0,"Belum Dinilai",IF(COUNTIF(R235:V235,"Ya")=0,"Tidak ada faktor rentan",TEXTJOIN(", ",TRUE,IF(R235="Ya","Lansia",""),IF(S235="Ya","Penyandang disabilitas",""),IF(T235="Ya","Kepala keluarga perempuan",""),IF(U235="Ya","Balita",""),IF(V235="Ya","Anggota keluarga dengan ketergantungan tinggi",""))))</x:f>
        <x:v>Tidak ada faktor rentan</x:v>
      </x:c>
      <x:c r="Y235" s="704" t="str">
        <x:f>IF(COUNTIF(R235:V235,"Belum Dinilai")&gt;0,"Belum Dinilai",IF(COUNTIF(R235:V235,"Ya")=0,"Tidak Ada Faktor Rentan",IF(COUNTIF(R235:V235,"Ya")=1,"1 Faktor Rentan","2 atau Lebih Faktor Rentan")))</x:f>
        <x:v>Tidak Ada Faktor Rentan</x:v>
      </x:c>
      <x:c r="Z235" s="704" t="str">
        <x:f>IF(OR(Q235="",Q235="Belum Dinilai"),"",IF(Q235="Terverifikasi DTKS/P3KE/MBR",10,IF(Q235="Diusulkan, Belum Terverifikasi",5,0)))</x:f>
      </x:c>
      <x:c r="AA235" s="705" t="n">
        <x:f>IF(COUNTIF(R235:V235,"Belum Dinilai")&gt;0,"",IF(COUNTIF(R235:V235,"Ya")=0,0,IF(COUNTIF(R235:V235,"Ya")=1,5,10)))</x:f>
        <x:v>0</x:v>
      </x:c>
      <x:c r="AB235" s="706" t="str">
        <x:f>IF(OR(Z235="",AA235=""),"",Z235+AA235)</x:f>
      </x:c>
      <x:c r="AC235" s="713"/>
      <x:c r="AD235" s="713"/>
      <x:c r="AE235" s="714"/>
      <x:c r="AF235" s="713"/>
      <x:c r="AG235" s="713"/>
      <x:c r="AH235" s="715"/>
      <x:c r="AI235" s="714"/>
      <x:c r="AJ235" s="713"/>
      <x:c r="AK235" s="715"/>
      <x:c r="AL235" s="713"/>
      <x:c r="AM235" s="716"/>
      <x:c r="AN235" s="716" t="str">
        <x:f>IF(AND(COUNTIF(AC235:AK235,"Ya")=0,AL235=""),IF(COUNTIF(AC235:AK235,"Belum Dinilai")&gt;0,"Belum Dinilai","Tidak ada risiko khusus"),TEXTJOIN(", ",TRUE,IF(AC235="Ya","Bangunan berpotensi roboh",""),IF(AD235="Ya","Bekas kebakaran dan tidak aman dihuni",""),IF(AE235="Ya","Atap atau dinding utama hampir runtuh",""),IF(AF235="Ya","Genangan yang membahayakan",""),IF(AG235="Ya","Struktur rumah tidak stabil",""),IF(AH235="Ya","Instalasi listrik berbahaya",""),IF(AI235="Ya","Komponen bangunan lepas atau lapuk",""),IF(AJ235="Ya","Akses keluar atau evakuasi terbatas",""),IF(AK235="Ya","Lokasi rawan bencana",""),IF(AL235&lt;&gt;"","Lainnya: "&amp;AL235,"")))</x:f>
        <x:v>Tidak ada risiko khusus</x:v>
      </x:c>
      <x:c r="AO235" s="716" t="str">
        <x:f>IF(AR235="","Belum Dinilai",IF(AR235=10,"Risiko Tinggi/Darurat",IF(AR235=5,"Risiko Sedang","Tidak Ada Risiko Khusus")))</x:f>
        <x:v>Belum Dinilai</x:v>
      </x:c>
      <x:c r="AP235" s="716"/>
      <x:c r="AQ235" s="719" t="str">
        <x:f>IF(OR(J235="",J235="Belum Dapat Ditentukan",L235="",L235="Belum Dinilai",N235="",N235="Belum Dinilai",P235="",P235="Belum Dinilai"),"",IF(J235="Permanen",0,IF(J235="Semipermanen",8,IF(J235="Nonpermanen",15,0)))+IF(L235="Baik",0,IF(L235="Rusak Ringan",5,IF(L235="Rusak Sedang",10,IF(L235="Rusak Berat",15,IF(L235="Tidak Ada/Terbuka",20,0)))))+IF(N235="Baik",0,IF(N235="Rusak Ringan",5,IF(N235="Rusak Sedang",10,IF(N235="Rusak Berat",15,IF(N235="Tidak Ada/Terbuka",20,0)))))+IF(P235="Baik",0,IF(P235="Rusak Ringan",4,IF(P235="Rusak Sedang",8,IF(P235="Rusak Berat",12,IF(P235="Tidak Layak",15,0))))))</x:f>
      </x:c>
      <x:c r="AR235" s="719" t="n">
        <x:f>IF(COUNTIF(AC235:AH235,"Ya")&gt;0,10,IF(COUNTIF(AI235:AK235,"Ya")&gt;=2,10,IF(COUNTIF(AI235:AK235,"Ya")=1,MAX(5,IF(AM235="Risiko Tinggi/Darurat",10,IF(AM235="Risiko Sedang",5,0))),IF(AL235&lt;&gt;"",IF(AM235="Risiko Tinggi/Darurat",10,IF(AM235="Risiko Sedang",5,"")),IF(COUNTIF(AC235:AK235,"Belum Dinilai")&gt;0,"",0)))))</x:f>
        <x:v>0</x:v>
      </x:c>
      <x:c r="AS235" s="719" t="str">
        <x:f>IF(OR(AQ235="",AB235="",AR235=""),"",AQ235+AB235+AR235)</x:f>
      </x:c>
      <x:c r="AT235" s="719" t="str">
        <x:f>IF(AS235="","Belum Dapat Ditentukan",IF(AS235&gt;=80,"Sangat Tinggi",IF(OR(AO235="Risiko Tinggi/Darurat",(IF(L235="Rusak Berat",1,0)+IF(L235="Tidak Ada/Terbuka",1,0)+IF(N235="Rusak Berat",1,0)+IF(N235="Tidak Ada/Terbuka",1,0)+IF(P235="Rusak Berat",1,0)+IF(P235="Tidak Layak",1,0))&gt;=2),"Tinggi",IF(AS235&gt;=65,"Tinggi",IF(AS235&gt;=50,"Sedang","Rendah")))))</x:f>
        <x:v>Belum Dapat Ditentukan</x:v>
      </x:c>
      <x:c r="AU235" s="240"/>
      <x:c r="AV235" s="240"/>
      <x:c r="AW235" s="240"/>
      <x:c r="AX235" s="240"/>
      <x:c r="AY235" s="240"/>
      <x:c r="AZ235" s="240"/>
      <x:c r="BA235" s="240"/>
      <x:c r="BB235" s="240"/>
      <x:c r="BC235" s="240"/>
      <x:c r="BD235" s="240"/>
      <x:c r="BE235" s="240"/>
      <x:c r="BF235" s="240"/>
    </x:row>
    <x:row r="236" ht="32" customHeight="1">
      <x:c r="A236" s="314"/>
      <x:c r="B236" s="315"/>
      <x:c r="C236" s="316"/>
      <x:c r="D236" s="316"/>
      <x:c r="E236" s="315"/>
      <x:c r="F236" s="315"/>
      <x:c r="G236" s="315"/>
      <x:c r="H236" s="315"/>
      <x:c r="I236" s="317"/>
      <x:c r="J236" s="315"/>
      <x:c r="K236" s="315"/>
      <x:c r="L236" s="315"/>
      <x:c r="M236" s="367"/>
      <x:c r="N236" s="315"/>
      <x:c r="O236" s="316"/>
      <x:c r="P236" s="349"/>
      <x:c r="Q236" s="707"/>
      <x:c r="R236" s="707"/>
      <x:c r="S236" s="708"/>
      <x:c r="T236" s="709"/>
      <x:c r="U236" s="704"/>
      <x:c r="V236" s="704"/>
      <x:c r="W236" s="704"/>
      <x:c r="X236" s="704" t="str">
        <x:f>IF(COUNTIF(R236:V236,"Belum Dinilai")&gt;0,"Belum Dinilai",IF(COUNTIF(R236:V236,"Ya")=0,"Tidak ada faktor rentan",TEXTJOIN(", ",TRUE,IF(R236="Ya","Lansia",""),IF(S236="Ya","Penyandang disabilitas",""),IF(T236="Ya","Kepala keluarga perempuan",""),IF(U236="Ya","Balita",""),IF(V236="Ya","Anggota keluarga dengan ketergantungan tinggi",""))))</x:f>
        <x:v>Tidak ada faktor rentan</x:v>
      </x:c>
      <x:c r="Y236" s="704" t="str">
        <x:f>IF(COUNTIF(R236:V236,"Belum Dinilai")&gt;0,"Belum Dinilai",IF(COUNTIF(R236:V236,"Ya")=0,"Tidak Ada Faktor Rentan",IF(COUNTIF(R236:V236,"Ya")=1,"1 Faktor Rentan","2 atau Lebih Faktor Rentan")))</x:f>
        <x:v>Tidak Ada Faktor Rentan</x:v>
      </x:c>
      <x:c r="Z236" s="704" t="str">
        <x:f>IF(OR(Q236="",Q236="Belum Dinilai"),"",IF(Q236="Terverifikasi DTKS/P3KE/MBR",10,IF(Q236="Diusulkan, Belum Terverifikasi",5,0)))</x:f>
      </x:c>
      <x:c r="AA236" s="705" t="n">
        <x:f>IF(COUNTIF(R236:V236,"Belum Dinilai")&gt;0,"",IF(COUNTIF(R236:V236,"Ya")=0,0,IF(COUNTIF(R236:V236,"Ya")=1,5,10)))</x:f>
        <x:v>0</x:v>
      </x:c>
      <x:c r="AB236" s="706" t="str">
        <x:f>IF(OR(Z236="",AA236=""),"",Z236+AA236)</x:f>
      </x:c>
      <x:c r="AC236" s="713"/>
      <x:c r="AD236" s="713"/>
      <x:c r="AE236" s="714"/>
      <x:c r="AF236" s="713"/>
      <x:c r="AG236" s="713"/>
      <x:c r="AH236" s="715"/>
      <x:c r="AI236" s="714"/>
      <x:c r="AJ236" s="713"/>
      <x:c r="AK236" s="715"/>
      <x:c r="AL236" s="713"/>
      <x:c r="AM236" s="716"/>
      <x:c r="AN236" s="716" t="str">
        <x:f>IF(AND(COUNTIF(AC236:AK236,"Ya")=0,AL236=""),IF(COUNTIF(AC236:AK236,"Belum Dinilai")&gt;0,"Belum Dinilai","Tidak ada risiko khusus"),TEXTJOIN(", ",TRUE,IF(AC236="Ya","Bangunan berpotensi roboh",""),IF(AD236="Ya","Bekas kebakaran dan tidak aman dihuni",""),IF(AE236="Ya","Atap atau dinding utama hampir runtuh",""),IF(AF236="Ya","Genangan yang membahayakan",""),IF(AG236="Ya","Struktur rumah tidak stabil",""),IF(AH236="Ya","Instalasi listrik berbahaya",""),IF(AI236="Ya","Komponen bangunan lepas atau lapuk",""),IF(AJ236="Ya","Akses keluar atau evakuasi terbatas",""),IF(AK236="Ya","Lokasi rawan bencana",""),IF(AL236&lt;&gt;"","Lainnya: "&amp;AL236,"")))</x:f>
        <x:v>Tidak ada risiko khusus</x:v>
      </x:c>
      <x:c r="AO236" s="716" t="str">
        <x:f>IF(AR236="","Belum Dinilai",IF(AR236=10,"Risiko Tinggi/Darurat",IF(AR236=5,"Risiko Sedang","Tidak Ada Risiko Khusus")))</x:f>
        <x:v>Belum Dinilai</x:v>
      </x:c>
      <x:c r="AP236" s="716"/>
      <x:c r="AQ236" s="719" t="str">
        <x:f>IF(OR(J236="",J236="Belum Dapat Ditentukan",L236="",L236="Belum Dinilai",N236="",N236="Belum Dinilai",P236="",P236="Belum Dinilai"),"",IF(J236="Permanen",0,IF(J236="Semipermanen",8,IF(J236="Nonpermanen",15,0)))+IF(L236="Baik",0,IF(L236="Rusak Ringan",5,IF(L236="Rusak Sedang",10,IF(L236="Rusak Berat",15,IF(L236="Tidak Ada/Terbuka",20,0)))))+IF(N236="Baik",0,IF(N236="Rusak Ringan",5,IF(N236="Rusak Sedang",10,IF(N236="Rusak Berat",15,IF(N236="Tidak Ada/Terbuka",20,0)))))+IF(P236="Baik",0,IF(P236="Rusak Ringan",4,IF(P236="Rusak Sedang",8,IF(P236="Rusak Berat",12,IF(P236="Tidak Layak",15,0))))))</x:f>
      </x:c>
      <x:c r="AR236" s="719" t="n">
        <x:f>IF(COUNTIF(AC236:AH236,"Ya")&gt;0,10,IF(COUNTIF(AI236:AK236,"Ya")&gt;=2,10,IF(COUNTIF(AI236:AK236,"Ya")=1,MAX(5,IF(AM236="Risiko Tinggi/Darurat",10,IF(AM236="Risiko Sedang",5,0))),IF(AL236&lt;&gt;"",IF(AM236="Risiko Tinggi/Darurat",10,IF(AM236="Risiko Sedang",5,"")),IF(COUNTIF(AC236:AK236,"Belum Dinilai")&gt;0,"",0)))))</x:f>
        <x:v>0</x:v>
      </x:c>
      <x:c r="AS236" s="719" t="str">
        <x:f>IF(OR(AQ236="",AB236="",AR236=""),"",AQ236+AB236+AR236)</x:f>
      </x:c>
      <x:c r="AT236" s="719" t="str">
        <x:f>IF(AS236="","Belum Dapat Ditentukan",IF(AS236&gt;=80,"Sangat Tinggi",IF(OR(AO236="Risiko Tinggi/Darurat",(IF(L236="Rusak Berat",1,0)+IF(L236="Tidak Ada/Terbuka",1,0)+IF(N236="Rusak Berat",1,0)+IF(N236="Tidak Ada/Terbuka",1,0)+IF(P236="Rusak Berat",1,0)+IF(P236="Tidak Layak",1,0))&gt;=2),"Tinggi",IF(AS236&gt;=65,"Tinggi",IF(AS236&gt;=50,"Sedang","Rendah")))))</x:f>
        <x:v>Belum Dapat Ditentukan</x:v>
      </x:c>
      <x:c r="AU236" s="240"/>
      <x:c r="AV236" s="240"/>
      <x:c r="AW236" s="240"/>
      <x:c r="AX236" s="240"/>
      <x:c r="AY236" s="240"/>
      <x:c r="AZ236" s="240"/>
      <x:c r="BA236" s="240"/>
      <x:c r="BB236" s="240"/>
      <x:c r="BC236" s="240"/>
      <x:c r="BD236" s="240"/>
      <x:c r="BE236" s="240"/>
      <x:c r="BF236" s="240"/>
    </x:row>
    <x:row r="237" ht="32" customHeight="1">
      <x:c r="A237" s="314"/>
      <x:c r="B237" s="315"/>
      <x:c r="C237" s="316"/>
      <x:c r="D237" s="316"/>
      <x:c r="E237" s="315"/>
      <x:c r="F237" s="315"/>
      <x:c r="G237" s="315"/>
      <x:c r="H237" s="315"/>
      <x:c r="I237" s="317"/>
      <x:c r="J237" s="315"/>
      <x:c r="K237" s="315"/>
      <x:c r="L237" s="315"/>
      <x:c r="M237" s="367"/>
      <x:c r="N237" s="315"/>
      <x:c r="O237" s="316"/>
      <x:c r="P237" s="349"/>
      <x:c r="Q237" s="707"/>
      <x:c r="R237" s="707"/>
      <x:c r="S237" s="708"/>
      <x:c r="T237" s="709"/>
      <x:c r="U237" s="704"/>
      <x:c r="V237" s="704"/>
      <x:c r="W237" s="704"/>
      <x:c r="X237" s="704" t="str">
        <x:f>IF(COUNTIF(R237:V237,"Belum Dinilai")&gt;0,"Belum Dinilai",IF(COUNTIF(R237:V237,"Ya")=0,"Tidak ada faktor rentan",TEXTJOIN(", ",TRUE,IF(R237="Ya","Lansia",""),IF(S237="Ya","Penyandang disabilitas",""),IF(T237="Ya","Kepala keluarga perempuan",""),IF(U237="Ya","Balita",""),IF(V237="Ya","Anggota keluarga dengan ketergantungan tinggi",""))))</x:f>
        <x:v>Tidak ada faktor rentan</x:v>
      </x:c>
      <x:c r="Y237" s="704" t="str">
        <x:f>IF(COUNTIF(R237:V237,"Belum Dinilai")&gt;0,"Belum Dinilai",IF(COUNTIF(R237:V237,"Ya")=0,"Tidak Ada Faktor Rentan",IF(COUNTIF(R237:V237,"Ya")=1,"1 Faktor Rentan","2 atau Lebih Faktor Rentan")))</x:f>
        <x:v>Tidak Ada Faktor Rentan</x:v>
      </x:c>
      <x:c r="Z237" s="704" t="str">
        <x:f>IF(OR(Q237="",Q237="Belum Dinilai"),"",IF(Q237="Terverifikasi DTKS/P3KE/MBR",10,IF(Q237="Diusulkan, Belum Terverifikasi",5,0)))</x:f>
      </x:c>
      <x:c r="AA237" s="705" t="n">
        <x:f>IF(COUNTIF(R237:V237,"Belum Dinilai")&gt;0,"",IF(COUNTIF(R237:V237,"Ya")=0,0,IF(COUNTIF(R237:V237,"Ya")=1,5,10)))</x:f>
        <x:v>0</x:v>
      </x:c>
      <x:c r="AB237" s="706" t="str">
        <x:f>IF(OR(Z237="",AA237=""),"",Z237+AA237)</x:f>
      </x:c>
      <x:c r="AC237" s="713"/>
      <x:c r="AD237" s="713"/>
      <x:c r="AE237" s="714"/>
      <x:c r="AF237" s="713"/>
      <x:c r="AG237" s="713"/>
      <x:c r="AH237" s="715"/>
      <x:c r="AI237" s="714"/>
      <x:c r="AJ237" s="713"/>
      <x:c r="AK237" s="715"/>
      <x:c r="AL237" s="713"/>
      <x:c r="AM237" s="716"/>
      <x:c r="AN237" s="716" t="str">
        <x:f>IF(AND(COUNTIF(AC237:AK237,"Ya")=0,AL237=""),IF(COUNTIF(AC237:AK237,"Belum Dinilai")&gt;0,"Belum Dinilai","Tidak ada risiko khusus"),TEXTJOIN(", ",TRUE,IF(AC237="Ya","Bangunan berpotensi roboh",""),IF(AD237="Ya","Bekas kebakaran dan tidak aman dihuni",""),IF(AE237="Ya","Atap atau dinding utama hampir runtuh",""),IF(AF237="Ya","Genangan yang membahayakan",""),IF(AG237="Ya","Struktur rumah tidak stabil",""),IF(AH237="Ya","Instalasi listrik berbahaya",""),IF(AI237="Ya","Komponen bangunan lepas atau lapuk",""),IF(AJ237="Ya","Akses keluar atau evakuasi terbatas",""),IF(AK237="Ya","Lokasi rawan bencana",""),IF(AL237&lt;&gt;"","Lainnya: "&amp;AL237,"")))</x:f>
        <x:v>Tidak ada risiko khusus</x:v>
      </x:c>
      <x:c r="AO237" s="716" t="str">
        <x:f>IF(AR237="","Belum Dinilai",IF(AR237=10,"Risiko Tinggi/Darurat",IF(AR237=5,"Risiko Sedang","Tidak Ada Risiko Khusus")))</x:f>
        <x:v>Belum Dinilai</x:v>
      </x:c>
      <x:c r="AP237" s="716"/>
      <x:c r="AQ237" s="719" t="str">
        <x:f>IF(OR(J237="",J237="Belum Dapat Ditentukan",L237="",L237="Belum Dinilai",N237="",N237="Belum Dinilai",P237="",P237="Belum Dinilai"),"",IF(J237="Permanen",0,IF(J237="Semipermanen",8,IF(J237="Nonpermanen",15,0)))+IF(L237="Baik",0,IF(L237="Rusak Ringan",5,IF(L237="Rusak Sedang",10,IF(L237="Rusak Berat",15,IF(L237="Tidak Ada/Terbuka",20,0)))))+IF(N237="Baik",0,IF(N237="Rusak Ringan",5,IF(N237="Rusak Sedang",10,IF(N237="Rusak Berat",15,IF(N237="Tidak Ada/Terbuka",20,0)))))+IF(P237="Baik",0,IF(P237="Rusak Ringan",4,IF(P237="Rusak Sedang",8,IF(P237="Rusak Berat",12,IF(P237="Tidak Layak",15,0))))))</x:f>
      </x:c>
      <x:c r="AR237" s="719" t="n">
        <x:f>IF(COUNTIF(AC237:AH237,"Ya")&gt;0,10,IF(COUNTIF(AI237:AK237,"Ya")&gt;=2,10,IF(COUNTIF(AI237:AK237,"Ya")=1,MAX(5,IF(AM237="Risiko Tinggi/Darurat",10,IF(AM237="Risiko Sedang",5,0))),IF(AL237&lt;&gt;"",IF(AM237="Risiko Tinggi/Darurat",10,IF(AM237="Risiko Sedang",5,"")),IF(COUNTIF(AC237:AK237,"Belum Dinilai")&gt;0,"",0)))))</x:f>
        <x:v>0</x:v>
      </x:c>
      <x:c r="AS237" s="719" t="str">
        <x:f>IF(OR(AQ237="",AB237="",AR237=""),"",AQ237+AB237+AR237)</x:f>
      </x:c>
      <x:c r="AT237" s="719" t="str">
        <x:f>IF(AS237="","Belum Dapat Ditentukan",IF(AS237&gt;=80,"Sangat Tinggi",IF(OR(AO237="Risiko Tinggi/Darurat",(IF(L237="Rusak Berat",1,0)+IF(L237="Tidak Ada/Terbuka",1,0)+IF(N237="Rusak Berat",1,0)+IF(N237="Tidak Ada/Terbuka",1,0)+IF(P237="Rusak Berat",1,0)+IF(P237="Tidak Layak",1,0))&gt;=2),"Tinggi",IF(AS237&gt;=65,"Tinggi",IF(AS237&gt;=50,"Sedang","Rendah")))))</x:f>
        <x:v>Belum Dapat Ditentukan</x:v>
      </x:c>
      <x:c r="AU237" s="240"/>
      <x:c r="AV237" s="240"/>
      <x:c r="AW237" s="240"/>
      <x:c r="AX237" s="240"/>
      <x:c r="AY237" s="240"/>
      <x:c r="AZ237" s="240"/>
      <x:c r="BA237" s="240"/>
      <x:c r="BB237" s="240"/>
      <x:c r="BC237" s="240"/>
      <x:c r="BD237" s="240"/>
      <x:c r="BE237" s="240"/>
      <x:c r="BF237" s="240"/>
    </x:row>
    <x:row r="238" ht="32" customHeight="1">
      <x:c r="A238" s="314"/>
      <x:c r="B238" s="315"/>
      <x:c r="C238" s="316"/>
      <x:c r="D238" s="316"/>
      <x:c r="E238" s="315"/>
      <x:c r="F238" s="315"/>
      <x:c r="G238" s="315"/>
      <x:c r="H238" s="315"/>
      <x:c r="I238" s="317"/>
      <x:c r="J238" s="315"/>
      <x:c r="K238" s="315"/>
      <x:c r="L238" s="315"/>
      <x:c r="M238" s="367"/>
      <x:c r="N238" s="315"/>
      <x:c r="O238" s="316"/>
      <x:c r="P238" s="349"/>
      <x:c r="Q238" s="707"/>
      <x:c r="R238" s="707"/>
      <x:c r="S238" s="708"/>
      <x:c r="T238" s="709"/>
      <x:c r="U238" s="704"/>
      <x:c r="V238" s="704"/>
      <x:c r="W238" s="704"/>
      <x:c r="X238" s="704" t="str">
        <x:f>IF(COUNTIF(R238:V238,"Belum Dinilai")&gt;0,"Belum Dinilai",IF(COUNTIF(R238:V238,"Ya")=0,"Tidak ada faktor rentan",TEXTJOIN(", ",TRUE,IF(R238="Ya","Lansia",""),IF(S238="Ya","Penyandang disabilitas",""),IF(T238="Ya","Kepala keluarga perempuan",""),IF(U238="Ya","Balita",""),IF(V238="Ya","Anggota keluarga dengan ketergantungan tinggi",""))))</x:f>
        <x:v>Tidak ada faktor rentan</x:v>
      </x:c>
      <x:c r="Y238" s="704" t="str">
        <x:f>IF(COUNTIF(R238:V238,"Belum Dinilai")&gt;0,"Belum Dinilai",IF(COUNTIF(R238:V238,"Ya")=0,"Tidak Ada Faktor Rentan",IF(COUNTIF(R238:V238,"Ya")=1,"1 Faktor Rentan","2 atau Lebih Faktor Rentan")))</x:f>
        <x:v>Tidak Ada Faktor Rentan</x:v>
      </x:c>
      <x:c r="Z238" s="704" t="str">
        <x:f>IF(OR(Q238="",Q238="Belum Dinilai"),"",IF(Q238="Terverifikasi DTKS/P3KE/MBR",10,IF(Q238="Diusulkan, Belum Terverifikasi",5,0)))</x:f>
      </x:c>
      <x:c r="AA238" s="705" t="n">
        <x:f>IF(COUNTIF(R238:V238,"Belum Dinilai")&gt;0,"",IF(COUNTIF(R238:V238,"Ya")=0,0,IF(COUNTIF(R238:V238,"Ya")=1,5,10)))</x:f>
        <x:v>0</x:v>
      </x:c>
      <x:c r="AB238" s="706" t="str">
        <x:f>IF(OR(Z238="",AA238=""),"",Z238+AA238)</x:f>
      </x:c>
      <x:c r="AC238" s="713"/>
      <x:c r="AD238" s="713"/>
      <x:c r="AE238" s="714"/>
      <x:c r="AF238" s="713"/>
      <x:c r="AG238" s="713"/>
      <x:c r="AH238" s="715"/>
      <x:c r="AI238" s="714"/>
      <x:c r="AJ238" s="713"/>
      <x:c r="AK238" s="715"/>
      <x:c r="AL238" s="713"/>
      <x:c r="AM238" s="716"/>
      <x:c r="AN238" s="716" t="str">
        <x:f>IF(AND(COUNTIF(AC238:AK238,"Ya")=0,AL238=""),IF(COUNTIF(AC238:AK238,"Belum Dinilai")&gt;0,"Belum Dinilai","Tidak ada risiko khusus"),TEXTJOIN(", ",TRUE,IF(AC238="Ya","Bangunan berpotensi roboh",""),IF(AD238="Ya","Bekas kebakaran dan tidak aman dihuni",""),IF(AE238="Ya","Atap atau dinding utama hampir runtuh",""),IF(AF238="Ya","Genangan yang membahayakan",""),IF(AG238="Ya","Struktur rumah tidak stabil",""),IF(AH238="Ya","Instalasi listrik berbahaya",""),IF(AI238="Ya","Komponen bangunan lepas atau lapuk",""),IF(AJ238="Ya","Akses keluar atau evakuasi terbatas",""),IF(AK238="Ya","Lokasi rawan bencana",""),IF(AL238&lt;&gt;"","Lainnya: "&amp;AL238,"")))</x:f>
        <x:v>Tidak ada risiko khusus</x:v>
      </x:c>
      <x:c r="AO238" s="716" t="str">
        <x:f>IF(AR238="","Belum Dinilai",IF(AR238=10,"Risiko Tinggi/Darurat",IF(AR238=5,"Risiko Sedang","Tidak Ada Risiko Khusus")))</x:f>
        <x:v>Belum Dinilai</x:v>
      </x:c>
      <x:c r="AP238" s="716"/>
      <x:c r="AQ238" s="719" t="str">
        <x:f>IF(OR(J238="",J238="Belum Dapat Ditentukan",L238="",L238="Belum Dinilai",N238="",N238="Belum Dinilai",P238="",P238="Belum Dinilai"),"",IF(J238="Permanen",0,IF(J238="Semipermanen",8,IF(J238="Nonpermanen",15,0)))+IF(L238="Baik",0,IF(L238="Rusak Ringan",5,IF(L238="Rusak Sedang",10,IF(L238="Rusak Berat",15,IF(L238="Tidak Ada/Terbuka",20,0)))))+IF(N238="Baik",0,IF(N238="Rusak Ringan",5,IF(N238="Rusak Sedang",10,IF(N238="Rusak Berat",15,IF(N238="Tidak Ada/Terbuka",20,0)))))+IF(P238="Baik",0,IF(P238="Rusak Ringan",4,IF(P238="Rusak Sedang",8,IF(P238="Rusak Berat",12,IF(P238="Tidak Layak",15,0))))))</x:f>
      </x:c>
      <x:c r="AR238" s="719" t="n">
        <x:f>IF(COUNTIF(AC238:AH238,"Ya")&gt;0,10,IF(COUNTIF(AI238:AK238,"Ya")&gt;=2,10,IF(COUNTIF(AI238:AK238,"Ya")=1,MAX(5,IF(AM238="Risiko Tinggi/Darurat",10,IF(AM238="Risiko Sedang",5,0))),IF(AL238&lt;&gt;"",IF(AM238="Risiko Tinggi/Darurat",10,IF(AM238="Risiko Sedang",5,"")),IF(COUNTIF(AC238:AK238,"Belum Dinilai")&gt;0,"",0)))))</x:f>
        <x:v>0</x:v>
      </x:c>
      <x:c r="AS238" s="719" t="str">
        <x:f>IF(OR(AQ238="",AB238="",AR238=""),"",AQ238+AB238+AR238)</x:f>
      </x:c>
      <x:c r="AT238" s="719" t="str">
        <x:f>IF(AS238="","Belum Dapat Ditentukan",IF(AS238&gt;=80,"Sangat Tinggi",IF(OR(AO238="Risiko Tinggi/Darurat",(IF(L238="Rusak Berat",1,0)+IF(L238="Tidak Ada/Terbuka",1,0)+IF(N238="Rusak Berat",1,0)+IF(N238="Tidak Ada/Terbuka",1,0)+IF(P238="Rusak Berat",1,0)+IF(P238="Tidak Layak",1,0))&gt;=2),"Tinggi",IF(AS238&gt;=65,"Tinggi",IF(AS238&gt;=50,"Sedang","Rendah")))))</x:f>
        <x:v>Belum Dapat Ditentukan</x:v>
      </x:c>
      <x:c r="AU238" s="240"/>
      <x:c r="AV238" s="240"/>
      <x:c r="AW238" s="240"/>
      <x:c r="AX238" s="240"/>
      <x:c r="AY238" s="240"/>
      <x:c r="AZ238" s="240"/>
      <x:c r="BA238" s="240"/>
      <x:c r="BB238" s="240"/>
      <x:c r="BC238" s="240"/>
      <x:c r="BD238" s="240"/>
      <x:c r="BE238" s="240"/>
      <x:c r="BF238" s="240"/>
    </x:row>
    <x:row r="239" ht="32" customHeight="1">
      <x:c r="A239" s="314"/>
      <x:c r="B239" s="315"/>
      <x:c r="C239" s="316"/>
      <x:c r="D239" s="316"/>
      <x:c r="E239" s="315"/>
      <x:c r="F239" s="315"/>
      <x:c r="G239" s="315"/>
      <x:c r="H239" s="315"/>
      <x:c r="I239" s="317"/>
      <x:c r="J239" s="315"/>
      <x:c r="K239" s="315"/>
      <x:c r="L239" s="315"/>
      <x:c r="M239" s="367"/>
      <x:c r="N239" s="315"/>
      <x:c r="O239" s="316"/>
      <x:c r="P239" s="349"/>
      <x:c r="Q239" s="707"/>
      <x:c r="R239" s="707"/>
      <x:c r="S239" s="708"/>
      <x:c r="T239" s="709"/>
      <x:c r="U239" s="704"/>
      <x:c r="V239" s="704"/>
      <x:c r="W239" s="704"/>
      <x:c r="X239" s="704" t="str">
        <x:f>IF(COUNTIF(R239:V239,"Belum Dinilai")&gt;0,"Belum Dinilai",IF(COUNTIF(R239:V239,"Ya")=0,"Tidak ada faktor rentan",TEXTJOIN(", ",TRUE,IF(R239="Ya","Lansia",""),IF(S239="Ya","Penyandang disabilitas",""),IF(T239="Ya","Kepala keluarga perempuan",""),IF(U239="Ya","Balita",""),IF(V239="Ya","Anggota keluarga dengan ketergantungan tinggi",""))))</x:f>
        <x:v>Tidak ada faktor rentan</x:v>
      </x:c>
      <x:c r="Y239" s="704" t="str">
        <x:f>IF(COUNTIF(R239:V239,"Belum Dinilai")&gt;0,"Belum Dinilai",IF(COUNTIF(R239:V239,"Ya")=0,"Tidak Ada Faktor Rentan",IF(COUNTIF(R239:V239,"Ya")=1,"1 Faktor Rentan","2 atau Lebih Faktor Rentan")))</x:f>
        <x:v>Tidak Ada Faktor Rentan</x:v>
      </x:c>
      <x:c r="Z239" s="704" t="str">
        <x:f>IF(OR(Q239="",Q239="Belum Dinilai"),"",IF(Q239="Terverifikasi DTKS/P3KE/MBR",10,IF(Q239="Diusulkan, Belum Terverifikasi",5,0)))</x:f>
      </x:c>
      <x:c r="AA239" s="705" t="n">
        <x:f>IF(COUNTIF(R239:V239,"Belum Dinilai")&gt;0,"",IF(COUNTIF(R239:V239,"Ya")=0,0,IF(COUNTIF(R239:V239,"Ya")=1,5,10)))</x:f>
        <x:v>0</x:v>
      </x:c>
      <x:c r="AB239" s="706" t="str">
        <x:f>IF(OR(Z239="",AA239=""),"",Z239+AA239)</x:f>
      </x:c>
      <x:c r="AC239" s="713"/>
      <x:c r="AD239" s="713"/>
      <x:c r="AE239" s="714"/>
      <x:c r="AF239" s="713"/>
      <x:c r="AG239" s="713"/>
      <x:c r="AH239" s="715"/>
      <x:c r="AI239" s="714"/>
      <x:c r="AJ239" s="713"/>
      <x:c r="AK239" s="715"/>
      <x:c r="AL239" s="713"/>
      <x:c r="AM239" s="716"/>
      <x:c r="AN239" s="716" t="str">
        <x:f>IF(AND(COUNTIF(AC239:AK239,"Ya")=0,AL239=""),IF(COUNTIF(AC239:AK239,"Belum Dinilai")&gt;0,"Belum Dinilai","Tidak ada risiko khusus"),TEXTJOIN(", ",TRUE,IF(AC239="Ya","Bangunan berpotensi roboh",""),IF(AD239="Ya","Bekas kebakaran dan tidak aman dihuni",""),IF(AE239="Ya","Atap atau dinding utama hampir runtuh",""),IF(AF239="Ya","Genangan yang membahayakan",""),IF(AG239="Ya","Struktur rumah tidak stabil",""),IF(AH239="Ya","Instalasi listrik berbahaya",""),IF(AI239="Ya","Komponen bangunan lepas atau lapuk",""),IF(AJ239="Ya","Akses keluar atau evakuasi terbatas",""),IF(AK239="Ya","Lokasi rawan bencana",""),IF(AL239&lt;&gt;"","Lainnya: "&amp;AL239,"")))</x:f>
        <x:v>Tidak ada risiko khusus</x:v>
      </x:c>
      <x:c r="AO239" s="716" t="str">
        <x:f>IF(AR239="","Belum Dinilai",IF(AR239=10,"Risiko Tinggi/Darurat",IF(AR239=5,"Risiko Sedang","Tidak Ada Risiko Khusus")))</x:f>
        <x:v>Belum Dinilai</x:v>
      </x:c>
      <x:c r="AP239" s="716"/>
      <x:c r="AQ239" s="719" t="str">
        <x:f>IF(OR(J239="",J239="Belum Dapat Ditentukan",L239="",L239="Belum Dinilai",N239="",N239="Belum Dinilai",P239="",P239="Belum Dinilai"),"",IF(J239="Permanen",0,IF(J239="Semipermanen",8,IF(J239="Nonpermanen",15,0)))+IF(L239="Baik",0,IF(L239="Rusak Ringan",5,IF(L239="Rusak Sedang",10,IF(L239="Rusak Berat",15,IF(L239="Tidak Ada/Terbuka",20,0)))))+IF(N239="Baik",0,IF(N239="Rusak Ringan",5,IF(N239="Rusak Sedang",10,IF(N239="Rusak Berat",15,IF(N239="Tidak Ada/Terbuka",20,0)))))+IF(P239="Baik",0,IF(P239="Rusak Ringan",4,IF(P239="Rusak Sedang",8,IF(P239="Rusak Berat",12,IF(P239="Tidak Layak",15,0))))))</x:f>
      </x:c>
      <x:c r="AR239" s="719" t="n">
        <x:f>IF(COUNTIF(AC239:AH239,"Ya")&gt;0,10,IF(COUNTIF(AI239:AK239,"Ya")&gt;=2,10,IF(COUNTIF(AI239:AK239,"Ya")=1,MAX(5,IF(AM239="Risiko Tinggi/Darurat",10,IF(AM239="Risiko Sedang",5,0))),IF(AL239&lt;&gt;"",IF(AM239="Risiko Tinggi/Darurat",10,IF(AM239="Risiko Sedang",5,"")),IF(COUNTIF(AC239:AK239,"Belum Dinilai")&gt;0,"",0)))))</x:f>
        <x:v>0</x:v>
      </x:c>
      <x:c r="AS239" s="719" t="str">
        <x:f>IF(OR(AQ239="",AB239="",AR239=""),"",AQ239+AB239+AR239)</x:f>
      </x:c>
      <x:c r="AT239" s="719" t="str">
        <x:f>IF(AS239="","Belum Dapat Ditentukan",IF(AS239&gt;=80,"Sangat Tinggi",IF(OR(AO239="Risiko Tinggi/Darurat",(IF(L239="Rusak Berat",1,0)+IF(L239="Tidak Ada/Terbuka",1,0)+IF(N239="Rusak Berat",1,0)+IF(N239="Tidak Ada/Terbuka",1,0)+IF(P239="Rusak Berat",1,0)+IF(P239="Tidak Layak",1,0))&gt;=2),"Tinggi",IF(AS239&gt;=65,"Tinggi",IF(AS239&gt;=50,"Sedang","Rendah")))))</x:f>
        <x:v>Belum Dapat Ditentukan</x:v>
      </x:c>
      <x:c r="AU239" s="240"/>
      <x:c r="AV239" s="240"/>
      <x:c r="AW239" s="240"/>
      <x:c r="AX239" s="240"/>
      <x:c r="AY239" s="240"/>
      <x:c r="AZ239" s="240"/>
      <x:c r="BA239" s="240"/>
      <x:c r="BB239" s="240"/>
      <x:c r="BC239" s="240"/>
      <x:c r="BD239" s="240"/>
      <x:c r="BE239" s="240"/>
      <x:c r="BF239" s="240"/>
    </x:row>
    <x:row r="240" ht="32" customHeight="1">
      <x:c r="A240" s="314"/>
      <x:c r="B240" s="315"/>
      <x:c r="C240" s="316"/>
      <x:c r="D240" s="316"/>
      <x:c r="E240" s="315"/>
      <x:c r="F240" s="315"/>
      <x:c r="G240" s="315"/>
      <x:c r="H240" s="315"/>
      <x:c r="I240" s="317"/>
      <x:c r="J240" s="315"/>
      <x:c r="K240" s="315"/>
      <x:c r="L240" s="315"/>
      <x:c r="M240" s="367"/>
      <x:c r="N240" s="315"/>
      <x:c r="O240" s="316"/>
      <x:c r="P240" s="349"/>
      <x:c r="Q240" s="707"/>
      <x:c r="R240" s="707"/>
      <x:c r="S240" s="708"/>
      <x:c r="T240" s="709"/>
      <x:c r="U240" s="704"/>
      <x:c r="V240" s="704"/>
      <x:c r="W240" s="704"/>
      <x:c r="X240" s="704" t="str">
        <x:f>IF(COUNTIF(R240:V240,"Belum Dinilai")&gt;0,"Belum Dinilai",IF(COUNTIF(R240:V240,"Ya")=0,"Tidak ada faktor rentan",TEXTJOIN(", ",TRUE,IF(R240="Ya","Lansia",""),IF(S240="Ya","Penyandang disabilitas",""),IF(T240="Ya","Kepala keluarga perempuan",""),IF(U240="Ya","Balita",""),IF(V240="Ya","Anggota keluarga dengan ketergantungan tinggi",""))))</x:f>
        <x:v>Tidak ada faktor rentan</x:v>
      </x:c>
      <x:c r="Y240" s="704" t="str">
        <x:f>IF(COUNTIF(R240:V240,"Belum Dinilai")&gt;0,"Belum Dinilai",IF(COUNTIF(R240:V240,"Ya")=0,"Tidak Ada Faktor Rentan",IF(COUNTIF(R240:V240,"Ya")=1,"1 Faktor Rentan","2 atau Lebih Faktor Rentan")))</x:f>
        <x:v>Tidak Ada Faktor Rentan</x:v>
      </x:c>
      <x:c r="Z240" s="704" t="str">
        <x:f>IF(OR(Q240="",Q240="Belum Dinilai"),"",IF(Q240="Terverifikasi DTKS/P3KE/MBR",10,IF(Q240="Diusulkan, Belum Terverifikasi",5,0)))</x:f>
      </x:c>
      <x:c r="AA240" s="705" t="n">
        <x:f>IF(COUNTIF(R240:V240,"Belum Dinilai")&gt;0,"",IF(COUNTIF(R240:V240,"Ya")=0,0,IF(COUNTIF(R240:V240,"Ya")=1,5,10)))</x:f>
        <x:v>0</x:v>
      </x:c>
      <x:c r="AB240" s="706" t="str">
        <x:f>IF(OR(Z240="",AA240=""),"",Z240+AA240)</x:f>
      </x:c>
      <x:c r="AC240" s="713"/>
      <x:c r="AD240" s="713"/>
      <x:c r="AE240" s="714"/>
      <x:c r="AF240" s="713"/>
      <x:c r="AG240" s="713"/>
      <x:c r="AH240" s="715"/>
      <x:c r="AI240" s="714"/>
      <x:c r="AJ240" s="713"/>
      <x:c r="AK240" s="715"/>
      <x:c r="AL240" s="713"/>
      <x:c r="AM240" s="716"/>
      <x:c r="AN240" s="716" t="str">
        <x:f>IF(AND(COUNTIF(AC240:AK240,"Ya")=0,AL240=""),IF(COUNTIF(AC240:AK240,"Belum Dinilai")&gt;0,"Belum Dinilai","Tidak ada risiko khusus"),TEXTJOIN(", ",TRUE,IF(AC240="Ya","Bangunan berpotensi roboh",""),IF(AD240="Ya","Bekas kebakaran dan tidak aman dihuni",""),IF(AE240="Ya","Atap atau dinding utama hampir runtuh",""),IF(AF240="Ya","Genangan yang membahayakan",""),IF(AG240="Ya","Struktur rumah tidak stabil",""),IF(AH240="Ya","Instalasi listrik berbahaya",""),IF(AI240="Ya","Komponen bangunan lepas atau lapuk",""),IF(AJ240="Ya","Akses keluar atau evakuasi terbatas",""),IF(AK240="Ya","Lokasi rawan bencana",""),IF(AL240&lt;&gt;"","Lainnya: "&amp;AL240,"")))</x:f>
        <x:v>Tidak ada risiko khusus</x:v>
      </x:c>
      <x:c r="AO240" s="716" t="str">
        <x:f>IF(AR240="","Belum Dinilai",IF(AR240=10,"Risiko Tinggi/Darurat",IF(AR240=5,"Risiko Sedang","Tidak Ada Risiko Khusus")))</x:f>
        <x:v>Belum Dinilai</x:v>
      </x:c>
      <x:c r="AP240" s="716"/>
      <x:c r="AQ240" s="719" t="str">
        <x:f>IF(OR(J240="",J240="Belum Dapat Ditentukan",L240="",L240="Belum Dinilai",N240="",N240="Belum Dinilai",P240="",P240="Belum Dinilai"),"",IF(J240="Permanen",0,IF(J240="Semipermanen",8,IF(J240="Nonpermanen",15,0)))+IF(L240="Baik",0,IF(L240="Rusak Ringan",5,IF(L240="Rusak Sedang",10,IF(L240="Rusak Berat",15,IF(L240="Tidak Ada/Terbuka",20,0)))))+IF(N240="Baik",0,IF(N240="Rusak Ringan",5,IF(N240="Rusak Sedang",10,IF(N240="Rusak Berat",15,IF(N240="Tidak Ada/Terbuka",20,0)))))+IF(P240="Baik",0,IF(P240="Rusak Ringan",4,IF(P240="Rusak Sedang",8,IF(P240="Rusak Berat",12,IF(P240="Tidak Layak",15,0))))))</x:f>
      </x:c>
      <x:c r="AR240" s="719" t="n">
        <x:f>IF(COUNTIF(AC240:AH240,"Ya")&gt;0,10,IF(COUNTIF(AI240:AK240,"Ya")&gt;=2,10,IF(COUNTIF(AI240:AK240,"Ya")=1,MAX(5,IF(AM240="Risiko Tinggi/Darurat",10,IF(AM240="Risiko Sedang",5,0))),IF(AL240&lt;&gt;"",IF(AM240="Risiko Tinggi/Darurat",10,IF(AM240="Risiko Sedang",5,"")),IF(COUNTIF(AC240:AK240,"Belum Dinilai")&gt;0,"",0)))))</x:f>
        <x:v>0</x:v>
      </x:c>
      <x:c r="AS240" s="719" t="str">
        <x:f>IF(OR(AQ240="",AB240="",AR240=""),"",AQ240+AB240+AR240)</x:f>
      </x:c>
      <x:c r="AT240" s="719" t="str">
        <x:f>IF(AS240="","Belum Dapat Ditentukan",IF(AS240&gt;=80,"Sangat Tinggi",IF(OR(AO240="Risiko Tinggi/Darurat",(IF(L240="Rusak Berat",1,0)+IF(L240="Tidak Ada/Terbuka",1,0)+IF(N240="Rusak Berat",1,0)+IF(N240="Tidak Ada/Terbuka",1,0)+IF(P240="Rusak Berat",1,0)+IF(P240="Tidak Layak",1,0))&gt;=2),"Tinggi",IF(AS240&gt;=65,"Tinggi",IF(AS240&gt;=50,"Sedang","Rendah")))))</x:f>
        <x:v>Belum Dapat Ditentukan</x:v>
      </x:c>
      <x:c r="AU240" s="240"/>
      <x:c r="AV240" s="240"/>
      <x:c r="AW240" s="240"/>
      <x:c r="AX240" s="240"/>
      <x:c r="AY240" s="240"/>
      <x:c r="AZ240" s="240"/>
      <x:c r="BA240" s="240"/>
      <x:c r="BB240" s="240"/>
      <x:c r="BC240" s="240"/>
      <x:c r="BD240" s="240"/>
      <x:c r="BE240" s="240"/>
      <x:c r="BF240" s="240"/>
    </x:row>
    <x:row r="241" ht="32" customHeight="1">
      <x:c r="A241" s="314"/>
      <x:c r="B241" s="315"/>
      <x:c r="C241" s="316"/>
      <x:c r="D241" s="316"/>
      <x:c r="E241" s="315"/>
      <x:c r="F241" s="315"/>
      <x:c r="G241" s="315"/>
      <x:c r="H241" s="315"/>
      <x:c r="I241" s="317"/>
      <x:c r="J241" s="315"/>
      <x:c r="K241" s="315"/>
      <x:c r="L241" s="315"/>
      <x:c r="M241" s="367"/>
      <x:c r="N241" s="315"/>
      <x:c r="O241" s="316"/>
      <x:c r="P241" s="349"/>
      <x:c r="Q241" s="707"/>
      <x:c r="R241" s="707"/>
      <x:c r="S241" s="708"/>
      <x:c r="T241" s="709"/>
      <x:c r="U241" s="704"/>
      <x:c r="V241" s="704"/>
      <x:c r="W241" s="704"/>
      <x:c r="X241" s="704" t="str">
        <x:f>IF(COUNTIF(R241:V241,"Belum Dinilai")&gt;0,"Belum Dinilai",IF(COUNTIF(R241:V241,"Ya")=0,"Tidak ada faktor rentan",TEXTJOIN(", ",TRUE,IF(R241="Ya","Lansia",""),IF(S241="Ya","Penyandang disabilitas",""),IF(T241="Ya","Kepala keluarga perempuan",""),IF(U241="Ya","Balita",""),IF(V241="Ya","Anggota keluarga dengan ketergantungan tinggi",""))))</x:f>
        <x:v>Tidak ada faktor rentan</x:v>
      </x:c>
      <x:c r="Y241" s="704" t="str">
        <x:f>IF(COUNTIF(R241:V241,"Belum Dinilai")&gt;0,"Belum Dinilai",IF(COUNTIF(R241:V241,"Ya")=0,"Tidak Ada Faktor Rentan",IF(COUNTIF(R241:V241,"Ya")=1,"1 Faktor Rentan","2 atau Lebih Faktor Rentan")))</x:f>
        <x:v>Tidak Ada Faktor Rentan</x:v>
      </x:c>
      <x:c r="Z241" s="704" t="str">
        <x:f>IF(OR(Q241="",Q241="Belum Dinilai"),"",IF(Q241="Terverifikasi DTKS/P3KE/MBR",10,IF(Q241="Diusulkan, Belum Terverifikasi",5,0)))</x:f>
      </x:c>
      <x:c r="AA241" s="705" t="n">
        <x:f>IF(COUNTIF(R241:V241,"Belum Dinilai")&gt;0,"",IF(COUNTIF(R241:V241,"Ya")=0,0,IF(COUNTIF(R241:V241,"Ya")=1,5,10)))</x:f>
        <x:v>0</x:v>
      </x:c>
      <x:c r="AB241" s="706" t="str">
        <x:f>IF(OR(Z241="",AA241=""),"",Z241+AA241)</x:f>
      </x:c>
      <x:c r="AC241" s="713"/>
      <x:c r="AD241" s="713"/>
      <x:c r="AE241" s="714"/>
      <x:c r="AF241" s="713"/>
      <x:c r="AG241" s="713"/>
      <x:c r="AH241" s="715"/>
      <x:c r="AI241" s="714"/>
      <x:c r="AJ241" s="713"/>
      <x:c r="AK241" s="715"/>
      <x:c r="AL241" s="713"/>
      <x:c r="AM241" s="716"/>
      <x:c r="AN241" s="716" t="str">
        <x:f>IF(AND(COUNTIF(AC241:AK241,"Ya")=0,AL241=""),IF(COUNTIF(AC241:AK241,"Belum Dinilai")&gt;0,"Belum Dinilai","Tidak ada risiko khusus"),TEXTJOIN(", ",TRUE,IF(AC241="Ya","Bangunan berpotensi roboh",""),IF(AD241="Ya","Bekas kebakaran dan tidak aman dihuni",""),IF(AE241="Ya","Atap atau dinding utama hampir runtuh",""),IF(AF241="Ya","Genangan yang membahayakan",""),IF(AG241="Ya","Struktur rumah tidak stabil",""),IF(AH241="Ya","Instalasi listrik berbahaya",""),IF(AI241="Ya","Komponen bangunan lepas atau lapuk",""),IF(AJ241="Ya","Akses keluar atau evakuasi terbatas",""),IF(AK241="Ya","Lokasi rawan bencana",""),IF(AL241&lt;&gt;"","Lainnya: "&amp;AL241,"")))</x:f>
        <x:v>Tidak ada risiko khusus</x:v>
      </x:c>
      <x:c r="AO241" s="716" t="str">
        <x:f>IF(AR241="","Belum Dinilai",IF(AR241=10,"Risiko Tinggi/Darurat",IF(AR241=5,"Risiko Sedang","Tidak Ada Risiko Khusus")))</x:f>
        <x:v>Belum Dinilai</x:v>
      </x:c>
      <x:c r="AP241" s="716"/>
      <x:c r="AQ241" s="719" t="str">
        <x:f>IF(OR(J241="",J241="Belum Dapat Ditentukan",L241="",L241="Belum Dinilai",N241="",N241="Belum Dinilai",P241="",P241="Belum Dinilai"),"",IF(J241="Permanen",0,IF(J241="Semipermanen",8,IF(J241="Nonpermanen",15,0)))+IF(L241="Baik",0,IF(L241="Rusak Ringan",5,IF(L241="Rusak Sedang",10,IF(L241="Rusak Berat",15,IF(L241="Tidak Ada/Terbuka",20,0)))))+IF(N241="Baik",0,IF(N241="Rusak Ringan",5,IF(N241="Rusak Sedang",10,IF(N241="Rusak Berat",15,IF(N241="Tidak Ada/Terbuka",20,0)))))+IF(P241="Baik",0,IF(P241="Rusak Ringan",4,IF(P241="Rusak Sedang",8,IF(P241="Rusak Berat",12,IF(P241="Tidak Layak",15,0))))))</x:f>
      </x:c>
      <x:c r="AR241" s="719" t="n">
        <x:f>IF(COUNTIF(AC241:AH241,"Ya")&gt;0,10,IF(COUNTIF(AI241:AK241,"Ya")&gt;=2,10,IF(COUNTIF(AI241:AK241,"Ya")=1,MAX(5,IF(AM241="Risiko Tinggi/Darurat",10,IF(AM241="Risiko Sedang",5,0))),IF(AL241&lt;&gt;"",IF(AM241="Risiko Tinggi/Darurat",10,IF(AM241="Risiko Sedang",5,"")),IF(COUNTIF(AC241:AK241,"Belum Dinilai")&gt;0,"",0)))))</x:f>
        <x:v>0</x:v>
      </x:c>
      <x:c r="AS241" s="719" t="str">
        <x:f>IF(OR(AQ241="",AB241="",AR241=""),"",AQ241+AB241+AR241)</x:f>
      </x:c>
      <x:c r="AT241" s="719" t="str">
        <x:f>IF(AS241="","Belum Dapat Ditentukan",IF(AS241&gt;=80,"Sangat Tinggi",IF(OR(AO241="Risiko Tinggi/Darurat",(IF(L241="Rusak Berat",1,0)+IF(L241="Tidak Ada/Terbuka",1,0)+IF(N241="Rusak Berat",1,0)+IF(N241="Tidak Ada/Terbuka",1,0)+IF(P241="Rusak Berat",1,0)+IF(P241="Tidak Layak",1,0))&gt;=2),"Tinggi",IF(AS241&gt;=65,"Tinggi",IF(AS241&gt;=50,"Sedang","Rendah")))))</x:f>
        <x:v>Belum Dapat Ditentukan</x:v>
      </x:c>
      <x:c r="AU241" s="240"/>
      <x:c r="AV241" s="240"/>
      <x:c r="AW241" s="240"/>
      <x:c r="AX241" s="240"/>
      <x:c r="AY241" s="240"/>
      <x:c r="AZ241" s="240"/>
      <x:c r="BA241" s="240"/>
      <x:c r="BB241" s="240"/>
      <x:c r="BC241" s="240"/>
      <x:c r="BD241" s="240"/>
      <x:c r="BE241" s="240"/>
      <x:c r="BF241" s="240"/>
    </x:row>
    <x:row r="242" ht="32" customHeight="1">
      <x:c r="A242" s="314"/>
      <x:c r="B242" s="315"/>
      <x:c r="C242" s="316"/>
      <x:c r="D242" s="316"/>
      <x:c r="E242" s="315"/>
      <x:c r="F242" s="315"/>
      <x:c r="G242" s="315"/>
      <x:c r="H242" s="315"/>
      <x:c r="I242" s="317"/>
      <x:c r="J242" s="315"/>
      <x:c r="K242" s="315"/>
      <x:c r="L242" s="315"/>
      <x:c r="M242" s="367"/>
      <x:c r="N242" s="315"/>
      <x:c r="O242" s="316"/>
      <x:c r="P242" s="349"/>
      <x:c r="Q242" s="707"/>
      <x:c r="R242" s="707"/>
      <x:c r="S242" s="708"/>
      <x:c r="T242" s="709"/>
      <x:c r="U242" s="704"/>
      <x:c r="V242" s="704"/>
      <x:c r="W242" s="704"/>
      <x:c r="X242" s="704" t="str">
        <x:f>IF(COUNTIF(R242:V242,"Belum Dinilai")&gt;0,"Belum Dinilai",IF(COUNTIF(R242:V242,"Ya")=0,"Tidak ada faktor rentan",TEXTJOIN(", ",TRUE,IF(R242="Ya","Lansia",""),IF(S242="Ya","Penyandang disabilitas",""),IF(T242="Ya","Kepala keluarga perempuan",""),IF(U242="Ya","Balita",""),IF(V242="Ya","Anggota keluarga dengan ketergantungan tinggi",""))))</x:f>
        <x:v>Tidak ada faktor rentan</x:v>
      </x:c>
      <x:c r="Y242" s="704" t="str">
        <x:f>IF(COUNTIF(R242:V242,"Belum Dinilai")&gt;0,"Belum Dinilai",IF(COUNTIF(R242:V242,"Ya")=0,"Tidak Ada Faktor Rentan",IF(COUNTIF(R242:V242,"Ya")=1,"1 Faktor Rentan","2 atau Lebih Faktor Rentan")))</x:f>
        <x:v>Tidak Ada Faktor Rentan</x:v>
      </x:c>
      <x:c r="Z242" s="704" t="str">
        <x:f>IF(OR(Q242="",Q242="Belum Dinilai"),"",IF(Q242="Terverifikasi DTKS/P3KE/MBR",10,IF(Q242="Diusulkan, Belum Terverifikasi",5,0)))</x:f>
      </x:c>
      <x:c r="AA242" s="705" t="n">
        <x:f>IF(COUNTIF(R242:V242,"Belum Dinilai")&gt;0,"",IF(COUNTIF(R242:V242,"Ya")=0,0,IF(COUNTIF(R242:V242,"Ya")=1,5,10)))</x:f>
        <x:v>0</x:v>
      </x:c>
      <x:c r="AB242" s="706" t="str">
        <x:f>IF(OR(Z242="",AA242=""),"",Z242+AA242)</x:f>
      </x:c>
      <x:c r="AC242" s="713"/>
      <x:c r="AD242" s="713"/>
      <x:c r="AE242" s="714"/>
      <x:c r="AF242" s="713"/>
      <x:c r="AG242" s="713"/>
      <x:c r="AH242" s="715"/>
      <x:c r="AI242" s="714"/>
      <x:c r="AJ242" s="713"/>
      <x:c r="AK242" s="715"/>
      <x:c r="AL242" s="713"/>
      <x:c r="AM242" s="716"/>
      <x:c r="AN242" s="716" t="str">
        <x:f>IF(AND(COUNTIF(AC242:AK242,"Ya")=0,AL242=""),IF(COUNTIF(AC242:AK242,"Belum Dinilai")&gt;0,"Belum Dinilai","Tidak ada risiko khusus"),TEXTJOIN(", ",TRUE,IF(AC242="Ya","Bangunan berpotensi roboh",""),IF(AD242="Ya","Bekas kebakaran dan tidak aman dihuni",""),IF(AE242="Ya","Atap atau dinding utama hampir runtuh",""),IF(AF242="Ya","Genangan yang membahayakan",""),IF(AG242="Ya","Struktur rumah tidak stabil",""),IF(AH242="Ya","Instalasi listrik berbahaya",""),IF(AI242="Ya","Komponen bangunan lepas atau lapuk",""),IF(AJ242="Ya","Akses keluar atau evakuasi terbatas",""),IF(AK242="Ya","Lokasi rawan bencana",""),IF(AL242&lt;&gt;"","Lainnya: "&amp;AL242,"")))</x:f>
        <x:v>Tidak ada risiko khusus</x:v>
      </x:c>
      <x:c r="AO242" s="716" t="str">
        <x:f>IF(AR242="","Belum Dinilai",IF(AR242=10,"Risiko Tinggi/Darurat",IF(AR242=5,"Risiko Sedang","Tidak Ada Risiko Khusus")))</x:f>
        <x:v>Belum Dinilai</x:v>
      </x:c>
      <x:c r="AP242" s="716"/>
      <x:c r="AQ242" s="719" t="str">
        <x:f>IF(OR(J242="",J242="Belum Dapat Ditentukan",L242="",L242="Belum Dinilai",N242="",N242="Belum Dinilai",P242="",P242="Belum Dinilai"),"",IF(J242="Permanen",0,IF(J242="Semipermanen",8,IF(J242="Nonpermanen",15,0)))+IF(L242="Baik",0,IF(L242="Rusak Ringan",5,IF(L242="Rusak Sedang",10,IF(L242="Rusak Berat",15,IF(L242="Tidak Ada/Terbuka",20,0)))))+IF(N242="Baik",0,IF(N242="Rusak Ringan",5,IF(N242="Rusak Sedang",10,IF(N242="Rusak Berat",15,IF(N242="Tidak Ada/Terbuka",20,0)))))+IF(P242="Baik",0,IF(P242="Rusak Ringan",4,IF(P242="Rusak Sedang",8,IF(P242="Rusak Berat",12,IF(P242="Tidak Layak",15,0))))))</x:f>
      </x:c>
      <x:c r="AR242" s="719" t="n">
        <x:f>IF(COUNTIF(AC242:AH242,"Ya")&gt;0,10,IF(COUNTIF(AI242:AK242,"Ya")&gt;=2,10,IF(COUNTIF(AI242:AK242,"Ya")=1,MAX(5,IF(AM242="Risiko Tinggi/Darurat",10,IF(AM242="Risiko Sedang",5,0))),IF(AL242&lt;&gt;"",IF(AM242="Risiko Tinggi/Darurat",10,IF(AM242="Risiko Sedang",5,"")),IF(COUNTIF(AC242:AK242,"Belum Dinilai")&gt;0,"",0)))))</x:f>
        <x:v>0</x:v>
      </x:c>
      <x:c r="AS242" s="719" t="str">
        <x:f>IF(OR(AQ242="",AB242="",AR242=""),"",AQ242+AB242+AR242)</x:f>
      </x:c>
      <x:c r="AT242" s="719" t="str">
        <x:f>IF(AS242="","Belum Dapat Ditentukan",IF(AS242&gt;=80,"Sangat Tinggi",IF(OR(AO242="Risiko Tinggi/Darurat",(IF(L242="Rusak Berat",1,0)+IF(L242="Tidak Ada/Terbuka",1,0)+IF(N242="Rusak Berat",1,0)+IF(N242="Tidak Ada/Terbuka",1,0)+IF(P242="Rusak Berat",1,0)+IF(P242="Tidak Layak",1,0))&gt;=2),"Tinggi",IF(AS242&gt;=65,"Tinggi",IF(AS242&gt;=50,"Sedang","Rendah")))))</x:f>
        <x:v>Belum Dapat Ditentukan</x:v>
      </x:c>
      <x:c r="AU242" s="240"/>
      <x:c r="AV242" s="240"/>
      <x:c r="AW242" s="240"/>
      <x:c r="AX242" s="240"/>
      <x:c r="AY242" s="240"/>
      <x:c r="AZ242" s="240"/>
      <x:c r="BA242" s="240"/>
      <x:c r="BB242" s="240"/>
      <x:c r="BC242" s="240"/>
      <x:c r="BD242" s="240"/>
      <x:c r="BE242" s="240"/>
      <x:c r="BF242" s="240"/>
    </x:row>
    <x:row r="243" ht="32" customHeight="1">
      <x:c r="A243" s="314"/>
      <x:c r="B243" s="315"/>
      <x:c r="C243" s="316"/>
      <x:c r="D243" s="316"/>
      <x:c r="E243" s="315"/>
      <x:c r="F243" s="315"/>
      <x:c r="G243" s="315"/>
      <x:c r="H243" s="315"/>
      <x:c r="I243" s="317"/>
      <x:c r="J243" s="315"/>
      <x:c r="K243" s="315"/>
      <x:c r="L243" s="315"/>
      <x:c r="M243" s="367"/>
      <x:c r="N243" s="315"/>
      <x:c r="O243" s="316"/>
      <x:c r="P243" s="349"/>
      <x:c r="Q243" s="707"/>
      <x:c r="R243" s="707"/>
      <x:c r="S243" s="708"/>
      <x:c r="T243" s="709"/>
      <x:c r="U243" s="704"/>
      <x:c r="V243" s="704"/>
      <x:c r="W243" s="704"/>
      <x:c r="X243" s="704" t="str">
        <x:f>IF(COUNTIF(R243:V243,"Belum Dinilai")&gt;0,"Belum Dinilai",IF(COUNTIF(R243:V243,"Ya")=0,"Tidak ada faktor rentan",TEXTJOIN(", ",TRUE,IF(R243="Ya","Lansia",""),IF(S243="Ya","Penyandang disabilitas",""),IF(T243="Ya","Kepala keluarga perempuan",""),IF(U243="Ya","Balita",""),IF(V243="Ya","Anggota keluarga dengan ketergantungan tinggi",""))))</x:f>
        <x:v>Tidak ada faktor rentan</x:v>
      </x:c>
      <x:c r="Y243" s="704" t="str">
        <x:f>IF(COUNTIF(R243:V243,"Belum Dinilai")&gt;0,"Belum Dinilai",IF(COUNTIF(R243:V243,"Ya")=0,"Tidak Ada Faktor Rentan",IF(COUNTIF(R243:V243,"Ya")=1,"1 Faktor Rentan","2 atau Lebih Faktor Rentan")))</x:f>
        <x:v>Tidak Ada Faktor Rentan</x:v>
      </x:c>
      <x:c r="Z243" s="704" t="str">
        <x:f>IF(OR(Q243="",Q243="Belum Dinilai"),"",IF(Q243="Terverifikasi DTKS/P3KE/MBR",10,IF(Q243="Diusulkan, Belum Terverifikasi",5,0)))</x:f>
      </x:c>
      <x:c r="AA243" s="705" t="n">
        <x:f>IF(COUNTIF(R243:V243,"Belum Dinilai")&gt;0,"",IF(COUNTIF(R243:V243,"Ya")=0,0,IF(COUNTIF(R243:V243,"Ya")=1,5,10)))</x:f>
        <x:v>0</x:v>
      </x:c>
      <x:c r="AB243" s="706" t="str">
        <x:f>IF(OR(Z243="",AA243=""),"",Z243+AA243)</x:f>
      </x:c>
      <x:c r="AC243" s="713"/>
      <x:c r="AD243" s="713"/>
      <x:c r="AE243" s="714"/>
      <x:c r="AF243" s="713"/>
      <x:c r="AG243" s="713"/>
      <x:c r="AH243" s="715"/>
      <x:c r="AI243" s="714"/>
      <x:c r="AJ243" s="713"/>
      <x:c r="AK243" s="715"/>
      <x:c r="AL243" s="713"/>
      <x:c r="AM243" s="716"/>
      <x:c r="AN243" s="716" t="str">
        <x:f>IF(AND(COUNTIF(AC243:AK243,"Ya")=0,AL243=""),IF(COUNTIF(AC243:AK243,"Belum Dinilai")&gt;0,"Belum Dinilai","Tidak ada risiko khusus"),TEXTJOIN(", ",TRUE,IF(AC243="Ya","Bangunan berpotensi roboh",""),IF(AD243="Ya","Bekas kebakaran dan tidak aman dihuni",""),IF(AE243="Ya","Atap atau dinding utama hampir runtuh",""),IF(AF243="Ya","Genangan yang membahayakan",""),IF(AG243="Ya","Struktur rumah tidak stabil",""),IF(AH243="Ya","Instalasi listrik berbahaya",""),IF(AI243="Ya","Komponen bangunan lepas atau lapuk",""),IF(AJ243="Ya","Akses keluar atau evakuasi terbatas",""),IF(AK243="Ya","Lokasi rawan bencana",""),IF(AL243&lt;&gt;"","Lainnya: "&amp;AL243,"")))</x:f>
        <x:v>Tidak ada risiko khusus</x:v>
      </x:c>
      <x:c r="AO243" s="716" t="str">
        <x:f>IF(AR243="","Belum Dinilai",IF(AR243=10,"Risiko Tinggi/Darurat",IF(AR243=5,"Risiko Sedang","Tidak Ada Risiko Khusus")))</x:f>
        <x:v>Belum Dinilai</x:v>
      </x:c>
      <x:c r="AP243" s="716"/>
      <x:c r="AQ243" s="719" t="str">
        <x:f>IF(OR(J243="",J243="Belum Dapat Ditentukan",L243="",L243="Belum Dinilai",N243="",N243="Belum Dinilai",P243="",P243="Belum Dinilai"),"",IF(J243="Permanen",0,IF(J243="Semipermanen",8,IF(J243="Nonpermanen",15,0)))+IF(L243="Baik",0,IF(L243="Rusak Ringan",5,IF(L243="Rusak Sedang",10,IF(L243="Rusak Berat",15,IF(L243="Tidak Ada/Terbuka",20,0)))))+IF(N243="Baik",0,IF(N243="Rusak Ringan",5,IF(N243="Rusak Sedang",10,IF(N243="Rusak Berat",15,IF(N243="Tidak Ada/Terbuka",20,0)))))+IF(P243="Baik",0,IF(P243="Rusak Ringan",4,IF(P243="Rusak Sedang",8,IF(P243="Rusak Berat",12,IF(P243="Tidak Layak",15,0))))))</x:f>
      </x:c>
      <x:c r="AR243" s="719" t="n">
        <x:f>IF(COUNTIF(AC243:AH243,"Ya")&gt;0,10,IF(COUNTIF(AI243:AK243,"Ya")&gt;=2,10,IF(COUNTIF(AI243:AK243,"Ya")=1,MAX(5,IF(AM243="Risiko Tinggi/Darurat",10,IF(AM243="Risiko Sedang",5,0))),IF(AL243&lt;&gt;"",IF(AM243="Risiko Tinggi/Darurat",10,IF(AM243="Risiko Sedang",5,"")),IF(COUNTIF(AC243:AK243,"Belum Dinilai")&gt;0,"",0)))))</x:f>
        <x:v>0</x:v>
      </x:c>
      <x:c r="AS243" s="719" t="str">
        <x:f>IF(OR(AQ243="",AB243="",AR243=""),"",AQ243+AB243+AR243)</x:f>
      </x:c>
      <x:c r="AT243" s="719" t="str">
        <x:f>IF(AS243="","Belum Dapat Ditentukan",IF(AS243&gt;=80,"Sangat Tinggi",IF(OR(AO243="Risiko Tinggi/Darurat",(IF(L243="Rusak Berat",1,0)+IF(L243="Tidak Ada/Terbuka",1,0)+IF(N243="Rusak Berat",1,0)+IF(N243="Tidak Ada/Terbuka",1,0)+IF(P243="Rusak Berat",1,0)+IF(P243="Tidak Layak",1,0))&gt;=2),"Tinggi",IF(AS243&gt;=65,"Tinggi",IF(AS243&gt;=50,"Sedang","Rendah")))))</x:f>
        <x:v>Belum Dapat Ditentukan</x:v>
      </x:c>
      <x:c r="AU243" s="240"/>
      <x:c r="AV243" s="240"/>
      <x:c r="AW243" s="240"/>
      <x:c r="AX243" s="240"/>
      <x:c r="AY243" s="240"/>
      <x:c r="AZ243" s="240"/>
      <x:c r="BA243" s="240"/>
      <x:c r="BB243" s="240"/>
      <x:c r="BC243" s="240"/>
      <x:c r="BD243" s="240"/>
      <x:c r="BE243" s="240"/>
      <x:c r="BF243" s="240"/>
    </x:row>
    <x:row r="244" ht="32" customHeight="1">
      <x:c r="A244" s="314"/>
      <x:c r="B244" s="315"/>
      <x:c r="C244" s="316"/>
      <x:c r="D244" s="316"/>
      <x:c r="E244" s="315"/>
      <x:c r="F244" s="315"/>
      <x:c r="G244" s="315"/>
      <x:c r="H244" s="315"/>
      <x:c r="I244" s="317"/>
      <x:c r="J244" s="315"/>
      <x:c r="K244" s="315"/>
      <x:c r="L244" s="315"/>
      <x:c r="M244" s="367"/>
      <x:c r="N244" s="315"/>
      <x:c r="O244" s="316"/>
      <x:c r="P244" s="349"/>
      <x:c r="Q244" s="707"/>
      <x:c r="R244" s="707"/>
      <x:c r="S244" s="708"/>
      <x:c r="T244" s="709"/>
      <x:c r="U244" s="704"/>
      <x:c r="V244" s="704"/>
      <x:c r="W244" s="704"/>
      <x:c r="X244" s="704" t="str">
        <x:f>IF(COUNTIF(R244:V244,"Belum Dinilai")&gt;0,"Belum Dinilai",IF(COUNTIF(R244:V244,"Ya")=0,"Tidak ada faktor rentan",TEXTJOIN(", ",TRUE,IF(R244="Ya","Lansia",""),IF(S244="Ya","Penyandang disabilitas",""),IF(T244="Ya","Kepala keluarga perempuan",""),IF(U244="Ya","Balita",""),IF(V244="Ya","Anggota keluarga dengan ketergantungan tinggi",""))))</x:f>
        <x:v>Tidak ada faktor rentan</x:v>
      </x:c>
      <x:c r="Y244" s="704" t="str">
        <x:f>IF(COUNTIF(R244:V244,"Belum Dinilai")&gt;0,"Belum Dinilai",IF(COUNTIF(R244:V244,"Ya")=0,"Tidak Ada Faktor Rentan",IF(COUNTIF(R244:V244,"Ya")=1,"1 Faktor Rentan","2 atau Lebih Faktor Rentan")))</x:f>
        <x:v>Tidak Ada Faktor Rentan</x:v>
      </x:c>
      <x:c r="Z244" s="704" t="str">
        <x:f>IF(OR(Q244="",Q244="Belum Dinilai"),"",IF(Q244="Terverifikasi DTKS/P3KE/MBR",10,IF(Q244="Diusulkan, Belum Terverifikasi",5,0)))</x:f>
      </x:c>
      <x:c r="AA244" s="705" t="n">
        <x:f>IF(COUNTIF(R244:V244,"Belum Dinilai")&gt;0,"",IF(COUNTIF(R244:V244,"Ya")=0,0,IF(COUNTIF(R244:V244,"Ya")=1,5,10)))</x:f>
        <x:v>0</x:v>
      </x:c>
      <x:c r="AB244" s="706" t="str">
        <x:f>IF(OR(Z244="",AA244=""),"",Z244+AA244)</x:f>
      </x:c>
      <x:c r="AC244" s="713"/>
      <x:c r="AD244" s="713"/>
      <x:c r="AE244" s="714"/>
      <x:c r="AF244" s="713"/>
      <x:c r="AG244" s="713"/>
      <x:c r="AH244" s="715"/>
      <x:c r="AI244" s="714"/>
      <x:c r="AJ244" s="713"/>
      <x:c r="AK244" s="715"/>
      <x:c r="AL244" s="713"/>
      <x:c r="AM244" s="716"/>
      <x:c r="AN244" s="716" t="str">
        <x:f>IF(AND(COUNTIF(AC244:AK244,"Ya")=0,AL244=""),IF(COUNTIF(AC244:AK244,"Belum Dinilai")&gt;0,"Belum Dinilai","Tidak ada risiko khusus"),TEXTJOIN(", ",TRUE,IF(AC244="Ya","Bangunan berpotensi roboh",""),IF(AD244="Ya","Bekas kebakaran dan tidak aman dihuni",""),IF(AE244="Ya","Atap atau dinding utama hampir runtuh",""),IF(AF244="Ya","Genangan yang membahayakan",""),IF(AG244="Ya","Struktur rumah tidak stabil",""),IF(AH244="Ya","Instalasi listrik berbahaya",""),IF(AI244="Ya","Komponen bangunan lepas atau lapuk",""),IF(AJ244="Ya","Akses keluar atau evakuasi terbatas",""),IF(AK244="Ya","Lokasi rawan bencana",""),IF(AL244&lt;&gt;"","Lainnya: "&amp;AL244,"")))</x:f>
        <x:v>Tidak ada risiko khusus</x:v>
      </x:c>
      <x:c r="AO244" s="716" t="str">
        <x:f>IF(AR244="","Belum Dinilai",IF(AR244=10,"Risiko Tinggi/Darurat",IF(AR244=5,"Risiko Sedang","Tidak Ada Risiko Khusus")))</x:f>
        <x:v>Belum Dinilai</x:v>
      </x:c>
      <x:c r="AP244" s="716"/>
      <x:c r="AQ244" s="719" t="str">
        <x:f>IF(OR(J244="",J244="Belum Dapat Ditentukan",L244="",L244="Belum Dinilai",N244="",N244="Belum Dinilai",P244="",P244="Belum Dinilai"),"",IF(J244="Permanen",0,IF(J244="Semipermanen",8,IF(J244="Nonpermanen",15,0)))+IF(L244="Baik",0,IF(L244="Rusak Ringan",5,IF(L244="Rusak Sedang",10,IF(L244="Rusak Berat",15,IF(L244="Tidak Ada/Terbuka",20,0)))))+IF(N244="Baik",0,IF(N244="Rusak Ringan",5,IF(N244="Rusak Sedang",10,IF(N244="Rusak Berat",15,IF(N244="Tidak Ada/Terbuka",20,0)))))+IF(P244="Baik",0,IF(P244="Rusak Ringan",4,IF(P244="Rusak Sedang",8,IF(P244="Rusak Berat",12,IF(P244="Tidak Layak",15,0))))))</x:f>
      </x:c>
      <x:c r="AR244" s="719" t="n">
        <x:f>IF(COUNTIF(AC244:AH244,"Ya")&gt;0,10,IF(COUNTIF(AI244:AK244,"Ya")&gt;=2,10,IF(COUNTIF(AI244:AK244,"Ya")=1,MAX(5,IF(AM244="Risiko Tinggi/Darurat",10,IF(AM244="Risiko Sedang",5,0))),IF(AL244&lt;&gt;"",IF(AM244="Risiko Tinggi/Darurat",10,IF(AM244="Risiko Sedang",5,"")),IF(COUNTIF(AC244:AK244,"Belum Dinilai")&gt;0,"",0)))))</x:f>
        <x:v>0</x:v>
      </x:c>
      <x:c r="AS244" s="719" t="str">
        <x:f>IF(OR(AQ244="",AB244="",AR244=""),"",AQ244+AB244+AR244)</x:f>
      </x:c>
      <x:c r="AT244" s="719" t="str">
        <x:f>IF(AS244="","Belum Dapat Ditentukan",IF(AS244&gt;=80,"Sangat Tinggi",IF(OR(AO244="Risiko Tinggi/Darurat",(IF(L244="Rusak Berat",1,0)+IF(L244="Tidak Ada/Terbuka",1,0)+IF(N244="Rusak Berat",1,0)+IF(N244="Tidak Ada/Terbuka",1,0)+IF(P244="Rusak Berat",1,0)+IF(P244="Tidak Layak",1,0))&gt;=2),"Tinggi",IF(AS244&gt;=65,"Tinggi",IF(AS244&gt;=50,"Sedang","Rendah")))))</x:f>
        <x:v>Belum Dapat Ditentukan</x:v>
      </x:c>
      <x:c r="AU244" s="240"/>
      <x:c r="AV244" s="240"/>
      <x:c r="AW244" s="240"/>
      <x:c r="AX244" s="240"/>
      <x:c r="AY244" s="240"/>
      <x:c r="AZ244" s="240"/>
      <x:c r="BA244" s="240"/>
      <x:c r="BB244" s="240"/>
      <x:c r="BC244" s="240"/>
      <x:c r="BD244" s="240"/>
      <x:c r="BE244" s="240"/>
      <x:c r="BF244" s="240"/>
    </x:row>
    <x:row r="245" ht="32" customHeight="1">
      <x:c r="A245" s="314"/>
      <x:c r="B245" s="315"/>
      <x:c r="C245" s="316"/>
      <x:c r="D245" s="316"/>
      <x:c r="E245" s="315"/>
      <x:c r="F245" s="315"/>
      <x:c r="G245" s="315"/>
      <x:c r="H245" s="315"/>
      <x:c r="I245" s="317"/>
      <x:c r="J245" s="315"/>
      <x:c r="K245" s="315"/>
      <x:c r="L245" s="315"/>
      <x:c r="M245" s="367"/>
      <x:c r="N245" s="315"/>
      <x:c r="O245" s="316"/>
      <x:c r="P245" s="349"/>
      <x:c r="Q245" s="707"/>
      <x:c r="R245" s="707"/>
      <x:c r="S245" s="708"/>
      <x:c r="T245" s="709"/>
      <x:c r="U245" s="704"/>
      <x:c r="V245" s="704"/>
      <x:c r="W245" s="704"/>
      <x:c r="X245" s="704" t="str">
        <x:f>IF(COUNTIF(R245:V245,"Belum Dinilai")&gt;0,"Belum Dinilai",IF(COUNTIF(R245:V245,"Ya")=0,"Tidak ada faktor rentan",TEXTJOIN(", ",TRUE,IF(R245="Ya","Lansia",""),IF(S245="Ya","Penyandang disabilitas",""),IF(T245="Ya","Kepala keluarga perempuan",""),IF(U245="Ya","Balita",""),IF(V245="Ya","Anggota keluarga dengan ketergantungan tinggi",""))))</x:f>
        <x:v>Tidak ada faktor rentan</x:v>
      </x:c>
      <x:c r="Y245" s="704" t="str">
        <x:f>IF(COUNTIF(R245:V245,"Belum Dinilai")&gt;0,"Belum Dinilai",IF(COUNTIF(R245:V245,"Ya")=0,"Tidak Ada Faktor Rentan",IF(COUNTIF(R245:V245,"Ya")=1,"1 Faktor Rentan","2 atau Lebih Faktor Rentan")))</x:f>
        <x:v>Tidak Ada Faktor Rentan</x:v>
      </x:c>
      <x:c r="Z245" s="704" t="str">
        <x:f>IF(OR(Q245="",Q245="Belum Dinilai"),"",IF(Q245="Terverifikasi DTKS/P3KE/MBR",10,IF(Q245="Diusulkan, Belum Terverifikasi",5,0)))</x:f>
      </x:c>
      <x:c r="AA245" s="705" t="n">
        <x:f>IF(COUNTIF(R245:V245,"Belum Dinilai")&gt;0,"",IF(COUNTIF(R245:V245,"Ya")=0,0,IF(COUNTIF(R245:V245,"Ya")=1,5,10)))</x:f>
        <x:v>0</x:v>
      </x:c>
      <x:c r="AB245" s="706" t="str">
        <x:f>IF(OR(Z245="",AA245=""),"",Z245+AA245)</x:f>
      </x:c>
      <x:c r="AC245" s="713"/>
      <x:c r="AD245" s="713"/>
      <x:c r="AE245" s="714"/>
      <x:c r="AF245" s="713"/>
      <x:c r="AG245" s="713"/>
      <x:c r="AH245" s="715"/>
      <x:c r="AI245" s="714"/>
      <x:c r="AJ245" s="713"/>
      <x:c r="AK245" s="715"/>
      <x:c r="AL245" s="713"/>
      <x:c r="AM245" s="716"/>
      <x:c r="AN245" s="716" t="str">
        <x:f>IF(AND(COUNTIF(AC245:AK245,"Ya")=0,AL245=""),IF(COUNTIF(AC245:AK245,"Belum Dinilai")&gt;0,"Belum Dinilai","Tidak ada risiko khusus"),TEXTJOIN(", ",TRUE,IF(AC245="Ya","Bangunan berpotensi roboh",""),IF(AD245="Ya","Bekas kebakaran dan tidak aman dihuni",""),IF(AE245="Ya","Atap atau dinding utama hampir runtuh",""),IF(AF245="Ya","Genangan yang membahayakan",""),IF(AG245="Ya","Struktur rumah tidak stabil",""),IF(AH245="Ya","Instalasi listrik berbahaya",""),IF(AI245="Ya","Komponen bangunan lepas atau lapuk",""),IF(AJ245="Ya","Akses keluar atau evakuasi terbatas",""),IF(AK245="Ya","Lokasi rawan bencana",""),IF(AL245&lt;&gt;"","Lainnya: "&amp;AL245,"")))</x:f>
        <x:v>Tidak ada risiko khusus</x:v>
      </x:c>
      <x:c r="AO245" s="716" t="str">
        <x:f>IF(AR245="","Belum Dinilai",IF(AR245=10,"Risiko Tinggi/Darurat",IF(AR245=5,"Risiko Sedang","Tidak Ada Risiko Khusus")))</x:f>
        <x:v>Belum Dinilai</x:v>
      </x:c>
      <x:c r="AP245" s="716"/>
      <x:c r="AQ245" s="719" t="str">
        <x:f>IF(OR(J245="",J245="Belum Dapat Ditentukan",L245="",L245="Belum Dinilai",N245="",N245="Belum Dinilai",P245="",P245="Belum Dinilai"),"",IF(J245="Permanen",0,IF(J245="Semipermanen",8,IF(J245="Nonpermanen",15,0)))+IF(L245="Baik",0,IF(L245="Rusak Ringan",5,IF(L245="Rusak Sedang",10,IF(L245="Rusak Berat",15,IF(L245="Tidak Ada/Terbuka",20,0)))))+IF(N245="Baik",0,IF(N245="Rusak Ringan",5,IF(N245="Rusak Sedang",10,IF(N245="Rusak Berat",15,IF(N245="Tidak Ada/Terbuka",20,0)))))+IF(P245="Baik",0,IF(P245="Rusak Ringan",4,IF(P245="Rusak Sedang",8,IF(P245="Rusak Berat",12,IF(P245="Tidak Layak",15,0))))))</x:f>
      </x:c>
      <x:c r="AR245" s="719" t="n">
        <x:f>IF(COUNTIF(AC245:AH245,"Ya")&gt;0,10,IF(COUNTIF(AI245:AK245,"Ya")&gt;=2,10,IF(COUNTIF(AI245:AK245,"Ya")=1,MAX(5,IF(AM245="Risiko Tinggi/Darurat",10,IF(AM245="Risiko Sedang",5,0))),IF(AL245&lt;&gt;"",IF(AM245="Risiko Tinggi/Darurat",10,IF(AM245="Risiko Sedang",5,"")),IF(COUNTIF(AC245:AK245,"Belum Dinilai")&gt;0,"",0)))))</x:f>
        <x:v>0</x:v>
      </x:c>
      <x:c r="AS245" s="719" t="str">
        <x:f>IF(OR(AQ245="",AB245="",AR245=""),"",AQ245+AB245+AR245)</x:f>
      </x:c>
      <x:c r="AT245" s="719" t="str">
        <x:f>IF(AS245="","Belum Dapat Ditentukan",IF(AS245&gt;=80,"Sangat Tinggi",IF(OR(AO245="Risiko Tinggi/Darurat",(IF(L245="Rusak Berat",1,0)+IF(L245="Tidak Ada/Terbuka",1,0)+IF(N245="Rusak Berat",1,0)+IF(N245="Tidak Ada/Terbuka",1,0)+IF(P245="Rusak Berat",1,0)+IF(P245="Tidak Layak",1,0))&gt;=2),"Tinggi",IF(AS245&gt;=65,"Tinggi",IF(AS245&gt;=50,"Sedang","Rendah")))))</x:f>
        <x:v>Belum Dapat Ditentukan</x:v>
      </x:c>
      <x:c r="AU245" s="240"/>
      <x:c r="AV245" s="240"/>
      <x:c r="AW245" s="240"/>
      <x:c r="AX245" s="240"/>
      <x:c r="AY245" s="240"/>
      <x:c r="AZ245" s="240"/>
      <x:c r="BA245" s="240"/>
      <x:c r="BB245" s="240"/>
      <x:c r="BC245" s="240"/>
      <x:c r="BD245" s="240"/>
      <x:c r="BE245" s="240"/>
      <x:c r="BF245" s="240"/>
    </x:row>
    <x:row r="246" ht="32" customHeight="1">
      <x:c r="A246" s="314"/>
      <x:c r="B246" s="315"/>
      <x:c r="C246" s="316"/>
      <x:c r="D246" s="316"/>
      <x:c r="E246" s="315"/>
      <x:c r="F246" s="315"/>
      <x:c r="G246" s="315"/>
      <x:c r="H246" s="315"/>
      <x:c r="I246" s="317"/>
      <x:c r="J246" s="315"/>
      <x:c r="K246" s="315"/>
      <x:c r="L246" s="315"/>
      <x:c r="M246" s="367"/>
      <x:c r="N246" s="315"/>
      <x:c r="O246" s="316"/>
      <x:c r="P246" s="349"/>
      <x:c r="Q246" s="707"/>
      <x:c r="R246" s="707"/>
      <x:c r="S246" s="708"/>
      <x:c r="T246" s="709"/>
      <x:c r="U246" s="704"/>
      <x:c r="V246" s="704"/>
      <x:c r="W246" s="704"/>
      <x:c r="X246" s="704" t="str">
        <x:f>IF(COUNTIF(R246:V246,"Belum Dinilai")&gt;0,"Belum Dinilai",IF(COUNTIF(R246:V246,"Ya")=0,"Tidak ada faktor rentan",TEXTJOIN(", ",TRUE,IF(R246="Ya","Lansia",""),IF(S246="Ya","Penyandang disabilitas",""),IF(T246="Ya","Kepala keluarga perempuan",""),IF(U246="Ya","Balita",""),IF(V246="Ya","Anggota keluarga dengan ketergantungan tinggi",""))))</x:f>
        <x:v>Tidak ada faktor rentan</x:v>
      </x:c>
      <x:c r="Y246" s="704" t="str">
        <x:f>IF(COUNTIF(R246:V246,"Belum Dinilai")&gt;0,"Belum Dinilai",IF(COUNTIF(R246:V246,"Ya")=0,"Tidak Ada Faktor Rentan",IF(COUNTIF(R246:V246,"Ya")=1,"1 Faktor Rentan","2 atau Lebih Faktor Rentan")))</x:f>
        <x:v>Tidak Ada Faktor Rentan</x:v>
      </x:c>
      <x:c r="Z246" s="704" t="str">
        <x:f>IF(OR(Q246="",Q246="Belum Dinilai"),"",IF(Q246="Terverifikasi DTKS/P3KE/MBR",10,IF(Q246="Diusulkan, Belum Terverifikasi",5,0)))</x:f>
      </x:c>
      <x:c r="AA246" s="705" t="n">
        <x:f>IF(COUNTIF(R246:V246,"Belum Dinilai")&gt;0,"",IF(COUNTIF(R246:V246,"Ya")=0,0,IF(COUNTIF(R246:V246,"Ya")=1,5,10)))</x:f>
        <x:v>0</x:v>
      </x:c>
      <x:c r="AB246" s="706" t="str">
        <x:f>IF(OR(Z246="",AA246=""),"",Z246+AA246)</x:f>
      </x:c>
      <x:c r="AC246" s="713"/>
      <x:c r="AD246" s="713"/>
      <x:c r="AE246" s="714"/>
      <x:c r="AF246" s="713"/>
      <x:c r="AG246" s="713"/>
      <x:c r="AH246" s="715"/>
      <x:c r="AI246" s="714"/>
      <x:c r="AJ246" s="713"/>
      <x:c r="AK246" s="715"/>
      <x:c r="AL246" s="713"/>
      <x:c r="AM246" s="716"/>
      <x:c r="AN246" s="716" t="str">
        <x:f>IF(AND(COUNTIF(AC246:AK246,"Ya")=0,AL246=""),IF(COUNTIF(AC246:AK246,"Belum Dinilai")&gt;0,"Belum Dinilai","Tidak ada risiko khusus"),TEXTJOIN(", ",TRUE,IF(AC246="Ya","Bangunan berpotensi roboh",""),IF(AD246="Ya","Bekas kebakaran dan tidak aman dihuni",""),IF(AE246="Ya","Atap atau dinding utama hampir runtuh",""),IF(AF246="Ya","Genangan yang membahayakan",""),IF(AG246="Ya","Struktur rumah tidak stabil",""),IF(AH246="Ya","Instalasi listrik berbahaya",""),IF(AI246="Ya","Komponen bangunan lepas atau lapuk",""),IF(AJ246="Ya","Akses keluar atau evakuasi terbatas",""),IF(AK246="Ya","Lokasi rawan bencana",""),IF(AL246&lt;&gt;"","Lainnya: "&amp;AL246,"")))</x:f>
        <x:v>Tidak ada risiko khusus</x:v>
      </x:c>
      <x:c r="AO246" s="716" t="str">
        <x:f>IF(AR246="","Belum Dinilai",IF(AR246=10,"Risiko Tinggi/Darurat",IF(AR246=5,"Risiko Sedang","Tidak Ada Risiko Khusus")))</x:f>
        <x:v>Belum Dinilai</x:v>
      </x:c>
      <x:c r="AP246" s="716"/>
      <x:c r="AQ246" s="719" t="str">
        <x:f>IF(OR(J246="",J246="Belum Dapat Ditentukan",L246="",L246="Belum Dinilai",N246="",N246="Belum Dinilai",P246="",P246="Belum Dinilai"),"",IF(J246="Permanen",0,IF(J246="Semipermanen",8,IF(J246="Nonpermanen",15,0)))+IF(L246="Baik",0,IF(L246="Rusak Ringan",5,IF(L246="Rusak Sedang",10,IF(L246="Rusak Berat",15,IF(L246="Tidak Ada/Terbuka",20,0)))))+IF(N246="Baik",0,IF(N246="Rusak Ringan",5,IF(N246="Rusak Sedang",10,IF(N246="Rusak Berat",15,IF(N246="Tidak Ada/Terbuka",20,0)))))+IF(P246="Baik",0,IF(P246="Rusak Ringan",4,IF(P246="Rusak Sedang",8,IF(P246="Rusak Berat",12,IF(P246="Tidak Layak",15,0))))))</x:f>
      </x:c>
      <x:c r="AR246" s="719" t="n">
        <x:f>IF(COUNTIF(AC246:AH246,"Ya")&gt;0,10,IF(COUNTIF(AI246:AK246,"Ya")&gt;=2,10,IF(COUNTIF(AI246:AK246,"Ya")=1,MAX(5,IF(AM246="Risiko Tinggi/Darurat",10,IF(AM246="Risiko Sedang",5,0))),IF(AL246&lt;&gt;"",IF(AM246="Risiko Tinggi/Darurat",10,IF(AM246="Risiko Sedang",5,"")),IF(COUNTIF(AC246:AK246,"Belum Dinilai")&gt;0,"",0)))))</x:f>
        <x:v>0</x:v>
      </x:c>
      <x:c r="AS246" s="719" t="str">
        <x:f>IF(OR(AQ246="",AB246="",AR246=""),"",AQ246+AB246+AR246)</x:f>
      </x:c>
      <x:c r="AT246" s="719" t="str">
        <x:f>IF(AS246="","Belum Dapat Ditentukan",IF(AS246&gt;=80,"Sangat Tinggi",IF(OR(AO246="Risiko Tinggi/Darurat",(IF(L246="Rusak Berat",1,0)+IF(L246="Tidak Ada/Terbuka",1,0)+IF(N246="Rusak Berat",1,0)+IF(N246="Tidak Ada/Terbuka",1,0)+IF(P246="Rusak Berat",1,0)+IF(P246="Tidak Layak",1,0))&gt;=2),"Tinggi",IF(AS246&gt;=65,"Tinggi",IF(AS246&gt;=50,"Sedang","Rendah")))))</x:f>
        <x:v>Belum Dapat Ditentukan</x:v>
      </x:c>
      <x:c r="AU246" s="240"/>
      <x:c r="AV246" s="240"/>
      <x:c r="AW246" s="240"/>
      <x:c r="AX246" s="240"/>
      <x:c r="AY246" s="240"/>
      <x:c r="AZ246" s="240"/>
      <x:c r="BA246" s="240"/>
      <x:c r="BB246" s="240"/>
      <x:c r="BC246" s="240"/>
      <x:c r="BD246" s="240"/>
      <x:c r="BE246" s="240"/>
      <x:c r="BF246" s="240"/>
    </x:row>
    <x:row r="247" ht="32" customHeight="1">
      <x:c r="A247" s="314"/>
      <x:c r="B247" s="315"/>
      <x:c r="C247" s="316"/>
      <x:c r="D247" s="316"/>
      <x:c r="E247" s="315"/>
      <x:c r="F247" s="315"/>
      <x:c r="G247" s="315"/>
      <x:c r="H247" s="315"/>
      <x:c r="I247" s="317"/>
      <x:c r="J247" s="315"/>
      <x:c r="K247" s="315"/>
      <x:c r="L247" s="315"/>
      <x:c r="M247" s="367"/>
      <x:c r="N247" s="315"/>
      <x:c r="O247" s="316"/>
      <x:c r="P247" s="349"/>
      <x:c r="Q247" s="707"/>
      <x:c r="R247" s="707"/>
      <x:c r="S247" s="708"/>
      <x:c r="T247" s="709"/>
      <x:c r="U247" s="704"/>
      <x:c r="V247" s="704"/>
      <x:c r="W247" s="704"/>
      <x:c r="X247" s="704" t="str">
        <x:f>IF(COUNTIF(R247:V247,"Belum Dinilai")&gt;0,"Belum Dinilai",IF(COUNTIF(R247:V247,"Ya")=0,"Tidak ada faktor rentan",TEXTJOIN(", ",TRUE,IF(R247="Ya","Lansia",""),IF(S247="Ya","Penyandang disabilitas",""),IF(T247="Ya","Kepala keluarga perempuan",""),IF(U247="Ya","Balita",""),IF(V247="Ya","Anggota keluarga dengan ketergantungan tinggi",""))))</x:f>
        <x:v>Tidak ada faktor rentan</x:v>
      </x:c>
      <x:c r="Y247" s="704" t="str">
        <x:f>IF(COUNTIF(R247:V247,"Belum Dinilai")&gt;0,"Belum Dinilai",IF(COUNTIF(R247:V247,"Ya")=0,"Tidak Ada Faktor Rentan",IF(COUNTIF(R247:V247,"Ya")=1,"1 Faktor Rentan","2 atau Lebih Faktor Rentan")))</x:f>
        <x:v>Tidak Ada Faktor Rentan</x:v>
      </x:c>
      <x:c r="Z247" s="704" t="str">
        <x:f>IF(OR(Q247="",Q247="Belum Dinilai"),"",IF(Q247="Terverifikasi DTKS/P3KE/MBR",10,IF(Q247="Diusulkan, Belum Terverifikasi",5,0)))</x:f>
      </x:c>
      <x:c r="AA247" s="705" t="n">
        <x:f>IF(COUNTIF(R247:V247,"Belum Dinilai")&gt;0,"",IF(COUNTIF(R247:V247,"Ya")=0,0,IF(COUNTIF(R247:V247,"Ya")=1,5,10)))</x:f>
        <x:v>0</x:v>
      </x:c>
      <x:c r="AB247" s="706" t="str">
        <x:f>IF(OR(Z247="",AA247=""),"",Z247+AA247)</x:f>
      </x:c>
      <x:c r="AC247" s="713"/>
      <x:c r="AD247" s="713"/>
      <x:c r="AE247" s="714"/>
      <x:c r="AF247" s="713"/>
      <x:c r="AG247" s="713"/>
      <x:c r="AH247" s="715"/>
      <x:c r="AI247" s="714"/>
      <x:c r="AJ247" s="713"/>
      <x:c r="AK247" s="715"/>
      <x:c r="AL247" s="713"/>
      <x:c r="AM247" s="716"/>
      <x:c r="AN247" s="716" t="str">
        <x:f>IF(AND(COUNTIF(AC247:AK247,"Ya")=0,AL247=""),IF(COUNTIF(AC247:AK247,"Belum Dinilai")&gt;0,"Belum Dinilai","Tidak ada risiko khusus"),TEXTJOIN(", ",TRUE,IF(AC247="Ya","Bangunan berpotensi roboh",""),IF(AD247="Ya","Bekas kebakaran dan tidak aman dihuni",""),IF(AE247="Ya","Atap atau dinding utama hampir runtuh",""),IF(AF247="Ya","Genangan yang membahayakan",""),IF(AG247="Ya","Struktur rumah tidak stabil",""),IF(AH247="Ya","Instalasi listrik berbahaya",""),IF(AI247="Ya","Komponen bangunan lepas atau lapuk",""),IF(AJ247="Ya","Akses keluar atau evakuasi terbatas",""),IF(AK247="Ya","Lokasi rawan bencana",""),IF(AL247&lt;&gt;"","Lainnya: "&amp;AL247,"")))</x:f>
        <x:v>Tidak ada risiko khusus</x:v>
      </x:c>
      <x:c r="AO247" s="716" t="str">
        <x:f>IF(AR247="","Belum Dinilai",IF(AR247=10,"Risiko Tinggi/Darurat",IF(AR247=5,"Risiko Sedang","Tidak Ada Risiko Khusus")))</x:f>
        <x:v>Belum Dinilai</x:v>
      </x:c>
      <x:c r="AP247" s="716"/>
      <x:c r="AQ247" s="719" t="str">
        <x:f>IF(OR(J247="",J247="Belum Dapat Ditentukan",L247="",L247="Belum Dinilai",N247="",N247="Belum Dinilai",P247="",P247="Belum Dinilai"),"",IF(J247="Permanen",0,IF(J247="Semipermanen",8,IF(J247="Nonpermanen",15,0)))+IF(L247="Baik",0,IF(L247="Rusak Ringan",5,IF(L247="Rusak Sedang",10,IF(L247="Rusak Berat",15,IF(L247="Tidak Ada/Terbuka",20,0)))))+IF(N247="Baik",0,IF(N247="Rusak Ringan",5,IF(N247="Rusak Sedang",10,IF(N247="Rusak Berat",15,IF(N247="Tidak Ada/Terbuka",20,0)))))+IF(P247="Baik",0,IF(P247="Rusak Ringan",4,IF(P247="Rusak Sedang",8,IF(P247="Rusak Berat",12,IF(P247="Tidak Layak",15,0))))))</x:f>
      </x:c>
      <x:c r="AR247" s="719" t="n">
        <x:f>IF(COUNTIF(AC247:AH247,"Ya")&gt;0,10,IF(COUNTIF(AI247:AK247,"Ya")&gt;=2,10,IF(COUNTIF(AI247:AK247,"Ya")=1,MAX(5,IF(AM247="Risiko Tinggi/Darurat",10,IF(AM247="Risiko Sedang",5,0))),IF(AL247&lt;&gt;"",IF(AM247="Risiko Tinggi/Darurat",10,IF(AM247="Risiko Sedang",5,"")),IF(COUNTIF(AC247:AK247,"Belum Dinilai")&gt;0,"",0)))))</x:f>
        <x:v>0</x:v>
      </x:c>
      <x:c r="AS247" s="719" t="str">
        <x:f>IF(OR(AQ247="",AB247="",AR247=""),"",AQ247+AB247+AR247)</x:f>
      </x:c>
      <x:c r="AT247" s="719" t="str">
        <x:f>IF(AS247="","Belum Dapat Ditentukan",IF(AS247&gt;=80,"Sangat Tinggi",IF(OR(AO247="Risiko Tinggi/Darurat",(IF(L247="Rusak Berat",1,0)+IF(L247="Tidak Ada/Terbuka",1,0)+IF(N247="Rusak Berat",1,0)+IF(N247="Tidak Ada/Terbuka",1,0)+IF(P247="Rusak Berat",1,0)+IF(P247="Tidak Layak",1,0))&gt;=2),"Tinggi",IF(AS247&gt;=65,"Tinggi",IF(AS247&gt;=50,"Sedang","Rendah")))))</x:f>
        <x:v>Belum Dapat Ditentukan</x:v>
      </x:c>
      <x:c r="AU247" s="240"/>
      <x:c r="AV247" s="240"/>
      <x:c r="AW247" s="240"/>
      <x:c r="AX247" s="240"/>
      <x:c r="AY247" s="240"/>
      <x:c r="AZ247" s="240"/>
      <x:c r="BA247" s="240"/>
      <x:c r="BB247" s="240"/>
      <x:c r="BC247" s="240"/>
      <x:c r="BD247" s="240"/>
      <x:c r="BE247" s="240"/>
      <x:c r="BF247" s="240"/>
    </x:row>
    <x:row r="248" ht="32" customHeight="1">
      <x:c r="A248" s="314"/>
      <x:c r="B248" s="315"/>
      <x:c r="C248" s="316"/>
      <x:c r="D248" s="316"/>
      <x:c r="E248" s="315"/>
      <x:c r="F248" s="315"/>
      <x:c r="G248" s="315"/>
      <x:c r="H248" s="315"/>
      <x:c r="I248" s="317"/>
      <x:c r="J248" s="315"/>
      <x:c r="K248" s="315"/>
      <x:c r="L248" s="315"/>
      <x:c r="M248" s="367"/>
      <x:c r="N248" s="315"/>
      <x:c r="O248" s="316"/>
      <x:c r="P248" s="349"/>
      <x:c r="Q248" s="707"/>
      <x:c r="R248" s="707"/>
      <x:c r="S248" s="708"/>
      <x:c r="T248" s="709"/>
      <x:c r="U248" s="704"/>
      <x:c r="V248" s="704"/>
      <x:c r="W248" s="704"/>
      <x:c r="X248" s="704" t="str">
        <x:f>IF(COUNTIF(R248:V248,"Belum Dinilai")&gt;0,"Belum Dinilai",IF(COUNTIF(R248:V248,"Ya")=0,"Tidak ada faktor rentan",TEXTJOIN(", ",TRUE,IF(R248="Ya","Lansia",""),IF(S248="Ya","Penyandang disabilitas",""),IF(T248="Ya","Kepala keluarga perempuan",""),IF(U248="Ya","Balita",""),IF(V248="Ya","Anggota keluarga dengan ketergantungan tinggi",""))))</x:f>
        <x:v>Tidak ada faktor rentan</x:v>
      </x:c>
      <x:c r="Y248" s="704" t="str">
        <x:f>IF(COUNTIF(R248:V248,"Belum Dinilai")&gt;0,"Belum Dinilai",IF(COUNTIF(R248:V248,"Ya")=0,"Tidak Ada Faktor Rentan",IF(COUNTIF(R248:V248,"Ya")=1,"1 Faktor Rentan","2 atau Lebih Faktor Rentan")))</x:f>
        <x:v>Tidak Ada Faktor Rentan</x:v>
      </x:c>
      <x:c r="Z248" s="704" t="str">
        <x:f>IF(OR(Q248="",Q248="Belum Dinilai"),"",IF(Q248="Terverifikasi DTKS/P3KE/MBR",10,IF(Q248="Diusulkan, Belum Terverifikasi",5,0)))</x:f>
      </x:c>
      <x:c r="AA248" s="705" t="n">
        <x:f>IF(COUNTIF(R248:V248,"Belum Dinilai")&gt;0,"",IF(COUNTIF(R248:V248,"Ya")=0,0,IF(COUNTIF(R248:V248,"Ya")=1,5,10)))</x:f>
        <x:v>0</x:v>
      </x:c>
      <x:c r="AB248" s="706" t="str">
        <x:f>IF(OR(Z248="",AA248=""),"",Z248+AA248)</x:f>
      </x:c>
      <x:c r="AC248" s="713"/>
      <x:c r="AD248" s="713"/>
      <x:c r="AE248" s="714"/>
      <x:c r="AF248" s="713"/>
      <x:c r="AG248" s="713"/>
      <x:c r="AH248" s="715"/>
      <x:c r="AI248" s="714"/>
      <x:c r="AJ248" s="713"/>
      <x:c r="AK248" s="715"/>
      <x:c r="AL248" s="713"/>
      <x:c r="AM248" s="716"/>
      <x:c r="AN248" s="716" t="str">
        <x:f>IF(AND(COUNTIF(AC248:AK248,"Ya")=0,AL248=""),IF(COUNTIF(AC248:AK248,"Belum Dinilai")&gt;0,"Belum Dinilai","Tidak ada risiko khusus"),TEXTJOIN(", ",TRUE,IF(AC248="Ya","Bangunan berpotensi roboh",""),IF(AD248="Ya","Bekas kebakaran dan tidak aman dihuni",""),IF(AE248="Ya","Atap atau dinding utama hampir runtuh",""),IF(AF248="Ya","Genangan yang membahayakan",""),IF(AG248="Ya","Struktur rumah tidak stabil",""),IF(AH248="Ya","Instalasi listrik berbahaya",""),IF(AI248="Ya","Komponen bangunan lepas atau lapuk",""),IF(AJ248="Ya","Akses keluar atau evakuasi terbatas",""),IF(AK248="Ya","Lokasi rawan bencana",""),IF(AL248&lt;&gt;"","Lainnya: "&amp;AL248,"")))</x:f>
        <x:v>Tidak ada risiko khusus</x:v>
      </x:c>
      <x:c r="AO248" s="716" t="str">
        <x:f>IF(AR248="","Belum Dinilai",IF(AR248=10,"Risiko Tinggi/Darurat",IF(AR248=5,"Risiko Sedang","Tidak Ada Risiko Khusus")))</x:f>
        <x:v>Belum Dinilai</x:v>
      </x:c>
      <x:c r="AP248" s="716"/>
      <x:c r="AQ248" s="719" t="str">
        <x:f>IF(OR(J248="",J248="Belum Dapat Ditentukan",L248="",L248="Belum Dinilai",N248="",N248="Belum Dinilai",P248="",P248="Belum Dinilai"),"",IF(J248="Permanen",0,IF(J248="Semipermanen",8,IF(J248="Nonpermanen",15,0)))+IF(L248="Baik",0,IF(L248="Rusak Ringan",5,IF(L248="Rusak Sedang",10,IF(L248="Rusak Berat",15,IF(L248="Tidak Ada/Terbuka",20,0)))))+IF(N248="Baik",0,IF(N248="Rusak Ringan",5,IF(N248="Rusak Sedang",10,IF(N248="Rusak Berat",15,IF(N248="Tidak Ada/Terbuka",20,0)))))+IF(P248="Baik",0,IF(P248="Rusak Ringan",4,IF(P248="Rusak Sedang",8,IF(P248="Rusak Berat",12,IF(P248="Tidak Layak",15,0))))))</x:f>
      </x:c>
      <x:c r="AR248" s="719" t="n">
        <x:f>IF(COUNTIF(AC248:AH248,"Ya")&gt;0,10,IF(COUNTIF(AI248:AK248,"Ya")&gt;=2,10,IF(COUNTIF(AI248:AK248,"Ya")=1,MAX(5,IF(AM248="Risiko Tinggi/Darurat",10,IF(AM248="Risiko Sedang",5,0))),IF(AL248&lt;&gt;"",IF(AM248="Risiko Tinggi/Darurat",10,IF(AM248="Risiko Sedang",5,"")),IF(COUNTIF(AC248:AK248,"Belum Dinilai")&gt;0,"",0)))))</x:f>
        <x:v>0</x:v>
      </x:c>
      <x:c r="AS248" s="719" t="str">
        <x:f>IF(OR(AQ248="",AB248="",AR248=""),"",AQ248+AB248+AR248)</x:f>
      </x:c>
      <x:c r="AT248" s="719" t="str">
        <x:f>IF(AS248="","Belum Dapat Ditentukan",IF(AS248&gt;=80,"Sangat Tinggi",IF(OR(AO248="Risiko Tinggi/Darurat",(IF(L248="Rusak Berat",1,0)+IF(L248="Tidak Ada/Terbuka",1,0)+IF(N248="Rusak Berat",1,0)+IF(N248="Tidak Ada/Terbuka",1,0)+IF(P248="Rusak Berat",1,0)+IF(P248="Tidak Layak",1,0))&gt;=2),"Tinggi",IF(AS248&gt;=65,"Tinggi",IF(AS248&gt;=50,"Sedang","Rendah")))))</x:f>
        <x:v>Belum Dapat Ditentukan</x:v>
      </x:c>
      <x:c r="AU248" s="240"/>
      <x:c r="AV248" s="240"/>
      <x:c r="AW248" s="240"/>
      <x:c r="AX248" s="240"/>
      <x:c r="AY248" s="240"/>
      <x:c r="AZ248" s="240"/>
      <x:c r="BA248" s="240"/>
      <x:c r="BB248" s="240"/>
      <x:c r="BC248" s="240"/>
      <x:c r="BD248" s="240"/>
      <x:c r="BE248" s="240"/>
      <x:c r="BF248" s="240"/>
    </x:row>
    <x:row r="249" ht="32" customHeight="1">
      <x:c r="A249" s="314"/>
      <x:c r="B249" s="315"/>
      <x:c r="C249" s="316"/>
      <x:c r="D249" s="316"/>
      <x:c r="E249" s="315"/>
      <x:c r="F249" s="315"/>
      <x:c r="G249" s="315"/>
      <x:c r="H249" s="315"/>
      <x:c r="I249" s="317"/>
      <x:c r="J249" s="315"/>
      <x:c r="K249" s="315"/>
      <x:c r="L249" s="315"/>
      <x:c r="M249" s="367"/>
      <x:c r="N249" s="315"/>
      <x:c r="O249" s="316"/>
      <x:c r="P249" s="349"/>
      <x:c r="Q249" s="707"/>
      <x:c r="R249" s="707"/>
      <x:c r="S249" s="708"/>
      <x:c r="T249" s="709"/>
      <x:c r="U249" s="704"/>
      <x:c r="V249" s="704"/>
      <x:c r="W249" s="704"/>
      <x:c r="X249" s="704" t="str">
        <x:f>IF(COUNTIF(R249:V249,"Belum Dinilai")&gt;0,"Belum Dinilai",IF(COUNTIF(R249:V249,"Ya")=0,"Tidak ada faktor rentan",TEXTJOIN(", ",TRUE,IF(R249="Ya","Lansia",""),IF(S249="Ya","Penyandang disabilitas",""),IF(T249="Ya","Kepala keluarga perempuan",""),IF(U249="Ya","Balita",""),IF(V249="Ya","Anggota keluarga dengan ketergantungan tinggi",""))))</x:f>
        <x:v>Tidak ada faktor rentan</x:v>
      </x:c>
      <x:c r="Y249" s="704" t="str">
        <x:f>IF(COUNTIF(R249:V249,"Belum Dinilai")&gt;0,"Belum Dinilai",IF(COUNTIF(R249:V249,"Ya")=0,"Tidak Ada Faktor Rentan",IF(COUNTIF(R249:V249,"Ya")=1,"1 Faktor Rentan","2 atau Lebih Faktor Rentan")))</x:f>
        <x:v>Tidak Ada Faktor Rentan</x:v>
      </x:c>
      <x:c r="Z249" s="704" t="str">
        <x:f>IF(OR(Q249="",Q249="Belum Dinilai"),"",IF(Q249="Terverifikasi DTKS/P3KE/MBR",10,IF(Q249="Diusulkan, Belum Terverifikasi",5,0)))</x:f>
      </x:c>
      <x:c r="AA249" s="705" t="n">
        <x:f>IF(COUNTIF(R249:V249,"Belum Dinilai")&gt;0,"",IF(COUNTIF(R249:V249,"Ya")=0,0,IF(COUNTIF(R249:V249,"Ya")=1,5,10)))</x:f>
        <x:v>0</x:v>
      </x:c>
      <x:c r="AB249" s="706" t="str">
        <x:f>IF(OR(Z249="",AA249=""),"",Z249+AA249)</x:f>
      </x:c>
      <x:c r="AC249" s="713"/>
      <x:c r="AD249" s="713"/>
      <x:c r="AE249" s="714"/>
      <x:c r="AF249" s="713"/>
      <x:c r="AG249" s="713"/>
      <x:c r="AH249" s="715"/>
      <x:c r="AI249" s="714"/>
      <x:c r="AJ249" s="713"/>
      <x:c r="AK249" s="715"/>
      <x:c r="AL249" s="713"/>
      <x:c r="AM249" s="716"/>
      <x:c r="AN249" s="716" t="str">
        <x:f>IF(AND(COUNTIF(AC249:AK249,"Ya")=0,AL249=""),IF(COUNTIF(AC249:AK249,"Belum Dinilai")&gt;0,"Belum Dinilai","Tidak ada risiko khusus"),TEXTJOIN(", ",TRUE,IF(AC249="Ya","Bangunan berpotensi roboh",""),IF(AD249="Ya","Bekas kebakaran dan tidak aman dihuni",""),IF(AE249="Ya","Atap atau dinding utama hampir runtuh",""),IF(AF249="Ya","Genangan yang membahayakan",""),IF(AG249="Ya","Struktur rumah tidak stabil",""),IF(AH249="Ya","Instalasi listrik berbahaya",""),IF(AI249="Ya","Komponen bangunan lepas atau lapuk",""),IF(AJ249="Ya","Akses keluar atau evakuasi terbatas",""),IF(AK249="Ya","Lokasi rawan bencana",""),IF(AL249&lt;&gt;"","Lainnya: "&amp;AL249,"")))</x:f>
        <x:v>Tidak ada risiko khusus</x:v>
      </x:c>
      <x:c r="AO249" s="716" t="str">
        <x:f>IF(AR249="","Belum Dinilai",IF(AR249=10,"Risiko Tinggi/Darurat",IF(AR249=5,"Risiko Sedang","Tidak Ada Risiko Khusus")))</x:f>
        <x:v>Belum Dinilai</x:v>
      </x:c>
      <x:c r="AP249" s="716"/>
      <x:c r="AQ249" s="719" t="str">
        <x:f>IF(OR(J249="",J249="Belum Dapat Ditentukan",L249="",L249="Belum Dinilai",N249="",N249="Belum Dinilai",P249="",P249="Belum Dinilai"),"",IF(J249="Permanen",0,IF(J249="Semipermanen",8,IF(J249="Nonpermanen",15,0)))+IF(L249="Baik",0,IF(L249="Rusak Ringan",5,IF(L249="Rusak Sedang",10,IF(L249="Rusak Berat",15,IF(L249="Tidak Ada/Terbuka",20,0)))))+IF(N249="Baik",0,IF(N249="Rusak Ringan",5,IF(N249="Rusak Sedang",10,IF(N249="Rusak Berat",15,IF(N249="Tidak Ada/Terbuka",20,0)))))+IF(P249="Baik",0,IF(P249="Rusak Ringan",4,IF(P249="Rusak Sedang",8,IF(P249="Rusak Berat",12,IF(P249="Tidak Layak",15,0))))))</x:f>
      </x:c>
      <x:c r="AR249" s="719" t="n">
        <x:f>IF(COUNTIF(AC249:AH249,"Ya")&gt;0,10,IF(COUNTIF(AI249:AK249,"Ya")&gt;=2,10,IF(COUNTIF(AI249:AK249,"Ya")=1,MAX(5,IF(AM249="Risiko Tinggi/Darurat",10,IF(AM249="Risiko Sedang",5,0))),IF(AL249&lt;&gt;"",IF(AM249="Risiko Tinggi/Darurat",10,IF(AM249="Risiko Sedang",5,"")),IF(COUNTIF(AC249:AK249,"Belum Dinilai")&gt;0,"",0)))))</x:f>
        <x:v>0</x:v>
      </x:c>
      <x:c r="AS249" s="719" t="str">
        <x:f>IF(OR(AQ249="",AB249="",AR249=""),"",AQ249+AB249+AR249)</x:f>
      </x:c>
      <x:c r="AT249" s="719" t="str">
        <x:f>IF(AS249="","Belum Dapat Ditentukan",IF(AS249&gt;=80,"Sangat Tinggi",IF(OR(AO249="Risiko Tinggi/Darurat",(IF(L249="Rusak Berat",1,0)+IF(L249="Tidak Ada/Terbuka",1,0)+IF(N249="Rusak Berat",1,0)+IF(N249="Tidak Ada/Terbuka",1,0)+IF(P249="Rusak Berat",1,0)+IF(P249="Tidak Layak",1,0))&gt;=2),"Tinggi",IF(AS249&gt;=65,"Tinggi",IF(AS249&gt;=50,"Sedang","Rendah")))))</x:f>
        <x:v>Belum Dapat Ditentukan</x:v>
      </x:c>
      <x:c r="AU249" s="240"/>
      <x:c r="AV249" s="240"/>
      <x:c r="AW249" s="240"/>
      <x:c r="AX249" s="240"/>
      <x:c r="AY249" s="240"/>
      <x:c r="AZ249" s="240"/>
      <x:c r="BA249" s="240"/>
      <x:c r="BB249" s="240"/>
      <x:c r="BC249" s="240"/>
      <x:c r="BD249" s="240"/>
      <x:c r="BE249" s="240"/>
      <x:c r="BF249" s="240"/>
    </x:row>
    <x:row r="250" ht="32" customHeight="1">
      <x:c r="A250" s="314"/>
      <x:c r="B250" s="315"/>
      <x:c r="C250" s="316"/>
      <x:c r="D250" s="316"/>
      <x:c r="E250" s="315"/>
      <x:c r="F250" s="315"/>
      <x:c r="G250" s="315"/>
      <x:c r="H250" s="315"/>
      <x:c r="I250" s="317"/>
      <x:c r="J250" s="315"/>
      <x:c r="K250" s="315"/>
      <x:c r="L250" s="315"/>
      <x:c r="M250" s="367"/>
      <x:c r="N250" s="315"/>
      <x:c r="O250" s="316"/>
      <x:c r="P250" s="349"/>
      <x:c r="Q250" s="707"/>
      <x:c r="R250" s="707"/>
      <x:c r="S250" s="708"/>
      <x:c r="T250" s="709"/>
      <x:c r="U250" s="704"/>
      <x:c r="V250" s="704"/>
      <x:c r="W250" s="704"/>
      <x:c r="X250" s="704" t="str">
        <x:f>IF(COUNTIF(R250:V250,"Belum Dinilai")&gt;0,"Belum Dinilai",IF(COUNTIF(R250:V250,"Ya")=0,"Tidak ada faktor rentan",TEXTJOIN(", ",TRUE,IF(R250="Ya","Lansia",""),IF(S250="Ya","Penyandang disabilitas",""),IF(T250="Ya","Kepala keluarga perempuan",""),IF(U250="Ya","Balita",""),IF(V250="Ya","Anggota keluarga dengan ketergantungan tinggi",""))))</x:f>
        <x:v>Tidak ada faktor rentan</x:v>
      </x:c>
      <x:c r="Y250" s="704" t="str">
        <x:f>IF(COUNTIF(R250:V250,"Belum Dinilai")&gt;0,"Belum Dinilai",IF(COUNTIF(R250:V250,"Ya")=0,"Tidak Ada Faktor Rentan",IF(COUNTIF(R250:V250,"Ya")=1,"1 Faktor Rentan","2 atau Lebih Faktor Rentan")))</x:f>
        <x:v>Tidak Ada Faktor Rentan</x:v>
      </x:c>
      <x:c r="Z250" s="704" t="str">
        <x:f>IF(OR(Q250="",Q250="Belum Dinilai"),"",IF(Q250="Terverifikasi DTKS/P3KE/MBR",10,IF(Q250="Diusulkan, Belum Terverifikasi",5,0)))</x:f>
      </x:c>
      <x:c r="AA250" s="705" t="n">
        <x:f>IF(COUNTIF(R250:V250,"Belum Dinilai")&gt;0,"",IF(COUNTIF(R250:V250,"Ya")=0,0,IF(COUNTIF(R250:V250,"Ya")=1,5,10)))</x:f>
        <x:v>0</x:v>
      </x:c>
      <x:c r="AB250" s="706" t="str">
        <x:f>IF(OR(Z250="",AA250=""),"",Z250+AA250)</x:f>
      </x:c>
      <x:c r="AC250" s="713"/>
      <x:c r="AD250" s="713"/>
      <x:c r="AE250" s="714"/>
      <x:c r="AF250" s="713"/>
      <x:c r="AG250" s="713"/>
      <x:c r="AH250" s="715"/>
      <x:c r="AI250" s="714"/>
      <x:c r="AJ250" s="713"/>
      <x:c r="AK250" s="715"/>
      <x:c r="AL250" s="713"/>
      <x:c r="AM250" s="716"/>
      <x:c r="AN250" s="716" t="str">
        <x:f>IF(AND(COUNTIF(AC250:AK250,"Ya")=0,AL250=""),IF(COUNTIF(AC250:AK250,"Belum Dinilai")&gt;0,"Belum Dinilai","Tidak ada risiko khusus"),TEXTJOIN(", ",TRUE,IF(AC250="Ya","Bangunan berpotensi roboh",""),IF(AD250="Ya","Bekas kebakaran dan tidak aman dihuni",""),IF(AE250="Ya","Atap atau dinding utama hampir runtuh",""),IF(AF250="Ya","Genangan yang membahayakan",""),IF(AG250="Ya","Struktur rumah tidak stabil",""),IF(AH250="Ya","Instalasi listrik berbahaya",""),IF(AI250="Ya","Komponen bangunan lepas atau lapuk",""),IF(AJ250="Ya","Akses keluar atau evakuasi terbatas",""),IF(AK250="Ya","Lokasi rawan bencana",""),IF(AL250&lt;&gt;"","Lainnya: "&amp;AL250,"")))</x:f>
        <x:v>Tidak ada risiko khusus</x:v>
      </x:c>
      <x:c r="AO250" s="716" t="str">
        <x:f>IF(AR250="","Belum Dinilai",IF(AR250=10,"Risiko Tinggi/Darurat",IF(AR250=5,"Risiko Sedang","Tidak Ada Risiko Khusus")))</x:f>
        <x:v>Belum Dinilai</x:v>
      </x:c>
      <x:c r="AP250" s="716"/>
      <x:c r="AQ250" s="719" t="str">
        <x:f>IF(OR(J250="",J250="Belum Dapat Ditentukan",L250="",L250="Belum Dinilai",N250="",N250="Belum Dinilai",P250="",P250="Belum Dinilai"),"",IF(J250="Permanen",0,IF(J250="Semipermanen",8,IF(J250="Nonpermanen",15,0)))+IF(L250="Baik",0,IF(L250="Rusak Ringan",5,IF(L250="Rusak Sedang",10,IF(L250="Rusak Berat",15,IF(L250="Tidak Ada/Terbuka",20,0)))))+IF(N250="Baik",0,IF(N250="Rusak Ringan",5,IF(N250="Rusak Sedang",10,IF(N250="Rusak Berat",15,IF(N250="Tidak Ada/Terbuka",20,0)))))+IF(P250="Baik",0,IF(P250="Rusak Ringan",4,IF(P250="Rusak Sedang",8,IF(P250="Rusak Berat",12,IF(P250="Tidak Layak",15,0))))))</x:f>
      </x:c>
      <x:c r="AR250" s="719" t="n">
        <x:f>IF(COUNTIF(AC250:AH250,"Ya")&gt;0,10,IF(COUNTIF(AI250:AK250,"Ya")&gt;=2,10,IF(COUNTIF(AI250:AK250,"Ya")=1,MAX(5,IF(AM250="Risiko Tinggi/Darurat",10,IF(AM250="Risiko Sedang",5,0))),IF(AL250&lt;&gt;"",IF(AM250="Risiko Tinggi/Darurat",10,IF(AM250="Risiko Sedang",5,"")),IF(COUNTIF(AC250:AK250,"Belum Dinilai")&gt;0,"",0)))))</x:f>
        <x:v>0</x:v>
      </x:c>
      <x:c r="AS250" s="719" t="str">
        <x:f>IF(OR(AQ250="",AB250="",AR250=""),"",AQ250+AB250+AR250)</x:f>
      </x:c>
      <x:c r="AT250" s="719" t="str">
        <x:f>IF(AS250="","Belum Dapat Ditentukan",IF(AS250&gt;=80,"Sangat Tinggi",IF(OR(AO250="Risiko Tinggi/Darurat",(IF(L250="Rusak Berat",1,0)+IF(L250="Tidak Ada/Terbuka",1,0)+IF(N250="Rusak Berat",1,0)+IF(N250="Tidak Ada/Terbuka",1,0)+IF(P250="Rusak Berat",1,0)+IF(P250="Tidak Layak",1,0))&gt;=2),"Tinggi",IF(AS250&gt;=65,"Tinggi",IF(AS250&gt;=50,"Sedang","Rendah")))))</x:f>
        <x:v>Belum Dapat Ditentukan</x:v>
      </x:c>
      <x:c r="AU250" s="240"/>
      <x:c r="AV250" s="240"/>
      <x:c r="AW250" s="240"/>
      <x:c r="AX250" s="240"/>
      <x:c r="AY250" s="240"/>
      <x:c r="AZ250" s="240"/>
      <x:c r="BA250" s="240"/>
      <x:c r="BB250" s="240"/>
      <x:c r="BC250" s="240"/>
      <x:c r="BD250" s="240"/>
      <x:c r="BE250" s="240"/>
      <x:c r="BF250" s="240"/>
    </x:row>
    <x:row r="251" ht="32" customHeight="1">
      <x:c r="A251" s="314"/>
      <x:c r="B251" s="315"/>
      <x:c r="C251" s="316"/>
      <x:c r="D251" s="316"/>
      <x:c r="E251" s="315"/>
      <x:c r="F251" s="315"/>
      <x:c r="G251" s="315"/>
      <x:c r="H251" s="315"/>
      <x:c r="I251" s="317"/>
      <x:c r="J251" s="315"/>
      <x:c r="K251" s="315"/>
      <x:c r="L251" s="315"/>
      <x:c r="M251" s="367"/>
      <x:c r="N251" s="315"/>
      <x:c r="O251" s="316"/>
      <x:c r="P251" s="349"/>
      <x:c r="Q251" s="707"/>
      <x:c r="R251" s="707"/>
      <x:c r="S251" s="708"/>
      <x:c r="T251" s="709"/>
      <x:c r="U251" s="704"/>
      <x:c r="V251" s="704"/>
      <x:c r="W251" s="704"/>
      <x:c r="X251" s="704" t="str">
        <x:f>IF(COUNTIF(R251:V251,"Belum Dinilai")&gt;0,"Belum Dinilai",IF(COUNTIF(R251:V251,"Ya")=0,"Tidak ada faktor rentan",TEXTJOIN(", ",TRUE,IF(R251="Ya","Lansia",""),IF(S251="Ya","Penyandang disabilitas",""),IF(T251="Ya","Kepala keluarga perempuan",""),IF(U251="Ya","Balita",""),IF(V251="Ya","Anggota keluarga dengan ketergantungan tinggi",""))))</x:f>
        <x:v>Tidak ada faktor rentan</x:v>
      </x:c>
      <x:c r="Y251" s="704" t="str">
        <x:f>IF(COUNTIF(R251:V251,"Belum Dinilai")&gt;0,"Belum Dinilai",IF(COUNTIF(R251:V251,"Ya")=0,"Tidak Ada Faktor Rentan",IF(COUNTIF(R251:V251,"Ya")=1,"1 Faktor Rentan","2 atau Lebih Faktor Rentan")))</x:f>
        <x:v>Tidak Ada Faktor Rentan</x:v>
      </x:c>
      <x:c r="Z251" s="704" t="str">
        <x:f>IF(OR(Q251="",Q251="Belum Dinilai"),"",IF(Q251="Terverifikasi DTKS/P3KE/MBR",10,IF(Q251="Diusulkan, Belum Terverifikasi",5,0)))</x:f>
      </x:c>
      <x:c r="AA251" s="705" t="n">
        <x:f>IF(COUNTIF(R251:V251,"Belum Dinilai")&gt;0,"",IF(COUNTIF(R251:V251,"Ya")=0,0,IF(COUNTIF(R251:V251,"Ya")=1,5,10)))</x:f>
        <x:v>0</x:v>
      </x:c>
      <x:c r="AB251" s="706" t="str">
        <x:f>IF(OR(Z251="",AA251=""),"",Z251+AA251)</x:f>
      </x:c>
      <x:c r="AC251" s="713"/>
      <x:c r="AD251" s="713"/>
      <x:c r="AE251" s="714"/>
      <x:c r="AF251" s="713"/>
      <x:c r="AG251" s="713"/>
      <x:c r="AH251" s="715"/>
      <x:c r="AI251" s="714"/>
      <x:c r="AJ251" s="713"/>
      <x:c r="AK251" s="715"/>
      <x:c r="AL251" s="713"/>
      <x:c r="AM251" s="716"/>
      <x:c r="AN251" s="716" t="str">
        <x:f>IF(AND(COUNTIF(AC251:AK251,"Ya")=0,AL251=""),IF(COUNTIF(AC251:AK251,"Belum Dinilai")&gt;0,"Belum Dinilai","Tidak ada risiko khusus"),TEXTJOIN(", ",TRUE,IF(AC251="Ya","Bangunan berpotensi roboh",""),IF(AD251="Ya","Bekas kebakaran dan tidak aman dihuni",""),IF(AE251="Ya","Atap atau dinding utama hampir runtuh",""),IF(AF251="Ya","Genangan yang membahayakan",""),IF(AG251="Ya","Struktur rumah tidak stabil",""),IF(AH251="Ya","Instalasi listrik berbahaya",""),IF(AI251="Ya","Komponen bangunan lepas atau lapuk",""),IF(AJ251="Ya","Akses keluar atau evakuasi terbatas",""),IF(AK251="Ya","Lokasi rawan bencana",""),IF(AL251&lt;&gt;"","Lainnya: "&amp;AL251,"")))</x:f>
        <x:v>Tidak ada risiko khusus</x:v>
      </x:c>
      <x:c r="AO251" s="716" t="str">
        <x:f>IF(AR251="","Belum Dinilai",IF(AR251=10,"Risiko Tinggi/Darurat",IF(AR251=5,"Risiko Sedang","Tidak Ada Risiko Khusus")))</x:f>
        <x:v>Belum Dinilai</x:v>
      </x:c>
      <x:c r="AP251" s="716"/>
      <x:c r="AQ251" s="719" t="str">
        <x:f>IF(OR(J251="",J251="Belum Dapat Ditentukan",L251="",L251="Belum Dinilai",N251="",N251="Belum Dinilai",P251="",P251="Belum Dinilai"),"",IF(J251="Permanen",0,IF(J251="Semipermanen",8,IF(J251="Nonpermanen",15,0)))+IF(L251="Baik",0,IF(L251="Rusak Ringan",5,IF(L251="Rusak Sedang",10,IF(L251="Rusak Berat",15,IF(L251="Tidak Ada/Terbuka",20,0)))))+IF(N251="Baik",0,IF(N251="Rusak Ringan",5,IF(N251="Rusak Sedang",10,IF(N251="Rusak Berat",15,IF(N251="Tidak Ada/Terbuka",20,0)))))+IF(P251="Baik",0,IF(P251="Rusak Ringan",4,IF(P251="Rusak Sedang",8,IF(P251="Rusak Berat",12,IF(P251="Tidak Layak",15,0))))))</x:f>
      </x:c>
      <x:c r="AR251" s="719" t="n">
        <x:f>IF(COUNTIF(AC251:AH251,"Ya")&gt;0,10,IF(COUNTIF(AI251:AK251,"Ya")&gt;=2,10,IF(COUNTIF(AI251:AK251,"Ya")=1,MAX(5,IF(AM251="Risiko Tinggi/Darurat",10,IF(AM251="Risiko Sedang",5,0))),IF(AL251&lt;&gt;"",IF(AM251="Risiko Tinggi/Darurat",10,IF(AM251="Risiko Sedang",5,"")),IF(COUNTIF(AC251:AK251,"Belum Dinilai")&gt;0,"",0)))))</x:f>
        <x:v>0</x:v>
      </x:c>
      <x:c r="AS251" s="719" t="str">
        <x:f>IF(OR(AQ251="",AB251="",AR251=""),"",AQ251+AB251+AR251)</x:f>
      </x:c>
      <x:c r="AT251" s="719" t="str">
        <x:f>IF(AS251="","Belum Dapat Ditentukan",IF(AS251&gt;=80,"Sangat Tinggi",IF(OR(AO251="Risiko Tinggi/Darurat",(IF(L251="Rusak Berat",1,0)+IF(L251="Tidak Ada/Terbuka",1,0)+IF(N251="Rusak Berat",1,0)+IF(N251="Tidak Ada/Terbuka",1,0)+IF(P251="Rusak Berat",1,0)+IF(P251="Tidak Layak",1,0))&gt;=2),"Tinggi",IF(AS251&gt;=65,"Tinggi",IF(AS251&gt;=50,"Sedang","Rendah")))))</x:f>
        <x:v>Belum Dapat Ditentukan</x:v>
      </x:c>
      <x:c r="AU251" s="240"/>
      <x:c r="AV251" s="240"/>
      <x:c r="AW251" s="240"/>
      <x:c r="AX251" s="240"/>
      <x:c r="AY251" s="240"/>
      <x:c r="AZ251" s="240"/>
      <x:c r="BA251" s="240"/>
      <x:c r="BB251" s="240"/>
      <x:c r="BC251" s="240"/>
      <x:c r="BD251" s="240"/>
      <x:c r="BE251" s="240"/>
      <x:c r="BF251" s="240"/>
    </x:row>
    <x:row r="252" ht="32" customHeight="1">
      <x:c r="A252" s="314"/>
      <x:c r="B252" s="315"/>
      <x:c r="C252" s="316"/>
      <x:c r="D252" s="316"/>
      <x:c r="E252" s="315"/>
      <x:c r="F252" s="315"/>
      <x:c r="G252" s="315"/>
      <x:c r="H252" s="315"/>
      <x:c r="I252" s="317"/>
      <x:c r="J252" s="315"/>
      <x:c r="K252" s="315"/>
      <x:c r="L252" s="315"/>
      <x:c r="M252" s="367"/>
      <x:c r="N252" s="315"/>
      <x:c r="O252" s="316"/>
      <x:c r="P252" s="349"/>
      <x:c r="Q252" s="707"/>
      <x:c r="R252" s="707"/>
      <x:c r="S252" s="708"/>
      <x:c r="T252" s="709"/>
      <x:c r="U252" s="704"/>
      <x:c r="V252" s="704"/>
      <x:c r="W252" s="704"/>
      <x:c r="X252" s="704" t="str">
        <x:f>IF(COUNTIF(R252:V252,"Belum Dinilai")&gt;0,"Belum Dinilai",IF(COUNTIF(R252:V252,"Ya")=0,"Tidak ada faktor rentan",TEXTJOIN(", ",TRUE,IF(R252="Ya","Lansia",""),IF(S252="Ya","Penyandang disabilitas",""),IF(T252="Ya","Kepala keluarga perempuan",""),IF(U252="Ya","Balita",""),IF(V252="Ya","Anggota keluarga dengan ketergantungan tinggi",""))))</x:f>
        <x:v>Tidak ada faktor rentan</x:v>
      </x:c>
      <x:c r="Y252" s="704" t="str">
        <x:f>IF(COUNTIF(R252:V252,"Belum Dinilai")&gt;0,"Belum Dinilai",IF(COUNTIF(R252:V252,"Ya")=0,"Tidak Ada Faktor Rentan",IF(COUNTIF(R252:V252,"Ya")=1,"1 Faktor Rentan","2 atau Lebih Faktor Rentan")))</x:f>
        <x:v>Tidak Ada Faktor Rentan</x:v>
      </x:c>
      <x:c r="Z252" s="704" t="str">
        <x:f>IF(OR(Q252="",Q252="Belum Dinilai"),"",IF(Q252="Terverifikasi DTKS/P3KE/MBR",10,IF(Q252="Diusulkan, Belum Terverifikasi",5,0)))</x:f>
      </x:c>
      <x:c r="AA252" s="705" t="n">
        <x:f>IF(COUNTIF(R252:V252,"Belum Dinilai")&gt;0,"",IF(COUNTIF(R252:V252,"Ya")=0,0,IF(COUNTIF(R252:V252,"Ya")=1,5,10)))</x:f>
        <x:v>0</x:v>
      </x:c>
      <x:c r="AB252" s="706" t="str">
        <x:f>IF(OR(Z252="",AA252=""),"",Z252+AA252)</x:f>
      </x:c>
      <x:c r="AC252" s="713"/>
      <x:c r="AD252" s="713"/>
      <x:c r="AE252" s="714"/>
      <x:c r="AF252" s="713"/>
      <x:c r="AG252" s="713"/>
      <x:c r="AH252" s="715"/>
      <x:c r="AI252" s="714"/>
      <x:c r="AJ252" s="713"/>
      <x:c r="AK252" s="715"/>
      <x:c r="AL252" s="713"/>
      <x:c r="AM252" s="716"/>
      <x:c r="AN252" s="716" t="str">
        <x:f>IF(AND(COUNTIF(AC252:AK252,"Ya")=0,AL252=""),IF(COUNTIF(AC252:AK252,"Belum Dinilai")&gt;0,"Belum Dinilai","Tidak ada risiko khusus"),TEXTJOIN(", ",TRUE,IF(AC252="Ya","Bangunan berpotensi roboh",""),IF(AD252="Ya","Bekas kebakaran dan tidak aman dihuni",""),IF(AE252="Ya","Atap atau dinding utama hampir runtuh",""),IF(AF252="Ya","Genangan yang membahayakan",""),IF(AG252="Ya","Struktur rumah tidak stabil",""),IF(AH252="Ya","Instalasi listrik berbahaya",""),IF(AI252="Ya","Komponen bangunan lepas atau lapuk",""),IF(AJ252="Ya","Akses keluar atau evakuasi terbatas",""),IF(AK252="Ya","Lokasi rawan bencana",""),IF(AL252&lt;&gt;"","Lainnya: "&amp;AL252,"")))</x:f>
        <x:v>Tidak ada risiko khusus</x:v>
      </x:c>
      <x:c r="AO252" s="716" t="str">
        <x:f>IF(AR252="","Belum Dinilai",IF(AR252=10,"Risiko Tinggi/Darurat",IF(AR252=5,"Risiko Sedang","Tidak Ada Risiko Khusus")))</x:f>
        <x:v>Belum Dinilai</x:v>
      </x:c>
      <x:c r="AP252" s="716"/>
      <x:c r="AQ252" s="719" t="str">
        <x:f>IF(OR(J252="",J252="Belum Dapat Ditentukan",L252="",L252="Belum Dinilai",N252="",N252="Belum Dinilai",P252="",P252="Belum Dinilai"),"",IF(J252="Permanen",0,IF(J252="Semipermanen",8,IF(J252="Nonpermanen",15,0)))+IF(L252="Baik",0,IF(L252="Rusak Ringan",5,IF(L252="Rusak Sedang",10,IF(L252="Rusak Berat",15,IF(L252="Tidak Ada/Terbuka",20,0)))))+IF(N252="Baik",0,IF(N252="Rusak Ringan",5,IF(N252="Rusak Sedang",10,IF(N252="Rusak Berat",15,IF(N252="Tidak Ada/Terbuka",20,0)))))+IF(P252="Baik",0,IF(P252="Rusak Ringan",4,IF(P252="Rusak Sedang",8,IF(P252="Rusak Berat",12,IF(P252="Tidak Layak",15,0))))))</x:f>
      </x:c>
      <x:c r="AR252" s="719" t="n">
        <x:f>IF(COUNTIF(AC252:AH252,"Ya")&gt;0,10,IF(COUNTIF(AI252:AK252,"Ya")&gt;=2,10,IF(COUNTIF(AI252:AK252,"Ya")=1,MAX(5,IF(AM252="Risiko Tinggi/Darurat",10,IF(AM252="Risiko Sedang",5,0))),IF(AL252&lt;&gt;"",IF(AM252="Risiko Tinggi/Darurat",10,IF(AM252="Risiko Sedang",5,"")),IF(COUNTIF(AC252:AK252,"Belum Dinilai")&gt;0,"",0)))))</x:f>
        <x:v>0</x:v>
      </x:c>
      <x:c r="AS252" s="719" t="str">
        <x:f>IF(OR(AQ252="",AB252="",AR252=""),"",AQ252+AB252+AR252)</x:f>
      </x:c>
      <x:c r="AT252" s="719" t="str">
        <x:f>IF(AS252="","Belum Dapat Ditentukan",IF(AS252&gt;=80,"Sangat Tinggi",IF(OR(AO252="Risiko Tinggi/Darurat",(IF(L252="Rusak Berat",1,0)+IF(L252="Tidak Ada/Terbuka",1,0)+IF(N252="Rusak Berat",1,0)+IF(N252="Tidak Ada/Terbuka",1,0)+IF(P252="Rusak Berat",1,0)+IF(P252="Tidak Layak",1,0))&gt;=2),"Tinggi",IF(AS252&gt;=65,"Tinggi",IF(AS252&gt;=50,"Sedang","Rendah")))))</x:f>
        <x:v>Belum Dapat Ditentukan</x:v>
      </x:c>
      <x:c r="AU252" s="240"/>
      <x:c r="AV252" s="240"/>
      <x:c r="AW252" s="240"/>
      <x:c r="AX252" s="240"/>
      <x:c r="AY252" s="240"/>
      <x:c r="AZ252" s="240"/>
      <x:c r="BA252" s="240"/>
      <x:c r="BB252" s="240"/>
      <x:c r="BC252" s="240"/>
      <x:c r="BD252" s="240"/>
      <x:c r="BE252" s="240"/>
      <x:c r="BF252" s="240"/>
    </x:row>
    <x:row r="253" ht="32" customHeight="1">
      <x:c r="A253" s="314"/>
      <x:c r="B253" s="315"/>
      <x:c r="C253" s="316"/>
      <x:c r="D253" s="316"/>
      <x:c r="E253" s="315"/>
      <x:c r="F253" s="315"/>
      <x:c r="G253" s="315"/>
      <x:c r="H253" s="315"/>
      <x:c r="I253" s="317"/>
      <x:c r="J253" s="315"/>
      <x:c r="K253" s="315"/>
      <x:c r="L253" s="315"/>
      <x:c r="M253" s="367"/>
      <x:c r="N253" s="315"/>
      <x:c r="O253" s="316"/>
      <x:c r="P253" s="349"/>
      <x:c r="Q253" s="707"/>
      <x:c r="R253" s="707"/>
      <x:c r="S253" s="708"/>
      <x:c r="T253" s="709"/>
      <x:c r="U253" s="704"/>
      <x:c r="V253" s="704"/>
      <x:c r="W253" s="704"/>
      <x:c r="X253" s="704" t="str">
        <x:f>IF(COUNTIF(R253:V253,"Belum Dinilai")&gt;0,"Belum Dinilai",IF(COUNTIF(R253:V253,"Ya")=0,"Tidak ada faktor rentan",TEXTJOIN(", ",TRUE,IF(R253="Ya","Lansia",""),IF(S253="Ya","Penyandang disabilitas",""),IF(T253="Ya","Kepala keluarga perempuan",""),IF(U253="Ya","Balita",""),IF(V253="Ya","Anggota keluarga dengan ketergantungan tinggi",""))))</x:f>
        <x:v>Tidak ada faktor rentan</x:v>
      </x:c>
      <x:c r="Y253" s="704" t="str">
        <x:f>IF(COUNTIF(R253:V253,"Belum Dinilai")&gt;0,"Belum Dinilai",IF(COUNTIF(R253:V253,"Ya")=0,"Tidak Ada Faktor Rentan",IF(COUNTIF(R253:V253,"Ya")=1,"1 Faktor Rentan","2 atau Lebih Faktor Rentan")))</x:f>
        <x:v>Tidak Ada Faktor Rentan</x:v>
      </x:c>
      <x:c r="Z253" s="704" t="str">
        <x:f>IF(OR(Q253="",Q253="Belum Dinilai"),"",IF(Q253="Terverifikasi DTKS/P3KE/MBR",10,IF(Q253="Diusulkan, Belum Terverifikasi",5,0)))</x:f>
      </x:c>
      <x:c r="AA253" s="705" t="n">
        <x:f>IF(COUNTIF(R253:V253,"Belum Dinilai")&gt;0,"",IF(COUNTIF(R253:V253,"Ya")=0,0,IF(COUNTIF(R253:V253,"Ya")=1,5,10)))</x:f>
        <x:v>0</x:v>
      </x:c>
      <x:c r="AB253" s="706" t="str">
        <x:f>IF(OR(Z253="",AA253=""),"",Z253+AA253)</x:f>
      </x:c>
      <x:c r="AC253" s="713"/>
      <x:c r="AD253" s="713"/>
      <x:c r="AE253" s="714"/>
      <x:c r="AF253" s="713"/>
      <x:c r="AG253" s="713"/>
      <x:c r="AH253" s="715"/>
      <x:c r="AI253" s="714"/>
      <x:c r="AJ253" s="713"/>
      <x:c r="AK253" s="715"/>
      <x:c r="AL253" s="713"/>
      <x:c r="AM253" s="716"/>
      <x:c r="AN253" s="716" t="str">
        <x:f>IF(AND(COUNTIF(AC253:AK253,"Ya")=0,AL253=""),IF(COUNTIF(AC253:AK253,"Belum Dinilai")&gt;0,"Belum Dinilai","Tidak ada risiko khusus"),TEXTJOIN(", ",TRUE,IF(AC253="Ya","Bangunan berpotensi roboh",""),IF(AD253="Ya","Bekas kebakaran dan tidak aman dihuni",""),IF(AE253="Ya","Atap atau dinding utama hampir runtuh",""),IF(AF253="Ya","Genangan yang membahayakan",""),IF(AG253="Ya","Struktur rumah tidak stabil",""),IF(AH253="Ya","Instalasi listrik berbahaya",""),IF(AI253="Ya","Komponen bangunan lepas atau lapuk",""),IF(AJ253="Ya","Akses keluar atau evakuasi terbatas",""),IF(AK253="Ya","Lokasi rawan bencana",""),IF(AL253&lt;&gt;"","Lainnya: "&amp;AL253,"")))</x:f>
        <x:v>Tidak ada risiko khusus</x:v>
      </x:c>
      <x:c r="AO253" s="716" t="str">
        <x:f>IF(AR253="","Belum Dinilai",IF(AR253=10,"Risiko Tinggi/Darurat",IF(AR253=5,"Risiko Sedang","Tidak Ada Risiko Khusus")))</x:f>
        <x:v>Belum Dinilai</x:v>
      </x:c>
      <x:c r="AP253" s="716"/>
      <x:c r="AQ253" s="719" t="str">
        <x:f>IF(OR(J253="",J253="Belum Dapat Ditentukan",L253="",L253="Belum Dinilai",N253="",N253="Belum Dinilai",P253="",P253="Belum Dinilai"),"",IF(J253="Permanen",0,IF(J253="Semipermanen",8,IF(J253="Nonpermanen",15,0)))+IF(L253="Baik",0,IF(L253="Rusak Ringan",5,IF(L253="Rusak Sedang",10,IF(L253="Rusak Berat",15,IF(L253="Tidak Ada/Terbuka",20,0)))))+IF(N253="Baik",0,IF(N253="Rusak Ringan",5,IF(N253="Rusak Sedang",10,IF(N253="Rusak Berat",15,IF(N253="Tidak Ada/Terbuka",20,0)))))+IF(P253="Baik",0,IF(P253="Rusak Ringan",4,IF(P253="Rusak Sedang",8,IF(P253="Rusak Berat",12,IF(P253="Tidak Layak",15,0))))))</x:f>
      </x:c>
      <x:c r="AR253" s="719" t="n">
        <x:f>IF(COUNTIF(AC253:AH253,"Ya")&gt;0,10,IF(COUNTIF(AI253:AK253,"Ya")&gt;=2,10,IF(COUNTIF(AI253:AK253,"Ya")=1,MAX(5,IF(AM253="Risiko Tinggi/Darurat",10,IF(AM253="Risiko Sedang",5,0))),IF(AL253&lt;&gt;"",IF(AM253="Risiko Tinggi/Darurat",10,IF(AM253="Risiko Sedang",5,"")),IF(COUNTIF(AC253:AK253,"Belum Dinilai")&gt;0,"",0)))))</x:f>
        <x:v>0</x:v>
      </x:c>
      <x:c r="AS253" s="719" t="str">
        <x:f>IF(OR(AQ253="",AB253="",AR253=""),"",AQ253+AB253+AR253)</x:f>
      </x:c>
      <x:c r="AT253" s="719" t="str">
        <x:f>IF(AS253="","Belum Dapat Ditentukan",IF(AS253&gt;=80,"Sangat Tinggi",IF(OR(AO253="Risiko Tinggi/Darurat",(IF(L253="Rusak Berat",1,0)+IF(L253="Tidak Ada/Terbuka",1,0)+IF(N253="Rusak Berat",1,0)+IF(N253="Tidak Ada/Terbuka",1,0)+IF(P253="Rusak Berat",1,0)+IF(P253="Tidak Layak",1,0))&gt;=2),"Tinggi",IF(AS253&gt;=65,"Tinggi",IF(AS253&gt;=50,"Sedang","Rendah")))))</x:f>
        <x:v>Belum Dapat Ditentukan</x:v>
      </x:c>
      <x:c r="AU253" s="240"/>
      <x:c r="AV253" s="240"/>
      <x:c r="AW253" s="240"/>
      <x:c r="AX253" s="240"/>
      <x:c r="AY253" s="240"/>
      <x:c r="AZ253" s="240"/>
      <x:c r="BA253" s="240"/>
      <x:c r="BB253" s="240"/>
      <x:c r="BC253" s="240"/>
      <x:c r="BD253" s="240"/>
      <x:c r="BE253" s="240"/>
      <x:c r="BF253" s="240"/>
    </x:row>
    <x:row r="254" ht="32" customHeight="1">
      <x:c r="A254" s="314"/>
      <x:c r="B254" s="315"/>
      <x:c r="C254" s="316"/>
      <x:c r="D254" s="316"/>
      <x:c r="E254" s="315"/>
      <x:c r="F254" s="315"/>
      <x:c r="G254" s="315"/>
      <x:c r="H254" s="315"/>
      <x:c r="I254" s="317"/>
      <x:c r="J254" s="315"/>
      <x:c r="K254" s="315"/>
      <x:c r="L254" s="315"/>
      <x:c r="M254" s="367"/>
      <x:c r="N254" s="315"/>
      <x:c r="O254" s="316"/>
      <x:c r="P254" s="349"/>
      <x:c r="Q254" s="707"/>
      <x:c r="R254" s="707"/>
      <x:c r="S254" s="708"/>
      <x:c r="T254" s="709"/>
      <x:c r="U254" s="704"/>
      <x:c r="V254" s="704"/>
      <x:c r="W254" s="704"/>
      <x:c r="X254" s="704" t="str">
        <x:f>IF(COUNTIF(R254:V254,"Belum Dinilai")&gt;0,"Belum Dinilai",IF(COUNTIF(R254:V254,"Ya")=0,"Tidak ada faktor rentan",TEXTJOIN(", ",TRUE,IF(R254="Ya","Lansia",""),IF(S254="Ya","Penyandang disabilitas",""),IF(T254="Ya","Kepala keluarga perempuan",""),IF(U254="Ya","Balita",""),IF(V254="Ya","Anggota keluarga dengan ketergantungan tinggi",""))))</x:f>
        <x:v>Tidak ada faktor rentan</x:v>
      </x:c>
      <x:c r="Y254" s="704" t="str">
        <x:f>IF(COUNTIF(R254:V254,"Belum Dinilai")&gt;0,"Belum Dinilai",IF(COUNTIF(R254:V254,"Ya")=0,"Tidak Ada Faktor Rentan",IF(COUNTIF(R254:V254,"Ya")=1,"1 Faktor Rentan","2 atau Lebih Faktor Rentan")))</x:f>
        <x:v>Tidak Ada Faktor Rentan</x:v>
      </x:c>
      <x:c r="Z254" s="704" t="str">
        <x:f>IF(OR(Q254="",Q254="Belum Dinilai"),"",IF(Q254="Terverifikasi DTKS/P3KE/MBR",10,IF(Q254="Diusulkan, Belum Terverifikasi",5,0)))</x:f>
      </x:c>
      <x:c r="AA254" s="705" t="n">
        <x:f>IF(COUNTIF(R254:V254,"Belum Dinilai")&gt;0,"",IF(COUNTIF(R254:V254,"Ya")=0,0,IF(COUNTIF(R254:V254,"Ya")=1,5,10)))</x:f>
        <x:v>0</x:v>
      </x:c>
      <x:c r="AB254" s="706" t="str">
        <x:f>IF(OR(Z254="",AA254=""),"",Z254+AA254)</x:f>
      </x:c>
      <x:c r="AC254" s="713"/>
      <x:c r="AD254" s="713"/>
      <x:c r="AE254" s="714"/>
      <x:c r="AF254" s="713"/>
      <x:c r="AG254" s="713"/>
      <x:c r="AH254" s="715"/>
      <x:c r="AI254" s="714"/>
      <x:c r="AJ254" s="713"/>
      <x:c r="AK254" s="715"/>
      <x:c r="AL254" s="713"/>
      <x:c r="AM254" s="716"/>
      <x:c r="AN254" s="716" t="str">
        <x:f>IF(AND(COUNTIF(AC254:AK254,"Ya")=0,AL254=""),IF(COUNTIF(AC254:AK254,"Belum Dinilai")&gt;0,"Belum Dinilai","Tidak ada risiko khusus"),TEXTJOIN(", ",TRUE,IF(AC254="Ya","Bangunan berpotensi roboh",""),IF(AD254="Ya","Bekas kebakaran dan tidak aman dihuni",""),IF(AE254="Ya","Atap atau dinding utama hampir runtuh",""),IF(AF254="Ya","Genangan yang membahayakan",""),IF(AG254="Ya","Struktur rumah tidak stabil",""),IF(AH254="Ya","Instalasi listrik berbahaya",""),IF(AI254="Ya","Komponen bangunan lepas atau lapuk",""),IF(AJ254="Ya","Akses keluar atau evakuasi terbatas",""),IF(AK254="Ya","Lokasi rawan bencana",""),IF(AL254&lt;&gt;"","Lainnya: "&amp;AL254,"")))</x:f>
        <x:v>Tidak ada risiko khusus</x:v>
      </x:c>
      <x:c r="AO254" s="716" t="str">
        <x:f>IF(AR254="","Belum Dinilai",IF(AR254=10,"Risiko Tinggi/Darurat",IF(AR254=5,"Risiko Sedang","Tidak Ada Risiko Khusus")))</x:f>
        <x:v>Belum Dinilai</x:v>
      </x:c>
      <x:c r="AP254" s="716"/>
      <x:c r="AQ254" s="719" t="str">
        <x:f>IF(OR(J254="",J254="Belum Dapat Ditentukan",L254="",L254="Belum Dinilai",N254="",N254="Belum Dinilai",P254="",P254="Belum Dinilai"),"",IF(J254="Permanen",0,IF(J254="Semipermanen",8,IF(J254="Nonpermanen",15,0)))+IF(L254="Baik",0,IF(L254="Rusak Ringan",5,IF(L254="Rusak Sedang",10,IF(L254="Rusak Berat",15,IF(L254="Tidak Ada/Terbuka",20,0)))))+IF(N254="Baik",0,IF(N254="Rusak Ringan",5,IF(N254="Rusak Sedang",10,IF(N254="Rusak Berat",15,IF(N254="Tidak Ada/Terbuka",20,0)))))+IF(P254="Baik",0,IF(P254="Rusak Ringan",4,IF(P254="Rusak Sedang",8,IF(P254="Rusak Berat",12,IF(P254="Tidak Layak",15,0))))))</x:f>
      </x:c>
      <x:c r="AR254" s="719" t="n">
        <x:f>IF(COUNTIF(AC254:AH254,"Ya")&gt;0,10,IF(COUNTIF(AI254:AK254,"Ya")&gt;=2,10,IF(COUNTIF(AI254:AK254,"Ya")=1,MAX(5,IF(AM254="Risiko Tinggi/Darurat",10,IF(AM254="Risiko Sedang",5,0))),IF(AL254&lt;&gt;"",IF(AM254="Risiko Tinggi/Darurat",10,IF(AM254="Risiko Sedang",5,"")),IF(COUNTIF(AC254:AK254,"Belum Dinilai")&gt;0,"",0)))))</x:f>
        <x:v>0</x:v>
      </x:c>
      <x:c r="AS254" s="719" t="str">
        <x:f>IF(OR(AQ254="",AB254="",AR254=""),"",AQ254+AB254+AR254)</x:f>
      </x:c>
      <x:c r="AT254" s="719" t="str">
        <x:f>IF(AS254="","Belum Dapat Ditentukan",IF(AS254&gt;=80,"Sangat Tinggi",IF(OR(AO254="Risiko Tinggi/Darurat",(IF(L254="Rusak Berat",1,0)+IF(L254="Tidak Ada/Terbuka",1,0)+IF(N254="Rusak Berat",1,0)+IF(N254="Tidak Ada/Terbuka",1,0)+IF(P254="Rusak Berat",1,0)+IF(P254="Tidak Layak",1,0))&gt;=2),"Tinggi",IF(AS254&gt;=65,"Tinggi",IF(AS254&gt;=50,"Sedang","Rendah")))))</x:f>
        <x:v>Belum Dapat Ditentukan</x:v>
      </x:c>
      <x:c r="AU254" s="240"/>
      <x:c r="AV254" s="240"/>
      <x:c r="AW254" s="240"/>
      <x:c r="AX254" s="240"/>
      <x:c r="AY254" s="240"/>
      <x:c r="AZ254" s="240"/>
      <x:c r="BA254" s="240"/>
      <x:c r="BB254" s="240"/>
      <x:c r="BC254" s="240"/>
      <x:c r="BD254" s="240"/>
      <x:c r="BE254" s="240"/>
      <x:c r="BF254" s="240"/>
    </x:row>
    <x:row r="255" ht="32" customHeight="1">
      <x:c r="A255" s="314"/>
      <x:c r="B255" s="315"/>
      <x:c r="C255" s="316"/>
      <x:c r="D255" s="316"/>
      <x:c r="E255" s="315"/>
      <x:c r="F255" s="315"/>
      <x:c r="G255" s="315"/>
      <x:c r="H255" s="315"/>
      <x:c r="I255" s="317"/>
      <x:c r="J255" s="315"/>
      <x:c r="K255" s="315"/>
      <x:c r="L255" s="315"/>
      <x:c r="M255" s="367"/>
      <x:c r="N255" s="315"/>
      <x:c r="O255" s="316"/>
      <x:c r="P255" s="349"/>
      <x:c r="Q255" s="707"/>
      <x:c r="R255" s="707"/>
      <x:c r="S255" s="708"/>
      <x:c r="T255" s="709"/>
      <x:c r="U255" s="704"/>
      <x:c r="V255" s="704"/>
      <x:c r="W255" s="704"/>
      <x:c r="X255" s="704" t="str">
        <x:f>IF(COUNTIF(R255:V255,"Belum Dinilai")&gt;0,"Belum Dinilai",IF(COUNTIF(R255:V255,"Ya")=0,"Tidak ada faktor rentan",TEXTJOIN(", ",TRUE,IF(R255="Ya","Lansia",""),IF(S255="Ya","Penyandang disabilitas",""),IF(T255="Ya","Kepala keluarga perempuan",""),IF(U255="Ya","Balita",""),IF(V255="Ya","Anggota keluarga dengan ketergantungan tinggi",""))))</x:f>
        <x:v>Tidak ada faktor rentan</x:v>
      </x:c>
      <x:c r="Y255" s="704" t="str">
        <x:f>IF(COUNTIF(R255:V255,"Belum Dinilai")&gt;0,"Belum Dinilai",IF(COUNTIF(R255:V255,"Ya")=0,"Tidak Ada Faktor Rentan",IF(COUNTIF(R255:V255,"Ya")=1,"1 Faktor Rentan","2 atau Lebih Faktor Rentan")))</x:f>
        <x:v>Tidak Ada Faktor Rentan</x:v>
      </x:c>
      <x:c r="Z255" s="704" t="str">
        <x:f>IF(OR(Q255="",Q255="Belum Dinilai"),"",IF(Q255="Terverifikasi DTKS/P3KE/MBR",10,IF(Q255="Diusulkan, Belum Terverifikasi",5,0)))</x:f>
      </x:c>
      <x:c r="AA255" s="705" t="n">
        <x:f>IF(COUNTIF(R255:V255,"Belum Dinilai")&gt;0,"",IF(COUNTIF(R255:V255,"Ya")=0,0,IF(COUNTIF(R255:V255,"Ya")=1,5,10)))</x:f>
        <x:v>0</x:v>
      </x:c>
      <x:c r="AB255" s="706" t="str">
        <x:f>IF(OR(Z255="",AA255=""),"",Z255+AA255)</x:f>
      </x:c>
      <x:c r="AC255" s="713"/>
      <x:c r="AD255" s="713"/>
      <x:c r="AE255" s="714"/>
      <x:c r="AF255" s="713"/>
      <x:c r="AG255" s="713"/>
      <x:c r="AH255" s="715"/>
      <x:c r="AI255" s="714"/>
      <x:c r="AJ255" s="713"/>
      <x:c r="AK255" s="715"/>
      <x:c r="AL255" s="713"/>
      <x:c r="AM255" s="716"/>
      <x:c r="AN255" s="716" t="str">
        <x:f>IF(AND(COUNTIF(AC255:AK255,"Ya")=0,AL255=""),IF(COUNTIF(AC255:AK255,"Belum Dinilai")&gt;0,"Belum Dinilai","Tidak ada risiko khusus"),TEXTJOIN(", ",TRUE,IF(AC255="Ya","Bangunan berpotensi roboh",""),IF(AD255="Ya","Bekas kebakaran dan tidak aman dihuni",""),IF(AE255="Ya","Atap atau dinding utama hampir runtuh",""),IF(AF255="Ya","Genangan yang membahayakan",""),IF(AG255="Ya","Struktur rumah tidak stabil",""),IF(AH255="Ya","Instalasi listrik berbahaya",""),IF(AI255="Ya","Komponen bangunan lepas atau lapuk",""),IF(AJ255="Ya","Akses keluar atau evakuasi terbatas",""),IF(AK255="Ya","Lokasi rawan bencana",""),IF(AL255&lt;&gt;"","Lainnya: "&amp;AL255,"")))</x:f>
        <x:v>Tidak ada risiko khusus</x:v>
      </x:c>
      <x:c r="AO255" s="716" t="str">
        <x:f>IF(AR255="","Belum Dinilai",IF(AR255=10,"Risiko Tinggi/Darurat",IF(AR255=5,"Risiko Sedang","Tidak Ada Risiko Khusus")))</x:f>
        <x:v>Belum Dinilai</x:v>
      </x:c>
      <x:c r="AP255" s="716"/>
      <x:c r="AQ255" s="719" t="str">
        <x:f>IF(OR(J255="",J255="Belum Dapat Ditentukan",L255="",L255="Belum Dinilai",N255="",N255="Belum Dinilai",P255="",P255="Belum Dinilai"),"",IF(J255="Permanen",0,IF(J255="Semipermanen",8,IF(J255="Nonpermanen",15,0)))+IF(L255="Baik",0,IF(L255="Rusak Ringan",5,IF(L255="Rusak Sedang",10,IF(L255="Rusak Berat",15,IF(L255="Tidak Ada/Terbuka",20,0)))))+IF(N255="Baik",0,IF(N255="Rusak Ringan",5,IF(N255="Rusak Sedang",10,IF(N255="Rusak Berat",15,IF(N255="Tidak Ada/Terbuka",20,0)))))+IF(P255="Baik",0,IF(P255="Rusak Ringan",4,IF(P255="Rusak Sedang",8,IF(P255="Rusak Berat",12,IF(P255="Tidak Layak",15,0))))))</x:f>
      </x:c>
      <x:c r="AR255" s="719" t="n">
        <x:f>IF(COUNTIF(AC255:AH255,"Ya")&gt;0,10,IF(COUNTIF(AI255:AK255,"Ya")&gt;=2,10,IF(COUNTIF(AI255:AK255,"Ya")=1,MAX(5,IF(AM255="Risiko Tinggi/Darurat",10,IF(AM255="Risiko Sedang",5,0))),IF(AL255&lt;&gt;"",IF(AM255="Risiko Tinggi/Darurat",10,IF(AM255="Risiko Sedang",5,"")),IF(COUNTIF(AC255:AK255,"Belum Dinilai")&gt;0,"",0)))))</x:f>
        <x:v>0</x:v>
      </x:c>
      <x:c r="AS255" s="719" t="str">
        <x:f>IF(OR(AQ255="",AB255="",AR255=""),"",AQ255+AB255+AR255)</x:f>
      </x:c>
      <x:c r="AT255" s="719" t="str">
        <x:f>IF(AS255="","Belum Dapat Ditentukan",IF(AS255&gt;=80,"Sangat Tinggi",IF(OR(AO255="Risiko Tinggi/Darurat",(IF(L255="Rusak Berat",1,0)+IF(L255="Tidak Ada/Terbuka",1,0)+IF(N255="Rusak Berat",1,0)+IF(N255="Tidak Ada/Terbuka",1,0)+IF(P255="Rusak Berat",1,0)+IF(P255="Tidak Layak",1,0))&gt;=2),"Tinggi",IF(AS255&gt;=65,"Tinggi",IF(AS255&gt;=50,"Sedang","Rendah")))))</x:f>
        <x:v>Belum Dapat Ditentukan</x:v>
      </x:c>
      <x:c r="AU255" s="240"/>
      <x:c r="AV255" s="240"/>
      <x:c r="AW255" s="240"/>
      <x:c r="AX255" s="240"/>
      <x:c r="AY255" s="240"/>
      <x:c r="AZ255" s="240"/>
      <x:c r="BA255" s="240"/>
      <x:c r="BB255" s="240"/>
      <x:c r="BC255" s="240"/>
      <x:c r="BD255" s="240"/>
      <x:c r="BE255" s="240"/>
      <x:c r="BF255" s="240"/>
    </x:row>
    <x:row r="256" ht="32" customHeight="1">
      <x:c r="A256" s="314"/>
      <x:c r="B256" s="315"/>
      <x:c r="C256" s="316"/>
      <x:c r="D256" s="316"/>
      <x:c r="E256" s="315"/>
      <x:c r="F256" s="315"/>
      <x:c r="G256" s="315"/>
      <x:c r="H256" s="315"/>
      <x:c r="I256" s="317"/>
      <x:c r="J256" s="315"/>
      <x:c r="K256" s="315"/>
      <x:c r="L256" s="315"/>
      <x:c r="M256" s="367"/>
      <x:c r="N256" s="315"/>
      <x:c r="O256" s="316"/>
      <x:c r="P256" s="349"/>
      <x:c r="Q256" s="707"/>
      <x:c r="R256" s="707"/>
      <x:c r="S256" s="708"/>
      <x:c r="T256" s="709"/>
      <x:c r="U256" s="704"/>
      <x:c r="V256" s="704"/>
      <x:c r="W256" s="704"/>
      <x:c r="X256" s="704" t="str">
        <x:f>IF(COUNTIF(R256:V256,"Belum Dinilai")&gt;0,"Belum Dinilai",IF(COUNTIF(R256:V256,"Ya")=0,"Tidak ada faktor rentan",TEXTJOIN(", ",TRUE,IF(R256="Ya","Lansia",""),IF(S256="Ya","Penyandang disabilitas",""),IF(T256="Ya","Kepala keluarga perempuan",""),IF(U256="Ya","Balita",""),IF(V256="Ya","Anggota keluarga dengan ketergantungan tinggi",""))))</x:f>
        <x:v>Tidak ada faktor rentan</x:v>
      </x:c>
      <x:c r="Y256" s="704" t="str">
        <x:f>IF(COUNTIF(R256:V256,"Belum Dinilai")&gt;0,"Belum Dinilai",IF(COUNTIF(R256:V256,"Ya")=0,"Tidak Ada Faktor Rentan",IF(COUNTIF(R256:V256,"Ya")=1,"1 Faktor Rentan","2 atau Lebih Faktor Rentan")))</x:f>
        <x:v>Tidak Ada Faktor Rentan</x:v>
      </x:c>
      <x:c r="Z256" s="704" t="str">
        <x:f>IF(OR(Q256="",Q256="Belum Dinilai"),"",IF(Q256="Terverifikasi DTKS/P3KE/MBR",10,IF(Q256="Diusulkan, Belum Terverifikasi",5,0)))</x:f>
      </x:c>
      <x:c r="AA256" s="705" t="n">
        <x:f>IF(COUNTIF(R256:V256,"Belum Dinilai")&gt;0,"",IF(COUNTIF(R256:V256,"Ya")=0,0,IF(COUNTIF(R256:V256,"Ya")=1,5,10)))</x:f>
        <x:v>0</x:v>
      </x:c>
      <x:c r="AB256" s="706" t="str">
        <x:f>IF(OR(Z256="",AA256=""),"",Z256+AA256)</x:f>
      </x:c>
      <x:c r="AC256" s="713"/>
      <x:c r="AD256" s="713"/>
      <x:c r="AE256" s="714"/>
      <x:c r="AF256" s="713"/>
      <x:c r="AG256" s="713"/>
      <x:c r="AH256" s="715"/>
      <x:c r="AI256" s="714"/>
      <x:c r="AJ256" s="713"/>
      <x:c r="AK256" s="715"/>
      <x:c r="AL256" s="713"/>
      <x:c r="AM256" s="716"/>
      <x:c r="AN256" s="716" t="str">
        <x:f>IF(AND(COUNTIF(AC256:AK256,"Ya")=0,AL256=""),IF(COUNTIF(AC256:AK256,"Belum Dinilai")&gt;0,"Belum Dinilai","Tidak ada risiko khusus"),TEXTJOIN(", ",TRUE,IF(AC256="Ya","Bangunan berpotensi roboh",""),IF(AD256="Ya","Bekas kebakaran dan tidak aman dihuni",""),IF(AE256="Ya","Atap atau dinding utama hampir runtuh",""),IF(AF256="Ya","Genangan yang membahayakan",""),IF(AG256="Ya","Struktur rumah tidak stabil",""),IF(AH256="Ya","Instalasi listrik berbahaya",""),IF(AI256="Ya","Komponen bangunan lepas atau lapuk",""),IF(AJ256="Ya","Akses keluar atau evakuasi terbatas",""),IF(AK256="Ya","Lokasi rawan bencana",""),IF(AL256&lt;&gt;"","Lainnya: "&amp;AL256,"")))</x:f>
        <x:v>Tidak ada risiko khusus</x:v>
      </x:c>
      <x:c r="AO256" s="716" t="str">
        <x:f>IF(AR256="","Belum Dinilai",IF(AR256=10,"Risiko Tinggi/Darurat",IF(AR256=5,"Risiko Sedang","Tidak Ada Risiko Khusus")))</x:f>
        <x:v>Belum Dinilai</x:v>
      </x:c>
      <x:c r="AP256" s="716"/>
      <x:c r="AQ256" s="719" t="str">
        <x:f>IF(OR(J256="",J256="Belum Dapat Ditentukan",L256="",L256="Belum Dinilai",N256="",N256="Belum Dinilai",P256="",P256="Belum Dinilai"),"",IF(J256="Permanen",0,IF(J256="Semipermanen",8,IF(J256="Nonpermanen",15,0)))+IF(L256="Baik",0,IF(L256="Rusak Ringan",5,IF(L256="Rusak Sedang",10,IF(L256="Rusak Berat",15,IF(L256="Tidak Ada/Terbuka",20,0)))))+IF(N256="Baik",0,IF(N256="Rusak Ringan",5,IF(N256="Rusak Sedang",10,IF(N256="Rusak Berat",15,IF(N256="Tidak Ada/Terbuka",20,0)))))+IF(P256="Baik",0,IF(P256="Rusak Ringan",4,IF(P256="Rusak Sedang",8,IF(P256="Rusak Berat",12,IF(P256="Tidak Layak",15,0))))))</x:f>
      </x:c>
      <x:c r="AR256" s="719" t="n">
        <x:f>IF(COUNTIF(AC256:AH256,"Ya")&gt;0,10,IF(COUNTIF(AI256:AK256,"Ya")&gt;=2,10,IF(COUNTIF(AI256:AK256,"Ya")=1,MAX(5,IF(AM256="Risiko Tinggi/Darurat",10,IF(AM256="Risiko Sedang",5,0))),IF(AL256&lt;&gt;"",IF(AM256="Risiko Tinggi/Darurat",10,IF(AM256="Risiko Sedang",5,"")),IF(COUNTIF(AC256:AK256,"Belum Dinilai")&gt;0,"",0)))))</x:f>
        <x:v>0</x:v>
      </x:c>
      <x:c r="AS256" s="719" t="str">
        <x:f>IF(OR(AQ256="",AB256="",AR256=""),"",AQ256+AB256+AR256)</x:f>
      </x:c>
      <x:c r="AT256" s="719" t="str">
        <x:f>IF(AS256="","Belum Dapat Ditentukan",IF(AS256&gt;=80,"Sangat Tinggi",IF(OR(AO256="Risiko Tinggi/Darurat",(IF(L256="Rusak Berat",1,0)+IF(L256="Tidak Ada/Terbuka",1,0)+IF(N256="Rusak Berat",1,0)+IF(N256="Tidak Ada/Terbuka",1,0)+IF(P256="Rusak Berat",1,0)+IF(P256="Tidak Layak",1,0))&gt;=2),"Tinggi",IF(AS256&gt;=65,"Tinggi",IF(AS256&gt;=50,"Sedang","Rendah")))))</x:f>
        <x:v>Belum Dapat Ditentukan</x:v>
      </x:c>
      <x:c r="AU256" s="240"/>
      <x:c r="AV256" s="240"/>
      <x:c r="AW256" s="240"/>
      <x:c r="AX256" s="240"/>
      <x:c r="AY256" s="240"/>
      <x:c r="AZ256" s="240"/>
      <x:c r="BA256" s="240"/>
      <x:c r="BB256" s="240"/>
      <x:c r="BC256" s="240"/>
      <x:c r="BD256" s="240"/>
      <x:c r="BE256" s="240"/>
      <x:c r="BF256" s="240"/>
    </x:row>
    <x:row r="257" ht="32" customHeight="1">
      <x:c r="A257" s="314"/>
      <x:c r="B257" s="315"/>
      <x:c r="C257" s="316"/>
      <x:c r="D257" s="316"/>
      <x:c r="E257" s="315"/>
      <x:c r="F257" s="315"/>
      <x:c r="G257" s="315"/>
      <x:c r="H257" s="315"/>
      <x:c r="I257" s="317"/>
      <x:c r="J257" s="315"/>
      <x:c r="K257" s="315"/>
      <x:c r="L257" s="315"/>
      <x:c r="M257" s="367"/>
      <x:c r="N257" s="315"/>
      <x:c r="O257" s="316"/>
      <x:c r="P257" s="349"/>
      <x:c r="Q257" s="707"/>
      <x:c r="R257" s="707"/>
      <x:c r="S257" s="708"/>
      <x:c r="T257" s="709"/>
      <x:c r="U257" s="704"/>
      <x:c r="V257" s="704"/>
      <x:c r="W257" s="704"/>
      <x:c r="X257" s="704" t="str">
        <x:f>IF(COUNTIF(R257:V257,"Belum Dinilai")&gt;0,"Belum Dinilai",IF(COUNTIF(R257:V257,"Ya")=0,"Tidak ada faktor rentan",TEXTJOIN(", ",TRUE,IF(R257="Ya","Lansia",""),IF(S257="Ya","Penyandang disabilitas",""),IF(T257="Ya","Kepala keluarga perempuan",""),IF(U257="Ya","Balita",""),IF(V257="Ya","Anggota keluarga dengan ketergantungan tinggi",""))))</x:f>
        <x:v>Tidak ada faktor rentan</x:v>
      </x:c>
      <x:c r="Y257" s="704" t="str">
        <x:f>IF(COUNTIF(R257:V257,"Belum Dinilai")&gt;0,"Belum Dinilai",IF(COUNTIF(R257:V257,"Ya")=0,"Tidak Ada Faktor Rentan",IF(COUNTIF(R257:V257,"Ya")=1,"1 Faktor Rentan","2 atau Lebih Faktor Rentan")))</x:f>
        <x:v>Tidak Ada Faktor Rentan</x:v>
      </x:c>
      <x:c r="Z257" s="704" t="str">
        <x:f>IF(OR(Q257="",Q257="Belum Dinilai"),"",IF(Q257="Terverifikasi DTKS/P3KE/MBR",10,IF(Q257="Diusulkan, Belum Terverifikasi",5,0)))</x:f>
      </x:c>
      <x:c r="AA257" s="705" t="n">
        <x:f>IF(COUNTIF(R257:V257,"Belum Dinilai")&gt;0,"",IF(COUNTIF(R257:V257,"Ya")=0,0,IF(COUNTIF(R257:V257,"Ya")=1,5,10)))</x:f>
        <x:v>0</x:v>
      </x:c>
      <x:c r="AB257" s="706" t="str">
        <x:f>IF(OR(Z257="",AA257=""),"",Z257+AA257)</x:f>
      </x:c>
      <x:c r="AC257" s="713"/>
      <x:c r="AD257" s="713"/>
      <x:c r="AE257" s="714"/>
      <x:c r="AF257" s="713"/>
      <x:c r="AG257" s="713"/>
      <x:c r="AH257" s="715"/>
      <x:c r="AI257" s="714"/>
      <x:c r="AJ257" s="713"/>
      <x:c r="AK257" s="715"/>
      <x:c r="AL257" s="713"/>
      <x:c r="AM257" s="716"/>
      <x:c r="AN257" s="716" t="str">
        <x:f>IF(AND(COUNTIF(AC257:AK257,"Ya")=0,AL257=""),IF(COUNTIF(AC257:AK257,"Belum Dinilai")&gt;0,"Belum Dinilai","Tidak ada risiko khusus"),TEXTJOIN(", ",TRUE,IF(AC257="Ya","Bangunan berpotensi roboh",""),IF(AD257="Ya","Bekas kebakaran dan tidak aman dihuni",""),IF(AE257="Ya","Atap atau dinding utama hampir runtuh",""),IF(AF257="Ya","Genangan yang membahayakan",""),IF(AG257="Ya","Struktur rumah tidak stabil",""),IF(AH257="Ya","Instalasi listrik berbahaya",""),IF(AI257="Ya","Komponen bangunan lepas atau lapuk",""),IF(AJ257="Ya","Akses keluar atau evakuasi terbatas",""),IF(AK257="Ya","Lokasi rawan bencana",""),IF(AL257&lt;&gt;"","Lainnya: "&amp;AL257,"")))</x:f>
        <x:v>Tidak ada risiko khusus</x:v>
      </x:c>
      <x:c r="AO257" s="716" t="str">
        <x:f>IF(AR257="","Belum Dinilai",IF(AR257=10,"Risiko Tinggi/Darurat",IF(AR257=5,"Risiko Sedang","Tidak Ada Risiko Khusus")))</x:f>
        <x:v>Belum Dinilai</x:v>
      </x:c>
      <x:c r="AP257" s="716"/>
      <x:c r="AQ257" s="719" t="str">
        <x:f>IF(OR(J257="",J257="Belum Dapat Ditentukan",L257="",L257="Belum Dinilai",N257="",N257="Belum Dinilai",P257="",P257="Belum Dinilai"),"",IF(J257="Permanen",0,IF(J257="Semipermanen",8,IF(J257="Nonpermanen",15,0)))+IF(L257="Baik",0,IF(L257="Rusak Ringan",5,IF(L257="Rusak Sedang",10,IF(L257="Rusak Berat",15,IF(L257="Tidak Ada/Terbuka",20,0)))))+IF(N257="Baik",0,IF(N257="Rusak Ringan",5,IF(N257="Rusak Sedang",10,IF(N257="Rusak Berat",15,IF(N257="Tidak Ada/Terbuka",20,0)))))+IF(P257="Baik",0,IF(P257="Rusak Ringan",4,IF(P257="Rusak Sedang",8,IF(P257="Rusak Berat",12,IF(P257="Tidak Layak",15,0))))))</x:f>
      </x:c>
      <x:c r="AR257" s="719" t="n">
        <x:f>IF(COUNTIF(AC257:AH257,"Ya")&gt;0,10,IF(COUNTIF(AI257:AK257,"Ya")&gt;=2,10,IF(COUNTIF(AI257:AK257,"Ya")=1,MAX(5,IF(AM257="Risiko Tinggi/Darurat",10,IF(AM257="Risiko Sedang",5,0))),IF(AL257&lt;&gt;"",IF(AM257="Risiko Tinggi/Darurat",10,IF(AM257="Risiko Sedang",5,"")),IF(COUNTIF(AC257:AK257,"Belum Dinilai")&gt;0,"",0)))))</x:f>
        <x:v>0</x:v>
      </x:c>
      <x:c r="AS257" s="719" t="str">
        <x:f>IF(OR(AQ257="",AB257="",AR257=""),"",AQ257+AB257+AR257)</x:f>
      </x:c>
      <x:c r="AT257" s="719" t="str">
        <x:f>IF(AS257="","Belum Dapat Ditentukan",IF(AS257&gt;=80,"Sangat Tinggi",IF(OR(AO257="Risiko Tinggi/Darurat",(IF(L257="Rusak Berat",1,0)+IF(L257="Tidak Ada/Terbuka",1,0)+IF(N257="Rusak Berat",1,0)+IF(N257="Tidak Ada/Terbuka",1,0)+IF(P257="Rusak Berat",1,0)+IF(P257="Tidak Layak",1,0))&gt;=2),"Tinggi",IF(AS257&gt;=65,"Tinggi",IF(AS257&gt;=50,"Sedang","Rendah")))))</x:f>
        <x:v>Belum Dapat Ditentukan</x:v>
      </x:c>
      <x:c r="AU257" s="240"/>
      <x:c r="AV257" s="240"/>
      <x:c r="AW257" s="240"/>
      <x:c r="AX257" s="240"/>
      <x:c r="AY257" s="240"/>
      <x:c r="AZ257" s="240"/>
      <x:c r="BA257" s="240"/>
      <x:c r="BB257" s="240"/>
      <x:c r="BC257" s="240"/>
      <x:c r="BD257" s="240"/>
      <x:c r="BE257" s="240"/>
      <x:c r="BF257" s="240"/>
    </x:row>
    <x:row r="258" ht="32" customHeight="1">
      <x:c r="A258" s="314"/>
      <x:c r="B258" s="315"/>
      <x:c r="C258" s="316"/>
      <x:c r="D258" s="316"/>
      <x:c r="E258" s="315"/>
      <x:c r="F258" s="315"/>
      <x:c r="G258" s="315"/>
      <x:c r="H258" s="315"/>
      <x:c r="I258" s="317"/>
      <x:c r="J258" s="315"/>
      <x:c r="K258" s="315"/>
      <x:c r="L258" s="315"/>
      <x:c r="M258" s="367"/>
      <x:c r="N258" s="315"/>
      <x:c r="O258" s="316"/>
      <x:c r="P258" s="349"/>
      <x:c r="Q258" s="707"/>
      <x:c r="R258" s="707"/>
      <x:c r="S258" s="708"/>
      <x:c r="T258" s="709"/>
      <x:c r="U258" s="704"/>
      <x:c r="V258" s="704"/>
      <x:c r="W258" s="704"/>
      <x:c r="X258" s="704" t="str">
        <x:f>IF(COUNTIF(R258:V258,"Belum Dinilai")&gt;0,"Belum Dinilai",IF(COUNTIF(R258:V258,"Ya")=0,"Tidak ada faktor rentan",TEXTJOIN(", ",TRUE,IF(R258="Ya","Lansia",""),IF(S258="Ya","Penyandang disabilitas",""),IF(T258="Ya","Kepala keluarga perempuan",""),IF(U258="Ya","Balita",""),IF(V258="Ya","Anggota keluarga dengan ketergantungan tinggi",""))))</x:f>
        <x:v>Tidak ada faktor rentan</x:v>
      </x:c>
      <x:c r="Y258" s="704" t="str">
        <x:f>IF(COUNTIF(R258:V258,"Belum Dinilai")&gt;0,"Belum Dinilai",IF(COUNTIF(R258:V258,"Ya")=0,"Tidak Ada Faktor Rentan",IF(COUNTIF(R258:V258,"Ya")=1,"1 Faktor Rentan","2 atau Lebih Faktor Rentan")))</x:f>
        <x:v>Tidak Ada Faktor Rentan</x:v>
      </x:c>
      <x:c r="Z258" s="704" t="str">
        <x:f>IF(OR(Q258="",Q258="Belum Dinilai"),"",IF(Q258="Terverifikasi DTKS/P3KE/MBR",10,IF(Q258="Diusulkan, Belum Terverifikasi",5,0)))</x:f>
      </x:c>
      <x:c r="AA258" s="705" t="n">
        <x:f>IF(COUNTIF(R258:V258,"Belum Dinilai")&gt;0,"",IF(COUNTIF(R258:V258,"Ya")=0,0,IF(COUNTIF(R258:V258,"Ya")=1,5,10)))</x:f>
        <x:v>0</x:v>
      </x:c>
      <x:c r="AB258" s="706" t="str">
        <x:f>IF(OR(Z258="",AA258=""),"",Z258+AA258)</x:f>
      </x:c>
      <x:c r="AC258" s="713"/>
      <x:c r="AD258" s="713"/>
      <x:c r="AE258" s="714"/>
      <x:c r="AF258" s="713"/>
      <x:c r="AG258" s="713"/>
      <x:c r="AH258" s="715"/>
      <x:c r="AI258" s="714"/>
      <x:c r="AJ258" s="713"/>
      <x:c r="AK258" s="715"/>
      <x:c r="AL258" s="713"/>
      <x:c r="AM258" s="716"/>
      <x:c r="AN258" s="716" t="str">
        <x:f>IF(AND(COUNTIF(AC258:AK258,"Ya")=0,AL258=""),IF(COUNTIF(AC258:AK258,"Belum Dinilai")&gt;0,"Belum Dinilai","Tidak ada risiko khusus"),TEXTJOIN(", ",TRUE,IF(AC258="Ya","Bangunan berpotensi roboh",""),IF(AD258="Ya","Bekas kebakaran dan tidak aman dihuni",""),IF(AE258="Ya","Atap atau dinding utama hampir runtuh",""),IF(AF258="Ya","Genangan yang membahayakan",""),IF(AG258="Ya","Struktur rumah tidak stabil",""),IF(AH258="Ya","Instalasi listrik berbahaya",""),IF(AI258="Ya","Komponen bangunan lepas atau lapuk",""),IF(AJ258="Ya","Akses keluar atau evakuasi terbatas",""),IF(AK258="Ya","Lokasi rawan bencana",""),IF(AL258&lt;&gt;"","Lainnya: "&amp;AL258,"")))</x:f>
        <x:v>Tidak ada risiko khusus</x:v>
      </x:c>
      <x:c r="AO258" s="716" t="str">
        <x:f>IF(AR258="","Belum Dinilai",IF(AR258=10,"Risiko Tinggi/Darurat",IF(AR258=5,"Risiko Sedang","Tidak Ada Risiko Khusus")))</x:f>
        <x:v>Belum Dinilai</x:v>
      </x:c>
      <x:c r="AP258" s="716"/>
      <x:c r="AQ258" s="719" t="str">
        <x:f>IF(OR(J258="",J258="Belum Dapat Ditentukan",L258="",L258="Belum Dinilai",N258="",N258="Belum Dinilai",P258="",P258="Belum Dinilai"),"",IF(J258="Permanen",0,IF(J258="Semipermanen",8,IF(J258="Nonpermanen",15,0)))+IF(L258="Baik",0,IF(L258="Rusak Ringan",5,IF(L258="Rusak Sedang",10,IF(L258="Rusak Berat",15,IF(L258="Tidak Ada/Terbuka",20,0)))))+IF(N258="Baik",0,IF(N258="Rusak Ringan",5,IF(N258="Rusak Sedang",10,IF(N258="Rusak Berat",15,IF(N258="Tidak Ada/Terbuka",20,0)))))+IF(P258="Baik",0,IF(P258="Rusak Ringan",4,IF(P258="Rusak Sedang",8,IF(P258="Rusak Berat",12,IF(P258="Tidak Layak",15,0))))))</x:f>
      </x:c>
      <x:c r="AR258" s="719" t="n">
        <x:f>IF(COUNTIF(AC258:AH258,"Ya")&gt;0,10,IF(COUNTIF(AI258:AK258,"Ya")&gt;=2,10,IF(COUNTIF(AI258:AK258,"Ya")=1,MAX(5,IF(AM258="Risiko Tinggi/Darurat",10,IF(AM258="Risiko Sedang",5,0))),IF(AL258&lt;&gt;"",IF(AM258="Risiko Tinggi/Darurat",10,IF(AM258="Risiko Sedang",5,"")),IF(COUNTIF(AC258:AK258,"Belum Dinilai")&gt;0,"",0)))))</x:f>
        <x:v>0</x:v>
      </x:c>
      <x:c r="AS258" s="719" t="str">
        <x:f>IF(OR(AQ258="",AB258="",AR258=""),"",AQ258+AB258+AR258)</x:f>
      </x:c>
      <x:c r="AT258" s="719" t="str">
        <x:f>IF(AS258="","Belum Dapat Ditentukan",IF(AS258&gt;=80,"Sangat Tinggi",IF(OR(AO258="Risiko Tinggi/Darurat",(IF(L258="Rusak Berat",1,0)+IF(L258="Tidak Ada/Terbuka",1,0)+IF(N258="Rusak Berat",1,0)+IF(N258="Tidak Ada/Terbuka",1,0)+IF(P258="Rusak Berat",1,0)+IF(P258="Tidak Layak",1,0))&gt;=2),"Tinggi",IF(AS258&gt;=65,"Tinggi",IF(AS258&gt;=50,"Sedang","Rendah")))))</x:f>
        <x:v>Belum Dapat Ditentukan</x:v>
      </x:c>
      <x:c r="AU258" s="240"/>
      <x:c r="AV258" s="240"/>
      <x:c r="AW258" s="240"/>
      <x:c r="AX258" s="240"/>
      <x:c r="AY258" s="240"/>
      <x:c r="AZ258" s="240"/>
      <x:c r="BA258" s="240"/>
      <x:c r="BB258" s="240"/>
      <x:c r="BC258" s="240"/>
      <x:c r="BD258" s="240"/>
      <x:c r="BE258" s="240"/>
      <x:c r="BF258" s="240"/>
    </x:row>
    <x:row r="259" ht="32" customHeight="1">
      <x:c r="A259" s="314"/>
      <x:c r="B259" s="315"/>
      <x:c r="C259" s="316"/>
      <x:c r="D259" s="316"/>
      <x:c r="E259" s="315"/>
      <x:c r="F259" s="315"/>
      <x:c r="G259" s="315"/>
      <x:c r="H259" s="315"/>
      <x:c r="I259" s="317"/>
      <x:c r="J259" s="315"/>
      <x:c r="K259" s="315"/>
      <x:c r="L259" s="315"/>
      <x:c r="M259" s="367"/>
      <x:c r="N259" s="315"/>
      <x:c r="O259" s="316"/>
      <x:c r="P259" s="349"/>
      <x:c r="Q259" s="707"/>
      <x:c r="R259" s="707"/>
      <x:c r="S259" s="708"/>
      <x:c r="T259" s="709"/>
      <x:c r="U259" s="704"/>
      <x:c r="V259" s="704"/>
      <x:c r="W259" s="704"/>
      <x:c r="X259" s="704" t="str">
        <x:f>IF(COUNTIF(R259:V259,"Belum Dinilai")&gt;0,"Belum Dinilai",IF(COUNTIF(R259:V259,"Ya")=0,"Tidak ada faktor rentan",TEXTJOIN(", ",TRUE,IF(R259="Ya","Lansia",""),IF(S259="Ya","Penyandang disabilitas",""),IF(T259="Ya","Kepala keluarga perempuan",""),IF(U259="Ya","Balita",""),IF(V259="Ya","Anggota keluarga dengan ketergantungan tinggi",""))))</x:f>
        <x:v>Tidak ada faktor rentan</x:v>
      </x:c>
      <x:c r="Y259" s="704" t="str">
        <x:f>IF(COUNTIF(R259:V259,"Belum Dinilai")&gt;0,"Belum Dinilai",IF(COUNTIF(R259:V259,"Ya")=0,"Tidak Ada Faktor Rentan",IF(COUNTIF(R259:V259,"Ya")=1,"1 Faktor Rentan","2 atau Lebih Faktor Rentan")))</x:f>
        <x:v>Tidak Ada Faktor Rentan</x:v>
      </x:c>
      <x:c r="Z259" s="704" t="str">
        <x:f>IF(OR(Q259="",Q259="Belum Dinilai"),"",IF(Q259="Terverifikasi DTKS/P3KE/MBR",10,IF(Q259="Diusulkan, Belum Terverifikasi",5,0)))</x:f>
      </x:c>
      <x:c r="AA259" s="705" t="n">
        <x:f>IF(COUNTIF(R259:V259,"Belum Dinilai")&gt;0,"",IF(COUNTIF(R259:V259,"Ya")=0,0,IF(COUNTIF(R259:V259,"Ya")=1,5,10)))</x:f>
        <x:v>0</x:v>
      </x:c>
      <x:c r="AB259" s="706" t="str">
        <x:f>IF(OR(Z259="",AA259=""),"",Z259+AA259)</x:f>
      </x:c>
      <x:c r="AC259" s="713"/>
      <x:c r="AD259" s="713"/>
      <x:c r="AE259" s="714"/>
      <x:c r="AF259" s="713"/>
      <x:c r="AG259" s="713"/>
      <x:c r="AH259" s="715"/>
      <x:c r="AI259" s="714"/>
      <x:c r="AJ259" s="713"/>
      <x:c r="AK259" s="715"/>
      <x:c r="AL259" s="713"/>
      <x:c r="AM259" s="716"/>
      <x:c r="AN259" s="716" t="str">
        <x:f>IF(AND(COUNTIF(AC259:AK259,"Ya")=0,AL259=""),IF(COUNTIF(AC259:AK259,"Belum Dinilai")&gt;0,"Belum Dinilai","Tidak ada risiko khusus"),TEXTJOIN(", ",TRUE,IF(AC259="Ya","Bangunan berpotensi roboh",""),IF(AD259="Ya","Bekas kebakaran dan tidak aman dihuni",""),IF(AE259="Ya","Atap atau dinding utama hampir runtuh",""),IF(AF259="Ya","Genangan yang membahayakan",""),IF(AG259="Ya","Struktur rumah tidak stabil",""),IF(AH259="Ya","Instalasi listrik berbahaya",""),IF(AI259="Ya","Komponen bangunan lepas atau lapuk",""),IF(AJ259="Ya","Akses keluar atau evakuasi terbatas",""),IF(AK259="Ya","Lokasi rawan bencana",""),IF(AL259&lt;&gt;"","Lainnya: "&amp;AL259,"")))</x:f>
        <x:v>Tidak ada risiko khusus</x:v>
      </x:c>
      <x:c r="AO259" s="716" t="str">
        <x:f>IF(AR259="","Belum Dinilai",IF(AR259=10,"Risiko Tinggi/Darurat",IF(AR259=5,"Risiko Sedang","Tidak Ada Risiko Khusus")))</x:f>
        <x:v>Belum Dinilai</x:v>
      </x:c>
      <x:c r="AP259" s="716"/>
      <x:c r="AQ259" s="719" t="str">
        <x:f>IF(OR(J259="",J259="Belum Dapat Ditentukan",L259="",L259="Belum Dinilai",N259="",N259="Belum Dinilai",P259="",P259="Belum Dinilai"),"",IF(J259="Permanen",0,IF(J259="Semipermanen",8,IF(J259="Nonpermanen",15,0)))+IF(L259="Baik",0,IF(L259="Rusak Ringan",5,IF(L259="Rusak Sedang",10,IF(L259="Rusak Berat",15,IF(L259="Tidak Ada/Terbuka",20,0)))))+IF(N259="Baik",0,IF(N259="Rusak Ringan",5,IF(N259="Rusak Sedang",10,IF(N259="Rusak Berat",15,IF(N259="Tidak Ada/Terbuka",20,0)))))+IF(P259="Baik",0,IF(P259="Rusak Ringan",4,IF(P259="Rusak Sedang",8,IF(P259="Rusak Berat",12,IF(P259="Tidak Layak",15,0))))))</x:f>
      </x:c>
      <x:c r="AR259" s="719" t="n">
        <x:f>IF(COUNTIF(AC259:AH259,"Ya")&gt;0,10,IF(COUNTIF(AI259:AK259,"Ya")&gt;=2,10,IF(COUNTIF(AI259:AK259,"Ya")=1,MAX(5,IF(AM259="Risiko Tinggi/Darurat",10,IF(AM259="Risiko Sedang",5,0))),IF(AL259&lt;&gt;"",IF(AM259="Risiko Tinggi/Darurat",10,IF(AM259="Risiko Sedang",5,"")),IF(COUNTIF(AC259:AK259,"Belum Dinilai")&gt;0,"",0)))))</x:f>
        <x:v>0</x:v>
      </x:c>
      <x:c r="AS259" s="719" t="str">
        <x:f>IF(OR(AQ259="",AB259="",AR259=""),"",AQ259+AB259+AR259)</x:f>
      </x:c>
      <x:c r="AT259" s="719" t="str">
        <x:f>IF(AS259="","Belum Dapat Ditentukan",IF(AS259&gt;=80,"Sangat Tinggi",IF(OR(AO259="Risiko Tinggi/Darurat",(IF(L259="Rusak Berat",1,0)+IF(L259="Tidak Ada/Terbuka",1,0)+IF(N259="Rusak Berat",1,0)+IF(N259="Tidak Ada/Terbuka",1,0)+IF(P259="Rusak Berat",1,0)+IF(P259="Tidak Layak",1,0))&gt;=2),"Tinggi",IF(AS259&gt;=65,"Tinggi",IF(AS259&gt;=50,"Sedang","Rendah")))))</x:f>
        <x:v>Belum Dapat Ditentukan</x:v>
      </x:c>
      <x:c r="AU259" s="240"/>
      <x:c r="AV259" s="240"/>
      <x:c r="AW259" s="240"/>
      <x:c r="AX259" s="240"/>
      <x:c r="AY259" s="240"/>
      <x:c r="AZ259" s="240"/>
      <x:c r="BA259" s="240"/>
      <x:c r="BB259" s="240"/>
      <x:c r="BC259" s="240"/>
      <x:c r="BD259" s="240"/>
      <x:c r="BE259" s="240"/>
      <x:c r="BF259" s="240"/>
    </x:row>
    <x:row r="260" ht="32" customHeight="1">
      <x:c r="A260" s="314"/>
      <x:c r="B260" s="315"/>
      <x:c r="C260" s="316"/>
      <x:c r="D260" s="316"/>
      <x:c r="E260" s="315"/>
      <x:c r="F260" s="315"/>
      <x:c r="G260" s="315"/>
      <x:c r="H260" s="315"/>
      <x:c r="I260" s="317"/>
      <x:c r="J260" s="315"/>
      <x:c r="K260" s="315"/>
      <x:c r="L260" s="315"/>
      <x:c r="M260" s="367"/>
      <x:c r="N260" s="315"/>
      <x:c r="O260" s="316"/>
      <x:c r="P260" s="349"/>
      <x:c r="Q260" s="707"/>
      <x:c r="R260" s="707"/>
      <x:c r="S260" s="708"/>
      <x:c r="T260" s="709"/>
      <x:c r="U260" s="704"/>
      <x:c r="V260" s="704"/>
      <x:c r="W260" s="704"/>
      <x:c r="X260" s="704" t="str">
        <x:f>IF(COUNTIF(R260:V260,"Belum Dinilai")&gt;0,"Belum Dinilai",IF(COUNTIF(R260:V260,"Ya")=0,"Tidak ada faktor rentan",TEXTJOIN(", ",TRUE,IF(R260="Ya","Lansia",""),IF(S260="Ya","Penyandang disabilitas",""),IF(T260="Ya","Kepala keluarga perempuan",""),IF(U260="Ya","Balita",""),IF(V260="Ya","Anggota keluarga dengan ketergantungan tinggi",""))))</x:f>
        <x:v>Tidak ada faktor rentan</x:v>
      </x:c>
      <x:c r="Y260" s="704" t="str">
        <x:f>IF(COUNTIF(R260:V260,"Belum Dinilai")&gt;0,"Belum Dinilai",IF(COUNTIF(R260:V260,"Ya")=0,"Tidak Ada Faktor Rentan",IF(COUNTIF(R260:V260,"Ya")=1,"1 Faktor Rentan","2 atau Lebih Faktor Rentan")))</x:f>
        <x:v>Tidak Ada Faktor Rentan</x:v>
      </x:c>
      <x:c r="Z260" s="704" t="str">
        <x:f>IF(OR(Q260="",Q260="Belum Dinilai"),"",IF(Q260="Terverifikasi DTKS/P3KE/MBR",10,IF(Q260="Diusulkan, Belum Terverifikasi",5,0)))</x:f>
      </x:c>
      <x:c r="AA260" s="705" t="n">
        <x:f>IF(COUNTIF(R260:V260,"Belum Dinilai")&gt;0,"",IF(COUNTIF(R260:V260,"Ya")=0,0,IF(COUNTIF(R260:V260,"Ya")=1,5,10)))</x:f>
        <x:v>0</x:v>
      </x:c>
      <x:c r="AB260" s="706" t="str">
        <x:f>IF(OR(Z260="",AA260=""),"",Z260+AA260)</x:f>
      </x:c>
      <x:c r="AC260" s="713"/>
      <x:c r="AD260" s="713"/>
      <x:c r="AE260" s="714"/>
      <x:c r="AF260" s="713"/>
      <x:c r="AG260" s="713"/>
      <x:c r="AH260" s="715"/>
      <x:c r="AI260" s="714"/>
      <x:c r="AJ260" s="713"/>
      <x:c r="AK260" s="715"/>
      <x:c r="AL260" s="713"/>
      <x:c r="AM260" s="716"/>
      <x:c r="AN260" s="716" t="str">
        <x:f>IF(AND(COUNTIF(AC260:AK260,"Ya")=0,AL260=""),IF(COUNTIF(AC260:AK260,"Belum Dinilai")&gt;0,"Belum Dinilai","Tidak ada risiko khusus"),TEXTJOIN(", ",TRUE,IF(AC260="Ya","Bangunan berpotensi roboh",""),IF(AD260="Ya","Bekas kebakaran dan tidak aman dihuni",""),IF(AE260="Ya","Atap atau dinding utama hampir runtuh",""),IF(AF260="Ya","Genangan yang membahayakan",""),IF(AG260="Ya","Struktur rumah tidak stabil",""),IF(AH260="Ya","Instalasi listrik berbahaya",""),IF(AI260="Ya","Komponen bangunan lepas atau lapuk",""),IF(AJ260="Ya","Akses keluar atau evakuasi terbatas",""),IF(AK260="Ya","Lokasi rawan bencana",""),IF(AL260&lt;&gt;"","Lainnya: "&amp;AL260,"")))</x:f>
        <x:v>Tidak ada risiko khusus</x:v>
      </x:c>
      <x:c r="AO260" s="716" t="str">
        <x:f>IF(AR260="","Belum Dinilai",IF(AR260=10,"Risiko Tinggi/Darurat",IF(AR260=5,"Risiko Sedang","Tidak Ada Risiko Khusus")))</x:f>
        <x:v>Belum Dinilai</x:v>
      </x:c>
      <x:c r="AP260" s="716"/>
      <x:c r="AQ260" s="719" t="str">
        <x:f>IF(OR(J260="",J260="Belum Dapat Ditentukan",L260="",L260="Belum Dinilai",N260="",N260="Belum Dinilai",P260="",P260="Belum Dinilai"),"",IF(J260="Permanen",0,IF(J260="Semipermanen",8,IF(J260="Nonpermanen",15,0)))+IF(L260="Baik",0,IF(L260="Rusak Ringan",5,IF(L260="Rusak Sedang",10,IF(L260="Rusak Berat",15,IF(L260="Tidak Ada/Terbuka",20,0)))))+IF(N260="Baik",0,IF(N260="Rusak Ringan",5,IF(N260="Rusak Sedang",10,IF(N260="Rusak Berat",15,IF(N260="Tidak Ada/Terbuka",20,0)))))+IF(P260="Baik",0,IF(P260="Rusak Ringan",4,IF(P260="Rusak Sedang",8,IF(P260="Rusak Berat",12,IF(P260="Tidak Layak",15,0))))))</x:f>
      </x:c>
      <x:c r="AR260" s="719" t="n">
        <x:f>IF(COUNTIF(AC260:AH260,"Ya")&gt;0,10,IF(COUNTIF(AI260:AK260,"Ya")&gt;=2,10,IF(COUNTIF(AI260:AK260,"Ya")=1,MAX(5,IF(AM260="Risiko Tinggi/Darurat",10,IF(AM260="Risiko Sedang",5,0))),IF(AL260&lt;&gt;"",IF(AM260="Risiko Tinggi/Darurat",10,IF(AM260="Risiko Sedang",5,"")),IF(COUNTIF(AC260:AK260,"Belum Dinilai")&gt;0,"",0)))))</x:f>
        <x:v>0</x:v>
      </x:c>
      <x:c r="AS260" s="719" t="str">
        <x:f>IF(OR(AQ260="",AB260="",AR260=""),"",AQ260+AB260+AR260)</x:f>
      </x:c>
      <x:c r="AT260" s="719" t="str">
        <x:f>IF(AS260="","Belum Dapat Ditentukan",IF(AS260&gt;=80,"Sangat Tinggi",IF(OR(AO260="Risiko Tinggi/Darurat",(IF(L260="Rusak Berat",1,0)+IF(L260="Tidak Ada/Terbuka",1,0)+IF(N260="Rusak Berat",1,0)+IF(N260="Tidak Ada/Terbuka",1,0)+IF(P260="Rusak Berat",1,0)+IF(P260="Tidak Layak",1,0))&gt;=2),"Tinggi",IF(AS260&gt;=65,"Tinggi",IF(AS260&gt;=50,"Sedang","Rendah")))))</x:f>
        <x:v>Belum Dapat Ditentukan</x:v>
      </x:c>
      <x:c r="AU260" s="240"/>
      <x:c r="AV260" s="240"/>
      <x:c r="AW260" s="240"/>
      <x:c r="AX260" s="240"/>
      <x:c r="AY260" s="240"/>
      <x:c r="AZ260" s="240"/>
      <x:c r="BA260" s="240"/>
      <x:c r="BB260" s="240"/>
      <x:c r="BC260" s="240"/>
      <x:c r="BD260" s="240"/>
      <x:c r="BE260" s="240"/>
      <x:c r="BF260" s="240"/>
    </x:row>
    <x:row r="261" ht="32" customHeight="1">
      <x:c r="A261" s="314"/>
      <x:c r="B261" s="315"/>
      <x:c r="C261" s="316"/>
      <x:c r="D261" s="316"/>
      <x:c r="E261" s="315"/>
      <x:c r="F261" s="315"/>
      <x:c r="G261" s="315"/>
      <x:c r="H261" s="315"/>
      <x:c r="I261" s="317"/>
      <x:c r="J261" s="315"/>
      <x:c r="K261" s="315"/>
      <x:c r="L261" s="315"/>
      <x:c r="M261" s="367"/>
      <x:c r="N261" s="315"/>
      <x:c r="O261" s="316"/>
      <x:c r="P261" s="349"/>
      <x:c r="Q261" s="707"/>
      <x:c r="R261" s="707"/>
      <x:c r="S261" s="708"/>
      <x:c r="T261" s="709"/>
      <x:c r="U261" s="704"/>
      <x:c r="V261" s="704"/>
      <x:c r="W261" s="704"/>
      <x:c r="X261" s="704" t="str">
        <x:f>IF(COUNTIF(R261:V261,"Belum Dinilai")&gt;0,"Belum Dinilai",IF(COUNTIF(R261:V261,"Ya")=0,"Tidak ada faktor rentan",TEXTJOIN(", ",TRUE,IF(R261="Ya","Lansia",""),IF(S261="Ya","Penyandang disabilitas",""),IF(T261="Ya","Kepala keluarga perempuan",""),IF(U261="Ya","Balita",""),IF(V261="Ya","Anggota keluarga dengan ketergantungan tinggi",""))))</x:f>
        <x:v>Tidak ada faktor rentan</x:v>
      </x:c>
      <x:c r="Y261" s="704" t="str">
        <x:f>IF(COUNTIF(R261:V261,"Belum Dinilai")&gt;0,"Belum Dinilai",IF(COUNTIF(R261:V261,"Ya")=0,"Tidak Ada Faktor Rentan",IF(COUNTIF(R261:V261,"Ya")=1,"1 Faktor Rentan","2 atau Lebih Faktor Rentan")))</x:f>
        <x:v>Tidak Ada Faktor Rentan</x:v>
      </x:c>
      <x:c r="Z261" s="704" t="str">
        <x:f>IF(OR(Q261="",Q261="Belum Dinilai"),"",IF(Q261="Terverifikasi DTKS/P3KE/MBR",10,IF(Q261="Diusulkan, Belum Terverifikasi",5,0)))</x:f>
      </x:c>
      <x:c r="AA261" s="705" t="n">
        <x:f>IF(COUNTIF(R261:V261,"Belum Dinilai")&gt;0,"",IF(COUNTIF(R261:V261,"Ya")=0,0,IF(COUNTIF(R261:V261,"Ya")=1,5,10)))</x:f>
        <x:v>0</x:v>
      </x:c>
      <x:c r="AB261" s="706" t="str">
        <x:f>IF(OR(Z261="",AA261=""),"",Z261+AA261)</x:f>
      </x:c>
      <x:c r="AC261" s="713"/>
      <x:c r="AD261" s="713"/>
      <x:c r="AE261" s="714"/>
      <x:c r="AF261" s="713"/>
      <x:c r="AG261" s="713"/>
      <x:c r="AH261" s="715"/>
      <x:c r="AI261" s="714"/>
      <x:c r="AJ261" s="713"/>
      <x:c r="AK261" s="715"/>
      <x:c r="AL261" s="713"/>
      <x:c r="AM261" s="716"/>
      <x:c r="AN261" s="716" t="str">
        <x:f>IF(AND(COUNTIF(AC261:AK261,"Ya")=0,AL261=""),IF(COUNTIF(AC261:AK261,"Belum Dinilai")&gt;0,"Belum Dinilai","Tidak ada risiko khusus"),TEXTJOIN(", ",TRUE,IF(AC261="Ya","Bangunan berpotensi roboh",""),IF(AD261="Ya","Bekas kebakaran dan tidak aman dihuni",""),IF(AE261="Ya","Atap atau dinding utama hampir runtuh",""),IF(AF261="Ya","Genangan yang membahayakan",""),IF(AG261="Ya","Struktur rumah tidak stabil",""),IF(AH261="Ya","Instalasi listrik berbahaya",""),IF(AI261="Ya","Komponen bangunan lepas atau lapuk",""),IF(AJ261="Ya","Akses keluar atau evakuasi terbatas",""),IF(AK261="Ya","Lokasi rawan bencana",""),IF(AL261&lt;&gt;"","Lainnya: "&amp;AL261,"")))</x:f>
        <x:v>Tidak ada risiko khusus</x:v>
      </x:c>
      <x:c r="AO261" s="716" t="str">
        <x:f>IF(AR261="","Belum Dinilai",IF(AR261=10,"Risiko Tinggi/Darurat",IF(AR261=5,"Risiko Sedang","Tidak Ada Risiko Khusus")))</x:f>
        <x:v>Belum Dinilai</x:v>
      </x:c>
      <x:c r="AP261" s="716"/>
      <x:c r="AQ261" s="719" t="str">
        <x:f>IF(OR(J261="",J261="Belum Dapat Ditentukan",L261="",L261="Belum Dinilai",N261="",N261="Belum Dinilai",P261="",P261="Belum Dinilai"),"",IF(J261="Permanen",0,IF(J261="Semipermanen",8,IF(J261="Nonpermanen",15,0)))+IF(L261="Baik",0,IF(L261="Rusak Ringan",5,IF(L261="Rusak Sedang",10,IF(L261="Rusak Berat",15,IF(L261="Tidak Ada/Terbuka",20,0)))))+IF(N261="Baik",0,IF(N261="Rusak Ringan",5,IF(N261="Rusak Sedang",10,IF(N261="Rusak Berat",15,IF(N261="Tidak Ada/Terbuka",20,0)))))+IF(P261="Baik",0,IF(P261="Rusak Ringan",4,IF(P261="Rusak Sedang",8,IF(P261="Rusak Berat",12,IF(P261="Tidak Layak",15,0))))))</x:f>
      </x:c>
      <x:c r="AR261" s="719" t="n">
        <x:f>IF(COUNTIF(AC261:AH261,"Ya")&gt;0,10,IF(COUNTIF(AI261:AK261,"Ya")&gt;=2,10,IF(COUNTIF(AI261:AK261,"Ya")=1,MAX(5,IF(AM261="Risiko Tinggi/Darurat",10,IF(AM261="Risiko Sedang",5,0))),IF(AL261&lt;&gt;"",IF(AM261="Risiko Tinggi/Darurat",10,IF(AM261="Risiko Sedang",5,"")),IF(COUNTIF(AC261:AK261,"Belum Dinilai")&gt;0,"",0)))))</x:f>
        <x:v>0</x:v>
      </x:c>
      <x:c r="AS261" s="719" t="str">
        <x:f>IF(OR(AQ261="",AB261="",AR261=""),"",AQ261+AB261+AR261)</x:f>
      </x:c>
      <x:c r="AT261" s="719" t="str">
        <x:f>IF(AS261="","Belum Dapat Ditentukan",IF(AS261&gt;=80,"Sangat Tinggi",IF(OR(AO261="Risiko Tinggi/Darurat",(IF(L261="Rusak Berat",1,0)+IF(L261="Tidak Ada/Terbuka",1,0)+IF(N261="Rusak Berat",1,0)+IF(N261="Tidak Ada/Terbuka",1,0)+IF(P261="Rusak Berat",1,0)+IF(P261="Tidak Layak",1,0))&gt;=2),"Tinggi",IF(AS261&gt;=65,"Tinggi",IF(AS261&gt;=50,"Sedang","Rendah")))))</x:f>
        <x:v>Belum Dapat Ditentukan</x:v>
      </x:c>
      <x:c r="AU261" s="240"/>
      <x:c r="AV261" s="240"/>
      <x:c r="AW261" s="240"/>
      <x:c r="AX261" s="240"/>
      <x:c r="AY261" s="240"/>
      <x:c r="AZ261" s="240"/>
      <x:c r="BA261" s="240"/>
      <x:c r="BB261" s="240"/>
      <x:c r="BC261" s="240"/>
      <x:c r="BD261" s="240"/>
      <x:c r="BE261" s="240"/>
      <x:c r="BF261" s="240"/>
    </x:row>
    <x:row r="262" ht="32" customHeight="1">
      <x:c r="A262" s="314"/>
      <x:c r="B262" s="315"/>
      <x:c r="C262" s="316"/>
      <x:c r="D262" s="316"/>
      <x:c r="E262" s="315"/>
      <x:c r="F262" s="315"/>
      <x:c r="G262" s="315"/>
      <x:c r="H262" s="315"/>
      <x:c r="I262" s="317"/>
      <x:c r="J262" s="315"/>
      <x:c r="K262" s="315"/>
      <x:c r="L262" s="315"/>
      <x:c r="M262" s="367"/>
      <x:c r="N262" s="315"/>
      <x:c r="O262" s="316"/>
      <x:c r="P262" s="349"/>
      <x:c r="Q262" s="707"/>
      <x:c r="R262" s="707"/>
      <x:c r="S262" s="708"/>
      <x:c r="T262" s="709"/>
      <x:c r="U262" s="704"/>
      <x:c r="V262" s="704"/>
      <x:c r="W262" s="704"/>
      <x:c r="X262" s="704" t="str">
        <x:f>IF(COUNTIF(R262:V262,"Belum Dinilai")&gt;0,"Belum Dinilai",IF(COUNTIF(R262:V262,"Ya")=0,"Tidak ada faktor rentan",TEXTJOIN(", ",TRUE,IF(R262="Ya","Lansia",""),IF(S262="Ya","Penyandang disabilitas",""),IF(T262="Ya","Kepala keluarga perempuan",""),IF(U262="Ya","Balita",""),IF(V262="Ya","Anggota keluarga dengan ketergantungan tinggi",""))))</x:f>
        <x:v>Tidak ada faktor rentan</x:v>
      </x:c>
      <x:c r="Y262" s="704" t="str">
        <x:f>IF(COUNTIF(R262:V262,"Belum Dinilai")&gt;0,"Belum Dinilai",IF(COUNTIF(R262:V262,"Ya")=0,"Tidak Ada Faktor Rentan",IF(COUNTIF(R262:V262,"Ya")=1,"1 Faktor Rentan","2 atau Lebih Faktor Rentan")))</x:f>
        <x:v>Tidak Ada Faktor Rentan</x:v>
      </x:c>
      <x:c r="Z262" s="704" t="str">
        <x:f>IF(OR(Q262="",Q262="Belum Dinilai"),"",IF(Q262="Terverifikasi DTKS/P3KE/MBR",10,IF(Q262="Diusulkan, Belum Terverifikasi",5,0)))</x:f>
      </x:c>
      <x:c r="AA262" s="705" t="n">
        <x:f>IF(COUNTIF(R262:V262,"Belum Dinilai")&gt;0,"",IF(COUNTIF(R262:V262,"Ya")=0,0,IF(COUNTIF(R262:V262,"Ya")=1,5,10)))</x:f>
        <x:v>0</x:v>
      </x:c>
      <x:c r="AB262" s="706" t="str">
        <x:f>IF(OR(Z262="",AA262=""),"",Z262+AA262)</x:f>
      </x:c>
      <x:c r="AC262" s="713"/>
      <x:c r="AD262" s="713"/>
      <x:c r="AE262" s="714"/>
      <x:c r="AF262" s="713"/>
      <x:c r="AG262" s="713"/>
      <x:c r="AH262" s="715"/>
      <x:c r="AI262" s="714"/>
      <x:c r="AJ262" s="713"/>
      <x:c r="AK262" s="715"/>
      <x:c r="AL262" s="713"/>
      <x:c r="AM262" s="716"/>
      <x:c r="AN262" s="716" t="str">
        <x:f>IF(AND(COUNTIF(AC262:AK262,"Ya")=0,AL262=""),IF(COUNTIF(AC262:AK262,"Belum Dinilai")&gt;0,"Belum Dinilai","Tidak ada risiko khusus"),TEXTJOIN(", ",TRUE,IF(AC262="Ya","Bangunan berpotensi roboh",""),IF(AD262="Ya","Bekas kebakaran dan tidak aman dihuni",""),IF(AE262="Ya","Atap atau dinding utama hampir runtuh",""),IF(AF262="Ya","Genangan yang membahayakan",""),IF(AG262="Ya","Struktur rumah tidak stabil",""),IF(AH262="Ya","Instalasi listrik berbahaya",""),IF(AI262="Ya","Komponen bangunan lepas atau lapuk",""),IF(AJ262="Ya","Akses keluar atau evakuasi terbatas",""),IF(AK262="Ya","Lokasi rawan bencana",""),IF(AL262&lt;&gt;"","Lainnya: "&amp;AL262,"")))</x:f>
        <x:v>Tidak ada risiko khusus</x:v>
      </x:c>
      <x:c r="AO262" s="716" t="str">
        <x:f>IF(AR262="","Belum Dinilai",IF(AR262=10,"Risiko Tinggi/Darurat",IF(AR262=5,"Risiko Sedang","Tidak Ada Risiko Khusus")))</x:f>
        <x:v>Belum Dinilai</x:v>
      </x:c>
      <x:c r="AP262" s="716"/>
      <x:c r="AQ262" s="719" t="str">
        <x:f>IF(OR(J262="",J262="Belum Dapat Ditentukan",L262="",L262="Belum Dinilai",N262="",N262="Belum Dinilai",P262="",P262="Belum Dinilai"),"",IF(J262="Permanen",0,IF(J262="Semipermanen",8,IF(J262="Nonpermanen",15,0)))+IF(L262="Baik",0,IF(L262="Rusak Ringan",5,IF(L262="Rusak Sedang",10,IF(L262="Rusak Berat",15,IF(L262="Tidak Ada/Terbuka",20,0)))))+IF(N262="Baik",0,IF(N262="Rusak Ringan",5,IF(N262="Rusak Sedang",10,IF(N262="Rusak Berat",15,IF(N262="Tidak Ada/Terbuka",20,0)))))+IF(P262="Baik",0,IF(P262="Rusak Ringan",4,IF(P262="Rusak Sedang",8,IF(P262="Rusak Berat",12,IF(P262="Tidak Layak",15,0))))))</x:f>
      </x:c>
      <x:c r="AR262" s="719" t="n">
        <x:f>IF(COUNTIF(AC262:AH262,"Ya")&gt;0,10,IF(COUNTIF(AI262:AK262,"Ya")&gt;=2,10,IF(COUNTIF(AI262:AK262,"Ya")=1,MAX(5,IF(AM262="Risiko Tinggi/Darurat",10,IF(AM262="Risiko Sedang",5,0))),IF(AL262&lt;&gt;"",IF(AM262="Risiko Tinggi/Darurat",10,IF(AM262="Risiko Sedang",5,"")),IF(COUNTIF(AC262:AK262,"Belum Dinilai")&gt;0,"",0)))))</x:f>
        <x:v>0</x:v>
      </x:c>
      <x:c r="AS262" s="719" t="str">
        <x:f>IF(OR(AQ262="",AB262="",AR262=""),"",AQ262+AB262+AR262)</x:f>
      </x:c>
      <x:c r="AT262" s="719" t="str">
        <x:f>IF(AS262="","Belum Dapat Ditentukan",IF(AS262&gt;=80,"Sangat Tinggi",IF(OR(AO262="Risiko Tinggi/Darurat",(IF(L262="Rusak Berat",1,0)+IF(L262="Tidak Ada/Terbuka",1,0)+IF(N262="Rusak Berat",1,0)+IF(N262="Tidak Ada/Terbuka",1,0)+IF(P262="Rusak Berat",1,0)+IF(P262="Tidak Layak",1,0))&gt;=2),"Tinggi",IF(AS262&gt;=65,"Tinggi",IF(AS262&gt;=50,"Sedang","Rendah")))))</x:f>
        <x:v>Belum Dapat Ditentukan</x:v>
      </x:c>
      <x:c r="AU262" s="240"/>
      <x:c r="AV262" s="240"/>
      <x:c r="AW262" s="240"/>
      <x:c r="AX262" s="240"/>
      <x:c r="AY262" s="240"/>
      <x:c r="AZ262" s="240"/>
      <x:c r="BA262" s="240"/>
      <x:c r="BB262" s="240"/>
      <x:c r="BC262" s="240"/>
      <x:c r="BD262" s="240"/>
      <x:c r="BE262" s="240"/>
      <x:c r="BF262" s="240"/>
    </x:row>
    <x:row r="263" ht="32" customHeight="1">
      <x:c r="A263" s="314"/>
      <x:c r="B263" s="315"/>
      <x:c r="C263" s="316"/>
      <x:c r="D263" s="316"/>
      <x:c r="E263" s="315"/>
      <x:c r="F263" s="315"/>
      <x:c r="G263" s="315"/>
      <x:c r="H263" s="315"/>
      <x:c r="I263" s="317"/>
      <x:c r="J263" s="315"/>
      <x:c r="K263" s="315"/>
      <x:c r="L263" s="315"/>
      <x:c r="M263" s="367"/>
      <x:c r="N263" s="315"/>
      <x:c r="O263" s="316"/>
      <x:c r="P263" s="349"/>
      <x:c r="Q263" s="707"/>
      <x:c r="R263" s="707"/>
      <x:c r="S263" s="708"/>
      <x:c r="T263" s="709"/>
      <x:c r="U263" s="704"/>
      <x:c r="V263" s="704"/>
      <x:c r="W263" s="704"/>
      <x:c r="X263" s="704" t="str">
        <x:f>IF(COUNTIF(R263:V263,"Belum Dinilai")&gt;0,"Belum Dinilai",IF(COUNTIF(R263:V263,"Ya")=0,"Tidak ada faktor rentan",TEXTJOIN(", ",TRUE,IF(R263="Ya","Lansia",""),IF(S263="Ya","Penyandang disabilitas",""),IF(T263="Ya","Kepala keluarga perempuan",""),IF(U263="Ya","Balita",""),IF(V263="Ya","Anggota keluarga dengan ketergantungan tinggi",""))))</x:f>
        <x:v>Tidak ada faktor rentan</x:v>
      </x:c>
      <x:c r="Y263" s="704" t="str">
        <x:f>IF(COUNTIF(R263:V263,"Belum Dinilai")&gt;0,"Belum Dinilai",IF(COUNTIF(R263:V263,"Ya")=0,"Tidak Ada Faktor Rentan",IF(COUNTIF(R263:V263,"Ya")=1,"1 Faktor Rentan","2 atau Lebih Faktor Rentan")))</x:f>
        <x:v>Tidak Ada Faktor Rentan</x:v>
      </x:c>
      <x:c r="Z263" s="704" t="str">
        <x:f>IF(OR(Q263="",Q263="Belum Dinilai"),"",IF(Q263="Terverifikasi DTKS/P3KE/MBR",10,IF(Q263="Diusulkan, Belum Terverifikasi",5,0)))</x:f>
      </x:c>
      <x:c r="AA263" s="705" t="n">
        <x:f>IF(COUNTIF(R263:V263,"Belum Dinilai")&gt;0,"",IF(COUNTIF(R263:V263,"Ya")=0,0,IF(COUNTIF(R263:V263,"Ya")=1,5,10)))</x:f>
        <x:v>0</x:v>
      </x:c>
      <x:c r="AB263" s="706" t="str">
        <x:f>IF(OR(Z263="",AA263=""),"",Z263+AA263)</x:f>
      </x:c>
      <x:c r="AC263" s="713"/>
      <x:c r="AD263" s="713"/>
      <x:c r="AE263" s="714"/>
      <x:c r="AF263" s="713"/>
      <x:c r="AG263" s="713"/>
      <x:c r="AH263" s="715"/>
      <x:c r="AI263" s="714"/>
      <x:c r="AJ263" s="713"/>
      <x:c r="AK263" s="715"/>
      <x:c r="AL263" s="713"/>
      <x:c r="AM263" s="716"/>
      <x:c r="AN263" s="716" t="str">
        <x:f>IF(AND(COUNTIF(AC263:AK263,"Ya")=0,AL263=""),IF(COUNTIF(AC263:AK263,"Belum Dinilai")&gt;0,"Belum Dinilai","Tidak ada risiko khusus"),TEXTJOIN(", ",TRUE,IF(AC263="Ya","Bangunan berpotensi roboh",""),IF(AD263="Ya","Bekas kebakaran dan tidak aman dihuni",""),IF(AE263="Ya","Atap atau dinding utama hampir runtuh",""),IF(AF263="Ya","Genangan yang membahayakan",""),IF(AG263="Ya","Struktur rumah tidak stabil",""),IF(AH263="Ya","Instalasi listrik berbahaya",""),IF(AI263="Ya","Komponen bangunan lepas atau lapuk",""),IF(AJ263="Ya","Akses keluar atau evakuasi terbatas",""),IF(AK263="Ya","Lokasi rawan bencana",""),IF(AL263&lt;&gt;"","Lainnya: "&amp;AL263,"")))</x:f>
        <x:v>Tidak ada risiko khusus</x:v>
      </x:c>
      <x:c r="AO263" s="716" t="str">
        <x:f>IF(AR263="","Belum Dinilai",IF(AR263=10,"Risiko Tinggi/Darurat",IF(AR263=5,"Risiko Sedang","Tidak Ada Risiko Khusus")))</x:f>
        <x:v>Belum Dinilai</x:v>
      </x:c>
      <x:c r="AP263" s="716"/>
      <x:c r="AQ263" s="719" t="str">
        <x:f>IF(OR(J263="",J263="Belum Dapat Ditentukan",L263="",L263="Belum Dinilai",N263="",N263="Belum Dinilai",P263="",P263="Belum Dinilai"),"",IF(J263="Permanen",0,IF(J263="Semipermanen",8,IF(J263="Nonpermanen",15,0)))+IF(L263="Baik",0,IF(L263="Rusak Ringan",5,IF(L263="Rusak Sedang",10,IF(L263="Rusak Berat",15,IF(L263="Tidak Ada/Terbuka",20,0)))))+IF(N263="Baik",0,IF(N263="Rusak Ringan",5,IF(N263="Rusak Sedang",10,IF(N263="Rusak Berat",15,IF(N263="Tidak Ada/Terbuka",20,0)))))+IF(P263="Baik",0,IF(P263="Rusak Ringan",4,IF(P263="Rusak Sedang",8,IF(P263="Rusak Berat",12,IF(P263="Tidak Layak",15,0))))))</x:f>
      </x:c>
      <x:c r="AR263" s="719" t="n">
        <x:f>IF(COUNTIF(AC263:AH263,"Ya")&gt;0,10,IF(COUNTIF(AI263:AK263,"Ya")&gt;=2,10,IF(COUNTIF(AI263:AK263,"Ya")=1,MAX(5,IF(AM263="Risiko Tinggi/Darurat",10,IF(AM263="Risiko Sedang",5,0))),IF(AL263&lt;&gt;"",IF(AM263="Risiko Tinggi/Darurat",10,IF(AM263="Risiko Sedang",5,"")),IF(COUNTIF(AC263:AK263,"Belum Dinilai")&gt;0,"",0)))))</x:f>
        <x:v>0</x:v>
      </x:c>
      <x:c r="AS263" s="719" t="str">
        <x:f>IF(OR(AQ263="",AB263="",AR263=""),"",AQ263+AB263+AR263)</x:f>
      </x:c>
      <x:c r="AT263" s="719" t="str">
        <x:f>IF(AS263="","Belum Dapat Ditentukan",IF(AS263&gt;=80,"Sangat Tinggi",IF(OR(AO263="Risiko Tinggi/Darurat",(IF(L263="Rusak Berat",1,0)+IF(L263="Tidak Ada/Terbuka",1,0)+IF(N263="Rusak Berat",1,0)+IF(N263="Tidak Ada/Terbuka",1,0)+IF(P263="Rusak Berat",1,0)+IF(P263="Tidak Layak",1,0))&gt;=2),"Tinggi",IF(AS263&gt;=65,"Tinggi",IF(AS263&gt;=50,"Sedang","Rendah")))))</x:f>
        <x:v>Belum Dapat Ditentukan</x:v>
      </x:c>
      <x:c r="AU263" s="240"/>
      <x:c r="AV263" s="240"/>
      <x:c r="AW263" s="240"/>
      <x:c r="AX263" s="240"/>
      <x:c r="AY263" s="240"/>
      <x:c r="AZ263" s="240"/>
      <x:c r="BA263" s="240"/>
      <x:c r="BB263" s="240"/>
      <x:c r="BC263" s="240"/>
      <x:c r="BD263" s="240"/>
      <x:c r="BE263" s="240"/>
      <x:c r="BF263" s="240"/>
    </x:row>
    <x:row r="264" ht="32" customHeight="1">
      <x:c r="A264" s="314"/>
      <x:c r="B264" s="315"/>
      <x:c r="C264" s="316"/>
      <x:c r="D264" s="316"/>
      <x:c r="E264" s="315"/>
      <x:c r="F264" s="315"/>
      <x:c r="G264" s="315"/>
      <x:c r="H264" s="315"/>
      <x:c r="I264" s="317"/>
      <x:c r="J264" s="315"/>
      <x:c r="K264" s="315"/>
      <x:c r="L264" s="315"/>
      <x:c r="M264" s="367"/>
      <x:c r="N264" s="315"/>
      <x:c r="O264" s="316"/>
      <x:c r="P264" s="349"/>
      <x:c r="Q264" s="707"/>
      <x:c r="R264" s="707"/>
      <x:c r="S264" s="708"/>
      <x:c r="T264" s="709"/>
      <x:c r="U264" s="704"/>
      <x:c r="V264" s="704"/>
      <x:c r="W264" s="704"/>
      <x:c r="X264" s="704" t="str">
        <x:f>IF(COUNTIF(R264:V264,"Belum Dinilai")&gt;0,"Belum Dinilai",IF(COUNTIF(R264:V264,"Ya")=0,"Tidak ada faktor rentan",TEXTJOIN(", ",TRUE,IF(R264="Ya","Lansia",""),IF(S264="Ya","Penyandang disabilitas",""),IF(T264="Ya","Kepala keluarga perempuan",""),IF(U264="Ya","Balita",""),IF(V264="Ya","Anggota keluarga dengan ketergantungan tinggi",""))))</x:f>
        <x:v>Tidak ada faktor rentan</x:v>
      </x:c>
      <x:c r="Y264" s="704" t="str">
        <x:f>IF(COUNTIF(R264:V264,"Belum Dinilai")&gt;0,"Belum Dinilai",IF(COUNTIF(R264:V264,"Ya")=0,"Tidak Ada Faktor Rentan",IF(COUNTIF(R264:V264,"Ya")=1,"1 Faktor Rentan","2 atau Lebih Faktor Rentan")))</x:f>
        <x:v>Tidak Ada Faktor Rentan</x:v>
      </x:c>
      <x:c r="Z264" s="704" t="str">
        <x:f>IF(OR(Q264="",Q264="Belum Dinilai"),"",IF(Q264="Terverifikasi DTKS/P3KE/MBR",10,IF(Q264="Diusulkan, Belum Terverifikasi",5,0)))</x:f>
      </x:c>
      <x:c r="AA264" s="705" t="n">
        <x:f>IF(COUNTIF(R264:V264,"Belum Dinilai")&gt;0,"",IF(COUNTIF(R264:V264,"Ya")=0,0,IF(COUNTIF(R264:V264,"Ya")=1,5,10)))</x:f>
        <x:v>0</x:v>
      </x:c>
      <x:c r="AB264" s="706" t="str">
        <x:f>IF(OR(Z264="",AA264=""),"",Z264+AA264)</x:f>
      </x:c>
      <x:c r="AC264" s="713"/>
      <x:c r="AD264" s="713"/>
      <x:c r="AE264" s="714"/>
      <x:c r="AF264" s="713"/>
      <x:c r="AG264" s="713"/>
      <x:c r="AH264" s="715"/>
      <x:c r="AI264" s="714"/>
      <x:c r="AJ264" s="713"/>
      <x:c r="AK264" s="715"/>
      <x:c r="AL264" s="713"/>
      <x:c r="AM264" s="716"/>
      <x:c r="AN264" s="716" t="str">
        <x:f>IF(AND(COUNTIF(AC264:AK264,"Ya")=0,AL264=""),IF(COUNTIF(AC264:AK264,"Belum Dinilai")&gt;0,"Belum Dinilai","Tidak ada risiko khusus"),TEXTJOIN(", ",TRUE,IF(AC264="Ya","Bangunan berpotensi roboh",""),IF(AD264="Ya","Bekas kebakaran dan tidak aman dihuni",""),IF(AE264="Ya","Atap atau dinding utama hampir runtuh",""),IF(AF264="Ya","Genangan yang membahayakan",""),IF(AG264="Ya","Struktur rumah tidak stabil",""),IF(AH264="Ya","Instalasi listrik berbahaya",""),IF(AI264="Ya","Komponen bangunan lepas atau lapuk",""),IF(AJ264="Ya","Akses keluar atau evakuasi terbatas",""),IF(AK264="Ya","Lokasi rawan bencana",""),IF(AL264&lt;&gt;"","Lainnya: "&amp;AL264,"")))</x:f>
        <x:v>Tidak ada risiko khusus</x:v>
      </x:c>
      <x:c r="AO264" s="716" t="str">
        <x:f>IF(AR264="","Belum Dinilai",IF(AR264=10,"Risiko Tinggi/Darurat",IF(AR264=5,"Risiko Sedang","Tidak Ada Risiko Khusus")))</x:f>
        <x:v>Belum Dinilai</x:v>
      </x:c>
      <x:c r="AP264" s="716"/>
      <x:c r="AQ264" s="719" t="str">
        <x:f>IF(OR(J264="",J264="Belum Dapat Ditentukan",L264="",L264="Belum Dinilai",N264="",N264="Belum Dinilai",P264="",P264="Belum Dinilai"),"",IF(J264="Permanen",0,IF(J264="Semipermanen",8,IF(J264="Nonpermanen",15,0)))+IF(L264="Baik",0,IF(L264="Rusak Ringan",5,IF(L264="Rusak Sedang",10,IF(L264="Rusak Berat",15,IF(L264="Tidak Ada/Terbuka",20,0)))))+IF(N264="Baik",0,IF(N264="Rusak Ringan",5,IF(N264="Rusak Sedang",10,IF(N264="Rusak Berat",15,IF(N264="Tidak Ada/Terbuka",20,0)))))+IF(P264="Baik",0,IF(P264="Rusak Ringan",4,IF(P264="Rusak Sedang",8,IF(P264="Rusak Berat",12,IF(P264="Tidak Layak",15,0))))))</x:f>
      </x:c>
      <x:c r="AR264" s="719" t="n">
        <x:f>IF(COUNTIF(AC264:AH264,"Ya")&gt;0,10,IF(COUNTIF(AI264:AK264,"Ya")&gt;=2,10,IF(COUNTIF(AI264:AK264,"Ya")=1,MAX(5,IF(AM264="Risiko Tinggi/Darurat",10,IF(AM264="Risiko Sedang",5,0))),IF(AL264&lt;&gt;"",IF(AM264="Risiko Tinggi/Darurat",10,IF(AM264="Risiko Sedang",5,"")),IF(COUNTIF(AC264:AK264,"Belum Dinilai")&gt;0,"",0)))))</x:f>
        <x:v>0</x:v>
      </x:c>
      <x:c r="AS264" s="719" t="str">
        <x:f>IF(OR(AQ264="",AB264="",AR264=""),"",AQ264+AB264+AR264)</x:f>
      </x:c>
      <x:c r="AT264" s="719" t="str">
        <x:f>IF(AS264="","Belum Dapat Ditentukan",IF(AS264&gt;=80,"Sangat Tinggi",IF(OR(AO264="Risiko Tinggi/Darurat",(IF(L264="Rusak Berat",1,0)+IF(L264="Tidak Ada/Terbuka",1,0)+IF(N264="Rusak Berat",1,0)+IF(N264="Tidak Ada/Terbuka",1,0)+IF(P264="Rusak Berat",1,0)+IF(P264="Tidak Layak",1,0))&gt;=2),"Tinggi",IF(AS264&gt;=65,"Tinggi",IF(AS264&gt;=50,"Sedang","Rendah")))))</x:f>
        <x:v>Belum Dapat Ditentukan</x:v>
      </x:c>
      <x:c r="AU264" s="240"/>
      <x:c r="AV264" s="240"/>
      <x:c r="AW264" s="240"/>
      <x:c r="AX264" s="240"/>
      <x:c r="AY264" s="240"/>
      <x:c r="AZ264" s="240"/>
      <x:c r="BA264" s="240"/>
      <x:c r="BB264" s="240"/>
      <x:c r="BC264" s="240"/>
      <x:c r="BD264" s="240"/>
      <x:c r="BE264" s="240"/>
      <x:c r="BF264" s="240"/>
    </x:row>
    <x:row r="265" ht="32" customHeight="1">
      <x:c r="A265" s="314"/>
      <x:c r="B265" s="315"/>
      <x:c r="C265" s="316"/>
      <x:c r="D265" s="316"/>
      <x:c r="E265" s="315"/>
      <x:c r="F265" s="315"/>
      <x:c r="G265" s="315"/>
      <x:c r="H265" s="315"/>
      <x:c r="I265" s="317"/>
      <x:c r="J265" s="315"/>
      <x:c r="K265" s="315"/>
      <x:c r="L265" s="315"/>
      <x:c r="M265" s="367"/>
      <x:c r="N265" s="315"/>
      <x:c r="O265" s="316"/>
      <x:c r="P265" s="349"/>
      <x:c r="Q265" s="707"/>
      <x:c r="R265" s="707"/>
      <x:c r="S265" s="708"/>
      <x:c r="T265" s="709"/>
      <x:c r="U265" s="704"/>
      <x:c r="V265" s="704"/>
      <x:c r="W265" s="704"/>
      <x:c r="X265" s="704" t="str">
        <x:f>IF(COUNTIF(R265:V265,"Belum Dinilai")&gt;0,"Belum Dinilai",IF(COUNTIF(R265:V265,"Ya")=0,"Tidak ada faktor rentan",TEXTJOIN(", ",TRUE,IF(R265="Ya","Lansia",""),IF(S265="Ya","Penyandang disabilitas",""),IF(T265="Ya","Kepala keluarga perempuan",""),IF(U265="Ya","Balita",""),IF(V265="Ya","Anggota keluarga dengan ketergantungan tinggi",""))))</x:f>
        <x:v>Tidak ada faktor rentan</x:v>
      </x:c>
      <x:c r="Y265" s="704" t="str">
        <x:f>IF(COUNTIF(R265:V265,"Belum Dinilai")&gt;0,"Belum Dinilai",IF(COUNTIF(R265:V265,"Ya")=0,"Tidak Ada Faktor Rentan",IF(COUNTIF(R265:V265,"Ya")=1,"1 Faktor Rentan","2 atau Lebih Faktor Rentan")))</x:f>
        <x:v>Tidak Ada Faktor Rentan</x:v>
      </x:c>
      <x:c r="Z265" s="704" t="str">
        <x:f>IF(OR(Q265="",Q265="Belum Dinilai"),"",IF(Q265="Terverifikasi DTKS/P3KE/MBR",10,IF(Q265="Diusulkan, Belum Terverifikasi",5,0)))</x:f>
      </x:c>
      <x:c r="AA265" s="705" t="n">
        <x:f>IF(COUNTIF(R265:V265,"Belum Dinilai")&gt;0,"",IF(COUNTIF(R265:V265,"Ya")=0,0,IF(COUNTIF(R265:V265,"Ya")=1,5,10)))</x:f>
        <x:v>0</x:v>
      </x:c>
      <x:c r="AB265" s="706" t="str">
        <x:f>IF(OR(Z265="",AA265=""),"",Z265+AA265)</x:f>
      </x:c>
      <x:c r="AC265" s="713"/>
      <x:c r="AD265" s="713"/>
      <x:c r="AE265" s="714"/>
      <x:c r="AF265" s="713"/>
      <x:c r="AG265" s="713"/>
      <x:c r="AH265" s="715"/>
      <x:c r="AI265" s="714"/>
      <x:c r="AJ265" s="713"/>
      <x:c r="AK265" s="715"/>
      <x:c r="AL265" s="713"/>
      <x:c r="AM265" s="716"/>
      <x:c r="AN265" s="716" t="str">
        <x:f>IF(AND(COUNTIF(AC265:AK265,"Ya")=0,AL265=""),IF(COUNTIF(AC265:AK265,"Belum Dinilai")&gt;0,"Belum Dinilai","Tidak ada risiko khusus"),TEXTJOIN(", ",TRUE,IF(AC265="Ya","Bangunan berpotensi roboh",""),IF(AD265="Ya","Bekas kebakaran dan tidak aman dihuni",""),IF(AE265="Ya","Atap atau dinding utama hampir runtuh",""),IF(AF265="Ya","Genangan yang membahayakan",""),IF(AG265="Ya","Struktur rumah tidak stabil",""),IF(AH265="Ya","Instalasi listrik berbahaya",""),IF(AI265="Ya","Komponen bangunan lepas atau lapuk",""),IF(AJ265="Ya","Akses keluar atau evakuasi terbatas",""),IF(AK265="Ya","Lokasi rawan bencana",""),IF(AL265&lt;&gt;"","Lainnya: "&amp;AL265,"")))</x:f>
        <x:v>Tidak ada risiko khusus</x:v>
      </x:c>
      <x:c r="AO265" s="716" t="str">
        <x:f>IF(AR265="","Belum Dinilai",IF(AR265=10,"Risiko Tinggi/Darurat",IF(AR265=5,"Risiko Sedang","Tidak Ada Risiko Khusus")))</x:f>
        <x:v>Belum Dinilai</x:v>
      </x:c>
      <x:c r="AP265" s="716"/>
      <x:c r="AQ265" s="719" t="str">
        <x:f>IF(OR(J265="",J265="Belum Dapat Ditentukan",L265="",L265="Belum Dinilai",N265="",N265="Belum Dinilai",P265="",P265="Belum Dinilai"),"",IF(J265="Permanen",0,IF(J265="Semipermanen",8,IF(J265="Nonpermanen",15,0)))+IF(L265="Baik",0,IF(L265="Rusak Ringan",5,IF(L265="Rusak Sedang",10,IF(L265="Rusak Berat",15,IF(L265="Tidak Ada/Terbuka",20,0)))))+IF(N265="Baik",0,IF(N265="Rusak Ringan",5,IF(N265="Rusak Sedang",10,IF(N265="Rusak Berat",15,IF(N265="Tidak Ada/Terbuka",20,0)))))+IF(P265="Baik",0,IF(P265="Rusak Ringan",4,IF(P265="Rusak Sedang",8,IF(P265="Rusak Berat",12,IF(P265="Tidak Layak",15,0))))))</x:f>
      </x:c>
      <x:c r="AR265" s="719" t="n">
        <x:f>IF(COUNTIF(AC265:AH265,"Ya")&gt;0,10,IF(COUNTIF(AI265:AK265,"Ya")&gt;=2,10,IF(COUNTIF(AI265:AK265,"Ya")=1,MAX(5,IF(AM265="Risiko Tinggi/Darurat",10,IF(AM265="Risiko Sedang",5,0))),IF(AL265&lt;&gt;"",IF(AM265="Risiko Tinggi/Darurat",10,IF(AM265="Risiko Sedang",5,"")),IF(COUNTIF(AC265:AK265,"Belum Dinilai")&gt;0,"",0)))))</x:f>
        <x:v>0</x:v>
      </x:c>
      <x:c r="AS265" s="719" t="str">
        <x:f>IF(OR(AQ265="",AB265="",AR265=""),"",AQ265+AB265+AR265)</x:f>
      </x:c>
      <x:c r="AT265" s="719" t="str">
        <x:f>IF(AS265="","Belum Dapat Ditentukan",IF(AS265&gt;=80,"Sangat Tinggi",IF(OR(AO265="Risiko Tinggi/Darurat",(IF(L265="Rusak Berat",1,0)+IF(L265="Tidak Ada/Terbuka",1,0)+IF(N265="Rusak Berat",1,0)+IF(N265="Tidak Ada/Terbuka",1,0)+IF(P265="Rusak Berat",1,0)+IF(P265="Tidak Layak",1,0))&gt;=2),"Tinggi",IF(AS265&gt;=65,"Tinggi",IF(AS265&gt;=50,"Sedang","Rendah")))))</x:f>
        <x:v>Belum Dapat Ditentukan</x:v>
      </x:c>
      <x:c r="AU265" s="240"/>
      <x:c r="AV265" s="240"/>
      <x:c r="AW265" s="240"/>
      <x:c r="AX265" s="240"/>
      <x:c r="AY265" s="240"/>
      <x:c r="AZ265" s="240"/>
      <x:c r="BA265" s="240"/>
      <x:c r="BB265" s="240"/>
      <x:c r="BC265" s="240"/>
      <x:c r="BD265" s="240"/>
      <x:c r="BE265" s="240"/>
      <x:c r="BF265" s="240"/>
    </x:row>
    <x:row r="266" ht="32" customHeight="1">
      <x:c r="A266" s="314"/>
      <x:c r="B266" s="315"/>
      <x:c r="C266" s="316"/>
      <x:c r="D266" s="316"/>
      <x:c r="E266" s="315"/>
      <x:c r="F266" s="315"/>
      <x:c r="G266" s="315"/>
      <x:c r="H266" s="315"/>
      <x:c r="I266" s="317"/>
      <x:c r="J266" s="315"/>
      <x:c r="K266" s="315"/>
      <x:c r="L266" s="315"/>
      <x:c r="M266" s="367"/>
      <x:c r="N266" s="315"/>
      <x:c r="O266" s="316"/>
      <x:c r="P266" s="349"/>
      <x:c r="Q266" s="707"/>
      <x:c r="R266" s="707"/>
      <x:c r="S266" s="708"/>
      <x:c r="T266" s="709"/>
      <x:c r="U266" s="704"/>
      <x:c r="V266" s="704"/>
      <x:c r="W266" s="704"/>
      <x:c r="X266" s="704" t="str">
        <x:f>IF(COUNTIF(R266:V266,"Belum Dinilai")&gt;0,"Belum Dinilai",IF(COUNTIF(R266:V266,"Ya")=0,"Tidak ada faktor rentan",TEXTJOIN(", ",TRUE,IF(R266="Ya","Lansia",""),IF(S266="Ya","Penyandang disabilitas",""),IF(T266="Ya","Kepala keluarga perempuan",""),IF(U266="Ya","Balita",""),IF(V266="Ya","Anggota keluarga dengan ketergantungan tinggi",""))))</x:f>
        <x:v>Tidak ada faktor rentan</x:v>
      </x:c>
      <x:c r="Y266" s="704" t="str">
        <x:f>IF(COUNTIF(R266:V266,"Belum Dinilai")&gt;0,"Belum Dinilai",IF(COUNTIF(R266:V266,"Ya")=0,"Tidak Ada Faktor Rentan",IF(COUNTIF(R266:V266,"Ya")=1,"1 Faktor Rentan","2 atau Lebih Faktor Rentan")))</x:f>
        <x:v>Tidak Ada Faktor Rentan</x:v>
      </x:c>
      <x:c r="Z266" s="704" t="str">
        <x:f>IF(OR(Q266="",Q266="Belum Dinilai"),"",IF(Q266="Terverifikasi DTKS/P3KE/MBR",10,IF(Q266="Diusulkan, Belum Terverifikasi",5,0)))</x:f>
      </x:c>
      <x:c r="AA266" s="705" t="n">
        <x:f>IF(COUNTIF(R266:V266,"Belum Dinilai")&gt;0,"",IF(COUNTIF(R266:V266,"Ya")=0,0,IF(COUNTIF(R266:V266,"Ya")=1,5,10)))</x:f>
        <x:v>0</x:v>
      </x:c>
      <x:c r="AB266" s="706" t="str">
        <x:f>IF(OR(Z266="",AA266=""),"",Z266+AA266)</x:f>
      </x:c>
      <x:c r="AC266" s="713"/>
      <x:c r="AD266" s="713"/>
      <x:c r="AE266" s="714"/>
      <x:c r="AF266" s="713"/>
      <x:c r="AG266" s="713"/>
      <x:c r="AH266" s="715"/>
      <x:c r="AI266" s="714"/>
      <x:c r="AJ266" s="713"/>
      <x:c r="AK266" s="715"/>
      <x:c r="AL266" s="713"/>
      <x:c r="AM266" s="716"/>
      <x:c r="AN266" s="716" t="str">
        <x:f>IF(AND(COUNTIF(AC266:AK266,"Ya")=0,AL266=""),IF(COUNTIF(AC266:AK266,"Belum Dinilai")&gt;0,"Belum Dinilai","Tidak ada risiko khusus"),TEXTJOIN(", ",TRUE,IF(AC266="Ya","Bangunan berpotensi roboh",""),IF(AD266="Ya","Bekas kebakaran dan tidak aman dihuni",""),IF(AE266="Ya","Atap atau dinding utama hampir runtuh",""),IF(AF266="Ya","Genangan yang membahayakan",""),IF(AG266="Ya","Struktur rumah tidak stabil",""),IF(AH266="Ya","Instalasi listrik berbahaya",""),IF(AI266="Ya","Komponen bangunan lepas atau lapuk",""),IF(AJ266="Ya","Akses keluar atau evakuasi terbatas",""),IF(AK266="Ya","Lokasi rawan bencana",""),IF(AL266&lt;&gt;"","Lainnya: "&amp;AL266,"")))</x:f>
        <x:v>Tidak ada risiko khusus</x:v>
      </x:c>
      <x:c r="AO266" s="716" t="str">
        <x:f>IF(AR266="","Belum Dinilai",IF(AR266=10,"Risiko Tinggi/Darurat",IF(AR266=5,"Risiko Sedang","Tidak Ada Risiko Khusus")))</x:f>
        <x:v>Belum Dinilai</x:v>
      </x:c>
      <x:c r="AP266" s="716"/>
      <x:c r="AQ266" s="719" t="str">
        <x:f>IF(OR(J266="",J266="Belum Dapat Ditentukan",L266="",L266="Belum Dinilai",N266="",N266="Belum Dinilai",P266="",P266="Belum Dinilai"),"",IF(J266="Permanen",0,IF(J266="Semipermanen",8,IF(J266="Nonpermanen",15,0)))+IF(L266="Baik",0,IF(L266="Rusak Ringan",5,IF(L266="Rusak Sedang",10,IF(L266="Rusak Berat",15,IF(L266="Tidak Ada/Terbuka",20,0)))))+IF(N266="Baik",0,IF(N266="Rusak Ringan",5,IF(N266="Rusak Sedang",10,IF(N266="Rusak Berat",15,IF(N266="Tidak Ada/Terbuka",20,0)))))+IF(P266="Baik",0,IF(P266="Rusak Ringan",4,IF(P266="Rusak Sedang",8,IF(P266="Rusak Berat",12,IF(P266="Tidak Layak",15,0))))))</x:f>
      </x:c>
      <x:c r="AR266" s="719" t="n">
        <x:f>IF(COUNTIF(AC266:AH266,"Ya")&gt;0,10,IF(COUNTIF(AI266:AK266,"Ya")&gt;=2,10,IF(COUNTIF(AI266:AK266,"Ya")=1,MAX(5,IF(AM266="Risiko Tinggi/Darurat",10,IF(AM266="Risiko Sedang",5,0))),IF(AL266&lt;&gt;"",IF(AM266="Risiko Tinggi/Darurat",10,IF(AM266="Risiko Sedang",5,"")),IF(COUNTIF(AC266:AK266,"Belum Dinilai")&gt;0,"",0)))))</x:f>
        <x:v>0</x:v>
      </x:c>
      <x:c r="AS266" s="719" t="str">
        <x:f>IF(OR(AQ266="",AB266="",AR266=""),"",AQ266+AB266+AR266)</x:f>
      </x:c>
      <x:c r="AT266" s="719" t="str">
        <x:f>IF(AS266="","Belum Dapat Ditentukan",IF(AS266&gt;=80,"Sangat Tinggi",IF(OR(AO266="Risiko Tinggi/Darurat",(IF(L266="Rusak Berat",1,0)+IF(L266="Tidak Ada/Terbuka",1,0)+IF(N266="Rusak Berat",1,0)+IF(N266="Tidak Ada/Terbuka",1,0)+IF(P266="Rusak Berat",1,0)+IF(P266="Tidak Layak",1,0))&gt;=2),"Tinggi",IF(AS266&gt;=65,"Tinggi",IF(AS266&gt;=50,"Sedang","Rendah")))))</x:f>
        <x:v>Belum Dapat Ditentukan</x:v>
      </x:c>
      <x:c r="AU266" s="240"/>
      <x:c r="AV266" s="240"/>
      <x:c r="AW266" s="240"/>
      <x:c r="AX266" s="240"/>
      <x:c r="AY266" s="240"/>
      <x:c r="AZ266" s="240"/>
      <x:c r="BA266" s="240"/>
      <x:c r="BB266" s="240"/>
      <x:c r="BC266" s="240"/>
      <x:c r="BD266" s="240"/>
      <x:c r="BE266" s="240"/>
      <x:c r="BF266" s="240"/>
    </x:row>
    <x:row r="267" ht="32" customHeight="1">
      <x:c r="A267" s="314"/>
      <x:c r="B267" s="315"/>
      <x:c r="C267" s="316"/>
      <x:c r="D267" s="316"/>
      <x:c r="E267" s="315"/>
      <x:c r="F267" s="315"/>
      <x:c r="G267" s="315"/>
      <x:c r="H267" s="315"/>
      <x:c r="I267" s="317"/>
      <x:c r="J267" s="315"/>
      <x:c r="K267" s="315"/>
      <x:c r="L267" s="315"/>
      <x:c r="M267" s="367"/>
      <x:c r="N267" s="315"/>
      <x:c r="O267" s="316"/>
      <x:c r="P267" s="349"/>
      <x:c r="Q267" s="707"/>
      <x:c r="R267" s="707"/>
      <x:c r="S267" s="708"/>
      <x:c r="T267" s="709"/>
      <x:c r="U267" s="704"/>
      <x:c r="V267" s="704"/>
      <x:c r="W267" s="704"/>
      <x:c r="X267" s="704" t="str">
        <x:f>IF(COUNTIF(R267:V267,"Belum Dinilai")&gt;0,"Belum Dinilai",IF(COUNTIF(R267:V267,"Ya")=0,"Tidak ada faktor rentan",TEXTJOIN(", ",TRUE,IF(R267="Ya","Lansia",""),IF(S267="Ya","Penyandang disabilitas",""),IF(T267="Ya","Kepala keluarga perempuan",""),IF(U267="Ya","Balita",""),IF(V267="Ya","Anggota keluarga dengan ketergantungan tinggi",""))))</x:f>
        <x:v>Tidak ada faktor rentan</x:v>
      </x:c>
      <x:c r="Y267" s="704" t="str">
        <x:f>IF(COUNTIF(R267:V267,"Belum Dinilai")&gt;0,"Belum Dinilai",IF(COUNTIF(R267:V267,"Ya")=0,"Tidak Ada Faktor Rentan",IF(COUNTIF(R267:V267,"Ya")=1,"1 Faktor Rentan","2 atau Lebih Faktor Rentan")))</x:f>
        <x:v>Tidak Ada Faktor Rentan</x:v>
      </x:c>
      <x:c r="Z267" s="704" t="str">
        <x:f>IF(OR(Q267="",Q267="Belum Dinilai"),"",IF(Q267="Terverifikasi DTKS/P3KE/MBR",10,IF(Q267="Diusulkan, Belum Terverifikasi",5,0)))</x:f>
      </x:c>
      <x:c r="AA267" s="705" t="n">
        <x:f>IF(COUNTIF(R267:V267,"Belum Dinilai")&gt;0,"",IF(COUNTIF(R267:V267,"Ya")=0,0,IF(COUNTIF(R267:V267,"Ya")=1,5,10)))</x:f>
        <x:v>0</x:v>
      </x:c>
      <x:c r="AB267" s="706" t="str">
        <x:f>IF(OR(Z267="",AA267=""),"",Z267+AA267)</x:f>
      </x:c>
      <x:c r="AC267" s="713"/>
      <x:c r="AD267" s="713"/>
      <x:c r="AE267" s="714"/>
      <x:c r="AF267" s="713"/>
      <x:c r="AG267" s="713"/>
      <x:c r="AH267" s="715"/>
      <x:c r="AI267" s="714"/>
      <x:c r="AJ267" s="713"/>
      <x:c r="AK267" s="715"/>
      <x:c r="AL267" s="713"/>
      <x:c r="AM267" s="716"/>
      <x:c r="AN267" s="716" t="str">
        <x:f>IF(AND(COUNTIF(AC267:AK267,"Ya")=0,AL267=""),IF(COUNTIF(AC267:AK267,"Belum Dinilai")&gt;0,"Belum Dinilai","Tidak ada risiko khusus"),TEXTJOIN(", ",TRUE,IF(AC267="Ya","Bangunan berpotensi roboh",""),IF(AD267="Ya","Bekas kebakaran dan tidak aman dihuni",""),IF(AE267="Ya","Atap atau dinding utama hampir runtuh",""),IF(AF267="Ya","Genangan yang membahayakan",""),IF(AG267="Ya","Struktur rumah tidak stabil",""),IF(AH267="Ya","Instalasi listrik berbahaya",""),IF(AI267="Ya","Komponen bangunan lepas atau lapuk",""),IF(AJ267="Ya","Akses keluar atau evakuasi terbatas",""),IF(AK267="Ya","Lokasi rawan bencana",""),IF(AL267&lt;&gt;"","Lainnya: "&amp;AL267,"")))</x:f>
        <x:v>Tidak ada risiko khusus</x:v>
      </x:c>
      <x:c r="AO267" s="716" t="str">
        <x:f>IF(AR267="","Belum Dinilai",IF(AR267=10,"Risiko Tinggi/Darurat",IF(AR267=5,"Risiko Sedang","Tidak Ada Risiko Khusus")))</x:f>
        <x:v>Belum Dinilai</x:v>
      </x:c>
      <x:c r="AP267" s="716"/>
      <x:c r="AQ267" s="719" t="str">
        <x:f>IF(OR(J267="",J267="Belum Dapat Ditentukan",L267="",L267="Belum Dinilai",N267="",N267="Belum Dinilai",P267="",P267="Belum Dinilai"),"",IF(J267="Permanen",0,IF(J267="Semipermanen",8,IF(J267="Nonpermanen",15,0)))+IF(L267="Baik",0,IF(L267="Rusak Ringan",5,IF(L267="Rusak Sedang",10,IF(L267="Rusak Berat",15,IF(L267="Tidak Ada/Terbuka",20,0)))))+IF(N267="Baik",0,IF(N267="Rusak Ringan",5,IF(N267="Rusak Sedang",10,IF(N267="Rusak Berat",15,IF(N267="Tidak Ada/Terbuka",20,0)))))+IF(P267="Baik",0,IF(P267="Rusak Ringan",4,IF(P267="Rusak Sedang",8,IF(P267="Rusak Berat",12,IF(P267="Tidak Layak",15,0))))))</x:f>
      </x:c>
      <x:c r="AR267" s="719" t="n">
        <x:f>IF(COUNTIF(AC267:AH267,"Ya")&gt;0,10,IF(COUNTIF(AI267:AK267,"Ya")&gt;=2,10,IF(COUNTIF(AI267:AK267,"Ya")=1,MAX(5,IF(AM267="Risiko Tinggi/Darurat",10,IF(AM267="Risiko Sedang",5,0))),IF(AL267&lt;&gt;"",IF(AM267="Risiko Tinggi/Darurat",10,IF(AM267="Risiko Sedang",5,"")),IF(COUNTIF(AC267:AK267,"Belum Dinilai")&gt;0,"",0)))))</x:f>
        <x:v>0</x:v>
      </x:c>
      <x:c r="AS267" s="719" t="str">
        <x:f>IF(OR(AQ267="",AB267="",AR267=""),"",AQ267+AB267+AR267)</x:f>
      </x:c>
      <x:c r="AT267" s="719" t="str">
        <x:f>IF(AS267="","Belum Dapat Ditentukan",IF(AS267&gt;=80,"Sangat Tinggi",IF(OR(AO267="Risiko Tinggi/Darurat",(IF(L267="Rusak Berat",1,0)+IF(L267="Tidak Ada/Terbuka",1,0)+IF(N267="Rusak Berat",1,0)+IF(N267="Tidak Ada/Terbuka",1,0)+IF(P267="Rusak Berat",1,0)+IF(P267="Tidak Layak",1,0))&gt;=2),"Tinggi",IF(AS267&gt;=65,"Tinggi",IF(AS267&gt;=50,"Sedang","Rendah")))))</x:f>
        <x:v>Belum Dapat Ditentukan</x:v>
      </x:c>
      <x:c r="AU267" s="240"/>
      <x:c r="AV267" s="240"/>
      <x:c r="AW267" s="240"/>
      <x:c r="AX267" s="240"/>
      <x:c r="AY267" s="240"/>
      <x:c r="AZ267" s="240"/>
      <x:c r="BA267" s="240"/>
      <x:c r="BB267" s="240"/>
      <x:c r="BC267" s="240"/>
      <x:c r="BD267" s="240"/>
      <x:c r="BE267" s="240"/>
      <x:c r="BF267" s="240"/>
    </x:row>
    <x:row r="268" ht="32" customHeight="1">
      <x:c r="A268" s="314"/>
      <x:c r="B268" s="315"/>
      <x:c r="C268" s="316"/>
      <x:c r="D268" s="316"/>
      <x:c r="E268" s="315"/>
      <x:c r="F268" s="315"/>
      <x:c r="G268" s="315"/>
      <x:c r="H268" s="315"/>
      <x:c r="I268" s="317"/>
      <x:c r="J268" s="315"/>
      <x:c r="K268" s="315"/>
      <x:c r="L268" s="315"/>
      <x:c r="M268" s="367"/>
      <x:c r="N268" s="315"/>
      <x:c r="O268" s="316"/>
      <x:c r="P268" s="349"/>
      <x:c r="Q268" s="707"/>
      <x:c r="R268" s="707"/>
      <x:c r="S268" s="708"/>
      <x:c r="T268" s="709"/>
      <x:c r="U268" s="704"/>
      <x:c r="V268" s="704"/>
      <x:c r="W268" s="704"/>
      <x:c r="X268" s="704" t="str">
        <x:f>IF(COUNTIF(R268:V268,"Belum Dinilai")&gt;0,"Belum Dinilai",IF(COUNTIF(R268:V268,"Ya")=0,"Tidak ada faktor rentan",TEXTJOIN(", ",TRUE,IF(R268="Ya","Lansia",""),IF(S268="Ya","Penyandang disabilitas",""),IF(T268="Ya","Kepala keluarga perempuan",""),IF(U268="Ya","Balita",""),IF(V268="Ya","Anggota keluarga dengan ketergantungan tinggi",""))))</x:f>
        <x:v>Tidak ada faktor rentan</x:v>
      </x:c>
      <x:c r="Y268" s="704" t="str">
        <x:f>IF(COUNTIF(R268:V268,"Belum Dinilai")&gt;0,"Belum Dinilai",IF(COUNTIF(R268:V268,"Ya")=0,"Tidak Ada Faktor Rentan",IF(COUNTIF(R268:V268,"Ya")=1,"1 Faktor Rentan","2 atau Lebih Faktor Rentan")))</x:f>
        <x:v>Tidak Ada Faktor Rentan</x:v>
      </x:c>
      <x:c r="Z268" s="704" t="str">
        <x:f>IF(OR(Q268="",Q268="Belum Dinilai"),"",IF(Q268="Terverifikasi DTKS/P3KE/MBR",10,IF(Q268="Diusulkan, Belum Terverifikasi",5,0)))</x:f>
      </x:c>
      <x:c r="AA268" s="705" t="n">
        <x:f>IF(COUNTIF(R268:V268,"Belum Dinilai")&gt;0,"",IF(COUNTIF(R268:V268,"Ya")=0,0,IF(COUNTIF(R268:V268,"Ya")=1,5,10)))</x:f>
        <x:v>0</x:v>
      </x:c>
      <x:c r="AB268" s="706" t="str">
        <x:f>IF(OR(Z268="",AA268=""),"",Z268+AA268)</x:f>
      </x:c>
      <x:c r="AC268" s="713"/>
      <x:c r="AD268" s="713"/>
      <x:c r="AE268" s="714"/>
      <x:c r="AF268" s="713"/>
      <x:c r="AG268" s="713"/>
      <x:c r="AH268" s="715"/>
      <x:c r="AI268" s="714"/>
      <x:c r="AJ268" s="713"/>
      <x:c r="AK268" s="715"/>
      <x:c r="AL268" s="713"/>
      <x:c r="AM268" s="716"/>
      <x:c r="AN268" s="716" t="str">
        <x:f>IF(AND(COUNTIF(AC268:AK268,"Ya")=0,AL268=""),IF(COUNTIF(AC268:AK268,"Belum Dinilai")&gt;0,"Belum Dinilai","Tidak ada risiko khusus"),TEXTJOIN(", ",TRUE,IF(AC268="Ya","Bangunan berpotensi roboh",""),IF(AD268="Ya","Bekas kebakaran dan tidak aman dihuni",""),IF(AE268="Ya","Atap atau dinding utama hampir runtuh",""),IF(AF268="Ya","Genangan yang membahayakan",""),IF(AG268="Ya","Struktur rumah tidak stabil",""),IF(AH268="Ya","Instalasi listrik berbahaya",""),IF(AI268="Ya","Komponen bangunan lepas atau lapuk",""),IF(AJ268="Ya","Akses keluar atau evakuasi terbatas",""),IF(AK268="Ya","Lokasi rawan bencana",""),IF(AL268&lt;&gt;"","Lainnya: "&amp;AL268,"")))</x:f>
        <x:v>Tidak ada risiko khusus</x:v>
      </x:c>
      <x:c r="AO268" s="716" t="str">
        <x:f>IF(AR268="","Belum Dinilai",IF(AR268=10,"Risiko Tinggi/Darurat",IF(AR268=5,"Risiko Sedang","Tidak Ada Risiko Khusus")))</x:f>
        <x:v>Belum Dinilai</x:v>
      </x:c>
      <x:c r="AP268" s="716"/>
      <x:c r="AQ268" s="719" t="str">
        <x:f>IF(OR(J268="",J268="Belum Dapat Ditentukan",L268="",L268="Belum Dinilai",N268="",N268="Belum Dinilai",P268="",P268="Belum Dinilai"),"",IF(J268="Permanen",0,IF(J268="Semipermanen",8,IF(J268="Nonpermanen",15,0)))+IF(L268="Baik",0,IF(L268="Rusak Ringan",5,IF(L268="Rusak Sedang",10,IF(L268="Rusak Berat",15,IF(L268="Tidak Ada/Terbuka",20,0)))))+IF(N268="Baik",0,IF(N268="Rusak Ringan",5,IF(N268="Rusak Sedang",10,IF(N268="Rusak Berat",15,IF(N268="Tidak Ada/Terbuka",20,0)))))+IF(P268="Baik",0,IF(P268="Rusak Ringan",4,IF(P268="Rusak Sedang",8,IF(P268="Rusak Berat",12,IF(P268="Tidak Layak",15,0))))))</x:f>
      </x:c>
      <x:c r="AR268" s="719" t="n">
        <x:f>IF(COUNTIF(AC268:AH268,"Ya")&gt;0,10,IF(COUNTIF(AI268:AK268,"Ya")&gt;=2,10,IF(COUNTIF(AI268:AK268,"Ya")=1,MAX(5,IF(AM268="Risiko Tinggi/Darurat",10,IF(AM268="Risiko Sedang",5,0))),IF(AL268&lt;&gt;"",IF(AM268="Risiko Tinggi/Darurat",10,IF(AM268="Risiko Sedang",5,"")),IF(COUNTIF(AC268:AK268,"Belum Dinilai")&gt;0,"",0)))))</x:f>
        <x:v>0</x:v>
      </x:c>
      <x:c r="AS268" s="719" t="str">
        <x:f>IF(OR(AQ268="",AB268="",AR268=""),"",AQ268+AB268+AR268)</x:f>
      </x:c>
      <x:c r="AT268" s="719" t="str">
        <x:f>IF(AS268="","Belum Dapat Ditentukan",IF(AS268&gt;=80,"Sangat Tinggi",IF(OR(AO268="Risiko Tinggi/Darurat",(IF(L268="Rusak Berat",1,0)+IF(L268="Tidak Ada/Terbuka",1,0)+IF(N268="Rusak Berat",1,0)+IF(N268="Tidak Ada/Terbuka",1,0)+IF(P268="Rusak Berat",1,0)+IF(P268="Tidak Layak",1,0))&gt;=2),"Tinggi",IF(AS268&gt;=65,"Tinggi",IF(AS268&gt;=50,"Sedang","Rendah")))))</x:f>
        <x:v>Belum Dapat Ditentukan</x:v>
      </x:c>
      <x:c r="AU268" s="240"/>
      <x:c r="AV268" s="240"/>
      <x:c r="AW268" s="240"/>
      <x:c r="AX268" s="240"/>
      <x:c r="AY268" s="240"/>
      <x:c r="AZ268" s="240"/>
      <x:c r="BA268" s="240"/>
      <x:c r="BB268" s="240"/>
      <x:c r="BC268" s="240"/>
      <x:c r="BD268" s="240"/>
      <x:c r="BE268" s="240"/>
      <x:c r="BF268" s="240"/>
    </x:row>
    <x:row r="269" ht="32" customHeight="1">
      <x:c r="A269" s="314"/>
      <x:c r="B269" s="315"/>
      <x:c r="C269" s="316"/>
      <x:c r="D269" s="316"/>
      <x:c r="E269" s="315"/>
      <x:c r="F269" s="315"/>
      <x:c r="G269" s="315"/>
      <x:c r="H269" s="315"/>
      <x:c r="I269" s="317"/>
      <x:c r="J269" s="315"/>
      <x:c r="K269" s="315"/>
      <x:c r="L269" s="315"/>
      <x:c r="M269" s="367"/>
      <x:c r="N269" s="315"/>
      <x:c r="O269" s="316"/>
      <x:c r="P269" s="349"/>
      <x:c r="Q269" s="707"/>
      <x:c r="R269" s="707"/>
      <x:c r="S269" s="708"/>
      <x:c r="T269" s="709"/>
      <x:c r="U269" s="704"/>
      <x:c r="V269" s="704"/>
      <x:c r="W269" s="704"/>
      <x:c r="X269" s="704" t="str">
        <x:f>IF(COUNTIF(R269:V269,"Belum Dinilai")&gt;0,"Belum Dinilai",IF(COUNTIF(R269:V269,"Ya")=0,"Tidak ada faktor rentan",TEXTJOIN(", ",TRUE,IF(R269="Ya","Lansia",""),IF(S269="Ya","Penyandang disabilitas",""),IF(T269="Ya","Kepala keluarga perempuan",""),IF(U269="Ya","Balita",""),IF(V269="Ya","Anggota keluarga dengan ketergantungan tinggi",""))))</x:f>
        <x:v>Tidak ada faktor rentan</x:v>
      </x:c>
      <x:c r="Y269" s="704" t="str">
        <x:f>IF(COUNTIF(R269:V269,"Belum Dinilai")&gt;0,"Belum Dinilai",IF(COUNTIF(R269:V269,"Ya")=0,"Tidak Ada Faktor Rentan",IF(COUNTIF(R269:V269,"Ya")=1,"1 Faktor Rentan","2 atau Lebih Faktor Rentan")))</x:f>
        <x:v>Tidak Ada Faktor Rentan</x:v>
      </x:c>
      <x:c r="Z269" s="704" t="str">
        <x:f>IF(OR(Q269="",Q269="Belum Dinilai"),"",IF(Q269="Terverifikasi DTKS/P3KE/MBR",10,IF(Q269="Diusulkan, Belum Terverifikasi",5,0)))</x:f>
      </x:c>
      <x:c r="AA269" s="705" t="n">
        <x:f>IF(COUNTIF(R269:V269,"Belum Dinilai")&gt;0,"",IF(COUNTIF(R269:V269,"Ya")=0,0,IF(COUNTIF(R269:V269,"Ya")=1,5,10)))</x:f>
        <x:v>0</x:v>
      </x:c>
      <x:c r="AB269" s="706" t="str">
        <x:f>IF(OR(Z269="",AA269=""),"",Z269+AA269)</x:f>
      </x:c>
      <x:c r="AC269" s="713"/>
      <x:c r="AD269" s="713"/>
      <x:c r="AE269" s="714"/>
      <x:c r="AF269" s="713"/>
      <x:c r="AG269" s="713"/>
      <x:c r="AH269" s="715"/>
      <x:c r="AI269" s="714"/>
      <x:c r="AJ269" s="713"/>
      <x:c r="AK269" s="715"/>
      <x:c r="AL269" s="713"/>
      <x:c r="AM269" s="716"/>
      <x:c r="AN269" s="716" t="str">
        <x:f>IF(AND(COUNTIF(AC269:AK269,"Ya")=0,AL269=""),IF(COUNTIF(AC269:AK269,"Belum Dinilai")&gt;0,"Belum Dinilai","Tidak ada risiko khusus"),TEXTJOIN(", ",TRUE,IF(AC269="Ya","Bangunan berpotensi roboh",""),IF(AD269="Ya","Bekas kebakaran dan tidak aman dihuni",""),IF(AE269="Ya","Atap atau dinding utama hampir runtuh",""),IF(AF269="Ya","Genangan yang membahayakan",""),IF(AG269="Ya","Struktur rumah tidak stabil",""),IF(AH269="Ya","Instalasi listrik berbahaya",""),IF(AI269="Ya","Komponen bangunan lepas atau lapuk",""),IF(AJ269="Ya","Akses keluar atau evakuasi terbatas",""),IF(AK269="Ya","Lokasi rawan bencana",""),IF(AL269&lt;&gt;"","Lainnya: "&amp;AL269,"")))</x:f>
        <x:v>Tidak ada risiko khusus</x:v>
      </x:c>
      <x:c r="AO269" s="716" t="str">
        <x:f>IF(AR269="","Belum Dinilai",IF(AR269=10,"Risiko Tinggi/Darurat",IF(AR269=5,"Risiko Sedang","Tidak Ada Risiko Khusus")))</x:f>
        <x:v>Belum Dinilai</x:v>
      </x:c>
      <x:c r="AP269" s="716"/>
      <x:c r="AQ269" s="719" t="str">
        <x:f>IF(OR(J269="",J269="Belum Dapat Ditentukan",L269="",L269="Belum Dinilai",N269="",N269="Belum Dinilai",P269="",P269="Belum Dinilai"),"",IF(J269="Permanen",0,IF(J269="Semipermanen",8,IF(J269="Nonpermanen",15,0)))+IF(L269="Baik",0,IF(L269="Rusak Ringan",5,IF(L269="Rusak Sedang",10,IF(L269="Rusak Berat",15,IF(L269="Tidak Ada/Terbuka",20,0)))))+IF(N269="Baik",0,IF(N269="Rusak Ringan",5,IF(N269="Rusak Sedang",10,IF(N269="Rusak Berat",15,IF(N269="Tidak Ada/Terbuka",20,0)))))+IF(P269="Baik",0,IF(P269="Rusak Ringan",4,IF(P269="Rusak Sedang",8,IF(P269="Rusak Berat",12,IF(P269="Tidak Layak",15,0))))))</x:f>
      </x:c>
      <x:c r="AR269" s="719" t="n">
        <x:f>IF(COUNTIF(AC269:AH269,"Ya")&gt;0,10,IF(COUNTIF(AI269:AK269,"Ya")&gt;=2,10,IF(COUNTIF(AI269:AK269,"Ya")=1,MAX(5,IF(AM269="Risiko Tinggi/Darurat",10,IF(AM269="Risiko Sedang",5,0))),IF(AL269&lt;&gt;"",IF(AM269="Risiko Tinggi/Darurat",10,IF(AM269="Risiko Sedang",5,"")),IF(COUNTIF(AC269:AK269,"Belum Dinilai")&gt;0,"",0)))))</x:f>
        <x:v>0</x:v>
      </x:c>
      <x:c r="AS269" s="719" t="str">
        <x:f>IF(OR(AQ269="",AB269="",AR269=""),"",AQ269+AB269+AR269)</x:f>
      </x:c>
      <x:c r="AT269" s="719" t="str">
        <x:f>IF(AS269="","Belum Dapat Ditentukan",IF(AS269&gt;=80,"Sangat Tinggi",IF(OR(AO269="Risiko Tinggi/Darurat",(IF(L269="Rusak Berat",1,0)+IF(L269="Tidak Ada/Terbuka",1,0)+IF(N269="Rusak Berat",1,0)+IF(N269="Tidak Ada/Terbuka",1,0)+IF(P269="Rusak Berat",1,0)+IF(P269="Tidak Layak",1,0))&gt;=2),"Tinggi",IF(AS269&gt;=65,"Tinggi",IF(AS269&gt;=50,"Sedang","Rendah")))))</x:f>
        <x:v>Belum Dapat Ditentukan</x:v>
      </x:c>
      <x:c r="AU269" s="240"/>
      <x:c r="AV269" s="240"/>
      <x:c r="AW269" s="240"/>
      <x:c r="AX269" s="240"/>
      <x:c r="AY269" s="240"/>
      <x:c r="AZ269" s="240"/>
      <x:c r="BA269" s="240"/>
      <x:c r="BB269" s="240"/>
      <x:c r="BC269" s="240"/>
      <x:c r="BD269" s="240"/>
      <x:c r="BE269" s="240"/>
      <x:c r="BF269" s="240"/>
    </x:row>
    <x:row r="270" ht="32" customHeight="1">
      <x:c r="A270" s="314"/>
      <x:c r="B270" s="315"/>
      <x:c r="C270" s="316"/>
      <x:c r="D270" s="316"/>
      <x:c r="E270" s="315"/>
      <x:c r="F270" s="315"/>
      <x:c r="G270" s="315"/>
      <x:c r="H270" s="315"/>
      <x:c r="I270" s="317"/>
      <x:c r="J270" s="315"/>
      <x:c r="K270" s="315"/>
      <x:c r="L270" s="315"/>
      <x:c r="M270" s="367"/>
      <x:c r="N270" s="315"/>
      <x:c r="O270" s="316"/>
      <x:c r="P270" s="349"/>
      <x:c r="Q270" s="707"/>
      <x:c r="R270" s="707"/>
      <x:c r="S270" s="708"/>
      <x:c r="T270" s="709"/>
      <x:c r="U270" s="704"/>
      <x:c r="V270" s="704"/>
      <x:c r="W270" s="704"/>
      <x:c r="X270" s="704" t="str">
        <x:f>IF(COUNTIF(R270:V270,"Belum Dinilai")&gt;0,"Belum Dinilai",IF(COUNTIF(R270:V270,"Ya")=0,"Tidak ada faktor rentan",TEXTJOIN(", ",TRUE,IF(R270="Ya","Lansia",""),IF(S270="Ya","Penyandang disabilitas",""),IF(T270="Ya","Kepala keluarga perempuan",""),IF(U270="Ya","Balita",""),IF(V270="Ya","Anggota keluarga dengan ketergantungan tinggi",""))))</x:f>
        <x:v>Tidak ada faktor rentan</x:v>
      </x:c>
      <x:c r="Y270" s="704" t="str">
        <x:f>IF(COUNTIF(R270:V270,"Belum Dinilai")&gt;0,"Belum Dinilai",IF(COUNTIF(R270:V270,"Ya")=0,"Tidak Ada Faktor Rentan",IF(COUNTIF(R270:V270,"Ya")=1,"1 Faktor Rentan","2 atau Lebih Faktor Rentan")))</x:f>
        <x:v>Tidak Ada Faktor Rentan</x:v>
      </x:c>
      <x:c r="Z270" s="704" t="str">
        <x:f>IF(OR(Q270="",Q270="Belum Dinilai"),"",IF(Q270="Terverifikasi DTKS/P3KE/MBR",10,IF(Q270="Diusulkan, Belum Terverifikasi",5,0)))</x:f>
      </x:c>
      <x:c r="AA270" s="705" t="n">
        <x:f>IF(COUNTIF(R270:V270,"Belum Dinilai")&gt;0,"",IF(COUNTIF(R270:V270,"Ya")=0,0,IF(COUNTIF(R270:V270,"Ya")=1,5,10)))</x:f>
        <x:v>0</x:v>
      </x:c>
      <x:c r="AB270" s="706" t="str">
        <x:f>IF(OR(Z270="",AA270=""),"",Z270+AA270)</x:f>
      </x:c>
      <x:c r="AC270" s="713"/>
      <x:c r="AD270" s="713"/>
      <x:c r="AE270" s="714"/>
      <x:c r="AF270" s="713"/>
      <x:c r="AG270" s="713"/>
      <x:c r="AH270" s="715"/>
      <x:c r="AI270" s="714"/>
      <x:c r="AJ270" s="713"/>
      <x:c r="AK270" s="715"/>
      <x:c r="AL270" s="713"/>
      <x:c r="AM270" s="716"/>
      <x:c r="AN270" s="716" t="str">
        <x:f>IF(AND(COUNTIF(AC270:AK270,"Ya")=0,AL270=""),IF(COUNTIF(AC270:AK270,"Belum Dinilai")&gt;0,"Belum Dinilai","Tidak ada risiko khusus"),TEXTJOIN(", ",TRUE,IF(AC270="Ya","Bangunan berpotensi roboh",""),IF(AD270="Ya","Bekas kebakaran dan tidak aman dihuni",""),IF(AE270="Ya","Atap atau dinding utama hampir runtuh",""),IF(AF270="Ya","Genangan yang membahayakan",""),IF(AG270="Ya","Struktur rumah tidak stabil",""),IF(AH270="Ya","Instalasi listrik berbahaya",""),IF(AI270="Ya","Komponen bangunan lepas atau lapuk",""),IF(AJ270="Ya","Akses keluar atau evakuasi terbatas",""),IF(AK270="Ya","Lokasi rawan bencana",""),IF(AL270&lt;&gt;"","Lainnya: "&amp;AL270,"")))</x:f>
        <x:v>Tidak ada risiko khusus</x:v>
      </x:c>
      <x:c r="AO270" s="716" t="str">
        <x:f>IF(AR270="","Belum Dinilai",IF(AR270=10,"Risiko Tinggi/Darurat",IF(AR270=5,"Risiko Sedang","Tidak Ada Risiko Khusus")))</x:f>
        <x:v>Belum Dinilai</x:v>
      </x:c>
      <x:c r="AP270" s="716"/>
      <x:c r="AQ270" s="719" t="str">
        <x:f>IF(OR(J270="",J270="Belum Dapat Ditentukan",L270="",L270="Belum Dinilai",N270="",N270="Belum Dinilai",P270="",P270="Belum Dinilai"),"",IF(J270="Permanen",0,IF(J270="Semipermanen",8,IF(J270="Nonpermanen",15,0)))+IF(L270="Baik",0,IF(L270="Rusak Ringan",5,IF(L270="Rusak Sedang",10,IF(L270="Rusak Berat",15,IF(L270="Tidak Ada/Terbuka",20,0)))))+IF(N270="Baik",0,IF(N270="Rusak Ringan",5,IF(N270="Rusak Sedang",10,IF(N270="Rusak Berat",15,IF(N270="Tidak Ada/Terbuka",20,0)))))+IF(P270="Baik",0,IF(P270="Rusak Ringan",4,IF(P270="Rusak Sedang",8,IF(P270="Rusak Berat",12,IF(P270="Tidak Layak",15,0))))))</x:f>
      </x:c>
      <x:c r="AR270" s="719" t="n">
        <x:f>IF(COUNTIF(AC270:AH270,"Ya")&gt;0,10,IF(COUNTIF(AI270:AK270,"Ya")&gt;=2,10,IF(COUNTIF(AI270:AK270,"Ya")=1,MAX(5,IF(AM270="Risiko Tinggi/Darurat",10,IF(AM270="Risiko Sedang",5,0))),IF(AL270&lt;&gt;"",IF(AM270="Risiko Tinggi/Darurat",10,IF(AM270="Risiko Sedang",5,"")),IF(COUNTIF(AC270:AK270,"Belum Dinilai")&gt;0,"",0)))))</x:f>
        <x:v>0</x:v>
      </x:c>
      <x:c r="AS270" s="719" t="str">
        <x:f>IF(OR(AQ270="",AB270="",AR270=""),"",AQ270+AB270+AR270)</x:f>
      </x:c>
      <x:c r="AT270" s="719" t="str">
        <x:f>IF(AS270="","Belum Dapat Ditentukan",IF(AS270&gt;=80,"Sangat Tinggi",IF(OR(AO270="Risiko Tinggi/Darurat",(IF(L270="Rusak Berat",1,0)+IF(L270="Tidak Ada/Terbuka",1,0)+IF(N270="Rusak Berat",1,0)+IF(N270="Tidak Ada/Terbuka",1,0)+IF(P270="Rusak Berat",1,0)+IF(P270="Tidak Layak",1,0))&gt;=2),"Tinggi",IF(AS270&gt;=65,"Tinggi",IF(AS270&gt;=50,"Sedang","Rendah")))))</x:f>
        <x:v>Belum Dapat Ditentukan</x:v>
      </x:c>
      <x:c r="AU270" s="240"/>
      <x:c r="AV270" s="240"/>
      <x:c r="AW270" s="240"/>
      <x:c r="AX270" s="240"/>
      <x:c r="AY270" s="240"/>
      <x:c r="AZ270" s="240"/>
      <x:c r="BA270" s="240"/>
      <x:c r="BB270" s="240"/>
      <x:c r="BC270" s="240"/>
      <x:c r="BD270" s="240"/>
      <x:c r="BE270" s="240"/>
      <x:c r="BF270" s="240"/>
    </x:row>
    <x:row r="271" ht="32" customHeight="1">
      <x:c r="A271" s="314"/>
      <x:c r="B271" s="315"/>
      <x:c r="C271" s="316"/>
      <x:c r="D271" s="316"/>
      <x:c r="E271" s="315"/>
      <x:c r="F271" s="315"/>
      <x:c r="G271" s="315"/>
      <x:c r="H271" s="315"/>
      <x:c r="I271" s="317"/>
      <x:c r="J271" s="315"/>
      <x:c r="K271" s="315"/>
      <x:c r="L271" s="315"/>
      <x:c r="M271" s="367"/>
      <x:c r="N271" s="315"/>
      <x:c r="O271" s="316"/>
      <x:c r="P271" s="349"/>
      <x:c r="Q271" s="707"/>
      <x:c r="R271" s="707"/>
      <x:c r="S271" s="708"/>
      <x:c r="T271" s="709"/>
      <x:c r="U271" s="704"/>
      <x:c r="V271" s="704"/>
      <x:c r="W271" s="704"/>
      <x:c r="X271" s="704" t="str">
        <x:f>IF(COUNTIF(R271:V271,"Belum Dinilai")&gt;0,"Belum Dinilai",IF(COUNTIF(R271:V271,"Ya")=0,"Tidak ada faktor rentan",TEXTJOIN(", ",TRUE,IF(R271="Ya","Lansia",""),IF(S271="Ya","Penyandang disabilitas",""),IF(T271="Ya","Kepala keluarga perempuan",""),IF(U271="Ya","Balita",""),IF(V271="Ya","Anggota keluarga dengan ketergantungan tinggi",""))))</x:f>
        <x:v>Tidak ada faktor rentan</x:v>
      </x:c>
      <x:c r="Y271" s="704" t="str">
        <x:f>IF(COUNTIF(R271:V271,"Belum Dinilai")&gt;0,"Belum Dinilai",IF(COUNTIF(R271:V271,"Ya")=0,"Tidak Ada Faktor Rentan",IF(COUNTIF(R271:V271,"Ya")=1,"1 Faktor Rentan","2 atau Lebih Faktor Rentan")))</x:f>
        <x:v>Tidak Ada Faktor Rentan</x:v>
      </x:c>
      <x:c r="Z271" s="704" t="str">
        <x:f>IF(OR(Q271="",Q271="Belum Dinilai"),"",IF(Q271="Terverifikasi DTKS/P3KE/MBR",10,IF(Q271="Diusulkan, Belum Terverifikasi",5,0)))</x:f>
      </x:c>
      <x:c r="AA271" s="705" t="n">
        <x:f>IF(COUNTIF(R271:V271,"Belum Dinilai")&gt;0,"",IF(COUNTIF(R271:V271,"Ya")=0,0,IF(COUNTIF(R271:V271,"Ya")=1,5,10)))</x:f>
        <x:v>0</x:v>
      </x:c>
      <x:c r="AB271" s="706" t="str">
        <x:f>IF(OR(Z271="",AA271=""),"",Z271+AA271)</x:f>
      </x:c>
      <x:c r="AC271" s="713"/>
      <x:c r="AD271" s="713"/>
      <x:c r="AE271" s="714"/>
      <x:c r="AF271" s="713"/>
      <x:c r="AG271" s="713"/>
      <x:c r="AH271" s="715"/>
      <x:c r="AI271" s="714"/>
      <x:c r="AJ271" s="713"/>
      <x:c r="AK271" s="715"/>
      <x:c r="AL271" s="713"/>
      <x:c r="AM271" s="716"/>
      <x:c r="AN271" s="716" t="str">
        <x:f>IF(AND(COUNTIF(AC271:AK271,"Ya")=0,AL271=""),IF(COUNTIF(AC271:AK271,"Belum Dinilai")&gt;0,"Belum Dinilai","Tidak ada risiko khusus"),TEXTJOIN(", ",TRUE,IF(AC271="Ya","Bangunan berpotensi roboh",""),IF(AD271="Ya","Bekas kebakaran dan tidak aman dihuni",""),IF(AE271="Ya","Atap atau dinding utama hampir runtuh",""),IF(AF271="Ya","Genangan yang membahayakan",""),IF(AG271="Ya","Struktur rumah tidak stabil",""),IF(AH271="Ya","Instalasi listrik berbahaya",""),IF(AI271="Ya","Komponen bangunan lepas atau lapuk",""),IF(AJ271="Ya","Akses keluar atau evakuasi terbatas",""),IF(AK271="Ya","Lokasi rawan bencana",""),IF(AL271&lt;&gt;"","Lainnya: "&amp;AL271,"")))</x:f>
        <x:v>Tidak ada risiko khusus</x:v>
      </x:c>
      <x:c r="AO271" s="716" t="str">
        <x:f>IF(AR271="","Belum Dinilai",IF(AR271=10,"Risiko Tinggi/Darurat",IF(AR271=5,"Risiko Sedang","Tidak Ada Risiko Khusus")))</x:f>
        <x:v>Belum Dinilai</x:v>
      </x:c>
      <x:c r="AP271" s="716"/>
      <x:c r="AQ271" s="719" t="str">
        <x:f>IF(OR(J271="",J271="Belum Dapat Ditentukan",L271="",L271="Belum Dinilai",N271="",N271="Belum Dinilai",P271="",P271="Belum Dinilai"),"",IF(J271="Permanen",0,IF(J271="Semipermanen",8,IF(J271="Nonpermanen",15,0)))+IF(L271="Baik",0,IF(L271="Rusak Ringan",5,IF(L271="Rusak Sedang",10,IF(L271="Rusak Berat",15,IF(L271="Tidak Ada/Terbuka",20,0)))))+IF(N271="Baik",0,IF(N271="Rusak Ringan",5,IF(N271="Rusak Sedang",10,IF(N271="Rusak Berat",15,IF(N271="Tidak Ada/Terbuka",20,0)))))+IF(P271="Baik",0,IF(P271="Rusak Ringan",4,IF(P271="Rusak Sedang",8,IF(P271="Rusak Berat",12,IF(P271="Tidak Layak",15,0))))))</x:f>
      </x:c>
      <x:c r="AR271" s="719" t="n">
        <x:f>IF(COUNTIF(AC271:AH271,"Ya")&gt;0,10,IF(COUNTIF(AI271:AK271,"Ya")&gt;=2,10,IF(COUNTIF(AI271:AK271,"Ya")=1,MAX(5,IF(AM271="Risiko Tinggi/Darurat",10,IF(AM271="Risiko Sedang",5,0))),IF(AL271&lt;&gt;"",IF(AM271="Risiko Tinggi/Darurat",10,IF(AM271="Risiko Sedang",5,"")),IF(COUNTIF(AC271:AK271,"Belum Dinilai")&gt;0,"",0)))))</x:f>
        <x:v>0</x:v>
      </x:c>
      <x:c r="AS271" s="719" t="str">
        <x:f>IF(OR(AQ271="",AB271="",AR271=""),"",AQ271+AB271+AR271)</x:f>
      </x:c>
      <x:c r="AT271" s="719" t="str">
        <x:f>IF(AS271="","Belum Dapat Ditentukan",IF(AS271&gt;=80,"Sangat Tinggi",IF(OR(AO271="Risiko Tinggi/Darurat",(IF(L271="Rusak Berat",1,0)+IF(L271="Tidak Ada/Terbuka",1,0)+IF(N271="Rusak Berat",1,0)+IF(N271="Tidak Ada/Terbuka",1,0)+IF(P271="Rusak Berat",1,0)+IF(P271="Tidak Layak",1,0))&gt;=2),"Tinggi",IF(AS271&gt;=65,"Tinggi",IF(AS271&gt;=50,"Sedang","Rendah")))))</x:f>
        <x:v>Belum Dapat Ditentukan</x:v>
      </x:c>
      <x:c r="AU271" s="240"/>
      <x:c r="AV271" s="240"/>
      <x:c r="AW271" s="240"/>
      <x:c r="AX271" s="240"/>
      <x:c r="AY271" s="240"/>
      <x:c r="AZ271" s="240"/>
      <x:c r="BA271" s="240"/>
      <x:c r="BB271" s="240"/>
      <x:c r="BC271" s="240"/>
      <x:c r="BD271" s="240"/>
      <x:c r="BE271" s="240"/>
      <x:c r="BF271" s="240"/>
    </x:row>
    <x:row r="272" ht="32" customHeight="1">
      <x:c r="A272" s="314"/>
      <x:c r="B272" s="315"/>
      <x:c r="C272" s="316"/>
      <x:c r="D272" s="316"/>
      <x:c r="E272" s="315"/>
      <x:c r="F272" s="315"/>
      <x:c r="G272" s="315"/>
      <x:c r="H272" s="315"/>
      <x:c r="I272" s="317"/>
      <x:c r="J272" s="315"/>
      <x:c r="K272" s="315"/>
      <x:c r="L272" s="315"/>
      <x:c r="M272" s="367"/>
      <x:c r="N272" s="315"/>
      <x:c r="O272" s="316"/>
      <x:c r="P272" s="349"/>
      <x:c r="Q272" s="707"/>
      <x:c r="R272" s="707"/>
      <x:c r="S272" s="708"/>
      <x:c r="T272" s="709"/>
      <x:c r="U272" s="704"/>
      <x:c r="V272" s="704"/>
      <x:c r="W272" s="704"/>
      <x:c r="X272" s="704" t="str">
        <x:f>IF(COUNTIF(R272:V272,"Belum Dinilai")&gt;0,"Belum Dinilai",IF(COUNTIF(R272:V272,"Ya")=0,"Tidak ada faktor rentan",TEXTJOIN(", ",TRUE,IF(R272="Ya","Lansia",""),IF(S272="Ya","Penyandang disabilitas",""),IF(T272="Ya","Kepala keluarga perempuan",""),IF(U272="Ya","Balita",""),IF(V272="Ya","Anggota keluarga dengan ketergantungan tinggi",""))))</x:f>
        <x:v>Tidak ada faktor rentan</x:v>
      </x:c>
      <x:c r="Y272" s="704" t="str">
        <x:f>IF(COUNTIF(R272:V272,"Belum Dinilai")&gt;0,"Belum Dinilai",IF(COUNTIF(R272:V272,"Ya")=0,"Tidak Ada Faktor Rentan",IF(COUNTIF(R272:V272,"Ya")=1,"1 Faktor Rentan","2 atau Lebih Faktor Rentan")))</x:f>
        <x:v>Tidak Ada Faktor Rentan</x:v>
      </x:c>
      <x:c r="Z272" s="704" t="str">
        <x:f>IF(OR(Q272="",Q272="Belum Dinilai"),"",IF(Q272="Terverifikasi DTKS/P3KE/MBR",10,IF(Q272="Diusulkan, Belum Terverifikasi",5,0)))</x:f>
      </x:c>
      <x:c r="AA272" s="705" t="n">
        <x:f>IF(COUNTIF(R272:V272,"Belum Dinilai")&gt;0,"",IF(COUNTIF(R272:V272,"Ya")=0,0,IF(COUNTIF(R272:V272,"Ya")=1,5,10)))</x:f>
        <x:v>0</x:v>
      </x:c>
      <x:c r="AB272" s="706" t="str">
        <x:f>IF(OR(Z272="",AA272=""),"",Z272+AA272)</x:f>
      </x:c>
      <x:c r="AC272" s="713"/>
      <x:c r="AD272" s="713"/>
      <x:c r="AE272" s="714"/>
      <x:c r="AF272" s="713"/>
      <x:c r="AG272" s="713"/>
      <x:c r="AH272" s="715"/>
      <x:c r="AI272" s="714"/>
      <x:c r="AJ272" s="713"/>
      <x:c r="AK272" s="715"/>
      <x:c r="AL272" s="713"/>
      <x:c r="AM272" s="716"/>
      <x:c r="AN272" s="716" t="str">
        <x:f>IF(AND(COUNTIF(AC272:AK272,"Ya")=0,AL272=""),IF(COUNTIF(AC272:AK272,"Belum Dinilai")&gt;0,"Belum Dinilai","Tidak ada risiko khusus"),TEXTJOIN(", ",TRUE,IF(AC272="Ya","Bangunan berpotensi roboh",""),IF(AD272="Ya","Bekas kebakaran dan tidak aman dihuni",""),IF(AE272="Ya","Atap atau dinding utama hampir runtuh",""),IF(AF272="Ya","Genangan yang membahayakan",""),IF(AG272="Ya","Struktur rumah tidak stabil",""),IF(AH272="Ya","Instalasi listrik berbahaya",""),IF(AI272="Ya","Komponen bangunan lepas atau lapuk",""),IF(AJ272="Ya","Akses keluar atau evakuasi terbatas",""),IF(AK272="Ya","Lokasi rawan bencana",""),IF(AL272&lt;&gt;"","Lainnya: "&amp;AL272,"")))</x:f>
        <x:v>Tidak ada risiko khusus</x:v>
      </x:c>
      <x:c r="AO272" s="716" t="str">
        <x:f>IF(AR272="","Belum Dinilai",IF(AR272=10,"Risiko Tinggi/Darurat",IF(AR272=5,"Risiko Sedang","Tidak Ada Risiko Khusus")))</x:f>
        <x:v>Belum Dinilai</x:v>
      </x:c>
      <x:c r="AP272" s="716"/>
      <x:c r="AQ272" s="719" t="str">
        <x:f>IF(OR(J272="",J272="Belum Dapat Ditentukan",L272="",L272="Belum Dinilai",N272="",N272="Belum Dinilai",P272="",P272="Belum Dinilai"),"",IF(J272="Permanen",0,IF(J272="Semipermanen",8,IF(J272="Nonpermanen",15,0)))+IF(L272="Baik",0,IF(L272="Rusak Ringan",5,IF(L272="Rusak Sedang",10,IF(L272="Rusak Berat",15,IF(L272="Tidak Ada/Terbuka",20,0)))))+IF(N272="Baik",0,IF(N272="Rusak Ringan",5,IF(N272="Rusak Sedang",10,IF(N272="Rusak Berat",15,IF(N272="Tidak Ada/Terbuka",20,0)))))+IF(P272="Baik",0,IF(P272="Rusak Ringan",4,IF(P272="Rusak Sedang",8,IF(P272="Rusak Berat",12,IF(P272="Tidak Layak",15,0))))))</x:f>
      </x:c>
      <x:c r="AR272" s="719" t="n">
        <x:f>IF(COUNTIF(AC272:AH272,"Ya")&gt;0,10,IF(COUNTIF(AI272:AK272,"Ya")&gt;=2,10,IF(COUNTIF(AI272:AK272,"Ya")=1,MAX(5,IF(AM272="Risiko Tinggi/Darurat",10,IF(AM272="Risiko Sedang",5,0))),IF(AL272&lt;&gt;"",IF(AM272="Risiko Tinggi/Darurat",10,IF(AM272="Risiko Sedang",5,"")),IF(COUNTIF(AC272:AK272,"Belum Dinilai")&gt;0,"",0)))))</x:f>
        <x:v>0</x:v>
      </x:c>
      <x:c r="AS272" s="719" t="str">
        <x:f>IF(OR(AQ272="",AB272="",AR272=""),"",AQ272+AB272+AR272)</x:f>
      </x:c>
      <x:c r="AT272" s="719" t="str">
        <x:f>IF(AS272="","Belum Dapat Ditentukan",IF(AS272&gt;=80,"Sangat Tinggi",IF(OR(AO272="Risiko Tinggi/Darurat",(IF(L272="Rusak Berat",1,0)+IF(L272="Tidak Ada/Terbuka",1,0)+IF(N272="Rusak Berat",1,0)+IF(N272="Tidak Ada/Terbuka",1,0)+IF(P272="Rusak Berat",1,0)+IF(P272="Tidak Layak",1,0))&gt;=2),"Tinggi",IF(AS272&gt;=65,"Tinggi",IF(AS272&gt;=50,"Sedang","Rendah")))))</x:f>
        <x:v>Belum Dapat Ditentukan</x:v>
      </x:c>
      <x:c r="AU272" s="240"/>
      <x:c r="AV272" s="240"/>
      <x:c r="AW272" s="240"/>
      <x:c r="AX272" s="240"/>
      <x:c r="AY272" s="240"/>
      <x:c r="AZ272" s="240"/>
      <x:c r="BA272" s="240"/>
      <x:c r="BB272" s="240"/>
      <x:c r="BC272" s="240"/>
      <x:c r="BD272" s="240"/>
      <x:c r="BE272" s="240"/>
      <x:c r="BF272" s="240"/>
    </x:row>
    <x:row r="273" ht="32" customHeight="1">
      <x:c r="A273" s="314"/>
      <x:c r="B273" s="315"/>
      <x:c r="C273" s="316"/>
      <x:c r="D273" s="316"/>
      <x:c r="E273" s="315"/>
      <x:c r="F273" s="315"/>
      <x:c r="G273" s="315"/>
      <x:c r="H273" s="315"/>
      <x:c r="I273" s="317"/>
      <x:c r="J273" s="315"/>
      <x:c r="K273" s="315"/>
      <x:c r="L273" s="315"/>
      <x:c r="M273" s="367"/>
      <x:c r="N273" s="315"/>
      <x:c r="O273" s="316"/>
      <x:c r="P273" s="349"/>
      <x:c r="Q273" s="707"/>
      <x:c r="R273" s="707"/>
      <x:c r="S273" s="708"/>
      <x:c r="T273" s="709"/>
      <x:c r="U273" s="704"/>
      <x:c r="V273" s="704"/>
      <x:c r="W273" s="704"/>
      <x:c r="X273" s="704" t="str">
        <x:f>IF(COUNTIF(R273:V273,"Belum Dinilai")&gt;0,"Belum Dinilai",IF(COUNTIF(R273:V273,"Ya")=0,"Tidak ada faktor rentan",TEXTJOIN(", ",TRUE,IF(R273="Ya","Lansia",""),IF(S273="Ya","Penyandang disabilitas",""),IF(T273="Ya","Kepala keluarga perempuan",""),IF(U273="Ya","Balita",""),IF(V273="Ya","Anggota keluarga dengan ketergantungan tinggi",""))))</x:f>
        <x:v>Tidak ada faktor rentan</x:v>
      </x:c>
      <x:c r="Y273" s="704" t="str">
        <x:f>IF(COUNTIF(R273:V273,"Belum Dinilai")&gt;0,"Belum Dinilai",IF(COUNTIF(R273:V273,"Ya")=0,"Tidak Ada Faktor Rentan",IF(COUNTIF(R273:V273,"Ya")=1,"1 Faktor Rentan","2 atau Lebih Faktor Rentan")))</x:f>
        <x:v>Tidak Ada Faktor Rentan</x:v>
      </x:c>
      <x:c r="Z273" s="704" t="str">
        <x:f>IF(OR(Q273="",Q273="Belum Dinilai"),"",IF(Q273="Terverifikasi DTKS/P3KE/MBR",10,IF(Q273="Diusulkan, Belum Terverifikasi",5,0)))</x:f>
      </x:c>
      <x:c r="AA273" s="705" t="n">
        <x:f>IF(COUNTIF(R273:V273,"Belum Dinilai")&gt;0,"",IF(COUNTIF(R273:V273,"Ya")=0,0,IF(COUNTIF(R273:V273,"Ya")=1,5,10)))</x:f>
        <x:v>0</x:v>
      </x:c>
      <x:c r="AB273" s="706" t="str">
        <x:f>IF(OR(Z273="",AA273=""),"",Z273+AA273)</x:f>
      </x:c>
      <x:c r="AC273" s="713"/>
      <x:c r="AD273" s="713"/>
      <x:c r="AE273" s="714"/>
      <x:c r="AF273" s="713"/>
      <x:c r="AG273" s="713"/>
      <x:c r="AH273" s="715"/>
      <x:c r="AI273" s="714"/>
      <x:c r="AJ273" s="713"/>
      <x:c r="AK273" s="715"/>
      <x:c r="AL273" s="713"/>
      <x:c r="AM273" s="716"/>
      <x:c r="AN273" s="716" t="str">
        <x:f>IF(AND(COUNTIF(AC273:AK273,"Ya")=0,AL273=""),IF(COUNTIF(AC273:AK273,"Belum Dinilai")&gt;0,"Belum Dinilai","Tidak ada risiko khusus"),TEXTJOIN(", ",TRUE,IF(AC273="Ya","Bangunan berpotensi roboh",""),IF(AD273="Ya","Bekas kebakaran dan tidak aman dihuni",""),IF(AE273="Ya","Atap atau dinding utama hampir runtuh",""),IF(AF273="Ya","Genangan yang membahayakan",""),IF(AG273="Ya","Struktur rumah tidak stabil",""),IF(AH273="Ya","Instalasi listrik berbahaya",""),IF(AI273="Ya","Komponen bangunan lepas atau lapuk",""),IF(AJ273="Ya","Akses keluar atau evakuasi terbatas",""),IF(AK273="Ya","Lokasi rawan bencana",""),IF(AL273&lt;&gt;"","Lainnya: "&amp;AL273,"")))</x:f>
        <x:v>Tidak ada risiko khusus</x:v>
      </x:c>
      <x:c r="AO273" s="716" t="str">
        <x:f>IF(AR273="","Belum Dinilai",IF(AR273=10,"Risiko Tinggi/Darurat",IF(AR273=5,"Risiko Sedang","Tidak Ada Risiko Khusus")))</x:f>
        <x:v>Belum Dinilai</x:v>
      </x:c>
      <x:c r="AP273" s="716"/>
      <x:c r="AQ273" s="719" t="str">
        <x:f>IF(OR(J273="",J273="Belum Dapat Ditentukan",L273="",L273="Belum Dinilai",N273="",N273="Belum Dinilai",P273="",P273="Belum Dinilai"),"",IF(J273="Permanen",0,IF(J273="Semipermanen",8,IF(J273="Nonpermanen",15,0)))+IF(L273="Baik",0,IF(L273="Rusak Ringan",5,IF(L273="Rusak Sedang",10,IF(L273="Rusak Berat",15,IF(L273="Tidak Ada/Terbuka",20,0)))))+IF(N273="Baik",0,IF(N273="Rusak Ringan",5,IF(N273="Rusak Sedang",10,IF(N273="Rusak Berat",15,IF(N273="Tidak Ada/Terbuka",20,0)))))+IF(P273="Baik",0,IF(P273="Rusak Ringan",4,IF(P273="Rusak Sedang",8,IF(P273="Rusak Berat",12,IF(P273="Tidak Layak",15,0))))))</x:f>
      </x:c>
      <x:c r="AR273" s="719" t="n">
        <x:f>IF(COUNTIF(AC273:AH273,"Ya")&gt;0,10,IF(COUNTIF(AI273:AK273,"Ya")&gt;=2,10,IF(COUNTIF(AI273:AK273,"Ya")=1,MAX(5,IF(AM273="Risiko Tinggi/Darurat",10,IF(AM273="Risiko Sedang",5,0))),IF(AL273&lt;&gt;"",IF(AM273="Risiko Tinggi/Darurat",10,IF(AM273="Risiko Sedang",5,"")),IF(COUNTIF(AC273:AK273,"Belum Dinilai")&gt;0,"",0)))))</x:f>
        <x:v>0</x:v>
      </x:c>
      <x:c r="AS273" s="719" t="str">
        <x:f>IF(OR(AQ273="",AB273="",AR273=""),"",AQ273+AB273+AR273)</x:f>
      </x:c>
      <x:c r="AT273" s="719" t="str">
        <x:f>IF(AS273="","Belum Dapat Ditentukan",IF(AS273&gt;=80,"Sangat Tinggi",IF(OR(AO273="Risiko Tinggi/Darurat",(IF(L273="Rusak Berat",1,0)+IF(L273="Tidak Ada/Terbuka",1,0)+IF(N273="Rusak Berat",1,0)+IF(N273="Tidak Ada/Terbuka",1,0)+IF(P273="Rusak Berat",1,0)+IF(P273="Tidak Layak",1,0))&gt;=2),"Tinggi",IF(AS273&gt;=65,"Tinggi",IF(AS273&gt;=50,"Sedang","Rendah")))))</x:f>
        <x:v>Belum Dapat Ditentukan</x:v>
      </x:c>
      <x:c r="AU273" s="240"/>
      <x:c r="AV273" s="240"/>
      <x:c r="AW273" s="240"/>
      <x:c r="AX273" s="240"/>
      <x:c r="AY273" s="240"/>
      <x:c r="AZ273" s="240"/>
      <x:c r="BA273" s="240"/>
      <x:c r="BB273" s="240"/>
      <x:c r="BC273" s="240"/>
      <x:c r="BD273" s="240"/>
      <x:c r="BE273" s="240"/>
      <x:c r="BF273" s="240"/>
    </x:row>
    <x:row r="274" ht="32" customHeight="1">
      <x:c r="A274" s="314"/>
      <x:c r="B274" s="315"/>
      <x:c r="C274" s="316"/>
      <x:c r="D274" s="316"/>
      <x:c r="E274" s="315"/>
      <x:c r="F274" s="315"/>
      <x:c r="G274" s="315"/>
      <x:c r="H274" s="315"/>
      <x:c r="I274" s="317"/>
      <x:c r="J274" s="315"/>
      <x:c r="K274" s="315"/>
      <x:c r="L274" s="315"/>
      <x:c r="M274" s="367"/>
      <x:c r="N274" s="315"/>
      <x:c r="O274" s="316"/>
      <x:c r="P274" s="349"/>
      <x:c r="Q274" s="707"/>
      <x:c r="R274" s="707"/>
      <x:c r="S274" s="708"/>
      <x:c r="T274" s="709"/>
      <x:c r="U274" s="704"/>
      <x:c r="V274" s="704"/>
      <x:c r="W274" s="704"/>
      <x:c r="X274" s="704" t="str">
        <x:f>IF(COUNTIF(R274:V274,"Belum Dinilai")&gt;0,"Belum Dinilai",IF(COUNTIF(R274:V274,"Ya")=0,"Tidak ada faktor rentan",TEXTJOIN(", ",TRUE,IF(R274="Ya","Lansia",""),IF(S274="Ya","Penyandang disabilitas",""),IF(T274="Ya","Kepala keluarga perempuan",""),IF(U274="Ya","Balita",""),IF(V274="Ya","Anggota keluarga dengan ketergantungan tinggi",""))))</x:f>
        <x:v>Tidak ada faktor rentan</x:v>
      </x:c>
      <x:c r="Y274" s="704" t="str">
        <x:f>IF(COUNTIF(R274:V274,"Belum Dinilai")&gt;0,"Belum Dinilai",IF(COUNTIF(R274:V274,"Ya")=0,"Tidak Ada Faktor Rentan",IF(COUNTIF(R274:V274,"Ya")=1,"1 Faktor Rentan","2 atau Lebih Faktor Rentan")))</x:f>
        <x:v>Tidak Ada Faktor Rentan</x:v>
      </x:c>
      <x:c r="Z274" s="704" t="str">
        <x:f>IF(OR(Q274="",Q274="Belum Dinilai"),"",IF(Q274="Terverifikasi DTKS/P3KE/MBR",10,IF(Q274="Diusulkan, Belum Terverifikasi",5,0)))</x:f>
      </x:c>
      <x:c r="AA274" s="705" t="n">
        <x:f>IF(COUNTIF(R274:V274,"Belum Dinilai")&gt;0,"",IF(COUNTIF(R274:V274,"Ya")=0,0,IF(COUNTIF(R274:V274,"Ya")=1,5,10)))</x:f>
        <x:v>0</x:v>
      </x:c>
      <x:c r="AB274" s="706" t="str">
        <x:f>IF(OR(Z274="",AA274=""),"",Z274+AA274)</x:f>
      </x:c>
      <x:c r="AC274" s="713"/>
      <x:c r="AD274" s="713"/>
      <x:c r="AE274" s="714"/>
      <x:c r="AF274" s="713"/>
      <x:c r="AG274" s="713"/>
      <x:c r="AH274" s="715"/>
      <x:c r="AI274" s="714"/>
      <x:c r="AJ274" s="713"/>
      <x:c r="AK274" s="715"/>
      <x:c r="AL274" s="713"/>
      <x:c r="AM274" s="716"/>
      <x:c r="AN274" s="716" t="str">
        <x:f>IF(AND(COUNTIF(AC274:AK274,"Ya")=0,AL274=""),IF(COUNTIF(AC274:AK274,"Belum Dinilai")&gt;0,"Belum Dinilai","Tidak ada risiko khusus"),TEXTJOIN(", ",TRUE,IF(AC274="Ya","Bangunan berpotensi roboh",""),IF(AD274="Ya","Bekas kebakaran dan tidak aman dihuni",""),IF(AE274="Ya","Atap atau dinding utama hampir runtuh",""),IF(AF274="Ya","Genangan yang membahayakan",""),IF(AG274="Ya","Struktur rumah tidak stabil",""),IF(AH274="Ya","Instalasi listrik berbahaya",""),IF(AI274="Ya","Komponen bangunan lepas atau lapuk",""),IF(AJ274="Ya","Akses keluar atau evakuasi terbatas",""),IF(AK274="Ya","Lokasi rawan bencana",""),IF(AL274&lt;&gt;"","Lainnya: "&amp;AL274,"")))</x:f>
        <x:v>Tidak ada risiko khusus</x:v>
      </x:c>
      <x:c r="AO274" s="716" t="str">
        <x:f>IF(AR274="","Belum Dinilai",IF(AR274=10,"Risiko Tinggi/Darurat",IF(AR274=5,"Risiko Sedang","Tidak Ada Risiko Khusus")))</x:f>
        <x:v>Belum Dinilai</x:v>
      </x:c>
      <x:c r="AP274" s="716"/>
      <x:c r="AQ274" s="719" t="str">
        <x:f>IF(OR(J274="",J274="Belum Dapat Ditentukan",L274="",L274="Belum Dinilai",N274="",N274="Belum Dinilai",P274="",P274="Belum Dinilai"),"",IF(J274="Permanen",0,IF(J274="Semipermanen",8,IF(J274="Nonpermanen",15,0)))+IF(L274="Baik",0,IF(L274="Rusak Ringan",5,IF(L274="Rusak Sedang",10,IF(L274="Rusak Berat",15,IF(L274="Tidak Ada/Terbuka",20,0)))))+IF(N274="Baik",0,IF(N274="Rusak Ringan",5,IF(N274="Rusak Sedang",10,IF(N274="Rusak Berat",15,IF(N274="Tidak Ada/Terbuka",20,0)))))+IF(P274="Baik",0,IF(P274="Rusak Ringan",4,IF(P274="Rusak Sedang",8,IF(P274="Rusak Berat",12,IF(P274="Tidak Layak",15,0))))))</x:f>
      </x:c>
      <x:c r="AR274" s="719" t="n">
        <x:f>IF(COUNTIF(AC274:AH274,"Ya")&gt;0,10,IF(COUNTIF(AI274:AK274,"Ya")&gt;=2,10,IF(COUNTIF(AI274:AK274,"Ya")=1,MAX(5,IF(AM274="Risiko Tinggi/Darurat",10,IF(AM274="Risiko Sedang",5,0))),IF(AL274&lt;&gt;"",IF(AM274="Risiko Tinggi/Darurat",10,IF(AM274="Risiko Sedang",5,"")),IF(COUNTIF(AC274:AK274,"Belum Dinilai")&gt;0,"",0)))))</x:f>
        <x:v>0</x:v>
      </x:c>
      <x:c r="AS274" s="719" t="str">
        <x:f>IF(OR(AQ274="",AB274="",AR274=""),"",AQ274+AB274+AR274)</x:f>
      </x:c>
      <x:c r="AT274" s="719" t="str">
        <x:f>IF(AS274="","Belum Dapat Ditentukan",IF(AS274&gt;=80,"Sangat Tinggi",IF(OR(AO274="Risiko Tinggi/Darurat",(IF(L274="Rusak Berat",1,0)+IF(L274="Tidak Ada/Terbuka",1,0)+IF(N274="Rusak Berat",1,0)+IF(N274="Tidak Ada/Terbuka",1,0)+IF(P274="Rusak Berat",1,0)+IF(P274="Tidak Layak",1,0))&gt;=2),"Tinggi",IF(AS274&gt;=65,"Tinggi",IF(AS274&gt;=50,"Sedang","Rendah")))))</x:f>
        <x:v>Belum Dapat Ditentukan</x:v>
      </x:c>
      <x:c r="AU274" s="240"/>
      <x:c r="AV274" s="240"/>
      <x:c r="AW274" s="240"/>
      <x:c r="AX274" s="240"/>
      <x:c r="AY274" s="240"/>
      <x:c r="AZ274" s="240"/>
      <x:c r="BA274" s="240"/>
      <x:c r="BB274" s="240"/>
      <x:c r="BC274" s="240"/>
      <x:c r="BD274" s="240"/>
      <x:c r="BE274" s="240"/>
      <x:c r="BF274" s="240"/>
    </x:row>
    <x:row r="275" ht="32" customHeight="1">
      <x:c r="A275" s="314"/>
      <x:c r="B275" s="315"/>
      <x:c r="C275" s="316"/>
      <x:c r="D275" s="316"/>
      <x:c r="E275" s="315"/>
      <x:c r="F275" s="315"/>
      <x:c r="G275" s="315"/>
      <x:c r="H275" s="315"/>
      <x:c r="I275" s="317"/>
      <x:c r="J275" s="315"/>
      <x:c r="K275" s="315"/>
      <x:c r="L275" s="315"/>
      <x:c r="M275" s="367"/>
      <x:c r="N275" s="315"/>
      <x:c r="O275" s="316"/>
      <x:c r="P275" s="349"/>
      <x:c r="Q275" s="707"/>
      <x:c r="R275" s="707"/>
      <x:c r="S275" s="708"/>
      <x:c r="T275" s="709"/>
      <x:c r="U275" s="704"/>
      <x:c r="V275" s="704"/>
      <x:c r="W275" s="704"/>
      <x:c r="X275" s="704" t="str">
        <x:f>IF(COUNTIF(R275:V275,"Belum Dinilai")&gt;0,"Belum Dinilai",IF(COUNTIF(R275:V275,"Ya")=0,"Tidak ada faktor rentan",TEXTJOIN(", ",TRUE,IF(R275="Ya","Lansia",""),IF(S275="Ya","Penyandang disabilitas",""),IF(T275="Ya","Kepala keluarga perempuan",""),IF(U275="Ya","Balita",""),IF(V275="Ya","Anggota keluarga dengan ketergantungan tinggi",""))))</x:f>
        <x:v>Tidak ada faktor rentan</x:v>
      </x:c>
      <x:c r="Y275" s="704" t="str">
        <x:f>IF(COUNTIF(R275:V275,"Belum Dinilai")&gt;0,"Belum Dinilai",IF(COUNTIF(R275:V275,"Ya")=0,"Tidak Ada Faktor Rentan",IF(COUNTIF(R275:V275,"Ya")=1,"1 Faktor Rentan","2 atau Lebih Faktor Rentan")))</x:f>
        <x:v>Tidak Ada Faktor Rentan</x:v>
      </x:c>
      <x:c r="Z275" s="704" t="str">
        <x:f>IF(OR(Q275="",Q275="Belum Dinilai"),"",IF(Q275="Terverifikasi DTKS/P3KE/MBR",10,IF(Q275="Diusulkan, Belum Terverifikasi",5,0)))</x:f>
      </x:c>
      <x:c r="AA275" s="705" t="n">
        <x:f>IF(COUNTIF(R275:V275,"Belum Dinilai")&gt;0,"",IF(COUNTIF(R275:V275,"Ya")=0,0,IF(COUNTIF(R275:V275,"Ya")=1,5,10)))</x:f>
        <x:v>0</x:v>
      </x:c>
      <x:c r="AB275" s="706" t="str">
        <x:f>IF(OR(Z275="",AA275=""),"",Z275+AA275)</x:f>
      </x:c>
      <x:c r="AC275" s="713"/>
      <x:c r="AD275" s="713"/>
      <x:c r="AE275" s="714"/>
      <x:c r="AF275" s="713"/>
      <x:c r="AG275" s="713"/>
      <x:c r="AH275" s="715"/>
      <x:c r="AI275" s="714"/>
      <x:c r="AJ275" s="713"/>
      <x:c r="AK275" s="715"/>
      <x:c r="AL275" s="713"/>
      <x:c r="AM275" s="716"/>
      <x:c r="AN275" s="716" t="str">
        <x:f>IF(AND(COUNTIF(AC275:AK275,"Ya")=0,AL275=""),IF(COUNTIF(AC275:AK275,"Belum Dinilai")&gt;0,"Belum Dinilai","Tidak ada risiko khusus"),TEXTJOIN(", ",TRUE,IF(AC275="Ya","Bangunan berpotensi roboh",""),IF(AD275="Ya","Bekas kebakaran dan tidak aman dihuni",""),IF(AE275="Ya","Atap atau dinding utama hampir runtuh",""),IF(AF275="Ya","Genangan yang membahayakan",""),IF(AG275="Ya","Struktur rumah tidak stabil",""),IF(AH275="Ya","Instalasi listrik berbahaya",""),IF(AI275="Ya","Komponen bangunan lepas atau lapuk",""),IF(AJ275="Ya","Akses keluar atau evakuasi terbatas",""),IF(AK275="Ya","Lokasi rawan bencana",""),IF(AL275&lt;&gt;"","Lainnya: "&amp;AL275,"")))</x:f>
        <x:v>Tidak ada risiko khusus</x:v>
      </x:c>
      <x:c r="AO275" s="716" t="str">
        <x:f>IF(AR275="","Belum Dinilai",IF(AR275=10,"Risiko Tinggi/Darurat",IF(AR275=5,"Risiko Sedang","Tidak Ada Risiko Khusus")))</x:f>
        <x:v>Belum Dinilai</x:v>
      </x:c>
      <x:c r="AP275" s="716"/>
      <x:c r="AQ275" s="719" t="str">
        <x:f>IF(OR(J275="",J275="Belum Dapat Ditentukan",L275="",L275="Belum Dinilai",N275="",N275="Belum Dinilai",P275="",P275="Belum Dinilai"),"",IF(J275="Permanen",0,IF(J275="Semipermanen",8,IF(J275="Nonpermanen",15,0)))+IF(L275="Baik",0,IF(L275="Rusak Ringan",5,IF(L275="Rusak Sedang",10,IF(L275="Rusak Berat",15,IF(L275="Tidak Ada/Terbuka",20,0)))))+IF(N275="Baik",0,IF(N275="Rusak Ringan",5,IF(N275="Rusak Sedang",10,IF(N275="Rusak Berat",15,IF(N275="Tidak Ada/Terbuka",20,0)))))+IF(P275="Baik",0,IF(P275="Rusak Ringan",4,IF(P275="Rusak Sedang",8,IF(P275="Rusak Berat",12,IF(P275="Tidak Layak",15,0))))))</x:f>
      </x:c>
      <x:c r="AR275" s="719" t="n">
        <x:f>IF(COUNTIF(AC275:AH275,"Ya")&gt;0,10,IF(COUNTIF(AI275:AK275,"Ya")&gt;=2,10,IF(COUNTIF(AI275:AK275,"Ya")=1,MAX(5,IF(AM275="Risiko Tinggi/Darurat",10,IF(AM275="Risiko Sedang",5,0))),IF(AL275&lt;&gt;"",IF(AM275="Risiko Tinggi/Darurat",10,IF(AM275="Risiko Sedang",5,"")),IF(COUNTIF(AC275:AK275,"Belum Dinilai")&gt;0,"",0)))))</x:f>
        <x:v>0</x:v>
      </x:c>
      <x:c r="AS275" s="719" t="str">
        <x:f>IF(OR(AQ275="",AB275="",AR275=""),"",AQ275+AB275+AR275)</x:f>
      </x:c>
      <x:c r="AT275" s="719" t="str">
        <x:f>IF(AS275="","Belum Dapat Ditentukan",IF(AS275&gt;=80,"Sangat Tinggi",IF(OR(AO275="Risiko Tinggi/Darurat",(IF(L275="Rusak Berat",1,0)+IF(L275="Tidak Ada/Terbuka",1,0)+IF(N275="Rusak Berat",1,0)+IF(N275="Tidak Ada/Terbuka",1,0)+IF(P275="Rusak Berat",1,0)+IF(P275="Tidak Layak",1,0))&gt;=2),"Tinggi",IF(AS275&gt;=65,"Tinggi",IF(AS275&gt;=50,"Sedang","Rendah")))))</x:f>
        <x:v>Belum Dapat Ditentukan</x:v>
      </x:c>
      <x:c r="AU275" s="240"/>
      <x:c r="AV275" s="240"/>
      <x:c r="AW275" s="240"/>
      <x:c r="AX275" s="240"/>
      <x:c r="AY275" s="240"/>
      <x:c r="AZ275" s="240"/>
      <x:c r="BA275" s="240"/>
      <x:c r="BB275" s="240"/>
      <x:c r="BC275" s="240"/>
      <x:c r="BD275" s="240"/>
      <x:c r="BE275" s="240"/>
      <x:c r="BF275" s="240"/>
    </x:row>
    <x:row r="276" ht="32" customHeight="1">
      <x:c r="A276" s="314"/>
      <x:c r="B276" s="315"/>
      <x:c r="C276" s="316"/>
      <x:c r="D276" s="316"/>
      <x:c r="E276" s="315"/>
      <x:c r="F276" s="315"/>
      <x:c r="G276" s="315"/>
      <x:c r="H276" s="315"/>
      <x:c r="I276" s="317"/>
      <x:c r="J276" s="315"/>
      <x:c r="K276" s="315"/>
      <x:c r="L276" s="315"/>
      <x:c r="M276" s="367"/>
      <x:c r="N276" s="315"/>
      <x:c r="O276" s="316"/>
      <x:c r="P276" s="349"/>
      <x:c r="Q276" s="707"/>
      <x:c r="R276" s="707"/>
      <x:c r="S276" s="708"/>
      <x:c r="T276" s="709"/>
      <x:c r="U276" s="704"/>
      <x:c r="V276" s="704"/>
      <x:c r="W276" s="704"/>
      <x:c r="X276" s="704" t="str">
        <x:f>IF(COUNTIF(R276:V276,"Belum Dinilai")&gt;0,"Belum Dinilai",IF(COUNTIF(R276:V276,"Ya")=0,"Tidak ada faktor rentan",TEXTJOIN(", ",TRUE,IF(R276="Ya","Lansia",""),IF(S276="Ya","Penyandang disabilitas",""),IF(T276="Ya","Kepala keluarga perempuan",""),IF(U276="Ya","Balita",""),IF(V276="Ya","Anggota keluarga dengan ketergantungan tinggi",""))))</x:f>
        <x:v>Tidak ada faktor rentan</x:v>
      </x:c>
      <x:c r="Y276" s="704" t="str">
        <x:f>IF(COUNTIF(R276:V276,"Belum Dinilai")&gt;0,"Belum Dinilai",IF(COUNTIF(R276:V276,"Ya")=0,"Tidak Ada Faktor Rentan",IF(COUNTIF(R276:V276,"Ya")=1,"1 Faktor Rentan","2 atau Lebih Faktor Rentan")))</x:f>
        <x:v>Tidak Ada Faktor Rentan</x:v>
      </x:c>
      <x:c r="Z276" s="704" t="str">
        <x:f>IF(OR(Q276="",Q276="Belum Dinilai"),"",IF(Q276="Terverifikasi DTKS/P3KE/MBR",10,IF(Q276="Diusulkan, Belum Terverifikasi",5,0)))</x:f>
      </x:c>
      <x:c r="AA276" s="705" t="n">
        <x:f>IF(COUNTIF(R276:V276,"Belum Dinilai")&gt;0,"",IF(COUNTIF(R276:V276,"Ya")=0,0,IF(COUNTIF(R276:V276,"Ya")=1,5,10)))</x:f>
        <x:v>0</x:v>
      </x:c>
      <x:c r="AB276" s="706" t="str">
        <x:f>IF(OR(Z276="",AA276=""),"",Z276+AA276)</x:f>
      </x:c>
      <x:c r="AC276" s="713"/>
      <x:c r="AD276" s="713"/>
      <x:c r="AE276" s="714"/>
      <x:c r="AF276" s="713"/>
      <x:c r="AG276" s="713"/>
      <x:c r="AH276" s="715"/>
      <x:c r="AI276" s="714"/>
      <x:c r="AJ276" s="713"/>
      <x:c r="AK276" s="715"/>
      <x:c r="AL276" s="713"/>
      <x:c r="AM276" s="716"/>
      <x:c r="AN276" s="716" t="str">
        <x:f>IF(AND(COUNTIF(AC276:AK276,"Ya")=0,AL276=""),IF(COUNTIF(AC276:AK276,"Belum Dinilai")&gt;0,"Belum Dinilai","Tidak ada risiko khusus"),TEXTJOIN(", ",TRUE,IF(AC276="Ya","Bangunan berpotensi roboh",""),IF(AD276="Ya","Bekas kebakaran dan tidak aman dihuni",""),IF(AE276="Ya","Atap atau dinding utama hampir runtuh",""),IF(AF276="Ya","Genangan yang membahayakan",""),IF(AG276="Ya","Struktur rumah tidak stabil",""),IF(AH276="Ya","Instalasi listrik berbahaya",""),IF(AI276="Ya","Komponen bangunan lepas atau lapuk",""),IF(AJ276="Ya","Akses keluar atau evakuasi terbatas",""),IF(AK276="Ya","Lokasi rawan bencana",""),IF(AL276&lt;&gt;"","Lainnya: "&amp;AL276,"")))</x:f>
        <x:v>Tidak ada risiko khusus</x:v>
      </x:c>
      <x:c r="AO276" s="716" t="str">
        <x:f>IF(AR276="","Belum Dinilai",IF(AR276=10,"Risiko Tinggi/Darurat",IF(AR276=5,"Risiko Sedang","Tidak Ada Risiko Khusus")))</x:f>
        <x:v>Belum Dinilai</x:v>
      </x:c>
      <x:c r="AP276" s="716"/>
      <x:c r="AQ276" s="719" t="str">
        <x:f>IF(OR(J276="",J276="Belum Dapat Ditentukan",L276="",L276="Belum Dinilai",N276="",N276="Belum Dinilai",P276="",P276="Belum Dinilai"),"",IF(J276="Permanen",0,IF(J276="Semipermanen",8,IF(J276="Nonpermanen",15,0)))+IF(L276="Baik",0,IF(L276="Rusak Ringan",5,IF(L276="Rusak Sedang",10,IF(L276="Rusak Berat",15,IF(L276="Tidak Ada/Terbuka",20,0)))))+IF(N276="Baik",0,IF(N276="Rusak Ringan",5,IF(N276="Rusak Sedang",10,IF(N276="Rusak Berat",15,IF(N276="Tidak Ada/Terbuka",20,0)))))+IF(P276="Baik",0,IF(P276="Rusak Ringan",4,IF(P276="Rusak Sedang",8,IF(P276="Rusak Berat",12,IF(P276="Tidak Layak",15,0))))))</x:f>
      </x:c>
      <x:c r="AR276" s="719" t="n">
        <x:f>IF(COUNTIF(AC276:AH276,"Ya")&gt;0,10,IF(COUNTIF(AI276:AK276,"Ya")&gt;=2,10,IF(COUNTIF(AI276:AK276,"Ya")=1,MAX(5,IF(AM276="Risiko Tinggi/Darurat",10,IF(AM276="Risiko Sedang",5,0))),IF(AL276&lt;&gt;"",IF(AM276="Risiko Tinggi/Darurat",10,IF(AM276="Risiko Sedang",5,"")),IF(COUNTIF(AC276:AK276,"Belum Dinilai")&gt;0,"",0)))))</x:f>
        <x:v>0</x:v>
      </x:c>
      <x:c r="AS276" s="719" t="str">
        <x:f>IF(OR(AQ276="",AB276="",AR276=""),"",AQ276+AB276+AR276)</x:f>
      </x:c>
      <x:c r="AT276" s="719" t="str">
        <x:f>IF(AS276="","Belum Dapat Ditentukan",IF(AS276&gt;=80,"Sangat Tinggi",IF(OR(AO276="Risiko Tinggi/Darurat",(IF(L276="Rusak Berat",1,0)+IF(L276="Tidak Ada/Terbuka",1,0)+IF(N276="Rusak Berat",1,0)+IF(N276="Tidak Ada/Terbuka",1,0)+IF(P276="Rusak Berat",1,0)+IF(P276="Tidak Layak",1,0))&gt;=2),"Tinggi",IF(AS276&gt;=65,"Tinggi",IF(AS276&gt;=50,"Sedang","Rendah")))))</x:f>
        <x:v>Belum Dapat Ditentukan</x:v>
      </x:c>
      <x:c r="AU276" s="240"/>
      <x:c r="AV276" s="240"/>
      <x:c r="AW276" s="240"/>
      <x:c r="AX276" s="240"/>
      <x:c r="AY276" s="240"/>
      <x:c r="AZ276" s="240"/>
      <x:c r="BA276" s="240"/>
      <x:c r="BB276" s="240"/>
      <x:c r="BC276" s="240"/>
      <x:c r="BD276" s="240"/>
      <x:c r="BE276" s="240"/>
      <x:c r="BF276" s="240"/>
    </x:row>
    <x:row r="277" ht="32" customHeight="1">
      <x:c r="A277" s="314"/>
      <x:c r="B277" s="315"/>
      <x:c r="C277" s="316"/>
      <x:c r="D277" s="316"/>
      <x:c r="E277" s="315"/>
      <x:c r="F277" s="315"/>
      <x:c r="G277" s="315"/>
      <x:c r="H277" s="315"/>
      <x:c r="I277" s="317"/>
      <x:c r="J277" s="315"/>
      <x:c r="K277" s="315"/>
      <x:c r="L277" s="315"/>
      <x:c r="M277" s="367"/>
      <x:c r="N277" s="315"/>
      <x:c r="O277" s="316"/>
      <x:c r="P277" s="349"/>
      <x:c r="Q277" s="707"/>
      <x:c r="R277" s="707"/>
      <x:c r="S277" s="708"/>
      <x:c r="T277" s="709"/>
      <x:c r="U277" s="704"/>
      <x:c r="V277" s="704"/>
      <x:c r="W277" s="704"/>
      <x:c r="X277" s="704" t="str">
        <x:f>IF(COUNTIF(R277:V277,"Belum Dinilai")&gt;0,"Belum Dinilai",IF(COUNTIF(R277:V277,"Ya")=0,"Tidak ada faktor rentan",TEXTJOIN(", ",TRUE,IF(R277="Ya","Lansia",""),IF(S277="Ya","Penyandang disabilitas",""),IF(T277="Ya","Kepala keluarga perempuan",""),IF(U277="Ya","Balita",""),IF(V277="Ya","Anggota keluarga dengan ketergantungan tinggi",""))))</x:f>
        <x:v>Tidak ada faktor rentan</x:v>
      </x:c>
      <x:c r="Y277" s="704" t="str">
        <x:f>IF(COUNTIF(R277:V277,"Belum Dinilai")&gt;0,"Belum Dinilai",IF(COUNTIF(R277:V277,"Ya")=0,"Tidak Ada Faktor Rentan",IF(COUNTIF(R277:V277,"Ya")=1,"1 Faktor Rentan","2 atau Lebih Faktor Rentan")))</x:f>
        <x:v>Tidak Ada Faktor Rentan</x:v>
      </x:c>
      <x:c r="Z277" s="704" t="str">
        <x:f>IF(OR(Q277="",Q277="Belum Dinilai"),"",IF(Q277="Terverifikasi DTKS/P3KE/MBR",10,IF(Q277="Diusulkan, Belum Terverifikasi",5,0)))</x:f>
      </x:c>
      <x:c r="AA277" s="705" t="n">
        <x:f>IF(COUNTIF(R277:V277,"Belum Dinilai")&gt;0,"",IF(COUNTIF(R277:V277,"Ya")=0,0,IF(COUNTIF(R277:V277,"Ya")=1,5,10)))</x:f>
        <x:v>0</x:v>
      </x:c>
      <x:c r="AB277" s="706" t="str">
        <x:f>IF(OR(Z277="",AA277=""),"",Z277+AA277)</x:f>
      </x:c>
      <x:c r="AC277" s="713"/>
      <x:c r="AD277" s="713"/>
      <x:c r="AE277" s="714"/>
      <x:c r="AF277" s="713"/>
      <x:c r="AG277" s="713"/>
      <x:c r="AH277" s="715"/>
      <x:c r="AI277" s="714"/>
      <x:c r="AJ277" s="713"/>
      <x:c r="AK277" s="715"/>
      <x:c r="AL277" s="713"/>
      <x:c r="AM277" s="716"/>
      <x:c r="AN277" s="716" t="str">
        <x:f>IF(AND(COUNTIF(AC277:AK277,"Ya")=0,AL277=""),IF(COUNTIF(AC277:AK277,"Belum Dinilai")&gt;0,"Belum Dinilai","Tidak ada risiko khusus"),TEXTJOIN(", ",TRUE,IF(AC277="Ya","Bangunan berpotensi roboh",""),IF(AD277="Ya","Bekas kebakaran dan tidak aman dihuni",""),IF(AE277="Ya","Atap atau dinding utama hampir runtuh",""),IF(AF277="Ya","Genangan yang membahayakan",""),IF(AG277="Ya","Struktur rumah tidak stabil",""),IF(AH277="Ya","Instalasi listrik berbahaya",""),IF(AI277="Ya","Komponen bangunan lepas atau lapuk",""),IF(AJ277="Ya","Akses keluar atau evakuasi terbatas",""),IF(AK277="Ya","Lokasi rawan bencana",""),IF(AL277&lt;&gt;"","Lainnya: "&amp;AL277,"")))</x:f>
        <x:v>Tidak ada risiko khusus</x:v>
      </x:c>
      <x:c r="AO277" s="716" t="str">
        <x:f>IF(AR277="","Belum Dinilai",IF(AR277=10,"Risiko Tinggi/Darurat",IF(AR277=5,"Risiko Sedang","Tidak Ada Risiko Khusus")))</x:f>
        <x:v>Belum Dinilai</x:v>
      </x:c>
      <x:c r="AP277" s="716"/>
      <x:c r="AQ277" s="719" t="str">
        <x:f>IF(OR(J277="",J277="Belum Dapat Ditentukan",L277="",L277="Belum Dinilai",N277="",N277="Belum Dinilai",P277="",P277="Belum Dinilai"),"",IF(J277="Permanen",0,IF(J277="Semipermanen",8,IF(J277="Nonpermanen",15,0)))+IF(L277="Baik",0,IF(L277="Rusak Ringan",5,IF(L277="Rusak Sedang",10,IF(L277="Rusak Berat",15,IF(L277="Tidak Ada/Terbuka",20,0)))))+IF(N277="Baik",0,IF(N277="Rusak Ringan",5,IF(N277="Rusak Sedang",10,IF(N277="Rusak Berat",15,IF(N277="Tidak Ada/Terbuka",20,0)))))+IF(P277="Baik",0,IF(P277="Rusak Ringan",4,IF(P277="Rusak Sedang",8,IF(P277="Rusak Berat",12,IF(P277="Tidak Layak",15,0))))))</x:f>
      </x:c>
      <x:c r="AR277" s="719" t="n">
        <x:f>IF(COUNTIF(AC277:AH277,"Ya")&gt;0,10,IF(COUNTIF(AI277:AK277,"Ya")&gt;=2,10,IF(COUNTIF(AI277:AK277,"Ya")=1,MAX(5,IF(AM277="Risiko Tinggi/Darurat",10,IF(AM277="Risiko Sedang",5,0))),IF(AL277&lt;&gt;"",IF(AM277="Risiko Tinggi/Darurat",10,IF(AM277="Risiko Sedang",5,"")),IF(COUNTIF(AC277:AK277,"Belum Dinilai")&gt;0,"",0)))))</x:f>
        <x:v>0</x:v>
      </x:c>
      <x:c r="AS277" s="719" t="str">
        <x:f>IF(OR(AQ277="",AB277="",AR277=""),"",AQ277+AB277+AR277)</x:f>
      </x:c>
      <x:c r="AT277" s="719" t="str">
        <x:f>IF(AS277="","Belum Dapat Ditentukan",IF(AS277&gt;=80,"Sangat Tinggi",IF(OR(AO277="Risiko Tinggi/Darurat",(IF(L277="Rusak Berat",1,0)+IF(L277="Tidak Ada/Terbuka",1,0)+IF(N277="Rusak Berat",1,0)+IF(N277="Tidak Ada/Terbuka",1,0)+IF(P277="Rusak Berat",1,0)+IF(P277="Tidak Layak",1,0))&gt;=2),"Tinggi",IF(AS277&gt;=65,"Tinggi",IF(AS277&gt;=50,"Sedang","Rendah")))))</x:f>
        <x:v>Belum Dapat Ditentukan</x:v>
      </x:c>
      <x:c r="AU277" s="240"/>
      <x:c r="AV277" s="240"/>
      <x:c r="AW277" s="240"/>
      <x:c r="AX277" s="240"/>
      <x:c r="AY277" s="240"/>
      <x:c r="AZ277" s="240"/>
      <x:c r="BA277" s="240"/>
      <x:c r="BB277" s="240"/>
      <x:c r="BC277" s="240"/>
      <x:c r="BD277" s="240"/>
      <x:c r="BE277" s="240"/>
      <x:c r="BF277" s="240"/>
    </x:row>
    <x:row r="278" ht="32" customHeight="1">
      <x:c r="A278" s="314"/>
      <x:c r="B278" s="315"/>
      <x:c r="C278" s="316"/>
      <x:c r="D278" s="316"/>
      <x:c r="E278" s="315"/>
      <x:c r="F278" s="315"/>
      <x:c r="G278" s="315"/>
      <x:c r="H278" s="315"/>
      <x:c r="I278" s="317"/>
      <x:c r="J278" s="315"/>
      <x:c r="K278" s="315"/>
      <x:c r="L278" s="315"/>
      <x:c r="M278" s="367"/>
      <x:c r="N278" s="315"/>
      <x:c r="O278" s="316"/>
      <x:c r="P278" s="349"/>
      <x:c r="Q278" s="707"/>
      <x:c r="R278" s="707"/>
      <x:c r="S278" s="708"/>
      <x:c r="T278" s="709"/>
      <x:c r="U278" s="704"/>
      <x:c r="V278" s="704"/>
      <x:c r="W278" s="704"/>
      <x:c r="X278" s="704" t="str">
        <x:f>IF(COUNTIF(R278:V278,"Belum Dinilai")&gt;0,"Belum Dinilai",IF(COUNTIF(R278:V278,"Ya")=0,"Tidak ada faktor rentan",TEXTJOIN(", ",TRUE,IF(R278="Ya","Lansia",""),IF(S278="Ya","Penyandang disabilitas",""),IF(T278="Ya","Kepala keluarga perempuan",""),IF(U278="Ya","Balita",""),IF(V278="Ya","Anggota keluarga dengan ketergantungan tinggi",""))))</x:f>
        <x:v>Tidak ada faktor rentan</x:v>
      </x:c>
      <x:c r="Y278" s="704" t="str">
        <x:f>IF(COUNTIF(R278:V278,"Belum Dinilai")&gt;0,"Belum Dinilai",IF(COUNTIF(R278:V278,"Ya")=0,"Tidak Ada Faktor Rentan",IF(COUNTIF(R278:V278,"Ya")=1,"1 Faktor Rentan","2 atau Lebih Faktor Rentan")))</x:f>
        <x:v>Tidak Ada Faktor Rentan</x:v>
      </x:c>
      <x:c r="Z278" s="704" t="str">
        <x:f>IF(OR(Q278="",Q278="Belum Dinilai"),"",IF(Q278="Terverifikasi DTKS/P3KE/MBR",10,IF(Q278="Diusulkan, Belum Terverifikasi",5,0)))</x:f>
      </x:c>
      <x:c r="AA278" s="705" t="n">
        <x:f>IF(COUNTIF(R278:V278,"Belum Dinilai")&gt;0,"",IF(COUNTIF(R278:V278,"Ya")=0,0,IF(COUNTIF(R278:V278,"Ya")=1,5,10)))</x:f>
        <x:v>0</x:v>
      </x:c>
      <x:c r="AB278" s="706" t="str">
        <x:f>IF(OR(Z278="",AA278=""),"",Z278+AA278)</x:f>
      </x:c>
      <x:c r="AC278" s="713"/>
      <x:c r="AD278" s="713"/>
      <x:c r="AE278" s="714"/>
      <x:c r="AF278" s="713"/>
      <x:c r="AG278" s="713"/>
      <x:c r="AH278" s="715"/>
      <x:c r="AI278" s="714"/>
      <x:c r="AJ278" s="713"/>
      <x:c r="AK278" s="715"/>
      <x:c r="AL278" s="713"/>
      <x:c r="AM278" s="716"/>
      <x:c r="AN278" s="716" t="str">
        <x:f>IF(AND(COUNTIF(AC278:AK278,"Ya")=0,AL278=""),IF(COUNTIF(AC278:AK278,"Belum Dinilai")&gt;0,"Belum Dinilai","Tidak ada risiko khusus"),TEXTJOIN(", ",TRUE,IF(AC278="Ya","Bangunan berpotensi roboh",""),IF(AD278="Ya","Bekas kebakaran dan tidak aman dihuni",""),IF(AE278="Ya","Atap atau dinding utama hampir runtuh",""),IF(AF278="Ya","Genangan yang membahayakan",""),IF(AG278="Ya","Struktur rumah tidak stabil",""),IF(AH278="Ya","Instalasi listrik berbahaya",""),IF(AI278="Ya","Komponen bangunan lepas atau lapuk",""),IF(AJ278="Ya","Akses keluar atau evakuasi terbatas",""),IF(AK278="Ya","Lokasi rawan bencana",""),IF(AL278&lt;&gt;"","Lainnya: "&amp;AL278,"")))</x:f>
        <x:v>Tidak ada risiko khusus</x:v>
      </x:c>
      <x:c r="AO278" s="716" t="str">
        <x:f>IF(AR278="","Belum Dinilai",IF(AR278=10,"Risiko Tinggi/Darurat",IF(AR278=5,"Risiko Sedang","Tidak Ada Risiko Khusus")))</x:f>
        <x:v>Belum Dinilai</x:v>
      </x:c>
      <x:c r="AP278" s="716"/>
      <x:c r="AQ278" s="719" t="str">
        <x:f>IF(OR(J278="",J278="Belum Dapat Ditentukan",L278="",L278="Belum Dinilai",N278="",N278="Belum Dinilai",P278="",P278="Belum Dinilai"),"",IF(J278="Permanen",0,IF(J278="Semipermanen",8,IF(J278="Nonpermanen",15,0)))+IF(L278="Baik",0,IF(L278="Rusak Ringan",5,IF(L278="Rusak Sedang",10,IF(L278="Rusak Berat",15,IF(L278="Tidak Ada/Terbuka",20,0)))))+IF(N278="Baik",0,IF(N278="Rusak Ringan",5,IF(N278="Rusak Sedang",10,IF(N278="Rusak Berat",15,IF(N278="Tidak Ada/Terbuka",20,0)))))+IF(P278="Baik",0,IF(P278="Rusak Ringan",4,IF(P278="Rusak Sedang",8,IF(P278="Rusak Berat",12,IF(P278="Tidak Layak",15,0))))))</x:f>
      </x:c>
      <x:c r="AR278" s="719" t="n">
        <x:f>IF(COUNTIF(AC278:AH278,"Ya")&gt;0,10,IF(COUNTIF(AI278:AK278,"Ya")&gt;=2,10,IF(COUNTIF(AI278:AK278,"Ya")=1,MAX(5,IF(AM278="Risiko Tinggi/Darurat",10,IF(AM278="Risiko Sedang",5,0))),IF(AL278&lt;&gt;"",IF(AM278="Risiko Tinggi/Darurat",10,IF(AM278="Risiko Sedang",5,"")),IF(COUNTIF(AC278:AK278,"Belum Dinilai")&gt;0,"",0)))))</x:f>
        <x:v>0</x:v>
      </x:c>
      <x:c r="AS278" s="719" t="str">
        <x:f>IF(OR(AQ278="",AB278="",AR278=""),"",AQ278+AB278+AR278)</x:f>
      </x:c>
      <x:c r="AT278" s="719" t="str">
        <x:f>IF(AS278="","Belum Dapat Ditentukan",IF(AS278&gt;=80,"Sangat Tinggi",IF(OR(AO278="Risiko Tinggi/Darurat",(IF(L278="Rusak Berat",1,0)+IF(L278="Tidak Ada/Terbuka",1,0)+IF(N278="Rusak Berat",1,0)+IF(N278="Tidak Ada/Terbuka",1,0)+IF(P278="Rusak Berat",1,0)+IF(P278="Tidak Layak",1,0))&gt;=2),"Tinggi",IF(AS278&gt;=65,"Tinggi",IF(AS278&gt;=50,"Sedang","Rendah")))))</x:f>
        <x:v>Belum Dapat Ditentukan</x:v>
      </x:c>
      <x:c r="AU278" s="240"/>
      <x:c r="AV278" s="240"/>
      <x:c r="AW278" s="240"/>
      <x:c r="AX278" s="240"/>
      <x:c r="AY278" s="240"/>
      <x:c r="AZ278" s="240"/>
      <x:c r="BA278" s="240"/>
      <x:c r="BB278" s="240"/>
      <x:c r="BC278" s="240"/>
      <x:c r="BD278" s="240"/>
      <x:c r="BE278" s="240"/>
      <x:c r="BF278" s="240"/>
    </x:row>
    <x:row r="279" ht="32" customHeight="1">
      <x:c r="A279" s="314"/>
      <x:c r="B279" s="315"/>
      <x:c r="C279" s="316"/>
      <x:c r="D279" s="316"/>
      <x:c r="E279" s="315"/>
      <x:c r="F279" s="315"/>
      <x:c r="G279" s="315"/>
      <x:c r="H279" s="315"/>
      <x:c r="I279" s="317"/>
      <x:c r="J279" s="315"/>
      <x:c r="K279" s="315"/>
      <x:c r="L279" s="315"/>
      <x:c r="M279" s="367"/>
      <x:c r="N279" s="315"/>
      <x:c r="O279" s="316"/>
      <x:c r="P279" s="349"/>
      <x:c r="Q279" s="707"/>
      <x:c r="R279" s="707"/>
      <x:c r="S279" s="708"/>
      <x:c r="T279" s="709"/>
      <x:c r="U279" s="704"/>
      <x:c r="V279" s="704"/>
      <x:c r="W279" s="704"/>
      <x:c r="X279" s="704" t="str">
        <x:f>IF(COUNTIF(R279:V279,"Belum Dinilai")&gt;0,"Belum Dinilai",IF(COUNTIF(R279:V279,"Ya")=0,"Tidak ada faktor rentan",TEXTJOIN(", ",TRUE,IF(R279="Ya","Lansia",""),IF(S279="Ya","Penyandang disabilitas",""),IF(T279="Ya","Kepala keluarga perempuan",""),IF(U279="Ya","Balita",""),IF(V279="Ya","Anggota keluarga dengan ketergantungan tinggi",""))))</x:f>
        <x:v>Tidak ada faktor rentan</x:v>
      </x:c>
      <x:c r="Y279" s="704" t="str">
        <x:f>IF(COUNTIF(R279:V279,"Belum Dinilai")&gt;0,"Belum Dinilai",IF(COUNTIF(R279:V279,"Ya")=0,"Tidak Ada Faktor Rentan",IF(COUNTIF(R279:V279,"Ya")=1,"1 Faktor Rentan","2 atau Lebih Faktor Rentan")))</x:f>
        <x:v>Tidak Ada Faktor Rentan</x:v>
      </x:c>
      <x:c r="Z279" s="704" t="str">
        <x:f>IF(OR(Q279="",Q279="Belum Dinilai"),"",IF(Q279="Terverifikasi DTKS/P3KE/MBR",10,IF(Q279="Diusulkan, Belum Terverifikasi",5,0)))</x:f>
      </x:c>
      <x:c r="AA279" s="705" t="n">
        <x:f>IF(COUNTIF(R279:V279,"Belum Dinilai")&gt;0,"",IF(COUNTIF(R279:V279,"Ya")=0,0,IF(COUNTIF(R279:V279,"Ya")=1,5,10)))</x:f>
        <x:v>0</x:v>
      </x:c>
      <x:c r="AB279" s="706" t="str">
        <x:f>IF(OR(Z279="",AA279=""),"",Z279+AA279)</x:f>
      </x:c>
      <x:c r="AC279" s="713"/>
      <x:c r="AD279" s="713"/>
      <x:c r="AE279" s="714"/>
      <x:c r="AF279" s="713"/>
      <x:c r="AG279" s="713"/>
      <x:c r="AH279" s="715"/>
      <x:c r="AI279" s="714"/>
      <x:c r="AJ279" s="713"/>
      <x:c r="AK279" s="715"/>
      <x:c r="AL279" s="713"/>
      <x:c r="AM279" s="716"/>
      <x:c r="AN279" s="716" t="str">
        <x:f>IF(AND(COUNTIF(AC279:AK279,"Ya")=0,AL279=""),IF(COUNTIF(AC279:AK279,"Belum Dinilai")&gt;0,"Belum Dinilai","Tidak ada risiko khusus"),TEXTJOIN(", ",TRUE,IF(AC279="Ya","Bangunan berpotensi roboh",""),IF(AD279="Ya","Bekas kebakaran dan tidak aman dihuni",""),IF(AE279="Ya","Atap atau dinding utama hampir runtuh",""),IF(AF279="Ya","Genangan yang membahayakan",""),IF(AG279="Ya","Struktur rumah tidak stabil",""),IF(AH279="Ya","Instalasi listrik berbahaya",""),IF(AI279="Ya","Komponen bangunan lepas atau lapuk",""),IF(AJ279="Ya","Akses keluar atau evakuasi terbatas",""),IF(AK279="Ya","Lokasi rawan bencana",""),IF(AL279&lt;&gt;"","Lainnya: "&amp;AL279,"")))</x:f>
        <x:v>Tidak ada risiko khusus</x:v>
      </x:c>
      <x:c r="AO279" s="716" t="str">
        <x:f>IF(AR279="","Belum Dinilai",IF(AR279=10,"Risiko Tinggi/Darurat",IF(AR279=5,"Risiko Sedang","Tidak Ada Risiko Khusus")))</x:f>
        <x:v>Belum Dinilai</x:v>
      </x:c>
      <x:c r="AP279" s="716"/>
      <x:c r="AQ279" s="719" t="str">
        <x:f>IF(OR(J279="",J279="Belum Dapat Ditentukan",L279="",L279="Belum Dinilai",N279="",N279="Belum Dinilai",P279="",P279="Belum Dinilai"),"",IF(J279="Permanen",0,IF(J279="Semipermanen",8,IF(J279="Nonpermanen",15,0)))+IF(L279="Baik",0,IF(L279="Rusak Ringan",5,IF(L279="Rusak Sedang",10,IF(L279="Rusak Berat",15,IF(L279="Tidak Ada/Terbuka",20,0)))))+IF(N279="Baik",0,IF(N279="Rusak Ringan",5,IF(N279="Rusak Sedang",10,IF(N279="Rusak Berat",15,IF(N279="Tidak Ada/Terbuka",20,0)))))+IF(P279="Baik",0,IF(P279="Rusak Ringan",4,IF(P279="Rusak Sedang",8,IF(P279="Rusak Berat",12,IF(P279="Tidak Layak",15,0))))))</x:f>
      </x:c>
      <x:c r="AR279" s="719" t="n">
        <x:f>IF(COUNTIF(AC279:AH279,"Ya")&gt;0,10,IF(COUNTIF(AI279:AK279,"Ya")&gt;=2,10,IF(COUNTIF(AI279:AK279,"Ya")=1,MAX(5,IF(AM279="Risiko Tinggi/Darurat",10,IF(AM279="Risiko Sedang",5,0))),IF(AL279&lt;&gt;"",IF(AM279="Risiko Tinggi/Darurat",10,IF(AM279="Risiko Sedang",5,"")),IF(COUNTIF(AC279:AK279,"Belum Dinilai")&gt;0,"",0)))))</x:f>
        <x:v>0</x:v>
      </x:c>
      <x:c r="AS279" s="719" t="str">
        <x:f>IF(OR(AQ279="",AB279="",AR279=""),"",AQ279+AB279+AR279)</x:f>
      </x:c>
      <x:c r="AT279" s="719" t="str">
        <x:f>IF(AS279="","Belum Dapat Ditentukan",IF(AS279&gt;=80,"Sangat Tinggi",IF(OR(AO279="Risiko Tinggi/Darurat",(IF(L279="Rusak Berat",1,0)+IF(L279="Tidak Ada/Terbuka",1,0)+IF(N279="Rusak Berat",1,0)+IF(N279="Tidak Ada/Terbuka",1,0)+IF(P279="Rusak Berat",1,0)+IF(P279="Tidak Layak",1,0))&gt;=2),"Tinggi",IF(AS279&gt;=65,"Tinggi",IF(AS279&gt;=50,"Sedang","Rendah")))))</x:f>
        <x:v>Belum Dapat Ditentukan</x:v>
      </x:c>
      <x:c r="AU279" s="240"/>
      <x:c r="AV279" s="240"/>
      <x:c r="AW279" s="240"/>
      <x:c r="AX279" s="240"/>
      <x:c r="AY279" s="240"/>
      <x:c r="AZ279" s="240"/>
      <x:c r="BA279" s="240"/>
      <x:c r="BB279" s="240"/>
      <x:c r="BC279" s="240"/>
      <x:c r="BD279" s="240"/>
      <x:c r="BE279" s="240"/>
      <x:c r="BF279" s="240"/>
    </x:row>
    <x:row r="280" ht="32" customHeight="1">
      <x:c r="A280" s="314"/>
      <x:c r="B280" s="315"/>
      <x:c r="C280" s="316"/>
      <x:c r="D280" s="316"/>
      <x:c r="E280" s="315"/>
      <x:c r="F280" s="315"/>
      <x:c r="G280" s="315"/>
      <x:c r="H280" s="315"/>
      <x:c r="I280" s="317"/>
      <x:c r="J280" s="315"/>
      <x:c r="K280" s="315"/>
      <x:c r="L280" s="315"/>
      <x:c r="M280" s="367"/>
      <x:c r="N280" s="315"/>
      <x:c r="O280" s="316"/>
      <x:c r="P280" s="349"/>
      <x:c r="Q280" s="707"/>
      <x:c r="R280" s="707"/>
      <x:c r="S280" s="708"/>
      <x:c r="T280" s="709"/>
      <x:c r="U280" s="704"/>
      <x:c r="V280" s="704"/>
      <x:c r="W280" s="704"/>
      <x:c r="X280" s="704" t="str">
        <x:f>IF(COUNTIF(R280:V280,"Belum Dinilai")&gt;0,"Belum Dinilai",IF(COUNTIF(R280:V280,"Ya")=0,"Tidak ada faktor rentan",TEXTJOIN(", ",TRUE,IF(R280="Ya","Lansia",""),IF(S280="Ya","Penyandang disabilitas",""),IF(T280="Ya","Kepala keluarga perempuan",""),IF(U280="Ya","Balita",""),IF(V280="Ya","Anggota keluarga dengan ketergantungan tinggi",""))))</x:f>
        <x:v>Tidak ada faktor rentan</x:v>
      </x:c>
      <x:c r="Y280" s="704" t="str">
        <x:f>IF(COUNTIF(R280:V280,"Belum Dinilai")&gt;0,"Belum Dinilai",IF(COUNTIF(R280:V280,"Ya")=0,"Tidak Ada Faktor Rentan",IF(COUNTIF(R280:V280,"Ya")=1,"1 Faktor Rentan","2 atau Lebih Faktor Rentan")))</x:f>
        <x:v>Tidak Ada Faktor Rentan</x:v>
      </x:c>
      <x:c r="Z280" s="704" t="str">
        <x:f>IF(OR(Q280="",Q280="Belum Dinilai"),"",IF(Q280="Terverifikasi DTKS/P3KE/MBR",10,IF(Q280="Diusulkan, Belum Terverifikasi",5,0)))</x:f>
      </x:c>
      <x:c r="AA280" s="705" t="n">
        <x:f>IF(COUNTIF(R280:V280,"Belum Dinilai")&gt;0,"",IF(COUNTIF(R280:V280,"Ya")=0,0,IF(COUNTIF(R280:V280,"Ya")=1,5,10)))</x:f>
        <x:v>0</x:v>
      </x:c>
      <x:c r="AB280" s="706" t="str">
        <x:f>IF(OR(Z280="",AA280=""),"",Z280+AA280)</x:f>
      </x:c>
      <x:c r="AC280" s="713"/>
      <x:c r="AD280" s="713"/>
      <x:c r="AE280" s="714"/>
      <x:c r="AF280" s="713"/>
      <x:c r="AG280" s="713"/>
      <x:c r="AH280" s="715"/>
      <x:c r="AI280" s="714"/>
      <x:c r="AJ280" s="713"/>
      <x:c r="AK280" s="715"/>
      <x:c r="AL280" s="713"/>
      <x:c r="AM280" s="716"/>
      <x:c r="AN280" s="716" t="str">
        <x:f>IF(AND(COUNTIF(AC280:AK280,"Ya")=0,AL280=""),IF(COUNTIF(AC280:AK280,"Belum Dinilai")&gt;0,"Belum Dinilai","Tidak ada risiko khusus"),TEXTJOIN(", ",TRUE,IF(AC280="Ya","Bangunan berpotensi roboh",""),IF(AD280="Ya","Bekas kebakaran dan tidak aman dihuni",""),IF(AE280="Ya","Atap atau dinding utama hampir runtuh",""),IF(AF280="Ya","Genangan yang membahayakan",""),IF(AG280="Ya","Struktur rumah tidak stabil",""),IF(AH280="Ya","Instalasi listrik berbahaya",""),IF(AI280="Ya","Komponen bangunan lepas atau lapuk",""),IF(AJ280="Ya","Akses keluar atau evakuasi terbatas",""),IF(AK280="Ya","Lokasi rawan bencana",""),IF(AL280&lt;&gt;"","Lainnya: "&amp;AL280,"")))</x:f>
        <x:v>Tidak ada risiko khusus</x:v>
      </x:c>
      <x:c r="AO280" s="716" t="str">
        <x:f>IF(AR280="","Belum Dinilai",IF(AR280=10,"Risiko Tinggi/Darurat",IF(AR280=5,"Risiko Sedang","Tidak Ada Risiko Khusus")))</x:f>
        <x:v>Belum Dinilai</x:v>
      </x:c>
      <x:c r="AP280" s="716"/>
      <x:c r="AQ280" s="719" t="str">
        <x:f>IF(OR(J280="",J280="Belum Dapat Ditentukan",L280="",L280="Belum Dinilai",N280="",N280="Belum Dinilai",P280="",P280="Belum Dinilai"),"",IF(J280="Permanen",0,IF(J280="Semipermanen",8,IF(J280="Nonpermanen",15,0)))+IF(L280="Baik",0,IF(L280="Rusak Ringan",5,IF(L280="Rusak Sedang",10,IF(L280="Rusak Berat",15,IF(L280="Tidak Ada/Terbuka",20,0)))))+IF(N280="Baik",0,IF(N280="Rusak Ringan",5,IF(N280="Rusak Sedang",10,IF(N280="Rusak Berat",15,IF(N280="Tidak Ada/Terbuka",20,0)))))+IF(P280="Baik",0,IF(P280="Rusak Ringan",4,IF(P280="Rusak Sedang",8,IF(P280="Rusak Berat",12,IF(P280="Tidak Layak",15,0))))))</x:f>
      </x:c>
      <x:c r="AR280" s="719" t="n">
        <x:f>IF(COUNTIF(AC280:AH280,"Ya")&gt;0,10,IF(COUNTIF(AI280:AK280,"Ya")&gt;=2,10,IF(COUNTIF(AI280:AK280,"Ya")=1,MAX(5,IF(AM280="Risiko Tinggi/Darurat",10,IF(AM280="Risiko Sedang",5,0))),IF(AL280&lt;&gt;"",IF(AM280="Risiko Tinggi/Darurat",10,IF(AM280="Risiko Sedang",5,"")),IF(COUNTIF(AC280:AK280,"Belum Dinilai")&gt;0,"",0)))))</x:f>
        <x:v>0</x:v>
      </x:c>
      <x:c r="AS280" s="719" t="str">
        <x:f>IF(OR(AQ280="",AB280="",AR280=""),"",AQ280+AB280+AR280)</x:f>
      </x:c>
      <x:c r="AT280" s="719" t="str">
        <x:f>IF(AS280="","Belum Dapat Ditentukan",IF(AS280&gt;=80,"Sangat Tinggi",IF(OR(AO280="Risiko Tinggi/Darurat",(IF(L280="Rusak Berat",1,0)+IF(L280="Tidak Ada/Terbuka",1,0)+IF(N280="Rusak Berat",1,0)+IF(N280="Tidak Ada/Terbuka",1,0)+IF(P280="Rusak Berat",1,0)+IF(P280="Tidak Layak",1,0))&gt;=2),"Tinggi",IF(AS280&gt;=65,"Tinggi",IF(AS280&gt;=50,"Sedang","Rendah")))))</x:f>
        <x:v>Belum Dapat Ditentukan</x:v>
      </x:c>
      <x:c r="AU280" s="240"/>
      <x:c r="AV280" s="240"/>
      <x:c r="AW280" s="240"/>
      <x:c r="AX280" s="240"/>
      <x:c r="AY280" s="240"/>
      <x:c r="AZ280" s="240"/>
      <x:c r="BA280" s="240"/>
      <x:c r="BB280" s="240"/>
      <x:c r="BC280" s="240"/>
      <x:c r="BD280" s="240"/>
      <x:c r="BE280" s="240"/>
      <x:c r="BF280" s="240"/>
    </x:row>
    <x:row r="281" ht="32" customHeight="1">
      <x:c r="A281" s="314"/>
      <x:c r="B281" s="315"/>
      <x:c r="C281" s="316"/>
      <x:c r="D281" s="316"/>
      <x:c r="E281" s="315"/>
      <x:c r="F281" s="315"/>
      <x:c r="G281" s="315"/>
      <x:c r="H281" s="315"/>
      <x:c r="I281" s="317"/>
      <x:c r="J281" s="315"/>
      <x:c r="K281" s="315"/>
      <x:c r="L281" s="315"/>
      <x:c r="M281" s="367"/>
      <x:c r="N281" s="315"/>
      <x:c r="O281" s="316"/>
      <x:c r="P281" s="349"/>
      <x:c r="Q281" s="707"/>
      <x:c r="R281" s="707"/>
      <x:c r="S281" s="708"/>
      <x:c r="T281" s="709"/>
      <x:c r="U281" s="704"/>
      <x:c r="V281" s="704"/>
      <x:c r="W281" s="704"/>
      <x:c r="X281" s="704" t="str">
        <x:f>IF(COUNTIF(R281:V281,"Belum Dinilai")&gt;0,"Belum Dinilai",IF(COUNTIF(R281:V281,"Ya")=0,"Tidak ada faktor rentan",TEXTJOIN(", ",TRUE,IF(R281="Ya","Lansia",""),IF(S281="Ya","Penyandang disabilitas",""),IF(T281="Ya","Kepala keluarga perempuan",""),IF(U281="Ya","Balita",""),IF(V281="Ya","Anggota keluarga dengan ketergantungan tinggi",""))))</x:f>
        <x:v>Tidak ada faktor rentan</x:v>
      </x:c>
      <x:c r="Y281" s="704" t="str">
        <x:f>IF(COUNTIF(R281:V281,"Belum Dinilai")&gt;0,"Belum Dinilai",IF(COUNTIF(R281:V281,"Ya")=0,"Tidak Ada Faktor Rentan",IF(COUNTIF(R281:V281,"Ya")=1,"1 Faktor Rentan","2 atau Lebih Faktor Rentan")))</x:f>
        <x:v>Tidak Ada Faktor Rentan</x:v>
      </x:c>
      <x:c r="Z281" s="704" t="str">
        <x:f>IF(OR(Q281="",Q281="Belum Dinilai"),"",IF(Q281="Terverifikasi DTKS/P3KE/MBR",10,IF(Q281="Diusulkan, Belum Terverifikasi",5,0)))</x:f>
      </x:c>
      <x:c r="AA281" s="705" t="n">
        <x:f>IF(COUNTIF(R281:V281,"Belum Dinilai")&gt;0,"",IF(COUNTIF(R281:V281,"Ya")=0,0,IF(COUNTIF(R281:V281,"Ya")=1,5,10)))</x:f>
        <x:v>0</x:v>
      </x:c>
      <x:c r="AB281" s="706" t="str">
        <x:f>IF(OR(Z281="",AA281=""),"",Z281+AA281)</x:f>
      </x:c>
      <x:c r="AC281" s="713"/>
      <x:c r="AD281" s="713"/>
      <x:c r="AE281" s="714"/>
      <x:c r="AF281" s="713"/>
      <x:c r="AG281" s="713"/>
      <x:c r="AH281" s="715"/>
      <x:c r="AI281" s="714"/>
      <x:c r="AJ281" s="713"/>
      <x:c r="AK281" s="715"/>
      <x:c r="AL281" s="713"/>
      <x:c r="AM281" s="716"/>
      <x:c r="AN281" s="716" t="str">
        <x:f>IF(AND(COUNTIF(AC281:AK281,"Ya")=0,AL281=""),IF(COUNTIF(AC281:AK281,"Belum Dinilai")&gt;0,"Belum Dinilai","Tidak ada risiko khusus"),TEXTJOIN(", ",TRUE,IF(AC281="Ya","Bangunan berpotensi roboh",""),IF(AD281="Ya","Bekas kebakaran dan tidak aman dihuni",""),IF(AE281="Ya","Atap atau dinding utama hampir runtuh",""),IF(AF281="Ya","Genangan yang membahayakan",""),IF(AG281="Ya","Struktur rumah tidak stabil",""),IF(AH281="Ya","Instalasi listrik berbahaya",""),IF(AI281="Ya","Komponen bangunan lepas atau lapuk",""),IF(AJ281="Ya","Akses keluar atau evakuasi terbatas",""),IF(AK281="Ya","Lokasi rawan bencana",""),IF(AL281&lt;&gt;"","Lainnya: "&amp;AL281,"")))</x:f>
        <x:v>Tidak ada risiko khusus</x:v>
      </x:c>
      <x:c r="AO281" s="716" t="str">
        <x:f>IF(AR281="","Belum Dinilai",IF(AR281=10,"Risiko Tinggi/Darurat",IF(AR281=5,"Risiko Sedang","Tidak Ada Risiko Khusus")))</x:f>
        <x:v>Belum Dinilai</x:v>
      </x:c>
      <x:c r="AP281" s="716"/>
      <x:c r="AQ281" s="719" t="str">
        <x:f>IF(OR(J281="",J281="Belum Dapat Ditentukan",L281="",L281="Belum Dinilai",N281="",N281="Belum Dinilai",P281="",P281="Belum Dinilai"),"",IF(J281="Permanen",0,IF(J281="Semipermanen",8,IF(J281="Nonpermanen",15,0)))+IF(L281="Baik",0,IF(L281="Rusak Ringan",5,IF(L281="Rusak Sedang",10,IF(L281="Rusak Berat",15,IF(L281="Tidak Ada/Terbuka",20,0)))))+IF(N281="Baik",0,IF(N281="Rusak Ringan",5,IF(N281="Rusak Sedang",10,IF(N281="Rusak Berat",15,IF(N281="Tidak Ada/Terbuka",20,0)))))+IF(P281="Baik",0,IF(P281="Rusak Ringan",4,IF(P281="Rusak Sedang",8,IF(P281="Rusak Berat",12,IF(P281="Tidak Layak",15,0))))))</x:f>
      </x:c>
      <x:c r="AR281" s="719" t="n">
        <x:f>IF(COUNTIF(AC281:AH281,"Ya")&gt;0,10,IF(COUNTIF(AI281:AK281,"Ya")&gt;=2,10,IF(COUNTIF(AI281:AK281,"Ya")=1,MAX(5,IF(AM281="Risiko Tinggi/Darurat",10,IF(AM281="Risiko Sedang",5,0))),IF(AL281&lt;&gt;"",IF(AM281="Risiko Tinggi/Darurat",10,IF(AM281="Risiko Sedang",5,"")),IF(COUNTIF(AC281:AK281,"Belum Dinilai")&gt;0,"",0)))))</x:f>
        <x:v>0</x:v>
      </x:c>
      <x:c r="AS281" s="719" t="str">
        <x:f>IF(OR(AQ281="",AB281="",AR281=""),"",AQ281+AB281+AR281)</x:f>
      </x:c>
      <x:c r="AT281" s="719" t="str">
        <x:f>IF(AS281="","Belum Dapat Ditentukan",IF(AS281&gt;=80,"Sangat Tinggi",IF(OR(AO281="Risiko Tinggi/Darurat",(IF(L281="Rusak Berat",1,0)+IF(L281="Tidak Ada/Terbuka",1,0)+IF(N281="Rusak Berat",1,0)+IF(N281="Tidak Ada/Terbuka",1,0)+IF(P281="Rusak Berat",1,0)+IF(P281="Tidak Layak",1,0))&gt;=2),"Tinggi",IF(AS281&gt;=65,"Tinggi",IF(AS281&gt;=50,"Sedang","Rendah")))))</x:f>
        <x:v>Belum Dapat Ditentukan</x:v>
      </x:c>
      <x:c r="AU281" s="240"/>
      <x:c r="AV281" s="240"/>
      <x:c r="AW281" s="240"/>
      <x:c r="AX281" s="240"/>
      <x:c r="AY281" s="240"/>
      <x:c r="AZ281" s="240"/>
      <x:c r="BA281" s="240"/>
      <x:c r="BB281" s="240"/>
      <x:c r="BC281" s="240"/>
      <x:c r="BD281" s="240"/>
      <x:c r="BE281" s="240"/>
      <x:c r="BF281" s="240"/>
    </x:row>
    <x:row r="282" ht="32" customHeight="1">
      <x:c r="A282" s="314"/>
      <x:c r="B282" s="315"/>
      <x:c r="C282" s="316"/>
      <x:c r="D282" s="316"/>
      <x:c r="E282" s="315"/>
      <x:c r="F282" s="315"/>
      <x:c r="G282" s="315"/>
      <x:c r="H282" s="315"/>
      <x:c r="I282" s="317"/>
      <x:c r="J282" s="315"/>
      <x:c r="K282" s="315"/>
      <x:c r="L282" s="315"/>
      <x:c r="M282" s="367"/>
      <x:c r="N282" s="315"/>
      <x:c r="O282" s="316"/>
      <x:c r="P282" s="349"/>
      <x:c r="Q282" s="707"/>
      <x:c r="R282" s="707"/>
      <x:c r="S282" s="708"/>
      <x:c r="T282" s="709"/>
      <x:c r="U282" s="704"/>
      <x:c r="V282" s="704"/>
      <x:c r="W282" s="704"/>
      <x:c r="X282" s="704" t="str">
        <x:f>IF(COUNTIF(R282:V282,"Belum Dinilai")&gt;0,"Belum Dinilai",IF(COUNTIF(R282:V282,"Ya")=0,"Tidak ada faktor rentan",TEXTJOIN(", ",TRUE,IF(R282="Ya","Lansia",""),IF(S282="Ya","Penyandang disabilitas",""),IF(T282="Ya","Kepala keluarga perempuan",""),IF(U282="Ya","Balita",""),IF(V282="Ya","Anggota keluarga dengan ketergantungan tinggi",""))))</x:f>
        <x:v>Tidak ada faktor rentan</x:v>
      </x:c>
      <x:c r="Y282" s="704" t="str">
        <x:f>IF(COUNTIF(R282:V282,"Belum Dinilai")&gt;0,"Belum Dinilai",IF(COUNTIF(R282:V282,"Ya")=0,"Tidak Ada Faktor Rentan",IF(COUNTIF(R282:V282,"Ya")=1,"1 Faktor Rentan","2 atau Lebih Faktor Rentan")))</x:f>
        <x:v>Tidak Ada Faktor Rentan</x:v>
      </x:c>
      <x:c r="Z282" s="704" t="str">
        <x:f>IF(OR(Q282="",Q282="Belum Dinilai"),"",IF(Q282="Terverifikasi DTKS/P3KE/MBR",10,IF(Q282="Diusulkan, Belum Terverifikasi",5,0)))</x:f>
      </x:c>
      <x:c r="AA282" s="705" t="n">
        <x:f>IF(COUNTIF(R282:V282,"Belum Dinilai")&gt;0,"",IF(COUNTIF(R282:V282,"Ya")=0,0,IF(COUNTIF(R282:V282,"Ya")=1,5,10)))</x:f>
        <x:v>0</x:v>
      </x:c>
      <x:c r="AB282" s="706" t="str">
        <x:f>IF(OR(Z282="",AA282=""),"",Z282+AA282)</x:f>
      </x:c>
      <x:c r="AC282" s="713"/>
      <x:c r="AD282" s="713"/>
      <x:c r="AE282" s="714"/>
      <x:c r="AF282" s="713"/>
      <x:c r="AG282" s="713"/>
      <x:c r="AH282" s="715"/>
      <x:c r="AI282" s="714"/>
      <x:c r="AJ282" s="713"/>
      <x:c r="AK282" s="715"/>
      <x:c r="AL282" s="713"/>
      <x:c r="AM282" s="716"/>
      <x:c r="AN282" s="716" t="str">
        <x:f>IF(AND(COUNTIF(AC282:AK282,"Ya")=0,AL282=""),IF(COUNTIF(AC282:AK282,"Belum Dinilai")&gt;0,"Belum Dinilai","Tidak ada risiko khusus"),TEXTJOIN(", ",TRUE,IF(AC282="Ya","Bangunan berpotensi roboh",""),IF(AD282="Ya","Bekas kebakaran dan tidak aman dihuni",""),IF(AE282="Ya","Atap atau dinding utama hampir runtuh",""),IF(AF282="Ya","Genangan yang membahayakan",""),IF(AG282="Ya","Struktur rumah tidak stabil",""),IF(AH282="Ya","Instalasi listrik berbahaya",""),IF(AI282="Ya","Komponen bangunan lepas atau lapuk",""),IF(AJ282="Ya","Akses keluar atau evakuasi terbatas",""),IF(AK282="Ya","Lokasi rawan bencana",""),IF(AL282&lt;&gt;"","Lainnya: "&amp;AL282,"")))</x:f>
        <x:v>Tidak ada risiko khusus</x:v>
      </x:c>
      <x:c r="AO282" s="716" t="str">
        <x:f>IF(AR282="","Belum Dinilai",IF(AR282=10,"Risiko Tinggi/Darurat",IF(AR282=5,"Risiko Sedang","Tidak Ada Risiko Khusus")))</x:f>
        <x:v>Belum Dinilai</x:v>
      </x:c>
      <x:c r="AP282" s="716"/>
      <x:c r="AQ282" s="719" t="str">
        <x:f>IF(OR(J282="",J282="Belum Dapat Ditentukan",L282="",L282="Belum Dinilai",N282="",N282="Belum Dinilai",P282="",P282="Belum Dinilai"),"",IF(J282="Permanen",0,IF(J282="Semipermanen",8,IF(J282="Nonpermanen",15,0)))+IF(L282="Baik",0,IF(L282="Rusak Ringan",5,IF(L282="Rusak Sedang",10,IF(L282="Rusak Berat",15,IF(L282="Tidak Ada/Terbuka",20,0)))))+IF(N282="Baik",0,IF(N282="Rusak Ringan",5,IF(N282="Rusak Sedang",10,IF(N282="Rusak Berat",15,IF(N282="Tidak Ada/Terbuka",20,0)))))+IF(P282="Baik",0,IF(P282="Rusak Ringan",4,IF(P282="Rusak Sedang",8,IF(P282="Rusak Berat",12,IF(P282="Tidak Layak",15,0))))))</x:f>
      </x:c>
      <x:c r="AR282" s="719" t="n">
        <x:f>IF(COUNTIF(AC282:AH282,"Ya")&gt;0,10,IF(COUNTIF(AI282:AK282,"Ya")&gt;=2,10,IF(COUNTIF(AI282:AK282,"Ya")=1,MAX(5,IF(AM282="Risiko Tinggi/Darurat",10,IF(AM282="Risiko Sedang",5,0))),IF(AL282&lt;&gt;"",IF(AM282="Risiko Tinggi/Darurat",10,IF(AM282="Risiko Sedang",5,"")),IF(COUNTIF(AC282:AK282,"Belum Dinilai")&gt;0,"",0)))))</x:f>
        <x:v>0</x:v>
      </x:c>
      <x:c r="AS282" s="719" t="str">
        <x:f>IF(OR(AQ282="",AB282="",AR282=""),"",AQ282+AB282+AR282)</x:f>
      </x:c>
      <x:c r="AT282" s="719" t="str">
        <x:f>IF(AS282="","Belum Dapat Ditentukan",IF(AS282&gt;=80,"Sangat Tinggi",IF(OR(AO282="Risiko Tinggi/Darurat",(IF(L282="Rusak Berat",1,0)+IF(L282="Tidak Ada/Terbuka",1,0)+IF(N282="Rusak Berat",1,0)+IF(N282="Tidak Ada/Terbuka",1,0)+IF(P282="Rusak Berat",1,0)+IF(P282="Tidak Layak",1,0))&gt;=2),"Tinggi",IF(AS282&gt;=65,"Tinggi",IF(AS282&gt;=50,"Sedang","Rendah")))))</x:f>
        <x:v>Belum Dapat Ditentukan</x:v>
      </x:c>
      <x:c r="AU282" s="240"/>
      <x:c r="AV282" s="240"/>
      <x:c r="AW282" s="240"/>
      <x:c r="AX282" s="240"/>
      <x:c r="AY282" s="240"/>
      <x:c r="AZ282" s="240"/>
      <x:c r="BA282" s="240"/>
      <x:c r="BB282" s="240"/>
      <x:c r="BC282" s="240"/>
      <x:c r="BD282" s="240"/>
      <x:c r="BE282" s="240"/>
      <x:c r="BF282" s="240"/>
    </x:row>
    <x:row r="283" ht="32" customHeight="1">
      <x:c r="A283" s="314"/>
      <x:c r="B283" s="315"/>
      <x:c r="C283" s="316"/>
      <x:c r="D283" s="316"/>
      <x:c r="E283" s="315"/>
      <x:c r="F283" s="315"/>
      <x:c r="G283" s="315"/>
      <x:c r="H283" s="315"/>
      <x:c r="I283" s="317"/>
      <x:c r="J283" s="315"/>
      <x:c r="K283" s="315"/>
      <x:c r="L283" s="315"/>
      <x:c r="M283" s="367"/>
      <x:c r="N283" s="315"/>
      <x:c r="O283" s="316"/>
      <x:c r="P283" s="349"/>
      <x:c r="Q283" s="707"/>
      <x:c r="R283" s="707"/>
      <x:c r="S283" s="708"/>
      <x:c r="T283" s="709"/>
      <x:c r="U283" s="704"/>
      <x:c r="V283" s="704"/>
      <x:c r="W283" s="704"/>
      <x:c r="X283" s="704" t="str">
        <x:f>IF(COUNTIF(R283:V283,"Belum Dinilai")&gt;0,"Belum Dinilai",IF(COUNTIF(R283:V283,"Ya")=0,"Tidak ada faktor rentan",TEXTJOIN(", ",TRUE,IF(R283="Ya","Lansia",""),IF(S283="Ya","Penyandang disabilitas",""),IF(T283="Ya","Kepala keluarga perempuan",""),IF(U283="Ya","Balita",""),IF(V283="Ya","Anggota keluarga dengan ketergantungan tinggi",""))))</x:f>
        <x:v>Tidak ada faktor rentan</x:v>
      </x:c>
      <x:c r="Y283" s="704" t="str">
        <x:f>IF(COUNTIF(R283:V283,"Belum Dinilai")&gt;0,"Belum Dinilai",IF(COUNTIF(R283:V283,"Ya")=0,"Tidak Ada Faktor Rentan",IF(COUNTIF(R283:V283,"Ya")=1,"1 Faktor Rentan","2 atau Lebih Faktor Rentan")))</x:f>
        <x:v>Tidak Ada Faktor Rentan</x:v>
      </x:c>
      <x:c r="Z283" s="704" t="str">
        <x:f>IF(OR(Q283="",Q283="Belum Dinilai"),"",IF(Q283="Terverifikasi DTKS/P3KE/MBR",10,IF(Q283="Diusulkan, Belum Terverifikasi",5,0)))</x:f>
      </x:c>
      <x:c r="AA283" s="705" t="n">
        <x:f>IF(COUNTIF(R283:V283,"Belum Dinilai")&gt;0,"",IF(COUNTIF(R283:V283,"Ya")=0,0,IF(COUNTIF(R283:V283,"Ya")=1,5,10)))</x:f>
        <x:v>0</x:v>
      </x:c>
      <x:c r="AB283" s="706" t="str">
        <x:f>IF(OR(Z283="",AA283=""),"",Z283+AA283)</x:f>
      </x:c>
      <x:c r="AC283" s="713"/>
      <x:c r="AD283" s="713"/>
      <x:c r="AE283" s="714"/>
      <x:c r="AF283" s="713"/>
      <x:c r="AG283" s="713"/>
      <x:c r="AH283" s="715"/>
      <x:c r="AI283" s="714"/>
      <x:c r="AJ283" s="713"/>
      <x:c r="AK283" s="715"/>
      <x:c r="AL283" s="713"/>
      <x:c r="AM283" s="716"/>
      <x:c r="AN283" s="716" t="str">
        <x:f>IF(AND(COUNTIF(AC283:AK283,"Ya")=0,AL283=""),IF(COUNTIF(AC283:AK283,"Belum Dinilai")&gt;0,"Belum Dinilai","Tidak ada risiko khusus"),TEXTJOIN(", ",TRUE,IF(AC283="Ya","Bangunan berpotensi roboh",""),IF(AD283="Ya","Bekas kebakaran dan tidak aman dihuni",""),IF(AE283="Ya","Atap atau dinding utama hampir runtuh",""),IF(AF283="Ya","Genangan yang membahayakan",""),IF(AG283="Ya","Struktur rumah tidak stabil",""),IF(AH283="Ya","Instalasi listrik berbahaya",""),IF(AI283="Ya","Komponen bangunan lepas atau lapuk",""),IF(AJ283="Ya","Akses keluar atau evakuasi terbatas",""),IF(AK283="Ya","Lokasi rawan bencana",""),IF(AL283&lt;&gt;"","Lainnya: "&amp;AL283,"")))</x:f>
        <x:v>Tidak ada risiko khusus</x:v>
      </x:c>
      <x:c r="AO283" s="716" t="str">
        <x:f>IF(AR283="","Belum Dinilai",IF(AR283=10,"Risiko Tinggi/Darurat",IF(AR283=5,"Risiko Sedang","Tidak Ada Risiko Khusus")))</x:f>
        <x:v>Belum Dinilai</x:v>
      </x:c>
      <x:c r="AP283" s="716"/>
      <x:c r="AQ283" s="719" t="str">
        <x:f>IF(OR(J283="",J283="Belum Dapat Ditentukan",L283="",L283="Belum Dinilai",N283="",N283="Belum Dinilai",P283="",P283="Belum Dinilai"),"",IF(J283="Permanen",0,IF(J283="Semipermanen",8,IF(J283="Nonpermanen",15,0)))+IF(L283="Baik",0,IF(L283="Rusak Ringan",5,IF(L283="Rusak Sedang",10,IF(L283="Rusak Berat",15,IF(L283="Tidak Ada/Terbuka",20,0)))))+IF(N283="Baik",0,IF(N283="Rusak Ringan",5,IF(N283="Rusak Sedang",10,IF(N283="Rusak Berat",15,IF(N283="Tidak Ada/Terbuka",20,0)))))+IF(P283="Baik",0,IF(P283="Rusak Ringan",4,IF(P283="Rusak Sedang",8,IF(P283="Rusak Berat",12,IF(P283="Tidak Layak",15,0))))))</x:f>
      </x:c>
      <x:c r="AR283" s="719" t="n">
        <x:f>IF(COUNTIF(AC283:AH283,"Ya")&gt;0,10,IF(COUNTIF(AI283:AK283,"Ya")&gt;=2,10,IF(COUNTIF(AI283:AK283,"Ya")=1,MAX(5,IF(AM283="Risiko Tinggi/Darurat",10,IF(AM283="Risiko Sedang",5,0))),IF(AL283&lt;&gt;"",IF(AM283="Risiko Tinggi/Darurat",10,IF(AM283="Risiko Sedang",5,"")),IF(COUNTIF(AC283:AK283,"Belum Dinilai")&gt;0,"",0)))))</x:f>
        <x:v>0</x:v>
      </x:c>
      <x:c r="AS283" s="719" t="str">
        <x:f>IF(OR(AQ283="",AB283="",AR283=""),"",AQ283+AB283+AR283)</x:f>
      </x:c>
      <x:c r="AT283" s="719" t="str">
        <x:f>IF(AS283="","Belum Dapat Ditentukan",IF(AS283&gt;=80,"Sangat Tinggi",IF(OR(AO283="Risiko Tinggi/Darurat",(IF(L283="Rusak Berat",1,0)+IF(L283="Tidak Ada/Terbuka",1,0)+IF(N283="Rusak Berat",1,0)+IF(N283="Tidak Ada/Terbuka",1,0)+IF(P283="Rusak Berat",1,0)+IF(P283="Tidak Layak",1,0))&gt;=2),"Tinggi",IF(AS283&gt;=65,"Tinggi",IF(AS283&gt;=50,"Sedang","Rendah")))))</x:f>
        <x:v>Belum Dapat Ditentukan</x:v>
      </x:c>
      <x:c r="AU283" s="240"/>
      <x:c r="AV283" s="240"/>
      <x:c r="AW283" s="240"/>
      <x:c r="AX283" s="240"/>
      <x:c r="AY283" s="240"/>
      <x:c r="AZ283" s="240"/>
      <x:c r="BA283" s="240"/>
      <x:c r="BB283" s="240"/>
      <x:c r="BC283" s="240"/>
      <x:c r="BD283" s="240"/>
      <x:c r="BE283" s="240"/>
      <x:c r="BF283" s="240"/>
    </x:row>
    <x:row r="284" ht="32" customHeight="1">
      <x:c r="A284" s="314"/>
      <x:c r="B284" s="315"/>
      <x:c r="C284" s="316"/>
      <x:c r="D284" s="316"/>
      <x:c r="E284" s="315"/>
      <x:c r="F284" s="315"/>
      <x:c r="G284" s="315"/>
      <x:c r="H284" s="315"/>
      <x:c r="I284" s="317"/>
      <x:c r="J284" s="315"/>
      <x:c r="K284" s="315"/>
      <x:c r="L284" s="315"/>
      <x:c r="M284" s="367"/>
      <x:c r="N284" s="315"/>
      <x:c r="O284" s="316"/>
      <x:c r="P284" s="349"/>
      <x:c r="Q284" s="707"/>
      <x:c r="R284" s="707"/>
      <x:c r="S284" s="708"/>
      <x:c r="T284" s="709"/>
      <x:c r="U284" s="704"/>
      <x:c r="V284" s="704"/>
      <x:c r="W284" s="704"/>
      <x:c r="X284" s="704" t="str">
        <x:f>IF(COUNTIF(R284:V284,"Belum Dinilai")&gt;0,"Belum Dinilai",IF(COUNTIF(R284:V284,"Ya")=0,"Tidak ada faktor rentan",TEXTJOIN(", ",TRUE,IF(R284="Ya","Lansia",""),IF(S284="Ya","Penyandang disabilitas",""),IF(T284="Ya","Kepala keluarga perempuan",""),IF(U284="Ya","Balita",""),IF(V284="Ya","Anggota keluarga dengan ketergantungan tinggi",""))))</x:f>
        <x:v>Tidak ada faktor rentan</x:v>
      </x:c>
      <x:c r="Y284" s="704" t="str">
        <x:f>IF(COUNTIF(R284:V284,"Belum Dinilai")&gt;0,"Belum Dinilai",IF(COUNTIF(R284:V284,"Ya")=0,"Tidak Ada Faktor Rentan",IF(COUNTIF(R284:V284,"Ya")=1,"1 Faktor Rentan","2 atau Lebih Faktor Rentan")))</x:f>
        <x:v>Tidak Ada Faktor Rentan</x:v>
      </x:c>
      <x:c r="Z284" s="704" t="str">
        <x:f>IF(OR(Q284="",Q284="Belum Dinilai"),"",IF(Q284="Terverifikasi DTKS/P3KE/MBR",10,IF(Q284="Diusulkan, Belum Terverifikasi",5,0)))</x:f>
      </x:c>
      <x:c r="AA284" s="705" t="n">
        <x:f>IF(COUNTIF(R284:V284,"Belum Dinilai")&gt;0,"",IF(COUNTIF(R284:V284,"Ya")=0,0,IF(COUNTIF(R284:V284,"Ya")=1,5,10)))</x:f>
        <x:v>0</x:v>
      </x:c>
      <x:c r="AB284" s="706" t="str">
        <x:f>IF(OR(Z284="",AA284=""),"",Z284+AA284)</x:f>
      </x:c>
      <x:c r="AC284" s="713"/>
      <x:c r="AD284" s="713"/>
      <x:c r="AE284" s="714"/>
      <x:c r="AF284" s="713"/>
      <x:c r="AG284" s="713"/>
      <x:c r="AH284" s="715"/>
      <x:c r="AI284" s="714"/>
      <x:c r="AJ284" s="713"/>
      <x:c r="AK284" s="715"/>
      <x:c r="AL284" s="713"/>
      <x:c r="AM284" s="716"/>
      <x:c r="AN284" s="716" t="str">
        <x:f>IF(AND(COUNTIF(AC284:AK284,"Ya")=0,AL284=""),IF(COUNTIF(AC284:AK284,"Belum Dinilai")&gt;0,"Belum Dinilai","Tidak ada risiko khusus"),TEXTJOIN(", ",TRUE,IF(AC284="Ya","Bangunan berpotensi roboh",""),IF(AD284="Ya","Bekas kebakaran dan tidak aman dihuni",""),IF(AE284="Ya","Atap atau dinding utama hampir runtuh",""),IF(AF284="Ya","Genangan yang membahayakan",""),IF(AG284="Ya","Struktur rumah tidak stabil",""),IF(AH284="Ya","Instalasi listrik berbahaya",""),IF(AI284="Ya","Komponen bangunan lepas atau lapuk",""),IF(AJ284="Ya","Akses keluar atau evakuasi terbatas",""),IF(AK284="Ya","Lokasi rawan bencana",""),IF(AL284&lt;&gt;"","Lainnya: "&amp;AL284,"")))</x:f>
        <x:v>Tidak ada risiko khusus</x:v>
      </x:c>
      <x:c r="AO284" s="716" t="str">
        <x:f>IF(AR284="","Belum Dinilai",IF(AR284=10,"Risiko Tinggi/Darurat",IF(AR284=5,"Risiko Sedang","Tidak Ada Risiko Khusus")))</x:f>
        <x:v>Belum Dinilai</x:v>
      </x:c>
      <x:c r="AP284" s="716"/>
      <x:c r="AQ284" s="719" t="str">
        <x:f>IF(OR(J284="",J284="Belum Dapat Ditentukan",L284="",L284="Belum Dinilai",N284="",N284="Belum Dinilai",P284="",P284="Belum Dinilai"),"",IF(J284="Permanen",0,IF(J284="Semipermanen",8,IF(J284="Nonpermanen",15,0)))+IF(L284="Baik",0,IF(L284="Rusak Ringan",5,IF(L284="Rusak Sedang",10,IF(L284="Rusak Berat",15,IF(L284="Tidak Ada/Terbuka",20,0)))))+IF(N284="Baik",0,IF(N284="Rusak Ringan",5,IF(N284="Rusak Sedang",10,IF(N284="Rusak Berat",15,IF(N284="Tidak Ada/Terbuka",20,0)))))+IF(P284="Baik",0,IF(P284="Rusak Ringan",4,IF(P284="Rusak Sedang",8,IF(P284="Rusak Berat",12,IF(P284="Tidak Layak",15,0))))))</x:f>
      </x:c>
      <x:c r="AR284" s="719" t="n">
        <x:f>IF(COUNTIF(AC284:AH284,"Ya")&gt;0,10,IF(COUNTIF(AI284:AK284,"Ya")&gt;=2,10,IF(COUNTIF(AI284:AK284,"Ya")=1,MAX(5,IF(AM284="Risiko Tinggi/Darurat",10,IF(AM284="Risiko Sedang",5,0))),IF(AL284&lt;&gt;"",IF(AM284="Risiko Tinggi/Darurat",10,IF(AM284="Risiko Sedang",5,"")),IF(COUNTIF(AC284:AK284,"Belum Dinilai")&gt;0,"",0)))))</x:f>
        <x:v>0</x:v>
      </x:c>
      <x:c r="AS284" s="719" t="str">
        <x:f>IF(OR(AQ284="",AB284="",AR284=""),"",AQ284+AB284+AR284)</x:f>
      </x:c>
      <x:c r="AT284" s="719" t="str">
        <x:f>IF(AS284="","Belum Dapat Ditentukan",IF(AS284&gt;=80,"Sangat Tinggi",IF(OR(AO284="Risiko Tinggi/Darurat",(IF(L284="Rusak Berat",1,0)+IF(L284="Tidak Ada/Terbuka",1,0)+IF(N284="Rusak Berat",1,0)+IF(N284="Tidak Ada/Terbuka",1,0)+IF(P284="Rusak Berat",1,0)+IF(P284="Tidak Layak",1,0))&gt;=2),"Tinggi",IF(AS284&gt;=65,"Tinggi",IF(AS284&gt;=50,"Sedang","Rendah")))))</x:f>
        <x:v>Belum Dapat Ditentukan</x:v>
      </x:c>
      <x:c r="AU284" s="240"/>
      <x:c r="AV284" s="240"/>
      <x:c r="AW284" s="240"/>
      <x:c r="AX284" s="240"/>
      <x:c r="AY284" s="240"/>
      <x:c r="AZ284" s="240"/>
      <x:c r="BA284" s="240"/>
      <x:c r="BB284" s="240"/>
      <x:c r="BC284" s="240"/>
      <x:c r="BD284" s="240"/>
      <x:c r="BE284" s="240"/>
      <x:c r="BF284" s="240"/>
    </x:row>
    <x:row r="285" ht="32" customHeight="1">
      <x:c r="A285" s="314"/>
      <x:c r="B285" s="315"/>
      <x:c r="C285" s="316"/>
      <x:c r="D285" s="316"/>
      <x:c r="E285" s="315"/>
      <x:c r="F285" s="315"/>
      <x:c r="G285" s="315"/>
      <x:c r="H285" s="315"/>
      <x:c r="I285" s="317"/>
      <x:c r="J285" s="315"/>
      <x:c r="K285" s="315"/>
      <x:c r="L285" s="315"/>
      <x:c r="M285" s="367"/>
      <x:c r="N285" s="315"/>
      <x:c r="O285" s="316"/>
      <x:c r="P285" s="349"/>
      <x:c r="Q285" s="707"/>
      <x:c r="R285" s="707"/>
      <x:c r="S285" s="708"/>
      <x:c r="T285" s="709"/>
      <x:c r="U285" s="704"/>
      <x:c r="V285" s="704"/>
      <x:c r="W285" s="704"/>
      <x:c r="X285" s="704" t="str">
        <x:f>IF(COUNTIF(R285:V285,"Belum Dinilai")&gt;0,"Belum Dinilai",IF(COUNTIF(R285:V285,"Ya")=0,"Tidak ada faktor rentan",TEXTJOIN(", ",TRUE,IF(R285="Ya","Lansia",""),IF(S285="Ya","Penyandang disabilitas",""),IF(T285="Ya","Kepala keluarga perempuan",""),IF(U285="Ya","Balita",""),IF(V285="Ya","Anggota keluarga dengan ketergantungan tinggi",""))))</x:f>
        <x:v>Tidak ada faktor rentan</x:v>
      </x:c>
      <x:c r="Y285" s="704" t="str">
        <x:f>IF(COUNTIF(R285:V285,"Belum Dinilai")&gt;0,"Belum Dinilai",IF(COUNTIF(R285:V285,"Ya")=0,"Tidak Ada Faktor Rentan",IF(COUNTIF(R285:V285,"Ya")=1,"1 Faktor Rentan","2 atau Lebih Faktor Rentan")))</x:f>
        <x:v>Tidak Ada Faktor Rentan</x:v>
      </x:c>
      <x:c r="Z285" s="704" t="str">
        <x:f>IF(OR(Q285="",Q285="Belum Dinilai"),"",IF(Q285="Terverifikasi DTKS/P3KE/MBR",10,IF(Q285="Diusulkan, Belum Terverifikasi",5,0)))</x:f>
      </x:c>
      <x:c r="AA285" s="705" t="n">
        <x:f>IF(COUNTIF(R285:V285,"Belum Dinilai")&gt;0,"",IF(COUNTIF(R285:V285,"Ya")=0,0,IF(COUNTIF(R285:V285,"Ya")=1,5,10)))</x:f>
        <x:v>0</x:v>
      </x:c>
      <x:c r="AB285" s="706" t="str">
        <x:f>IF(OR(Z285="",AA285=""),"",Z285+AA285)</x:f>
      </x:c>
      <x:c r="AC285" s="713"/>
      <x:c r="AD285" s="713"/>
      <x:c r="AE285" s="714"/>
      <x:c r="AF285" s="713"/>
      <x:c r="AG285" s="713"/>
      <x:c r="AH285" s="715"/>
      <x:c r="AI285" s="714"/>
      <x:c r="AJ285" s="713"/>
      <x:c r="AK285" s="715"/>
      <x:c r="AL285" s="713"/>
      <x:c r="AM285" s="716"/>
      <x:c r="AN285" s="716" t="str">
        <x:f>IF(AND(COUNTIF(AC285:AK285,"Ya")=0,AL285=""),IF(COUNTIF(AC285:AK285,"Belum Dinilai")&gt;0,"Belum Dinilai","Tidak ada risiko khusus"),TEXTJOIN(", ",TRUE,IF(AC285="Ya","Bangunan berpotensi roboh",""),IF(AD285="Ya","Bekas kebakaran dan tidak aman dihuni",""),IF(AE285="Ya","Atap atau dinding utama hampir runtuh",""),IF(AF285="Ya","Genangan yang membahayakan",""),IF(AG285="Ya","Struktur rumah tidak stabil",""),IF(AH285="Ya","Instalasi listrik berbahaya",""),IF(AI285="Ya","Komponen bangunan lepas atau lapuk",""),IF(AJ285="Ya","Akses keluar atau evakuasi terbatas",""),IF(AK285="Ya","Lokasi rawan bencana",""),IF(AL285&lt;&gt;"","Lainnya: "&amp;AL285,"")))</x:f>
        <x:v>Tidak ada risiko khusus</x:v>
      </x:c>
      <x:c r="AO285" s="716" t="str">
        <x:f>IF(AR285="","Belum Dinilai",IF(AR285=10,"Risiko Tinggi/Darurat",IF(AR285=5,"Risiko Sedang","Tidak Ada Risiko Khusus")))</x:f>
        <x:v>Belum Dinilai</x:v>
      </x:c>
      <x:c r="AP285" s="716"/>
      <x:c r="AQ285" s="719" t="str">
        <x:f>IF(OR(J285="",J285="Belum Dapat Ditentukan",L285="",L285="Belum Dinilai",N285="",N285="Belum Dinilai",P285="",P285="Belum Dinilai"),"",IF(J285="Permanen",0,IF(J285="Semipermanen",8,IF(J285="Nonpermanen",15,0)))+IF(L285="Baik",0,IF(L285="Rusak Ringan",5,IF(L285="Rusak Sedang",10,IF(L285="Rusak Berat",15,IF(L285="Tidak Ada/Terbuka",20,0)))))+IF(N285="Baik",0,IF(N285="Rusak Ringan",5,IF(N285="Rusak Sedang",10,IF(N285="Rusak Berat",15,IF(N285="Tidak Ada/Terbuka",20,0)))))+IF(P285="Baik",0,IF(P285="Rusak Ringan",4,IF(P285="Rusak Sedang",8,IF(P285="Rusak Berat",12,IF(P285="Tidak Layak",15,0))))))</x:f>
      </x:c>
      <x:c r="AR285" s="719" t="n">
        <x:f>IF(COUNTIF(AC285:AH285,"Ya")&gt;0,10,IF(COUNTIF(AI285:AK285,"Ya")&gt;=2,10,IF(COUNTIF(AI285:AK285,"Ya")=1,MAX(5,IF(AM285="Risiko Tinggi/Darurat",10,IF(AM285="Risiko Sedang",5,0))),IF(AL285&lt;&gt;"",IF(AM285="Risiko Tinggi/Darurat",10,IF(AM285="Risiko Sedang",5,"")),IF(COUNTIF(AC285:AK285,"Belum Dinilai")&gt;0,"",0)))))</x:f>
        <x:v>0</x:v>
      </x:c>
      <x:c r="AS285" s="719" t="str">
        <x:f>IF(OR(AQ285="",AB285="",AR285=""),"",AQ285+AB285+AR285)</x:f>
      </x:c>
      <x:c r="AT285" s="719" t="str">
        <x:f>IF(AS285="","Belum Dapat Ditentukan",IF(AS285&gt;=80,"Sangat Tinggi",IF(OR(AO285="Risiko Tinggi/Darurat",(IF(L285="Rusak Berat",1,0)+IF(L285="Tidak Ada/Terbuka",1,0)+IF(N285="Rusak Berat",1,0)+IF(N285="Tidak Ada/Terbuka",1,0)+IF(P285="Rusak Berat",1,0)+IF(P285="Tidak Layak",1,0))&gt;=2),"Tinggi",IF(AS285&gt;=65,"Tinggi",IF(AS285&gt;=50,"Sedang","Rendah")))))</x:f>
        <x:v>Belum Dapat Ditentukan</x:v>
      </x:c>
      <x:c r="AU285" s="240"/>
      <x:c r="AV285" s="240"/>
      <x:c r="AW285" s="240"/>
      <x:c r="AX285" s="240"/>
      <x:c r="AY285" s="240"/>
      <x:c r="AZ285" s="240"/>
      <x:c r="BA285" s="240"/>
      <x:c r="BB285" s="240"/>
      <x:c r="BC285" s="240"/>
      <x:c r="BD285" s="240"/>
      <x:c r="BE285" s="240"/>
      <x:c r="BF285" s="240"/>
    </x:row>
    <x:row r="286" ht="32" customHeight="1">
      <x:c r="A286" s="314"/>
      <x:c r="B286" s="315"/>
      <x:c r="C286" s="316"/>
      <x:c r="D286" s="316"/>
      <x:c r="E286" s="315"/>
      <x:c r="F286" s="315"/>
      <x:c r="G286" s="315"/>
      <x:c r="H286" s="315"/>
      <x:c r="I286" s="317"/>
      <x:c r="J286" s="315"/>
      <x:c r="K286" s="315"/>
      <x:c r="L286" s="315"/>
      <x:c r="M286" s="367"/>
      <x:c r="N286" s="315"/>
      <x:c r="O286" s="316"/>
      <x:c r="P286" s="349"/>
      <x:c r="Q286" s="707"/>
      <x:c r="R286" s="707"/>
      <x:c r="S286" s="708"/>
      <x:c r="T286" s="709"/>
      <x:c r="U286" s="704"/>
      <x:c r="V286" s="704"/>
      <x:c r="W286" s="704"/>
      <x:c r="X286" s="704" t="str">
        <x:f>IF(COUNTIF(R286:V286,"Belum Dinilai")&gt;0,"Belum Dinilai",IF(COUNTIF(R286:V286,"Ya")=0,"Tidak ada faktor rentan",TEXTJOIN(", ",TRUE,IF(R286="Ya","Lansia",""),IF(S286="Ya","Penyandang disabilitas",""),IF(T286="Ya","Kepala keluarga perempuan",""),IF(U286="Ya","Balita",""),IF(V286="Ya","Anggota keluarga dengan ketergantungan tinggi",""))))</x:f>
        <x:v>Tidak ada faktor rentan</x:v>
      </x:c>
      <x:c r="Y286" s="704" t="str">
        <x:f>IF(COUNTIF(R286:V286,"Belum Dinilai")&gt;0,"Belum Dinilai",IF(COUNTIF(R286:V286,"Ya")=0,"Tidak Ada Faktor Rentan",IF(COUNTIF(R286:V286,"Ya")=1,"1 Faktor Rentan","2 atau Lebih Faktor Rentan")))</x:f>
        <x:v>Tidak Ada Faktor Rentan</x:v>
      </x:c>
      <x:c r="Z286" s="704" t="str">
        <x:f>IF(OR(Q286="",Q286="Belum Dinilai"),"",IF(Q286="Terverifikasi DTKS/P3KE/MBR",10,IF(Q286="Diusulkan, Belum Terverifikasi",5,0)))</x:f>
      </x:c>
      <x:c r="AA286" s="705" t="n">
        <x:f>IF(COUNTIF(R286:V286,"Belum Dinilai")&gt;0,"",IF(COUNTIF(R286:V286,"Ya")=0,0,IF(COUNTIF(R286:V286,"Ya")=1,5,10)))</x:f>
        <x:v>0</x:v>
      </x:c>
      <x:c r="AB286" s="706" t="str">
        <x:f>IF(OR(Z286="",AA286=""),"",Z286+AA286)</x:f>
      </x:c>
      <x:c r="AC286" s="713"/>
      <x:c r="AD286" s="713"/>
      <x:c r="AE286" s="714"/>
      <x:c r="AF286" s="713"/>
      <x:c r="AG286" s="713"/>
      <x:c r="AH286" s="715"/>
      <x:c r="AI286" s="714"/>
      <x:c r="AJ286" s="713"/>
      <x:c r="AK286" s="715"/>
      <x:c r="AL286" s="713"/>
      <x:c r="AM286" s="716"/>
      <x:c r="AN286" s="716" t="str">
        <x:f>IF(AND(COUNTIF(AC286:AK286,"Ya")=0,AL286=""),IF(COUNTIF(AC286:AK286,"Belum Dinilai")&gt;0,"Belum Dinilai","Tidak ada risiko khusus"),TEXTJOIN(", ",TRUE,IF(AC286="Ya","Bangunan berpotensi roboh",""),IF(AD286="Ya","Bekas kebakaran dan tidak aman dihuni",""),IF(AE286="Ya","Atap atau dinding utama hampir runtuh",""),IF(AF286="Ya","Genangan yang membahayakan",""),IF(AG286="Ya","Struktur rumah tidak stabil",""),IF(AH286="Ya","Instalasi listrik berbahaya",""),IF(AI286="Ya","Komponen bangunan lepas atau lapuk",""),IF(AJ286="Ya","Akses keluar atau evakuasi terbatas",""),IF(AK286="Ya","Lokasi rawan bencana",""),IF(AL286&lt;&gt;"","Lainnya: "&amp;AL286,"")))</x:f>
        <x:v>Tidak ada risiko khusus</x:v>
      </x:c>
      <x:c r="AO286" s="716" t="str">
        <x:f>IF(AR286="","Belum Dinilai",IF(AR286=10,"Risiko Tinggi/Darurat",IF(AR286=5,"Risiko Sedang","Tidak Ada Risiko Khusus")))</x:f>
        <x:v>Belum Dinilai</x:v>
      </x:c>
      <x:c r="AP286" s="716"/>
      <x:c r="AQ286" s="719" t="str">
        <x:f>IF(OR(J286="",J286="Belum Dapat Ditentukan",L286="",L286="Belum Dinilai",N286="",N286="Belum Dinilai",P286="",P286="Belum Dinilai"),"",IF(J286="Permanen",0,IF(J286="Semipermanen",8,IF(J286="Nonpermanen",15,0)))+IF(L286="Baik",0,IF(L286="Rusak Ringan",5,IF(L286="Rusak Sedang",10,IF(L286="Rusak Berat",15,IF(L286="Tidak Ada/Terbuka",20,0)))))+IF(N286="Baik",0,IF(N286="Rusak Ringan",5,IF(N286="Rusak Sedang",10,IF(N286="Rusak Berat",15,IF(N286="Tidak Ada/Terbuka",20,0)))))+IF(P286="Baik",0,IF(P286="Rusak Ringan",4,IF(P286="Rusak Sedang",8,IF(P286="Rusak Berat",12,IF(P286="Tidak Layak",15,0))))))</x:f>
      </x:c>
      <x:c r="AR286" s="719" t="n">
        <x:f>IF(COUNTIF(AC286:AH286,"Ya")&gt;0,10,IF(COUNTIF(AI286:AK286,"Ya")&gt;=2,10,IF(COUNTIF(AI286:AK286,"Ya")=1,MAX(5,IF(AM286="Risiko Tinggi/Darurat",10,IF(AM286="Risiko Sedang",5,0))),IF(AL286&lt;&gt;"",IF(AM286="Risiko Tinggi/Darurat",10,IF(AM286="Risiko Sedang",5,"")),IF(COUNTIF(AC286:AK286,"Belum Dinilai")&gt;0,"",0)))))</x:f>
        <x:v>0</x:v>
      </x:c>
      <x:c r="AS286" s="719" t="str">
        <x:f>IF(OR(AQ286="",AB286="",AR286=""),"",AQ286+AB286+AR286)</x:f>
      </x:c>
      <x:c r="AT286" s="719" t="str">
        <x:f>IF(AS286="","Belum Dapat Ditentukan",IF(AS286&gt;=80,"Sangat Tinggi",IF(OR(AO286="Risiko Tinggi/Darurat",(IF(L286="Rusak Berat",1,0)+IF(L286="Tidak Ada/Terbuka",1,0)+IF(N286="Rusak Berat",1,0)+IF(N286="Tidak Ada/Terbuka",1,0)+IF(P286="Rusak Berat",1,0)+IF(P286="Tidak Layak",1,0))&gt;=2),"Tinggi",IF(AS286&gt;=65,"Tinggi",IF(AS286&gt;=50,"Sedang","Rendah")))))</x:f>
        <x:v>Belum Dapat Ditentukan</x:v>
      </x:c>
      <x:c r="AU286" s="240"/>
      <x:c r="AV286" s="240"/>
      <x:c r="AW286" s="240"/>
      <x:c r="AX286" s="240"/>
      <x:c r="AY286" s="240"/>
      <x:c r="AZ286" s="240"/>
      <x:c r="BA286" s="240"/>
      <x:c r="BB286" s="240"/>
      <x:c r="BC286" s="240"/>
      <x:c r="BD286" s="240"/>
      <x:c r="BE286" s="240"/>
      <x:c r="BF286" s="240"/>
    </x:row>
    <x:row r="287" ht="32" customHeight="1">
      <x:c r="A287" s="314"/>
      <x:c r="B287" s="315"/>
      <x:c r="C287" s="316"/>
      <x:c r="D287" s="316"/>
      <x:c r="E287" s="315"/>
      <x:c r="F287" s="315"/>
      <x:c r="G287" s="315"/>
      <x:c r="H287" s="315"/>
      <x:c r="I287" s="317"/>
      <x:c r="J287" s="315"/>
      <x:c r="K287" s="315"/>
      <x:c r="L287" s="315"/>
      <x:c r="M287" s="367"/>
      <x:c r="N287" s="315"/>
      <x:c r="O287" s="316"/>
      <x:c r="P287" s="349"/>
      <x:c r="Q287" s="707"/>
      <x:c r="R287" s="707"/>
      <x:c r="S287" s="708"/>
      <x:c r="T287" s="709"/>
      <x:c r="U287" s="704"/>
      <x:c r="V287" s="704"/>
      <x:c r="W287" s="704"/>
      <x:c r="X287" s="704" t="str">
        <x:f>IF(COUNTIF(R287:V287,"Belum Dinilai")&gt;0,"Belum Dinilai",IF(COUNTIF(R287:V287,"Ya")=0,"Tidak ada faktor rentan",TEXTJOIN(", ",TRUE,IF(R287="Ya","Lansia",""),IF(S287="Ya","Penyandang disabilitas",""),IF(T287="Ya","Kepala keluarga perempuan",""),IF(U287="Ya","Balita",""),IF(V287="Ya","Anggota keluarga dengan ketergantungan tinggi",""))))</x:f>
        <x:v>Tidak ada faktor rentan</x:v>
      </x:c>
      <x:c r="Y287" s="704" t="str">
        <x:f>IF(COUNTIF(R287:V287,"Belum Dinilai")&gt;0,"Belum Dinilai",IF(COUNTIF(R287:V287,"Ya")=0,"Tidak Ada Faktor Rentan",IF(COUNTIF(R287:V287,"Ya")=1,"1 Faktor Rentan","2 atau Lebih Faktor Rentan")))</x:f>
        <x:v>Tidak Ada Faktor Rentan</x:v>
      </x:c>
      <x:c r="Z287" s="704" t="str">
        <x:f>IF(OR(Q287="",Q287="Belum Dinilai"),"",IF(Q287="Terverifikasi DTKS/P3KE/MBR",10,IF(Q287="Diusulkan, Belum Terverifikasi",5,0)))</x:f>
      </x:c>
      <x:c r="AA287" s="705" t="n">
        <x:f>IF(COUNTIF(R287:V287,"Belum Dinilai")&gt;0,"",IF(COUNTIF(R287:V287,"Ya")=0,0,IF(COUNTIF(R287:V287,"Ya")=1,5,10)))</x:f>
        <x:v>0</x:v>
      </x:c>
      <x:c r="AB287" s="706" t="str">
        <x:f>IF(OR(Z287="",AA287=""),"",Z287+AA287)</x:f>
      </x:c>
      <x:c r="AC287" s="713"/>
      <x:c r="AD287" s="713"/>
      <x:c r="AE287" s="714"/>
      <x:c r="AF287" s="713"/>
      <x:c r="AG287" s="713"/>
      <x:c r="AH287" s="715"/>
      <x:c r="AI287" s="714"/>
      <x:c r="AJ287" s="713"/>
      <x:c r="AK287" s="715"/>
      <x:c r="AL287" s="713"/>
      <x:c r="AM287" s="716"/>
      <x:c r="AN287" s="716" t="str">
        <x:f>IF(AND(COUNTIF(AC287:AK287,"Ya")=0,AL287=""),IF(COUNTIF(AC287:AK287,"Belum Dinilai")&gt;0,"Belum Dinilai","Tidak ada risiko khusus"),TEXTJOIN(", ",TRUE,IF(AC287="Ya","Bangunan berpotensi roboh",""),IF(AD287="Ya","Bekas kebakaran dan tidak aman dihuni",""),IF(AE287="Ya","Atap atau dinding utama hampir runtuh",""),IF(AF287="Ya","Genangan yang membahayakan",""),IF(AG287="Ya","Struktur rumah tidak stabil",""),IF(AH287="Ya","Instalasi listrik berbahaya",""),IF(AI287="Ya","Komponen bangunan lepas atau lapuk",""),IF(AJ287="Ya","Akses keluar atau evakuasi terbatas",""),IF(AK287="Ya","Lokasi rawan bencana",""),IF(AL287&lt;&gt;"","Lainnya: "&amp;AL287,"")))</x:f>
        <x:v>Tidak ada risiko khusus</x:v>
      </x:c>
      <x:c r="AO287" s="716" t="str">
        <x:f>IF(AR287="","Belum Dinilai",IF(AR287=10,"Risiko Tinggi/Darurat",IF(AR287=5,"Risiko Sedang","Tidak Ada Risiko Khusus")))</x:f>
        <x:v>Belum Dinilai</x:v>
      </x:c>
      <x:c r="AP287" s="716"/>
      <x:c r="AQ287" s="719" t="str">
        <x:f>IF(OR(J287="",J287="Belum Dapat Ditentukan",L287="",L287="Belum Dinilai",N287="",N287="Belum Dinilai",P287="",P287="Belum Dinilai"),"",IF(J287="Permanen",0,IF(J287="Semipermanen",8,IF(J287="Nonpermanen",15,0)))+IF(L287="Baik",0,IF(L287="Rusak Ringan",5,IF(L287="Rusak Sedang",10,IF(L287="Rusak Berat",15,IF(L287="Tidak Ada/Terbuka",20,0)))))+IF(N287="Baik",0,IF(N287="Rusak Ringan",5,IF(N287="Rusak Sedang",10,IF(N287="Rusak Berat",15,IF(N287="Tidak Ada/Terbuka",20,0)))))+IF(P287="Baik",0,IF(P287="Rusak Ringan",4,IF(P287="Rusak Sedang",8,IF(P287="Rusak Berat",12,IF(P287="Tidak Layak",15,0))))))</x:f>
      </x:c>
      <x:c r="AR287" s="719" t="n">
        <x:f>IF(COUNTIF(AC287:AH287,"Ya")&gt;0,10,IF(COUNTIF(AI287:AK287,"Ya")&gt;=2,10,IF(COUNTIF(AI287:AK287,"Ya")=1,MAX(5,IF(AM287="Risiko Tinggi/Darurat",10,IF(AM287="Risiko Sedang",5,0))),IF(AL287&lt;&gt;"",IF(AM287="Risiko Tinggi/Darurat",10,IF(AM287="Risiko Sedang",5,"")),IF(COUNTIF(AC287:AK287,"Belum Dinilai")&gt;0,"",0)))))</x:f>
        <x:v>0</x:v>
      </x:c>
      <x:c r="AS287" s="719" t="str">
        <x:f>IF(OR(AQ287="",AB287="",AR287=""),"",AQ287+AB287+AR287)</x:f>
      </x:c>
      <x:c r="AT287" s="719" t="str">
        <x:f>IF(AS287="","Belum Dapat Ditentukan",IF(AS287&gt;=80,"Sangat Tinggi",IF(OR(AO287="Risiko Tinggi/Darurat",(IF(L287="Rusak Berat",1,0)+IF(L287="Tidak Ada/Terbuka",1,0)+IF(N287="Rusak Berat",1,0)+IF(N287="Tidak Ada/Terbuka",1,0)+IF(P287="Rusak Berat",1,0)+IF(P287="Tidak Layak",1,0))&gt;=2),"Tinggi",IF(AS287&gt;=65,"Tinggi",IF(AS287&gt;=50,"Sedang","Rendah")))))</x:f>
        <x:v>Belum Dapat Ditentukan</x:v>
      </x:c>
      <x:c r="AU287" s="240"/>
      <x:c r="AV287" s="240"/>
      <x:c r="AW287" s="240"/>
      <x:c r="AX287" s="240"/>
      <x:c r="AY287" s="240"/>
      <x:c r="AZ287" s="240"/>
      <x:c r="BA287" s="240"/>
      <x:c r="BB287" s="240"/>
      <x:c r="BC287" s="240"/>
      <x:c r="BD287" s="240"/>
      <x:c r="BE287" s="240"/>
      <x:c r="BF287" s="240"/>
    </x:row>
    <x:row r="288" ht="32" customHeight="1">
      <x:c r="A288" s="314"/>
      <x:c r="B288" s="315"/>
      <x:c r="C288" s="316"/>
      <x:c r="D288" s="316"/>
      <x:c r="E288" s="315"/>
      <x:c r="F288" s="315"/>
      <x:c r="G288" s="315"/>
      <x:c r="H288" s="315"/>
      <x:c r="I288" s="317"/>
      <x:c r="J288" s="315"/>
      <x:c r="K288" s="315"/>
      <x:c r="L288" s="315"/>
      <x:c r="M288" s="367"/>
      <x:c r="N288" s="315"/>
      <x:c r="O288" s="316"/>
      <x:c r="P288" s="349"/>
      <x:c r="Q288" s="707"/>
      <x:c r="R288" s="707"/>
      <x:c r="S288" s="708"/>
      <x:c r="T288" s="709"/>
      <x:c r="U288" s="704"/>
      <x:c r="V288" s="704"/>
      <x:c r="W288" s="704"/>
      <x:c r="X288" s="704" t="str">
        <x:f>IF(COUNTIF(R288:V288,"Belum Dinilai")&gt;0,"Belum Dinilai",IF(COUNTIF(R288:V288,"Ya")=0,"Tidak ada faktor rentan",TEXTJOIN(", ",TRUE,IF(R288="Ya","Lansia",""),IF(S288="Ya","Penyandang disabilitas",""),IF(T288="Ya","Kepala keluarga perempuan",""),IF(U288="Ya","Balita",""),IF(V288="Ya","Anggota keluarga dengan ketergantungan tinggi",""))))</x:f>
        <x:v>Tidak ada faktor rentan</x:v>
      </x:c>
      <x:c r="Y288" s="704" t="str">
        <x:f>IF(COUNTIF(R288:V288,"Belum Dinilai")&gt;0,"Belum Dinilai",IF(COUNTIF(R288:V288,"Ya")=0,"Tidak Ada Faktor Rentan",IF(COUNTIF(R288:V288,"Ya")=1,"1 Faktor Rentan","2 atau Lebih Faktor Rentan")))</x:f>
        <x:v>Tidak Ada Faktor Rentan</x:v>
      </x:c>
      <x:c r="Z288" s="704" t="str">
        <x:f>IF(OR(Q288="",Q288="Belum Dinilai"),"",IF(Q288="Terverifikasi DTKS/P3KE/MBR",10,IF(Q288="Diusulkan, Belum Terverifikasi",5,0)))</x:f>
      </x:c>
      <x:c r="AA288" s="705" t="n">
        <x:f>IF(COUNTIF(R288:V288,"Belum Dinilai")&gt;0,"",IF(COUNTIF(R288:V288,"Ya")=0,0,IF(COUNTIF(R288:V288,"Ya")=1,5,10)))</x:f>
        <x:v>0</x:v>
      </x:c>
      <x:c r="AB288" s="706" t="str">
        <x:f>IF(OR(Z288="",AA288=""),"",Z288+AA288)</x:f>
      </x:c>
      <x:c r="AC288" s="713"/>
      <x:c r="AD288" s="713"/>
      <x:c r="AE288" s="714"/>
      <x:c r="AF288" s="713"/>
      <x:c r="AG288" s="713"/>
      <x:c r="AH288" s="715"/>
      <x:c r="AI288" s="714"/>
      <x:c r="AJ288" s="713"/>
      <x:c r="AK288" s="715"/>
      <x:c r="AL288" s="713"/>
      <x:c r="AM288" s="716"/>
      <x:c r="AN288" s="716" t="str">
        <x:f>IF(AND(COUNTIF(AC288:AK288,"Ya")=0,AL288=""),IF(COUNTIF(AC288:AK288,"Belum Dinilai")&gt;0,"Belum Dinilai","Tidak ada risiko khusus"),TEXTJOIN(", ",TRUE,IF(AC288="Ya","Bangunan berpotensi roboh",""),IF(AD288="Ya","Bekas kebakaran dan tidak aman dihuni",""),IF(AE288="Ya","Atap atau dinding utama hampir runtuh",""),IF(AF288="Ya","Genangan yang membahayakan",""),IF(AG288="Ya","Struktur rumah tidak stabil",""),IF(AH288="Ya","Instalasi listrik berbahaya",""),IF(AI288="Ya","Komponen bangunan lepas atau lapuk",""),IF(AJ288="Ya","Akses keluar atau evakuasi terbatas",""),IF(AK288="Ya","Lokasi rawan bencana",""),IF(AL288&lt;&gt;"","Lainnya: "&amp;AL288,"")))</x:f>
        <x:v>Tidak ada risiko khusus</x:v>
      </x:c>
      <x:c r="AO288" s="716" t="str">
        <x:f>IF(AR288="","Belum Dinilai",IF(AR288=10,"Risiko Tinggi/Darurat",IF(AR288=5,"Risiko Sedang","Tidak Ada Risiko Khusus")))</x:f>
        <x:v>Belum Dinilai</x:v>
      </x:c>
      <x:c r="AP288" s="716"/>
      <x:c r="AQ288" s="719" t="str">
        <x:f>IF(OR(J288="",J288="Belum Dapat Ditentukan",L288="",L288="Belum Dinilai",N288="",N288="Belum Dinilai",P288="",P288="Belum Dinilai"),"",IF(J288="Permanen",0,IF(J288="Semipermanen",8,IF(J288="Nonpermanen",15,0)))+IF(L288="Baik",0,IF(L288="Rusak Ringan",5,IF(L288="Rusak Sedang",10,IF(L288="Rusak Berat",15,IF(L288="Tidak Ada/Terbuka",20,0)))))+IF(N288="Baik",0,IF(N288="Rusak Ringan",5,IF(N288="Rusak Sedang",10,IF(N288="Rusak Berat",15,IF(N288="Tidak Ada/Terbuka",20,0)))))+IF(P288="Baik",0,IF(P288="Rusak Ringan",4,IF(P288="Rusak Sedang",8,IF(P288="Rusak Berat",12,IF(P288="Tidak Layak",15,0))))))</x:f>
      </x:c>
      <x:c r="AR288" s="719" t="n">
        <x:f>IF(COUNTIF(AC288:AH288,"Ya")&gt;0,10,IF(COUNTIF(AI288:AK288,"Ya")&gt;=2,10,IF(COUNTIF(AI288:AK288,"Ya")=1,MAX(5,IF(AM288="Risiko Tinggi/Darurat",10,IF(AM288="Risiko Sedang",5,0))),IF(AL288&lt;&gt;"",IF(AM288="Risiko Tinggi/Darurat",10,IF(AM288="Risiko Sedang",5,"")),IF(COUNTIF(AC288:AK288,"Belum Dinilai")&gt;0,"",0)))))</x:f>
        <x:v>0</x:v>
      </x:c>
      <x:c r="AS288" s="719" t="str">
        <x:f>IF(OR(AQ288="",AB288="",AR288=""),"",AQ288+AB288+AR288)</x:f>
      </x:c>
      <x:c r="AT288" s="719" t="str">
        <x:f>IF(AS288="","Belum Dapat Ditentukan",IF(AS288&gt;=80,"Sangat Tinggi",IF(OR(AO288="Risiko Tinggi/Darurat",(IF(L288="Rusak Berat",1,0)+IF(L288="Tidak Ada/Terbuka",1,0)+IF(N288="Rusak Berat",1,0)+IF(N288="Tidak Ada/Terbuka",1,0)+IF(P288="Rusak Berat",1,0)+IF(P288="Tidak Layak",1,0))&gt;=2),"Tinggi",IF(AS288&gt;=65,"Tinggi",IF(AS288&gt;=50,"Sedang","Rendah")))))</x:f>
        <x:v>Belum Dapat Ditentukan</x:v>
      </x:c>
      <x:c r="AU288" s="240"/>
      <x:c r="AV288" s="240"/>
      <x:c r="AW288" s="240"/>
      <x:c r="AX288" s="240"/>
      <x:c r="AY288" s="240"/>
      <x:c r="AZ288" s="240"/>
      <x:c r="BA288" s="240"/>
      <x:c r="BB288" s="240"/>
      <x:c r="BC288" s="240"/>
      <x:c r="BD288" s="240"/>
      <x:c r="BE288" s="240"/>
      <x:c r="BF288" s="240"/>
    </x:row>
    <x:row r="289" ht="32" customHeight="1">
      <x:c r="A289" s="314"/>
      <x:c r="B289" s="315"/>
      <x:c r="C289" s="316"/>
      <x:c r="D289" s="316"/>
      <x:c r="E289" s="315"/>
      <x:c r="F289" s="315"/>
      <x:c r="G289" s="315"/>
      <x:c r="H289" s="315"/>
      <x:c r="I289" s="317"/>
      <x:c r="J289" s="315"/>
      <x:c r="K289" s="315"/>
      <x:c r="L289" s="315"/>
      <x:c r="M289" s="367"/>
      <x:c r="N289" s="315"/>
      <x:c r="O289" s="316"/>
      <x:c r="P289" s="349"/>
      <x:c r="Q289" s="707"/>
      <x:c r="R289" s="707"/>
      <x:c r="S289" s="708"/>
      <x:c r="T289" s="709"/>
      <x:c r="U289" s="704"/>
      <x:c r="V289" s="704"/>
      <x:c r="W289" s="704"/>
      <x:c r="X289" s="704" t="str">
        <x:f>IF(COUNTIF(R289:V289,"Belum Dinilai")&gt;0,"Belum Dinilai",IF(COUNTIF(R289:V289,"Ya")=0,"Tidak ada faktor rentan",TEXTJOIN(", ",TRUE,IF(R289="Ya","Lansia",""),IF(S289="Ya","Penyandang disabilitas",""),IF(T289="Ya","Kepala keluarga perempuan",""),IF(U289="Ya","Balita",""),IF(V289="Ya","Anggota keluarga dengan ketergantungan tinggi",""))))</x:f>
        <x:v>Tidak ada faktor rentan</x:v>
      </x:c>
      <x:c r="Y289" s="704" t="str">
        <x:f>IF(COUNTIF(R289:V289,"Belum Dinilai")&gt;0,"Belum Dinilai",IF(COUNTIF(R289:V289,"Ya")=0,"Tidak Ada Faktor Rentan",IF(COUNTIF(R289:V289,"Ya")=1,"1 Faktor Rentan","2 atau Lebih Faktor Rentan")))</x:f>
        <x:v>Tidak Ada Faktor Rentan</x:v>
      </x:c>
      <x:c r="Z289" s="704" t="str">
        <x:f>IF(OR(Q289="",Q289="Belum Dinilai"),"",IF(Q289="Terverifikasi DTKS/P3KE/MBR",10,IF(Q289="Diusulkan, Belum Terverifikasi",5,0)))</x:f>
      </x:c>
      <x:c r="AA289" s="705" t="n">
        <x:f>IF(COUNTIF(R289:V289,"Belum Dinilai")&gt;0,"",IF(COUNTIF(R289:V289,"Ya")=0,0,IF(COUNTIF(R289:V289,"Ya")=1,5,10)))</x:f>
        <x:v>0</x:v>
      </x:c>
      <x:c r="AB289" s="706" t="str">
        <x:f>IF(OR(Z289="",AA289=""),"",Z289+AA289)</x:f>
      </x:c>
      <x:c r="AC289" s="713"/>
      <x:c r="AD289" s="713"/>
      <x:c r="AE289" s="714"/>
      <x:c r="AF289" s="713"/>
      <x:c r="AG289" s="713"/>
      <x:c r="AH289" s="715"/>
      <x:c r="AI289" s="714"/>
      <x:c r="AJ289" s="713"/>
      <x:c r="AK289" s="715"/>
      <x:c r="AL289" s="713"/>
      <x:c r="AM289" s="716"/>
      <x:c r="AN289" s="716" t="str">
        <x:f>IF(AND(COUNTIF(AC289:AK289,"Ya")=0,AL289=""),IF(COUNTIF(AC289:AK289,"Belum Dinilai")&gt;0,"Belum Dinilai","Tidak ada risiko khusus"),TEXTJOIN(", ",TRUE,IF(AC289="Ya","Bangunan berpotensi roboh",""),IF(AD289="Ya","Bekas kebakaran dan tidak aman dihuni",""),IF(AE289="Ya","Atap atau dinding utama hampir runtuh",""),IF(AF289="Ya","Genangan yang membahayakan",""),IF(AG289="Ya","Struktur rumah tidak stabil",""),IF(AH289="Ya","Instalasi listrik berbahaya",""),IF(AI289="Ya","Komponen bangunan lepas atau lapuk",""),IF(AJ289="Ya","Akses keluar atau evakuasi terbatas",""),IF(AK289="Ya","Lokasi rawan bencana",""),IF(AL289&lt;&gt;"","Lainnya: "&amp;AL289,"")))</x:f>
        <x:v>Tidak ada risiko khusus</x:v>
      </x:c>
      <x:c r="AO289" s="716" t="str">
        <x:f>IF(AR289="","Belum Dinilai",IF(AR289=10,"Risiko Tinggi/Darurat",IF(AR289=5,"Risiko Sedang","Tidak Ada Risiko Khusus")))</x:f>
        <x:v>Belum Dinilai</x:v>
      </x:c>
      <x:c r="AP289" s="716"/>
      <x:c r="AQ289" s="719" t="str">
        <x:f>IF(OR(J289="",J289="Belum Dapat Ditentukan",L289="",L289="Belum Dinilai",N289="",N289="Belum Dinilai",P289="",P289="Belum Dinilai"),"",IF(J289="Permanen",0,IF(J289="Semipermanen",8,IF(J289="Nonpermanen",15,0)))+IF(L289="Baik",0,IF(L289="Rusak Ringan",5,IF(L289="Rusak Sedang",10,IF(L289="Rusak Berat",15,IF(L289="Tidak Ada/Terbuka",20,0)))))+IF(N289="Baik",0,IF(N289="Rusak Ringan",5,IF(N289="Rusak Sedang",10,IF(N289="Rusak Berat",15,IF(N289="Tidak Ada/Terbuka",20,0)))))+IF(P289="Baik",0,IF(P289="Rusak Ringan",4,IF(P289="Rusak Sedang",8,IF(P289="Rusak Berat",12,IF(P289="Tidak Layak",15,0))))))</x:f>
      </x:c>
      <x:c r="AR289" s="719" t="n">
        <x:f>IF(COUNTIF(AC289:AH289,"Ya")&gt;0,10,IF(COUNTIF(AI289:AK289,"Ya")&gt;=2,10,IF(COUNTIF(AI289:AK289,"Ya")=1,MAX(5,IF(AM289="Risiko Tinggi/Darurat",10,IF(AM289="Risiko Sedang",5,0))),IF(AL289&lt;&gt;"",IF(AM289="Risiko Tinggi/Darurat",10,IF(AM289="Risiko Sedang",5,"")),IF(COUNTIF(AC289:AK289,"Belum Dinilai")&gt;0,"",0)))))</x:f>
        <x:v>0</x:v>
      </x:c>
      <x:c r="AS289" s="719" t="str">
        <x:f>IF(OR(AQ289="",AB289="",AR289=""),"",AQ289+AB289+AR289)</x:f>
      </x:c>
      <x:c r="AT289" s="719" t="str">
        <x:f>IF(AS289="","Belum Dapat Ditentukan",IF(AS289&gt;=80,"Sangat Tinggi",IF(OR(AO289="Risiko Tinggi/Darurat",(IF(L289="Rusak Berat",1,0)+IF(L289="Tidak Ada/Terbuka",1,0)+IF(N289="Rusak Berat",1,0)+IF(N289="Tidak Ada/Terbuka",1,0)+IF(P289="Rusak Berat",1,0)+IF(P289="Tidak Layak",1,0))&gt;=2),"Tinggi",IF(AS289&gt;=65,"Tinggi",IF(AS289&gt;=50,"Sedang","Rendah")))))</x:f>
        <x:v>Belum Dapat Ditentukan</x:v>
      </x:c>
      <x:c r="AU289" s="240"/>
      <x:c r="AV289" s="240"/>
      <x:c r="AW289" s="240"/>
      <x:c r="AX289" s="240"/>
      <x:c r="AY289" s="240"/>
      <x:c r="AZ289" s="240"/>
      <x:c r="BA289" s="240"/>
      <x:c r="BB289" s="240"/>
      <x:c r="BC289" s="240"/>
      <x:c r="BD289" s="240"/>
      <x:c r="BE289" s="240"/>
      <x:c r="BF289" s="240"/>
    </x:row>
    <x:row r="290" ht="32" customHeight="1">
      <x:c r="A290" s="314"/>
      <x:c r="B290" s="315"/>
      <x:c r="C290" s="316"/>
      <x:c r="D290" s="316"/>
      <x:c r="E290" s="315"/>
      <x:c r="F290" s="315"/>
      <x:c r="G290" s="315"/>
      <x:c r="H290" s="315"/>
      <x:c r="I290" s="317"/>
      <x:c r="J290" s="315"/>
      <x:c r="K290" s="315"/>
      <x:c r="L290" s="315"/>
      <x:c r="M290" s="367"/>
      <x:c r="N290" s="315"/>
      <x:c r="O290" s="316"/>
      <x:c r="P290" s="349"/>
      <x:c r="Q290" s="707"/>
      <x:c r="R290" s="707"/>
      <x:c r="S290" s="708"/>
      <x:c r="T290" s="709"/>
      <x:c r="U290" s="704"/>
      <x:c r="V290" s="704"/>
      <x:c r="W290" s="704"/>
      <x:c r="X290" s="704" t="str">
        <x:f>IF(COUNTIF(R290:V290,"Belum Dinilai")&gt;0,"Belum Dinilai",IF(COUNTIF(R290:V290,"Ya")=0,"Tidak ada faktor rentan",TEXTJOIN(", ",TRUE,IF(R290="Ya","Lansia",""),IF(S290="Ya","Penyandang disabilitas",""),IF(T290="Ya","Kepala keluarga perempuan",""),IF(U290="Ya","Balita",""),IF(V290="Ya","Anggota keluarga dengan ketergantungan tinggi",""))))</x:f>
        <x:v>Tidak ada faktor rentan</x:v>
      </x:c>
      <x:c r="Y290" s="704" t="str">
        <x:f>IF(COUNTIF(R290:V290,"Belum Dinilai")&gt;0,"Belum Dinilai",IF(COUNTIF(R290:V290,"Ya")=0,"Tidak Ada Faktor Rentan",IF(COUNTIF(R290:V290,"Ya")=1,"1 Faktor Rentan","2 atau Lebih Faktor Rentan")))</x:f>
        <x:v>Tidak Ada Faktor Rentan</x:v>
      </x:c>
      <x:c r="Z290" s="704" t="str">
        <x:f>IF(OR(Q290="",Q290="Belum Dinilai"),"",IF(Q290="Terverifikasi DTKS/P3KE/MBR",10,IF(Q290="Diusulkan, Belum Terverifikasi",5,0)))</x:f>
      </x:c>
      <x:c r="AA290" s="705" t="n">
        <x:f>IF(COUNTIF(R290:V290,"Belum Dinilai")&gt;0,"",IF(COUNTIF(R290:V290,"Ya")=0,0,IF(COUNTIF(R290:V290,"Ya")=1,5,10)))</x:f>
        <x:v>0</x:v>
      </x:c>
      <x:c r="AB290" s="706" t="str">
        <x:f>IF(OR(Z290="",AA290=""),"",Z290+AA290)</x:f>
      </x:c>
      <x:c r="AC290" s="713"/>
      <x:c r="AD290" s="713"/>
      <x:c r="AE290" s="714"/>
      <x:c r="AF290" s="713"/>
      <x:c r="AG290" s="713"/>
      <x:c r="AH290" s="715"/>
      <x:c r="AI290" s="714"/>
      <x:c r="AJ290" s="713"/>
      <x:c r="AK290" s="715"/>
      <x:c r="AL290" s="713"/>
      <x:c r="AM290" s="716"/>
      <x:c r="AN290" s="716" t="str">
        <x:f>IF(AND(COUNTIF(AC290:AK290,"Ya")=0,AL290=""),IF(COUNTIF(AC290:AK290,"Belum Dinilai")&gt;0,"Belum Dinilai","Tidak ada risiko khusus"),TEXTJOIN(", ",TRUE,IF(AC290="Ya","Bangunan berpotensi roboh",""),IF(AD290="Ya","Bekas kebakaran dan tidak aman dihuni",""),IF(AE290="Ya","Atap atau dinding utama hampir runtuh",""),IF(AF290="Ya","Genangan yang membahayakan",""),IF(AG290="Ya","Struktur rumah tidak stabil",""),IF(AH290="Ya","Instalasi listrik berbahaya",""),IF(AI290="Ya","Komponen bangunan lepas atau lapuk",""),IF(AJ290="Ya","Akses keluar atau evakuasi terbatas",""),IF(AK290="Ya","Lokasi rawan bencana",""),IF(AL290&lt;&gt;"","Lainnya: "&amp;AL290,"")))</x:f>
        <x:v>Tidak ada risiko khusus</x:v>
      </x:c>
      <x:c r="AO290" s="716" t="str">
        <x:f>IF(AR290="","Belum Dinilai",IF(AR290=10,"Risiko Tinggi/Darurat",IF(AR290=5,"Risiko Sedang","Tidak Ada Risiko Khusus")))</x:f>
        <x:v>Belum Dinilai</x:v>
      </x:c>
      <x:c r="AP290" s="716"/>
      <x:c r="AQ290" s="719" t="str">
        <x:f>IF(OR(J290="",J290="Belum Dapat Ditentukan",L290="",L290="Belum Dinilai",N290="",N290="Belum Dinilai",P290="",P290="Belum Dinilai"),"",IF(J290="Permanen",0,IF(J290="Semipermanen",8,IF(J290="Nonpermanen",15,0)))+IF(L290="Baik",0,IF(L290="Rusak Ringan",5,IF(L290="Rusak Sedang",10,IF(L290="Rusak Berat",15,IF(L290="Tidak Ada/Terbuka",20,0)))))+IF(N290="Baik",0,IF(N290="Rusak Ringan",5,IF(N290="Rusak Sedang",10,IF(N290="Rusak Berat",15,IF(N290="Tidak Ada/Terbuka",20,0)))))+IF(P290="Baik",0,IF(P290="Rusak Ringan",4,IF(P290="Rusak Sedang",8,IF(P290="Rusak Berat",12,IF(P290="Tidak Layak",15,0))))))</x:f>
      </x:c>
      <x:c r="AR290" s="719" t="n">
        <x:f>IF(COUNTIF(AC290:AH290,"Ya")&gt;0,10,IF(COUNTIF(AI290:AK290,"Ya")&gt;=2,10,IF(COUNTIF(AI290:AK290,"Ya")=1,MAX(5,IF(AM290="Risiko Tinggi/Darurat",10,IF(AM290="Risiko Sedang",5,0))),IF(AL290&lt;&gt;"",IF(AM290="Risiko Tinggi/Darurat",10,IF(AM290="Risiko Sedang",5,"")),IF(COUNTIF(AC290:AK290,"Belum Dinilai")&gt;0,"",0)))))</x:f>
        <x:v>0</x:v>
      </x:c>
      <x:c r="AS290" s="719" t="str">
        <x:f>IF(OR(AQ290="",AB290="",AR290=""),"",AQ290+AB290+AR290)</x:f>
      </x:c>
      <x:c r="AT290" s="719" t="str">
        <x:f>IF(AS290="","Belum Dapat Ditentukan",IF(AS290&gt;=80,"Sangat Tinggi",IF(OR(AO290="Risiko Tinggi/Darurat",(IF(L290="Rusak Berat",1,0)+IF(L290="Tidak Ada/Terbuka",1,0)+IF(N290="Rusak Berat",1,0)+IF(N290="Tidak Ada/Terbuka",1,0)+IF(P290="Rusak Berat",1,0)+IF(P290="Tidak Layak",1,0))&gt;=2),"Tinggi",IF(AS290&gt;=65,"Tinggi",IF(AS290&gt;=50,"Sedang","Rendah")))))</x:f>
        <x:v>Belum Dapat Ditentukan</x:v>
      </x:c>
      <x:c r="AU290" s="240"/>
      <x:c r="AV290" s="240"/>
      <x:c r="AW290" s="240"/>
      <x:c r="AX290" s="240"/>
      <x:c r="AY290" s="240"/>
      <x:c r="AZ290" s="240"/>
      <x:c r="BA290" s="240"/>
      <x:c r="BB290" s="240"/>
      <x:c r="BC290" s="240"/>
      <x:c r="BD290" s="240"/>
      <x:c r="BE290" s="240"/>
      <x:c r="BF290" s="240"/>
    </x:row>
    <x:row r="291" ht="32" customHeight="1">
      <x:c r="A291" s="314"/>
      <x:c r="B291" s="315"/>
      <x:c r="C291" s="316"/>
      <x:c r="D291" s="316"/>
      <x:c r="E291" s="315"/>
      <x:c r="F291" s="315"/>
      <x:c r="G291" s="315"/>
      <x:c r="H291" s="315"/>
      <x:c r="I291" s="317"/>
      <x:c r="J291" s="315"/>
      <x:c r="K291" s="315"/>
      <x:c r="L291" s="315"/>
      <x:c r="M291" s="367"/>
      <x:c r="N291" s="315"/>
      <x:c r="O291" s="316"/>
      <x:c r="P291" s="349"/>
      <x:c r="Q291" s="707"/>
      <x:c r="R291" s="707"/>
      <x:c r="S291" s="708"/>
      <x:c r="T291" s="709"/>
      <x:c r="U291" s="704"/>
      <x:c r="V291" s="704"/>
      <x:c r="W291" s="704"/>
      <x:c r="X291" s="704" t="str">
        <x:f>IF(COUNTIF(R291:V291,"Belum Dinilai")&gt;0,"Belum Dinilai",IF(COUNTIF(R291:V291,"Ya")=0,"Tidak ada faktor rentan",TEXTJOIN(", ",TRUE,IF(R291="Ya","Lansia",""),IF(S291="Ya","Penyandang disabilitas",""),IF(T291="Ya","Kepala keluarga perempuan",""),IF(U291="Ya","Balita",""),IF(V291="Ya","Anggota keluarga dengan ketergantungan tinggi",""))))</x:f>
        <x:v>Tidak ada faktor rentan</x:v>
      </x:c>
      <x:c r="Y291" s="704" t="str">
        <x:f>IF(COUNTIF(R291:V291,"Belum Dinilai")&gt;0,"Belum Dinilai",IF(COUNTIF(R291:V291,"Ya")=0,"Tidak Ada Faktor Rentan",IF(COUNTIF(R291:V291,"Ya")=1,"1 Faktor Rentan","2 atau Lebih Faktor Rentan")))</x:f>
        <x:v>Tidak Ada Faktor Rentan</x:v>
      </x:c>
      <x:c r="Z291" s="704" t="str">
        <x:f>IF(OR(Q291="",Q291="Belum Dinilai"),"",IF(Q291="Terverifikasi DTKS/P3KE/MBR",10,IF(Q291="Diusulkan, Belum Terverifikasi",5,0)))</x:f>
      </x:c>
      <x:c r="AA291" s="705" t="n">
        <x:f>IF(COUNTIF(R291:V291,"Belum Dinilai")&gt;0,"",IF(COUNTIF(R291:V291,"Ya")=0,0,IF(COUNTIF(R291:V291,"Ya")=1,5,10)))</x:f>
        <x:v>0</x:v>
      </x:c>
      <x:c r="AB291" s="706" t="str">
        <x:f>IF(OR(Z291="",AA291=""),"",Z291+AA291)</x:f>
      </x:c>
      <x:c r="AC291" s="713"/>
      <x:c r="AD291" s="713"/>
      <x:c r="AE291" s="714"/>
      <x:c r="AF291" s="713"/>
      <x:c r="AG291" s="713"/>
      <x:c r="AH291" s="715"/>
      <x:c r="AI291" s="714"/>
      <x:c r="AJ291" s="713"/>
      <x:c r="AK291" s="715"/>
      <x:c r="AL291" s="713"/>
      <x:c r="AM291" s="716"/>
      <x:c r="AN291" s="716" t="str">
        <x:f>IF(AND(COUNTIF(AC291:AK291,"Ya")=0,AL291=""),IF(COUNTIF(AC291:AK291,"Belum Dinilai")&gt;0,"Belum Dinilai","Tidak ada risiko khusus"),TEXTJOIN(", ",TRUE,IF(AC291="Ya","Bangunan berpotensi roboh",""),IF(AD291="Ya","Bekas kebakaran dan tidak aman dihuni",""),IF(AE291="Ya","Atap atau dinding utama hampir runtuh",""),IF(AF291="Ya","Genangan yang membahayakan",""),IF(AG291="Ya","Struktur rumah tidak stabil",""),IF(AH291="Ya","Instalasi listrik berbahaya",""),IF(AI291="Ya","Komponen bangunan lepas atau lapuk",""),IF(AJ291="Ya","Akses keluar atau evakuasi terbatas",""),IF(AK291="Ya","Lokasi rawan bencana",""),IF(AL291&lt;&gt;"","Lainnya: "&amp;AL291,"")))</x:f>
        <x:v>Tidak ada risiko khusus</x:v>
      </x:c>
      <x:c r="AO291" s="716" t="str">
        <x:f>IF(AR291="","Belum Dinilai",IF(AR291=10,"Risiko Tinggi/Darurat",IF(AR291=5,"Risiko Sedang","Tidak Ada Risiko Khusus")))</x:f>
        <x:v>Belum Dinilai</x:v>
      </x:c>
      <x:c r="AP291" s="716"/>
      <x:c r="AQ291" s="719" t="str">
        <x:f>IF(OR(J291="",J291="Belum Dapat Ditentukan",L291="",L291="Belum Dinilai",N291="",N291="Belum Dinilai",P291="",P291="Belum Dinilai"),"",IF(J291="Permanen",0,IF(J291="Semipermanen",8,IF(J291="Nonpermanen",15,0)))+IF(L291="Baik",0,IF(L291="Rusak Ringan",5,IF(L291="Rusak Sedang",10,IF(L291="Rusak Berat",15,IF(L291="Tidak Ada/Terbuka",20,0)))))+IF(N291="Baik",0,IF(N291="Rusak Ringan",5,IF(N291="Rusak Sedang",10,IF(N291="Rusak Berat",15,IF(N291="Tidak Ada/Terbuka",20,0)))))+IF(P291="Baik",0,IF(P291="Rusak Ringan",4,IF(P291="Rusak Sedang",8,IF(P291="Rusak Berat",12,IF(P291="Tidak Layak",15,0))))))</x:f>
      </x:c>
      <x:c r="AR291" s="719" t="n">
        <x:f>IF(COUNTIF(AC291:AH291,"Ya")&gt;0,10,IF(COUNTIF(AI291:AK291,"Ya")&gt;=2,10,IF(COUNTIF(AI291:AK291,"Ya")=1,MAX(5,IF(AM291="Risiko Tinggi/Darurat",10,IF(AM291="Risiko Sedang",5,0))),IF(AL291&lt;&gt;"",IF(AM291="Risiko Tinggi/Darurat",10,IF(AM291="Risiko Sedang",5,"")),IF(COUNTIF(AC291:AK291,"Belum Dinilai")&gt;0,"",0)))))</x:f>
        <x:v>0</x:v>
      </x:c>
      <x:c r="AS291" s="719" t="str">
        <x:f>IF(OR(AQ291="",AB291="",AR291=""),"",AQ291+AB291+AR291)</x:f>
      </x:c>
      <x:c r="AT291" s="719" t="str">
        <x:f>IF(AS291="","Belum Dapat Ditentukan",IF(AS291&gt;=80,"Sangat Tinggi",IF(OR(AO291="Risiko Tinggi/Darurat",(IF(L291="Rusak Berat",1,0)+IF(L291="Tidak Ada/Terbuka",1,0)+IF(N291="Rusak Berat",1,0)+IF(N291="Tidak Ada/Terbuka",1,0)+IF(P291="Rusak Berat",1,0)+IF(P291="Tidak Layak",1,0))&gt;=2),"Tinggi",IF(AS291&gt;=65,"Tinggi",IF(AS291&gt;=50,"Sedang","Rendah")))))</x:f>
        <x:v>Belum Dapat Ditentukan</x:v>
      </x:c>
      <x:c r="AU291" s="240"/>
      <x:c r="AV291" s="240"/>
      <x:c r="AW291" s="240"/>
      <x:c r="AX291" s="240"/>
      <x:c r="AY291" s="240"/>
      <x:c r="AZ291" s="240"/>
      <x:c r="BA291" s="240"/>
      <x:c r="BB291" s="240"/>
      <x:c r="BC291" s="240"/>
      <x:c r="BD291" s="240"/>
      <x:c r="BE291" s="240"/>
      <x:c r="BF291" s="240"/>
    </x:row>
    <x:row r="292" ht="32" customHeight="1">
      <x:c r="A292" s="314"/>
      <x:c r="B292" s="315"/>
      <x:c r="C292" s="316"/>
      <x:c r="D292" s="316"/>
      <x:c r="E292" s="315"/>
      <x:c r="F292" s="315"/>
      <x:c r="G292" s="315"/>
      <x:c r="H292" s="315"/>
      <x:c r="I292" s="317"/>
      <x:c r="J292" s="315"/>
      <x:c r="K292" s="315"/>
      <x:c r="L292" s="315"/>
      <x:c r="M292" s="367"/>
      <x:c r="N292" s="315"/>
      <x:c r="O292" s="316"/>
      <x:c r="P292" s="349"/>
      <x:c r="Q292" s="707"/>
      <x:c r="R292" s="707"/>
      <x:c r="S292" s="708"/>
      <x:c r="T292" s="709"/>
      <x:c r="U292" s="704"/>
      <x:c r="V292" s="704"/>
      <x:c r="W292" s="704"/>
      <x:c r="X292" s="704" t="str">
        <x:f>IF(COUNTIF(R292:V292,"Belum Dinilai")&gt;0,"Belum Dinilai",IF(COUNTIF(R292:V292,"Ya")=0,"Tidak ada faktor rentan",TEXTJOIN(", ",TRUE,IF(R292="Ya","Lansia",""),IF(S292="Ya","Penyandang disabilitas",""),IF(T292="Ya","Kepala keluarga perempuan",""),IF(U292="Ya","Balita",""),IF(V292="Ya","Anggota keluarga dengan ketergantungan tinggi",""))))</x:f>
        <x:v>Tidak ada faktor rentan</x:v>
      </x:c>
      <x:c r="Y292" s="704" t="str">
        <x:f>IF(COUNTIF(R292:V292,"Belum Dinilai")&gt;0,"Belum Dinilai",IF(COUNTIF(R292:V292,"Ya")=0,"Tidak Ada Faktor Rentan",IF(COUNTIF(R292:V292,"Ya")=1,"1 Faktor Rentan","2 atau Lebih Faktor Rentan")))</x:f>
        <x:v>Tidak Ada Faktor Rentan</x:v>
      </x:c>
      <x:c r="Z292" s="704" t="str">
        <x:f>IF(OR(Q292="",Q292="Belum Dinilai"),"",IF(Q292="Terverifikasi DTKS/P3KE/MBR",10,IF(Q292="Diusulkan, Belum Terverifikasi",5,0)))</x:f>
      </x:c>
      <x:c r="AA292" s="705" t="n">
        <x:f>IF(COUNTIF(R292:V292,"Belum Dinilai")&gt;0,"",IF(COUNTIF(R292:V292,"Ya")=0,0,IF(COUNTIF(R292:V292,"Ya")=1,5,10)))</x:f>
        <x:v>0</x:v>
      </x:c>
      <x:c r="AB292" s="706" t="str">
        <x:f>IF(OR(Z292="",AA292=""),"",Z292+AA292)</x:f>
      </x:c>
      <x:c r="AC292" s="713"/>
      <x:c r="AD292" s="713"/>
      <x:c r="AE292" s="714"/>
      <x:c r="AF292" s="713"/>
      <x:c r="AG292" s="713"/>
      <x:c r="AH292" s="715"/>
      <x:c r="AI292" s="714"/>
      <x:c r="AJ292" s="713"/>
      <x:c r="AK292" s="715"/>
      <x:c r="AL292" s="713"/>
      <x:c r="AM292" s="716"/>
      <x:c r="AN292" s="716" t="str">
        <x:f>IF(AND(COUNTIF(AC292:AK292,"Ya")=0,AL292=""),IF(COUNTIF(AC292:AK292,"Belum Dinilai")&gt;0,"Belum Dinilai","Tidak ada risiko khusus"),TEXTJOIN(", ",TRUE,IF(AC292="Ya","Bangunan berpotensi roboh",""),IF(AD292="Ya","Bekas kebakaran dan tidak aman dihuni",""),IF(AE292="Ya","Atap atau dinding utama hampir runtuh",""),IF(AF292="Ya","Genangan yang membahayakan",""),IF(AG292="Ya","Struktur rumah tidak stabil",""),IF(AH292="Ya","Instalasi listrik berbahaya",""),IF(AI292="Ya","Komponen bangunan lepas atau lapuk",""),IF(AJ292="Ya","Akses keluar atau evakuasi terbatas",""),IF(AK292="Ya","Lokasi rawan bencana",""),IF(AL292&lt;&gt;"","Lainnya: "&amp;AL292,"")))</x:f>
        <x:v>Tidak ada risiko khusus</x:v>
      </x:c>
      <x:c r="AO292" s="716" t="str">
        <x:f>IF(AR292="","Belum Dinilai",IF(AR292=10,"Risiko Tinggi/Darurat",IF(AR292=5,"Risiko Sedang","Tidak Ada Risiko Khusus")))</x:f>
        <x:v>Belum Dinilai</x:v>
      </x:c>
      <x:c r="AP292" s="716"/>
      <x:c r="AQ292" s="719" t="str">
        <x:f>IF(OR(J292="",J292="Belum Dapat Ditentukan",L292="",L292="Belum Dinilai",N292="",N292="Belum Dinilai",P292="",P292="Belum Dinilai"),"",IF(J292="Permanen",0,IF(J292="Semipermanen",8,IF(J292="Nonpermanen",15,0)))+IF(L292="Baik",0,IF(L292="Rusak Ringan",5,IF(L292="Rusak Sedang",10,IF(L292="Rusak Berat",15,IF(L292="Tidak Ada/Terbuka",20,0)))))+IF(N292="Baik",0,IF(N292="Rusak Ringan",5,IF(N292="Rusak Sedang",10,IF(N292="Rusak Berat",15,IF(N292="Tidak Ada/Terbuka",20,0)))))+IF(P292="Baik",0,IF(P292="Rusak Ringan",4,IF(P292="Rusak Sedang",8,IF(P292="Rusak Berat",12,IF(P292="Tidak Layak",15,0))))))</x:f>
      </x:c>
      <x:c r="AR292" s="719" t="n">
        <x:f>IF(COUNTIF(AC292:AH292,"Ya")&gt;0,10,IF(COUNTIF(AI292:AK292,"Ya")&gt;=2,10,IF(COUNTIF(AI292:AK292,"Ya")=1,MAX(5,IF(AM292="Risiko Tinggi/Darurat",10,IF(AM292="Risiko Sedang",5,0))),IF(AL292&lt;&gt;"",IF(AM292="Risiko Tinggi/Darurat",10,IF(AM292="Risiko Sedang",5,"")),IF(COUNTIF(AC292:AK292,"Belum Dinilai")&gt;0,"",0)))))</x:f>
        <x:v>0</x:v>
      </x:c>
      <x:c r="AS292" s="719" t="str">
        <x:f>IF(OR(AQ292="",AB292="",AR292=""),"",AQ292+AB292+AR292)</x:f>
      </x:c>
      <x:c r="AT292" s="719" t="str">
        <x:f>IF(AS292="","Belum Dapat Ditentukan",IF(AS292&gt;=80,"Sangat Tinggi",IF(OR(AO292="Risiko Tinggi/Darurat",(IF(L292="Rusak Berat",1,0)+IF(L292="Tidak Ada/Terbuka",1,0)+IF(N292="Rusak Berat",1,0)+IF(N292="Tidak Ada/Terbuka",1,0)+IF(P292="Rusak Berat",1,0)+IF(P292="Tidak Layak",1,0))&gt;=2),"Tinggi",IF(AS292&gt;=65,"Tinggi",IF(AS292&gt;=50,"Sedang","Rendah")))))</x:f>
        <x:v>Belum Dapat Ditentukan</x:v>
      </x:c>
      <x:c r="AU292" s="240"/>
      <x:c r="AV292" s="240"/>
      <x:c r="AW292" s="240"/>
      <x:c r="AX292" s="240"/>
      <x:c r="AY292" s="240"/>
      <x:c r="AZ292" s="240"/>
      <x:c r="BA292" s="240"/>
      <x:c r="BB292" s="240"/>
      <x:c r="BC292" s="240"/>
      <x:c r="BD292" s="240"/>
      <x:c r="BE292" s="240"/>
      <x:c r="BF292" s="240"/>
    </x:row>
    <x:row r="293" ht="32" customHeight="1">
      <x:c r="A293" s="314"/>
      <x:c r="B293" s="315"/>
      <x:c r="C293" s="316"/>
      <x:c r="D293" s="316"/>
      <x:c r="E293" s="315"/>
      <x:c r="F293" s="315"/>
      <x:c r="G293" s="315"/>
      <x:c r="H293" s="315"/>
      <x:c r="I293" s="317"/>
      <x:c r="J293" s="315"/>
      <x:c r="K293" s="315"/>
      <x:c r="L293" s="315"/>
      <x:c r="M293" s="367"/>
      <x:c r="N293" s="315"/>
      <x:c r="O293" s="316"/>
      <x:c r="P293" s="349"/>
      <x:c r="Q293" s="707"/>
      <x:c r="R293" s="707"/>
      <x:c r="S293" s="708"/>
      <x:c r="T293" s="709"/>
      <x:c r="U293" s="704"/>
      <x:c r="V293" s="704"/>
      <x:c r="W293" s="704"/>
      <x:c r="X293" s="704" t="str">
        <x:f>IF(COUNTIF(R293:V293,"Belum Dinilai")&gt;0,"Belum Dinilai",IF(COUNTIF(R293:V293,"Ya")=0,"Tidak ada faktor rentan",TEXTJOIN(", ",TRUE,IF(R293="Ya","Lansia",""),IF(S293="Ya","Penyandang disabilitas",""),IF(T293="Ya","Kepala keluarga perempuan",""),IF(U293="Ya","Balita",""),IF(V293="Ya","Anggota keluarga dengan ketergantungan tinggi",""))))</x:f>
        <x:v>Tidak ada faktor rentan</x:v>
      </x:c>
      <x:c r="Y293" s="704" t="str">
        <x:f>IF(COUNTIF(R293:V293,"Belum Dinilai")&gt;0,"Belum Dinilai",IF(COUNTIF(R293:V293,"Ya")=0,"Tidak Ada Faktor Rentan",IF(COUNTIF(R293:V293,"Ya")=1,"1 Faktor Rentan","2 atau Lebih Faktor Rentan")))</x:f>
        <x:v>Tidak Ada Faktor Rentan</x:v>
      </x:c>
      <x:c r="Z293" s="704" t="str">
        <x:f>IF(OR(Q293="",Q293="Belum Dinilai"),"",IF(Q293="Terverifikasi DTKS/P3KE/MBR",10,IF(Q293="Diusulkan, Belum Terverifikasi",5,0)))</x:f>
      </x:c>
      <x:c r="AA293" s="705" t="n">
        <x:f>IF(COUNTIF(R293:V293,"Belum Dinilai")&gt;0,"",IF(COUNTIF(R293:V293,"Ya")=0,0,IF(COUNTIF(R293:V293,"Ya")=1,5,10)))</x:f>
        <x:v>0</x:v>
      </x:c>
      <x:c r="AB293" s="706" t="str">
        <x:f>IF(OR(Z293="",AA293=""),"",Z293+AA293)</x:f>
      </x:c>
      <x:c r="AC293" s="713"/>
      <x:c r="AD293" s="713"/>
      <x:c r="AE293" s="714"/>
      <x:c r="AF293" s="713"/>
      <x:c r="AG293" s="713"/>
      <x:c r="AH293" s="715"/>
      <x:c r="AI293" s="714"/>
      <x:c r="AJ293" s="713"/>
      <x:c r="AK293" s="715"/>
      <x:c r="AL293" s="713"/>
      <x:c r="AM293" s="716"/>
      <x:c r="AN293" s="716" t="str">
        <x:f>IF(AND(COUNTIF(AC293:AK293,"Ya")=0,AL293=""),IF(COUNTIF(AC293:AK293,"Belum Dinilai")&gt;0,"Belum Dinilai","Tidak ada risiko khusus"),TEXTJOIN(", ",TRUE,IF(AC293="Ya","Bangunan berpotensi roboh",""),IF(AD293="Ya","Bekas kebakaran dan tidak aman dihuni",""),IF(AE293="Ya","Atap atau dinding utama hampir runtuh",""),IF(AF293="Ya","Genangan yang membahayakan",""),IF(AG293="Ya","Struktur rumah tidak stabil",""),IF(AH293="Ya","Instalasi listrik berbahaya",""),IF(AI293="Ya","Komponen bangunan lepas atau lapuk",""),IF(AJ293="Ya","Akses keluar atau evakuasi terbatas",""),IF(AK293="Ya","Lokasi rawan bencana",""),IF(AL293&lt;&gt;"","Lainnya: "&amp;AL293,"")))</x:f>
        <x:v>Tidak ada risiko khusus</x:v>
      </x:c>
      <x:c r="AO293" s="716" t="str">
        <x:f>IF(AR293="","Belum Dinilai",IF(AR293=10,"Risiko Tinggi/Darurat",IF(AR293=5,"Risiko Sedang","Tidak Ada Risiko Khusus")))</x:f>
        <x:v>Belum Dinilai</x:v>
      </x:c>
      <x:c r="AP293" s="716"/>
      <x:c r="AQ293" s="719" t="str">
        <x:f>IF(OR(J293="",J293="Belum Dapat Ditentukan",L293="",L293="Belum Dinilai",N293="",N293="Belum Dinilai",P293="",P293="Belum Dinilai"),"",IF(J293="Permanen",0,IF(J293="Semipermanen",8,IF(J293="Nonpermanen",15,0)))+IF(L293="Baik",0,IF(L293="Rusak Ringan",5,IF(L293="Rusak Sedang",10,IF(L293="Rusak Berat",15,IF(L293="Tidak Ada/Terbuka",20,0)))))+IF(N293="Baik",0,IF(N293="Rusak Ringan",5,IF(N293="Rusak Sedang",10,IF(N293="Rusak Berat",15,IF(N293="Tidak Ada/Terbuka",20,0)))))+IF(P293="Baik",0,IF(P293="Rusak Ringan",4,IF(P293="Rusak Sedang",8,IF(P293="Rusak Berat",12,IF(P293="Tidak Layak",15,0))))))</x:f>
      </x:c>
      <x:c r="AR293" s="719" t="n">
        <x:f>IF(COUNTIF(AC293:AH293,"Ya")&gt;0,10,IF(COUNTIF(AI293:AK293,"Ya")&gt;=2,10,IF(COUNTIF(AI293:AK293,"Ya")=1,MAX(5,IF(AM293="Risiko Tinggi/Darurat",10,IF(AM293="Risiko Sedang",5,0))),IF(AL293&lt;&gt;"",IF(AM293="Risiko Tinggi/Darurat",10,IF(AM293="Risiko Sedang",5,"")),IF(COUNTIF(AC293:AK293,"Belum Dinilai")&gt;0,"",0)))))</x:f>
        <x:v>0</x:v>
      </x:c>
      <x:c r="AS293" s="719" t="str">
        <x:f>IF(OR(AQ293="",AB293="",AR293=""),"",AQ293+AB293+AR293)</x:f>
      </x:c>
      <x:c r="AT293" s="719" t="str">
        <x:f>IF(AS293="","Belum Dapat Ditentukan",IF(AS293&gt;=80,"Sangat Tinggi",IF(OR(AO293="Risiko Tinggi/Darurat",(IF(L293="Rusak Berat",1,0)+IF(L293="Tidak Ada/Terbuka",1,0)+IF(N293="Rusak Berat",1,0)+IF(N293="Tidak Ada/Terbuka",1,0)+IF(P293="Rusak Berat",1,0)+IF(P293="Tidak Layak",1,0))&gt;=2),"Tinggi",IF(AS293&gt;=65,"Tinggi",IF(AS293&gt;=50,"Sedang","Rendah")))))</x:f>
        <x:v>Belum Dapat Ditentukan</x:v>
      </x:c>
      <x:c r="AU293" s="240"/>
      <x:c r="AV293" s="240"/>
      <x:c r="AW293" s="240"/>
      <x:c r="AX293" s="240"/>
      <x:c r="AY293" s="240"/>
      <x:c r="AZ293" s="240"/>
      <x:c r="BA293" s="240"/>
      <x:c r="BB293" s="240"/>
      <x:c r="BC293" s="240"/>
      <x:c r="BD293" s="240"/>
      <x:c r="BE293" s="240"/>
      <x:c r="BF293" s="240"/>
    </x:row>
    <x:row r="294" ht="32" customHeight="1">
      <x:c r="A294" s="314"/>
      <x:c r="B294" s="315"/>
      <x:c r="C294" s="316"/>
      <x:c r="D294" s="316"/>
      <x:c r="E294" s="315"/>
      <x:c r="F294" s="315"/>
      <x:c r="G294" s="315"/>
      <x:c r="H294" s="315"/>
      <x:c r="I294" s="317"/>
      <x:c r="J294" s="315"/>
      <x:c r="K294" s="315"/>
      <x:c r="L294" s="315"/>
      <x:c r="M294" s="367"/>
      <x:c r="N294" s="315"/>
      <x:c r="O294" s="316"/>
      <x:c r="P294" s="349"/>
      <x:c r="Q294" s="707"/>
      <x:c r="R294" s="707"/>
      <x:c r="S294" s="708"/>
      <x:c r="T294" s="709"/>
      <x:c r="U294" s="704"/>
      <x:c r="V294" s="704"/>
      <x:c r="W294" s="704"/>
      <x:c r="X294" s="704" t="str">
        <x:f>IF(COUNTIF(R294:V294,"Belum Dinilai")&gt;0,"Belum Dinilai",IF(COUNTIF(R294:V294,"Ya")=0,"Tidak ada faktor rentan",TEXTJOIN(", ",TRUE,IF(R294="Ya","Lansia",""),IF(S294="Ya","Penyandang disabilitas",""),IF(T294="Ya","Kepala keluarga perempuan",""),IF(U294="Ya","Balita",""),IF(V294="Ya","Anggota keluarga dengan ketergantungan tinggi",""))))</x:f>
        <x:v>Tidak ada faktor rentan</x:v>
      </x:c>
      <x:c r="Y294" s="704" t="str">
        <x:f>IF(COUNTIF(R294:V294,"Belum Dinilai")&gt;0,"Belum Dinilai",IF(COUNTIF(R294:V294,"Ya")=0,"Tidak Ada Faktor Rentan",IF(COUNTIF(R294:V294,"Ya")=1,"1 Faktor Rentan","2 atau Lebih Faktor Rentan")))</x:f>
        <x:v>Tidak Ada Faktor Rentan</x:v>
      </x:c>
      <x:c r="Z294" s="704" t="str">
        <x:f>IF(OR(Q294="",Q294="Belum Dinilai"),"",IF(Q294="Terverifikasi DTKS/P3KE/MBR",10,IF(Q294="Diusulkan, Belum Terverifikasi",5,0)))</x:f>
      </x:c>
      <x:c r="AA294" s="705" t="n">
        <x:f>IF(COUNTIF(R294:V294,"Belum Dinilai")&gt;0,"",IF(COUNTIF(R294:V294,"Ya")=0,0,IF(COUNTIF(R294:V294,"Ya")=1,5,10)))</x:f>
        <x:v>0</x:v>
      </x:c>
      <x:c r="AB294" s="706" t="str">
        <x:f>IF(OR(Z294="",AA294=""),"",Z294+AA294)</x:f>
      </x:c>
      <x:c r="AC294" s="713"/>
      <x:c r="AD294" s="713"/>
      <x:c r="AE294" s="714"/>
      <x:c r="AF294" s="713"/>
      <x:c r="AG294" s="713"/>
      <x:c r="AH294" s="715"/>
      <x:c r="AI294" s="714"/>
      <x:c r="AJ294" s="713"/>
      <x:c r="AK294" s="715"/>
      <x:c r="AL294" s="713"/>
      <x:c r="AM294" s="716"/>
      <x:c r="AN294" s="716" t="str">
        <x:f>IF(AND(COUNTIF(AC294:AK294,"Ya")=0,AL294=""),IF(COUNTIF(AC294:AK294,"Belum Dinilai")&gt;0,"Belum Dinilai","Tidak ada risiko khusus"),TEXTJOIN(", ",TRUE,IF(AC294="Ya","Bangunan berpotensi roboh",""),IF(AD294="Ya","Bekas kebakaran dan tidak aman dihuni",""),IF(AE294="Ya","Atap atau dinding utama hampir runtuh",""),IF(AF294="Ya","Genangan yang membahayakan",""),IF(AG294="Ya","Struktur rumah tidak stabil",""),IF(AH294="Ya","Instalasi listrik berbahaya",""),IF(AI294="Ya","Komponen bangunan lepas atau lapuk",""),IF(AJ294="Ya","Akses keluar atau evakuasi terbatas",""),IF(AK294="Ya","Lokasi rawan bencana",""),IF(AL294&lt;&gt;"","Lainnya: "&amp;AL294,"")))</x:f>
        <x:v>Tidak ada risiko khusus</x:v>
      </x:c>
      <x:c r="AO294" s="716" t="str">
        <x:f>IF(AR294="","Belum Dinilai",IF(AR294=10,"Risiko Tinggi/Darurat",IF(AR294=5,"Risiko Sedang","Tidak Ada Risiko Khusus")))</x:f>
        <x:v>Belum Dinilai</x:v>
      </x:c>
      <x:c r="AP294" s="716"/>
      <x:c r="AQ294" s="719" t="str">
        <x:f>IF(OR(J294="",J294="Belum Dapat Ditentukan",L294="",L294="Belum Dinilai",N294="",N294="Belum Dinilai",P294="",P294="Belum Dinilai"),"",IF(J294="Permanen",0,IF(J294="Semipermanen",8,IF(J294="Nonpermanen",15,0)))+IF(L294="Baik",0,IF(L294="Rusak Ringan",5,IF(L294="Rusak Sedang",10,IF(L294="Rusak Berat",15,IF(L294="Tidak Ada/Terbuka",20,0)))))+IF(N294="Baik",0,IF(N294="Rusak Ringan",5,IF(N294="Rusak Sedang",10,IF(N294="Rusak Berat",15,IF(N294="Tidak Ada/Terbuka",20,0)))))+IF(P294="Baik",0,IF(P294="Rusak Ringan",4,IF(P294="Rusak Sedang",8,IF(P294="Rusak Berat",12,IF(P294="Tidak Layak",15,0))))))</x:f>
      </x:c>
      <x:c r="AR294" s="719" t="n">
        <x:f>IF(COUNTIF(AC294:AH294,"Ya")&gt;0,10,IF(COUNTIF(AI294:AK294,"Ya")&gt;=2,10,IF(COUNTIF(AI294:AK294,"Ya")=1,MAX(5,IF(AM294="Risiko Tinggi/Darurat",10,IF(AM294="Risiko Sedang",5,0))),IF(AL294&lt;&gt;"",IF(AM294="Risiko Tinggi/Darurat",10,IF(AM294="Risiko Sedang",5,"")),IF(COUNTIF(AC294:AK294,"Belum Dinilai")&gt;0,"",0)))))</x:f>
        <x:v>0</x:v>
      </x:c>
      <x:c r="AS294" s="719" t="str">
        <x:f>IF(OR(AQ294="",AB294="",AR294=""),"",AQ294+AB294+AR294)</x:f>
      </x:c>
      <x:c r="AT294" s="719" t="str">
        <x:f>IF(AS294="","Belum Dapat Ditentukan",IF(AS294&gt;=80,"Sangat Tinggi",IF(OR(AO294="Risiko Tinggi/Darurat",(IF(L294="Rusak Berat",1,0)+IF(L294="Tidak Ada/Terbuka",1,0)+IF(N294="Rusak Berat",1,0)+IF(N294="Tidak Ada/Terbuka",1,0)+IF(P294="Rusak Berat",1,0)+IF(P294="Tidak Layak",1,0))&gt;=2),"Tinggi",IF(AS294&gt;=65,"Tinggi",IF(AS294&gt;=50,"Sedang","Rendah")))))</x:f>
        <x:v>Belum Dapat Ditentukan</x:v>
      </x:c>
      <x:c r="AU294" s="240"/>
      <x:c r="AV294" s="240"/>
      <x:c r="AW294" s="240"/>
      <x:c r="AX294" s="240"/>
      <x:c r="AY294" s="240"/>
      <x:c r="AZ294" s="240"/>
      <x:c r="BA294" s="240"/>
      <x:c r="BB294" s="240"/>
      <x:c r="BC294" s="240"/>
      <x:c r="BD294" s="240"/>
      <x:c r="BE294" s="240"/>
      <x:c r="BF294" s="240"/>
    </x:row>
    <x:row r="295" ht="32" customHeight="1">
      <x:c r="A295" s="314"/>
      <x:c r="B295" s="315"/>
      <x:c r="C295" s="316"/>
      <x:c r="D295" s="316"/>
      <x:c r="E295" s="315"/>
      <x:c r="F295" s="315"/>
      <x:c r="G295" s="315"/>
      <x:c r="H295" s="315"/>
      <x:c r="I295" s="317"/>
      <x:c r="J295" s="315"/>
      <x:c r="K295" s="315"/>
      <x:c r="L295" s="315"/>
      <x:c r="M295" s="367"/>
      <x:c r="N295" s="315"/>
      <x:c r="O295" s="316"/>
      <x:c r="P295" s="349"/>
      <x:c r="Q295" s="707"/>
      <x:c r="R295" s="707"/>
      <x:c r="S295" s="708"/>
      <x:c r="T295" s="709"/>
      <x:c r="U295" s="704"/>
      <x:c r="V295" s="704"/>
      <x:c r="W295" s="704"/>
      <x:c r="X295" s="704" t="str">
        <x:f>IF(COUNTIF(R295:V295,"Belum Dinilai")&gt;0,"Belum Dinilai",IF(COUNTIF(R295:V295,"Ya")=0,"Tidak ada faktor rentan",TEXTJOIN(", ",TRUE,IF(R295="Ya","Lansia",""),IF(S295="Ya","Penyandang disabilitas",""),IF(T295="Ya","Kepala keluarga perempuan",""),IF(U295="Ya","Balita",""),IF(V295="Ya","Anggota keluarga dengan ketergantungan tinggi",""))))</x:f>
        <x:v>Tidak ada faktor rentan</x:v>
      </x:c>
      <x:c r="Y295" s="704" t="str">
        <x:f>IF(COUNTIF(R295:V295,"Belum Dinilai")&gt;0,"Belum Dinilai",IF(COUNTIF(R295:V295,"Ya")=0,"Tidak Ada Faktor Rentan",IF(COUNTIF(R295:V295,"Ya")=1,"1 Faktor Rentan","2 atau Lebih Faktor Rentan")))</x:f>
        <x:v>Tidak Ada Faktor Rentan</x:v>
      </x:c>
      <x:c r="Z295" s="704" t="str">
        <x:f>IF(OR(Q295="",Q295="Belum Dinilai"),"",IF(Q295="Terverifikasi DTKS/P3KE/MBR",10,IF(Q295="Diusulkan, Belum Terverifikasi",5,0)))</x:f>
      </x:c>
      <x:c r="AA295" s="705" t="n">
        <x:f>IF(COUNTIF(R295:V295,"Belum Dinilai")&gt;0,"",IF(COUNTIF(R295:V295,"Ya")=0,0,IF(COUNTIF(R295:V295,"Ya")=1,5,10)))</x:f>
        <x:v>0</x:v>
      </x:c>
      <x:c r="AB295" s="706" t="str">
        <x:f>IF(OR(Z295="",AA295=""),"",Z295+AA295)</x:f>
      </x:c>
      <x:c r="AC295" s="713"/>
      <x:c r="AD295" s="713"/>
      <x:c r="AE295" s="714"/>
      <x:c r="AF295" s="713"/>
      <x:c r="AG295" s="713"/>
      <x:c r="AH295" s="715"/>
      <x:c r="AI295" s="714"/>
      <x:c r="AJ295" s="713"/>
      <x:c r="AK295" s="715"/>
      <x:c r="AL295" s="713"/>
      <x:c r="AM295" s="716"/>
      <x:c r="AN295" s="716" t="str">
        <x:f>IF(AND(COUNTIF(AC295:AK295,"Ya")=0,AL295=""),IF(COUNTIF(AC295:AK295,"Belum Dinilai")&gt;0,"Belum Dinilai","Tidak ada risiko khusus"),TEXTJOIN(", ",TRUE,IF(AC295="Ya","Bangunan berpotensi roboh",""),IF(AD295="Ya","Bekas kebakaran dan tidak aman dihuni",""),IF(AE295="Ya","Atap atau dinding utama hampir runtuh",""),IF(AF295="Ya","Genangan yang membahayakan",""),IF(AG295="Ya","Struktur rumah tidak stabil",""),IF(AH295="Ya","Instalasi listrik berbahaya",""),IF(AI295="Ya","Komponen bangunan lepas atau lapuk",""),IF(AJ295="Ya","Akses keluar atau evakuasi terbatas",""),IF(AK295="Ya","Lokasi rawan bencana",""),IF(AL295&lt;&gt;"","Lainnya: "&amp;AL295,"")))</x:f>
        <x:v>Tidak ada risiko khusus</x:v>
      </x:c>
      <x:c r="AO295" s="716" t="str">
        <x:f>IF(AR295="","Belum Dinilai",IF(AR295=10,"Risiko Tinggi/Darurat",IF(AR295=5,"Risiko Sedang","Tidak Ada Risiko Khusus")))</x:f>
        <x:v>Belum Dinilai</x:v>
      </x:c>
      <x:c r="AP295" s="716"/>
      <x:c r="AQ295" s="719" t="str">
        <x:f>IF(OR(J295="",J295="Belum Dapat Ditentukan",L295="",L295="Belum Dinilai",N295="",N295="Belum Dinilai",P295="",P295="Belum Dinilai"),"",IF(J295="Permanen",0,IF(J295="Semipermanen",8,IF(J295="Nonpermanen",15,0)))+IF(L295="Baik",0,IF(L295="Rusak Ringan",5,IF(L295="Rusak Sedang",10,IF(L295="Rusak Berat",15,IF(L295="Tidak Ada/Terbuka",20,0)))))+IF(N295="Baik",0,IF(N295="Rusak Ringan",5,IF(N295="Rusak Sedang",10,IF(N295="Rusak Berat",15,IF(N295="Tidak Ada/Terbuka",20,0)))))+IF(P295="Baik",0,IF(P295="Rusak Ringan",4,IF(P295="Rusak Sedang",8,IF(P295="Rusak Berat",12,IF(P295="Tidak Layak",15,0))))))</x:f>
      </x:c>
      <x:c r="AR295" s="719" t="n">
        <x:f>IF(COUNTIF(AC295:AH295,"Ya")&gt;0,10,IF(COUNTIF(AI295:AK295,"Ya")&gt;=2,10,IF(COUNTIF(AI295:AK295,"Ya")=1,MAX(5,IF(AM295="Risiko Tinggi/Darurat",10,IF(AM295="Risiko Sedang",5,0))),IF(AL295&lt;&gt;"",IF(AM295="Risiko Tinggi/Darurat",10,IF(AM295="Risiko Sedang",5,"")),IF(COUNTIF(AC295:AK295,"Belum Dinilai")&gt;0,"",0)))))</x:f>
        <x:v>0</x:v>
      </x:c>
      <x:c r="AS295" s="719" t="str">
        <x:f>IF(OR(AQ295="",AB295="",AR295=""),"",AQ295+AB295+AR295)</x:f>
      </x:c>
      <x:c r="AT295" s="719" t="str">
        <x:f>IF(AS295="","Belum Dapat Ditentukan",IF(AS295&gt;=80,"Sangat Tinggi",IF(OR(AO295="Risiko Tinggi/Darurat",(IF(L295="Rusak Berat",1,0)+IF(L295="Tidak Ada/Terbuka",1,0)+IF(N295="Rusak Berat",1,0)+IF(N295="Tidak Ada/Terbuka",1,0)+IF(P295="Rusak Berat",1,0)+IF(P295="Tidak Layak",1,0))&gt;=2),"Tinggi",IF(AS295&gt;=65,"Tinggi",IF(AS295&gt;=50,"Sedang","Rendah")))))</x:f>
        <x:v>Belum Dapat Ditentukan</x:v>
      </x:c>
      <x:c r="AU295" s="240"/>
      <x:c r="AV295" s="240"/>
      <x:c r="AW295" s="240"/>
      <x:c r="AX295" s="240"/>
      <x:c r="AY295" s="240"/>
      <x:c r="AZ295" s="240"/>
      <x:c r="BA295" s="240"/>
      <x:c r="BB295" s="240"/>
      <x:c r="BC295" s="240"/>
      <x:c r="BD295" s="240"/>
      <x:c r="BE295" s="240"/>
      <x:c r="BF295" s="240"/>
    </x:row>
    <x:row r="296" ht="32" customHeight="1">
      <x:c r="A296" s="314"/>
      <x:c r="B296" s="315"/>
      <x:c r="C296" s="316"/>
      <x:c r="D296" s="316"/>
      <x:c r="E296" s="315"/>
      <x:c r="F296" s="315"/>
      <x:c r="G296" s="315"/>
      <x:c r="H296" s="315"/>
      <x:c r="I296" s="317"/>
      <x:c r="J296" s="315"/>
      <x:c r="K296" s="315"/>
      <x:c r="L296" s="315"/>
      <x:c r="M296" s="367"/>
      <x:c r="N296" s="315"/>
      <x:c r="O296" s="316"/>
      <x:c r="P296" s="349"/>
      <x:c r="Q296" s="707"/>
      <x:c r="R296" s="707"/>
      <x:c r="S296" s="708"/>
      <x:c r="T296" s="709"/>
      <x:c r="U296" s="704"/>
      <x:c r="V296" s="704"/>
      <x:c r="W296" s="704"/>
      <x:c r="X296" s="704" t="str">
        <x:f>IF(COUNTIF(R296:V296,"Belum Dinilai")&gt;0,"Belum Dinilai",IF(COUNTIF(R296:V296,"Ya")=0,"Tidak ada faktor rentan",TEXTJOIN(", ",TRUE,IF(R296="Ya","Lansia",""),IF(S296="Ya","Penyandang disabilitas",""),IF(T296="Ya","Kepala keluarga perempuan",""),IF(U296="Ya","Balita",""),IF(V296="Ya","Anggota keluarga dengan ketergantungan tinggi",""))))</x:f>
        <x:v>Tidak ada faktor rentan</x:v>
      </x:c>
      <x:c r="Y296" s="704" t="str">
        <x:f>IF(COUNTIF(R296:V296,"Belum Dinilai")&gt;0,"Belum Dinilai",IF(COUNTIF(R296:V296,"Ya")=0,"Tidak Ada Faktor Rentan",IF(COUNTIF(R296:V296,"Ya")=1,"1 Faktor Rentan","2 atau Lebih Faktor Rentan")))</x:f>
        <x:v>Tidak Ada Faktor Rentan</x:v>
      </x:c>
      <x:c r="Z296" s="704" t="str">
        <x:f>IF(OR(Q296="",Q296="Belum Dinilai"),"",IF(Q296="Terverifikasi DTKS/P3KE/MBR",10,IF(Q296="Diusulkan, Belum Terverifikasi",5,0)))</x:f>
      </x:c>
      <x:c r="AA296" s="705" t="n">
        <x:f>IF(COUNTIF(R296:V296,"Belum Dinilai")&gt;0,"",IF(COUNTIF(R296:V296,"Ya")=0,0,IF(COUNTIF(R296:V296,"Ya")=1,5,10)))</x:f>
        <x:v>0</x:v>
      </x:c>
      <x:c r="AB296" s="706" t="str">
        <x:f>IF(OR(Z296="",AA296=""),"",Z296+AA296)</x:f>
      </x:c>
      <x:c r="AC296" s="713"/>
      <x:c r="AD296" s="713"/>
      <x:c r="AE296" s="714"/>
      <x:c r="AF296" s="713"/>
      <x:c r="AG296" s="713"/>
      <x:c r="AH296" s="715"/>
      <x:c r="AI296" s="714"/>
      <x:c r="AJ296" s="713"/>
      <x:c r="AK296" s="715"/>
      <x:c r="AL296" s="713"/>
      <x:c r="AM296" s="716"/>
      <x:c r="AN296" s="716" t="str">
        <x:f>IF(AND(COUNTIF(AC296:AK296,"Ya")=0,AL296=""),IF(COUNTIF(AC296:AK296,"Belum Dinilai")&gt;0,"Belum Dinilai","Tidak ada risiko khusus"),TEXTJOIN(", ",TRUE,IF(AC296="Ya","Bangunan berpotensi roboh",""),IF(AD296="Ya","Bekas kebakaran dan tidak aman dihuni",""),IF(AE296="Ya","Atap atau dinding utama hampir runtuh",""),IF(AF296="Ya","Genangan yang membahayakan",""),IF(AG296="Ya","Struktur rumah tidak stabil",""),IF(AH296="Ya","Instalasi listrik berbahaya",""),IF(AI296="Ya","Komponen bangunan lepas atau lapuk",""),IF(AJ296="Ya","Akses keluar atau evakuasi terbatas",""),IF(AK296="Ya","Lokasi rawan bencana",""),IF(AL296&lt;&gt;"","Lainnya: "&amp;AL296,"")))</x:f>
        <x:v>Tidak ada risiko khusus</x:v>
      </x:c>
      <x:c r="AO296" s="716" t="str">
        <x:f>IF(AR296="","Belum Dinilai",IF(AR296=10,"Risiko Tinggi/Darurat",IF(AR296=5,"Risiko Sedang","Tidak Ada Risiko Khusus")))</x:f>
        <x:v>Belum Dinilai</x:v>
      </x:c>
      <x:c r="AP296" s="716"/>
      <x:c r="AQ296" s="719" t="str">
        <x:f>IF(OR(J296="",J296="Belum Dapat Ditentukan",L296="",L296="Belum Dinilai",N296="",N296="Belum Dinilai",P296="",P296="Belum Dinilai"),"",IF(J296="Permanen",0,IF(J296="Semipermanen",8,IF(J296="Nonpermanen",15,0)))+IF(L296="Baik",0,IF(L296="Rusak Ringan",5,IF(L296="Rusak Sedang",10,IF(L296="Rusak Berat",15,IF(L296="Tidak Ada/Terbuka",20,0)))))+IF(N296="Baik",0,IF(N296="Rusak Ringan",5,IF(N296="Rusak Sedang",10,IF(N296="Rusak Berat",15,IF(N296="Tidak Ada/Terbuka",20,0)))))+IF(P296="Baik",0,IF(P296="Rusak Ringan",4,IF(P296="Rusak Sedang",8,IF(P296="Rusak Berat",12,IF(P296="Tidak Layak",15,0))))))</x:f>
      </x:c>
      <x:c r="AR296" s="719" t="n">
        <x:f>IF(COUNTIF(AC296:AH296,"Ya")&gt;0,10,IF(COUNTIF(AI296:AK296,"Ya")&gt;=2,10,IF(COUNTIF(AI296:AK296,"Ya")=1,MAX(5,IF(AM296="Risiko Tinggi/Darurat",10,IF(AM296="Risiko Sedang",5,0))),IF(AL296&lt;&gt;"",IF(AM296="Risiko Tinggi/Darurat",10,IF(AM296="Risiko Sedang",5,"")),IF(COUNTIF(AC296:AK296,"Belum Dinilai")&gt;0,"",0)))))</x:f>
        <x:v>0</x:v>
      </x:c>
      <x:c r="AS296" s="719" t="str">
        <x:f>IF(OR(AQ296="",AB296="",AR296=""),"",AQ296+AB296+AR296)</x:f>
      </x:c>
      <x:c r="AT296" s="719" t="str">
        <x:f>IF(AS296="","Belum Dapat Ditentukan",IF(AS296&gt;=80,"Sangat Tinggi",IF(OR(AO296="Risiko Tinggi/Darurat",(IF(L296="Rusak Berat",1,0)+IF(L296="Tidak Ada/Terbuka",1,0)+IF(N296="Rusak Berat",1,0)+IF(N296="Tidak Ada/Terbuka",1,0)+IF(P296="Rusak Berat",1,0)+IF(P296="Tidak Layak",1,0))&gt;=2),"Tinggi",IF(AS296&gt;=65,"Tinggi",IF(AS296&gt;=50,"Sedang","Rendah")))))</x:f>
        <x:v>Belum Dapat Ditentukan</x:v>
      </x:c>
      <x:c r="AU296" s="240"/>
      <x:c r="AV296" s="240"/>
      <x:c r="AW296" s="240"/>
      <x:c r="AX296" s="240"/>
      <x:c r="AY296" s="240"/>
      <x:c r="AZ296" s="240"/>
      <x:c r="BA296" s="240"/>
      <x:c r="BB296" s="240"/>
      <x:c r="BC296" s="240"/>
      <x:c r="BD296" s="240"/>
      <x:c r="BE296" s="240"/>
      <x:c r="BF296" s="240"/>
    </x:row>
    <x:row r="297" ht="32" customHeight="1">
      <x:c r="A297" s="314"/>
      <x:c r="B297" s="315"/>
      <x:c r="C297" s="316"/>
      <x:c r="D297" s="316"/>
      <x:c r="E297" s="315"/>
      <x:c r="F297" s="315"/>
      <x:c r="G297" s="315"/>
      <x:c r="H297" s="315"/>
      <x:c r="I297" s="317"/>
      <x:c r="J297" s="315"/>
      <x:c r="K297" s="315"/>
      <x:c r="L297" s="315"/>
      <x:c r="M297" s="367"/>
      <x:c r="N297" s="315"/>
      <x:c r="O297" s="316"/>
      <x:c r="P297" s="349"/>
      <x:c r="Q297" s="707"/>
      <x:c r="R297" s="707"/>
      <x:c r="S297" s="708"/>
      <x:c r="T297" s="709"/>
      <x:c r="U297" s="704"/>
      <x:c r="V297" s="704"/>
      <x:c r="W297" s="704"/>
      <x:c r="X297" s="704" t="str">
        <x:f>IF(COUNTIF(R297:V297,"Belum Dinilai")&gt;0,"Belum Dinilai",IF(COUNTIF(R297:V297,"Ya")=0,"Tidak ada faktor rentan",TEXTJOIN(", ",TRUE,IF(R297="Ya","Lansia",""),IF(S297="Ya","Penyandang disabilitas",""),IF(T297="Ya","Kepala keluarga perempuan",""),IF(U297="Ya","Balita",""),IF(V297="Ya","Anggota keluarga dengan ketergantungan tinggi",""))))</x:f>
        <x:v>Tidak ada faktor rentan</x:v>
      </x:c>
      <x:c r="Y297" s="704" t="str">
        <x:f>IF(COUNTIF(R297:V297,"Belum Dinilai")&gt;0,"Belum Dinilai",IF(COUNTIF(R297:V297,"Ya")=0,"Tidak Ada Faktor Rentan",IF(COUNTIF(R297:V297,"Ya")=1,"1 Faktor Rentan","2 atau Lebih Faktor Rentan")))</x:f>
        <x:v>Tidak Ada Faktor Rentan</x:v>
      </x:c>
      <x:c r="Z297" s="704" t="str">
        <x:f>IF(OR(Q297="",Q297="Belum Dinilai"),"",IF(Q297="Terverifikasi DTKS/P3KE/MBR",10,IF(Q297="Diusulkan, Belum Terverifikasi",5,0)))</x:f>
      </x:c>
      <x:c r="AA297" s="705" t="n">
        <x:f>IF(COUNTIF(R297:V297,"Belum Dinilai")&gt;0,"",IF(COUNTIF(R297:V297,"Ya")=0,0,IF(COUNTIF(R297:V297,"Ya")=1,5,10)))</x:f>
        <x:v>0</x:v>
      </x:c>
      <x:c r="AB297" s="706" t="str">
        <x:f>IF(OR(Z297="",AA297=""),"",Z297+AA297)</x:f>
      </x:c>
      <x:c r="AC297" s="713"/>
      <x:c r="AD297" s="713"/>
      <x:c r="AE297" s="714"/>
      <x:c r="AF297" s="713"/>
      <x:c r="AG297" s="713"/>
      <x:c r="AH297" s="715"/>
      <x:c r="AI297" s="714"/>
      <x:c r="AJ297" s="713"/>
      <x:c r="AK297" s="715"/>
      <x:c r="AL297" s="713"/>
      <x:c r="AM297" s="716"/>
      <x:c r="AN297" s="716" t="str">
        <x:f>IF(AND(COUNTIF(AC297:AK297,"Ya")=0,AL297=""),IF(COUNTIF(AC297:AK297,"Belum Dinilai")&gt;0,"Belum Dinilai","Tidak ada risiko khusus"),TEXTJOIN(", ",TRUE,IF(AC297="Ya","Bangunan berpotensi roboh",""),IF(AD297="Ya","Bekas kebakaran dan tidak aman dihuni",""),IF(AE297="Ya","Atap atau dinding utama hampir runtuh",""),IF(AF297="Ya","Genangan yang membahayakan",""),IF(AG297="Ya","Struktur rumah tidak stabil",""),IF(AH297="Ya","Instalasi listrik berbahaya",""),IF(AI297="Ya","Komponen bangunan lepas atau lapuk",""),IF(AJ297="Ya","Akses keluar atau evakuasi terbatas",""),IF(AK297="Ya","Lokasi rawan bencana",""),IF(AL297&lt;&gt;"","Lainnya: "&amp;AL297,"")))</x:f>
        <x:v>Tidak ada risiko khusus</x:v>
      </x:c>
      <x:c r="AO297" s="716" t="str">
        <x:f>IF(AR297="","Belum Dinilai",IF(AR297=10,"Risiko Tinggi/Darurat",IF(AR297=5,"Risiko Sedang","Tidak Ada Risiko Khusus")))</x:f>
        <x:v>Belum Dinilai</x:v>
      </x:c>
      <x:c r="AP297" s="716"/>
      <x:c r="AQ297" s="719" t="str">
        <x:f>IF(OR(J297="",J297="Belum Dapat Ditentukan",L297="",L297="Belum Dinilai",N297="",N297="Belum Dinilai",P297="",P297="Belum Dinilai"),"",IF(J297="Permanen",0,IF(J297="Semipermanen",8,IF(J297="Nonpermanen",15,0)))+IF(L297="Baik",0,IF(L297="Rusak Ringan",5,IF(L297="Rusak Sedang",10,IF(L297="Rusak Berat",15,IF(L297="Tidak Ada/Terbuka",20,0)))))+IF(N297="Baik",0,IF(N297="Rusak Ringan",5,IF(N297="Rusak Sedang",10,IF(N297="Rusak Berat",15,IF(N297="Tidak Ada/Terbuka",20,0)))))+IF(P297="Baik",0,IF(P297="Rusak Ringan",4,IF(P297="Rusak Sedang",8,IF(P297="Rusak Berat",12,IF(P297="Tidak Layak",15,0))))))</x:f>
      </x:c>
      <x:c r="AR297" s="719" t="n">
        <x:f>IF(COUNTIF(AC297:AH297,"Ya")&gt;0,10,IF(COUNTIF(AI297:AK297,"Ya")&gt;=2,10,IF(COUNTIF(AI297:AK297,"Ya")=1,MAX(5,IF(AM297="Risiko Tinggi/Darurat",10,IF(AM297="Risiko Sedang",5,0))),IF(AL297&lt;&gt;"",IF(AM297="Risiko Tinggi/Darurat",10,IF(AM297="Risiko Sedang",5,"")),IF(COUNTIF(AC297:AK297,"Belum Dinilai")&gt;0,"",0)))))</x:f>
        <x:v>0</x:v>
      </x:c>
      <x:c r="AS297" s="719" t="str">
        <x:f>IF(OR(AQ297="",AB297="",AR297=""),"",AQ297+AB297+AR297)</x:f>
      </x:c>
      <x:c r="AT297" s="719" t="str">
        <x:f>IF(AS297="","Belum Dapat Ditentukan",IF(AS297&gt;=80,"Sangat Tinggi",IF(OR(AO297="Risiko Tinggi/Darurat",(IF(L297="Rusak Berat",1,0)+IF(L297="Tidak Ada/Terbuka",1,0)+IF(N297="Rusak Berat",1,0)+IF(N297="Tidak Ada/Terbuka",1,0)+IF(P297="Rusak Berat",1,0)+IF(P297="Tidak Layak",1,0))&gt;=2),"Tinggi",IF(AS297&gt;=65,"Tinggi",IF(AS297&gt;=50,"Sedang","Rendah")))))</x:f>
        <x:v>Belum Dapat Ditentukan</x:v>
      </x:c>
      <x:c r="AU297" s="240"/>
      <x:c r="AV297" s="240"/>
      <x:c r="AW297" s="240"/>
      <x:c r="AX297" s="240"/>
      <x:c r="AY297" s="240"/>
      <x:c r="AZ297" s="240"/>
      <x:c r="BA297" s="240"/>
      <x:c r="BB297" s="240"/>
      <x:c r="BC297" s="240"/>
      <x:c r="BD297" s="240"/>
      <x:c r="BE297" s="240"/>
      <x:c r="BF297" s="240"/>
    </x:row>
    <x:row r="298" ht="32" customHeight="1">
      <x:c r="A298" s="314"/>
      <x:c r="B298" s="315"/>
      <x:c r="C298" s="316"/>
      <x:c r="D298" s="316"/>
      <x:c r="E298" s="315"/>
      <x:c r="F298" s="315"/>
      <x:c r="G298" s="315"/>
      <x:c r="H298" s="315"/>
      <x:c r="I298" s="317"/>
      <x:c r="J298" s="315"/>
      <x:c r="K298" s="315"/>
      <x:c r="L298" s="315"/>
      <x:c r="M298" s="367"/>
      <x:c r="N298" s="315"/>
      <x:c r="O298" s="316"/>
      <x:c r="P298" s="349"/>
      <x:c r="Q298" s="707"/>
      <x:c r="R298" s="707"/>
      <x:c r="S298" s="708"/>
      <x:c r="T298" s="709"/>
      <x:c r="U298" s="704"/>
      <x:c r="V298" s="704"/>
      <x:c r="W298" s="704"/>
      <x:c r="X298" s="704" t="str">
        <x:f>IF(COUNTIF(R298:V298,"Belum Dinilai")&gt;0,"Belum Dinilai",IF(COUNTIF(R298:V298,"Ya")=0,"Tidak ada faktor rentan",TEXTJOIN(", ",TRUE,IF(R298="Ya","Lansia",""),IF(S298="Ya","Penyandang disabilitas",""),IF(T298="Ya","Kepala keluarga perempuan",""),IF(U298="Ya","Balita",""),IF(V298="Ya","Anggota keluarga dengan ketergantungan tinggi",""))))</x:f>
        <x:v>Tidak ada faktor rentan</x:v>
      </x:c>
      <x:c r="Y298" s="704" t="str">
        <x:f>IF(COUNTIF(R298:V298,"Belum Dinilai")&gt;0,"Belum Dinilai",IF(COUNTIF(R298:V298,"Ya")=0,"Tidak Ada Faktor Rentan",IF(COUNTIF(R298:V298,"Ya")=1,"1 Faktor Rentan","2 atau Lebih Faktor Rentan")))</x:f>
        <x:v>Tidak Ada Faktor Rentan</x:v>
      </x:c>
      <x:c r="Z298" s="704" t="str">
        <x:f>IF(OR(Q298="",Q298="Belum Dinilai"),"",IF(Q298="Terverifikasi DTKS/P3KE/MBR",10,IF(Q298="Diusulkan, Belum Terverifikasi",5,0)))</x:f>
      </x:c>
      <x:c r="AA298" s="705" t="n">
        <x:f>IF(COUNTIF(R298:V298,"Belum Dinilai")&gt;0,"",IF(COUNTIF(R298:V298,"Ya")=0,0,IF(COUNTIF(R298:V298,"Ya")=1,5,10)))</x:f>
        <x:v>0</x:v>
      </x:c>
      <x:c r="AB298" s="706" t="str">
        <x:f>IF(OR(Z298="",AA298=""),"",Z298+AA298)</x:f>
      </x:c>
      <x:c r="AC298" s="713"/>
      <x:c r="AD298" s="713"/>
      <x:c r="AE298" s="714"/>
      <x:c r="AF298" s="713"/>
      <x:c r="AG298" s="713"/>
      <x:c r="AH298" s="715"/>
      <x:c r="AI298" s="714"/>
      <x:c r="AJ298" s="713"/>
      <x:c r="AK298" s="715"/>
      <x:c r="AL298" s="713"/>
      <x:c r="AM298" s="716"/>
      <x:c r="AN298" s="716" t="str">
        <x:f>IF(AND(COUNTIF(AC298:AK298,"Ya")=0,AL298=""),IF(COUNTIF(AC298:AK298,"Belum Dinilai")&gt;0,"Belum Dinilai","Tidak ada risiko khusus"),TEXTJOIN(", ",TRUE,IF(AC298="Ya","Bangunan berpotensi roboh",""),IF(AD298="Ya","Bekas kebakaran dan tidak aman dihuni",""),IF(AE298="Ya","Atap atau dinding utama hampir runtuh",""),IF(AF298="Ya","Genangan yang membahayakan",""),IF(AG298="Ya","Struktur rumah tidak stabil",""),IF(AH298="Ya","Instalasi listrik berbahaya",""),IF(AI298="Ya","Komponen bangunan lepas atau lapuk",""),IF(AJ298="Ya","Akses keluar atau evakuasi terbatas",""),IF(AK298="Ya","Lokasi rawan bencana",""),IF(AL298&lt;&gt;"","Lainnya: "&amp;AL298,"")))</x:f>
        <x:v>Tidak ada risiko khusus</x:v>
      </x:c>
      <x:c r="AO298" s="716" t="str">
        <x:f>IF(AR298="","Belum Dinilai",IF(AR298=10,"Risiko Tinggi/Darurat",IF(AR298=5,"Risiko Sedang","Tidak Ada Risiko Khusus")))</x:f>
        <x:v>Belum Dinilai</x:v>
      </x:c>
      <x:c r="AP298" s="716"/>
      <x:c r="AQ298" s="719" t="str">
        <x:f>IF(OR(J298="",J298="Belum Dapat Ditentukan",L298="",L298="Belum Dinilai",N298="",N298="Belum Dinilai",P298="",P298="Belum Dinilai"),"",IF(J298="Permanen",0,IF(J298="Semipermanen",8,IF(J298="Nonpermanen",15,0)))+IF(L298="Baik",0,IF(L298="Rusak Ringan",5,IF(L298="Rusak Sedang",10,IF(L298="Rusak Berat",15,IF(L298="Tidak Ada/Terbuka",20,0)))))+IF(N298="Baik",0,IF(N298="Rusak Ringan",5,IF(N298="Rusak Sedang",10,IF(N298="Rusak Berat",15,IF(N298="Tidak Ada/Terbuka",20,0)))))+IF(P298="Baik",0,IF(P298="Rusak Ringan",4,IF(P298="Rusak Sedang",8,IF(P298="Rusak Berat",12,IF(P298="Tidak Layak",15,0))))))</x:f>
      </x:c>
      <x:c r="AR298" s="719" t="n">
        <x:f>IF(COUNTIF(AC298:AH298,"Ya")&gt;0,10,IF(COUNTIF(AI298:AK298,"Ya")&gt;=2,10,IF(COUNTIF(AI298:AK298,"Ya")=1,MAX(5,IF(AM298="Risiko Tinggi/Darurat",10,IF(AM298="Risiko Sedang",5,0))),IF(AL298&lt;&gt;"",IF(AM298="Risiko Tinggi/Darurat",10,IF(AM298="Risiko Sedang",5,"")),IF(COUNTIF(AC298:AK298,"Belum Dinilai")&gt;0,"",0)))))</x:f>
        <x:v>0</x:v>
      </x:c>
      <x:c r="AS298" s="719" t="str">
        <x:f>IF(OR(AQ298="",AB298="",AR298=""),"",AQ298+AB298+AR298)</x:f>
      </x:c>
      <x:c r="AT298" s="719" t="str">
        <x:f>IF(AS298="","Belum Dapat Ditentukan",IF(AS298&gt;=80,"Sangat Tinggi",IF(OR(AO298="Risiko Tinggi/Darurat",(IF(L298="Rusak Berat",1,0)+IF(L298="Tidak Ada/Terbuka",1,0)+IF(N298="Rusak Berat",1,0)+IF(N298="Tidak Ada/Terbuka",1,0)+IF(P298="Rusak Berat",1,0)+IF(P298="Tidak Layak",1,0))&gt;=2),"Tinggi",IF(AS298&gt;=65,"Tinggi",IF(AS298&gt;=50,"Sedang","Rendah")))))</x:f>
        <x:v>Belum Dapat Ditentukan</x:v>
      </x:c>
      <x:c r="AU298" s="240"/>
      <x:c r="AV298" s="240"/>
      <x:c r="AW298" s="240"/>
      <x:c r="AX298" s="240"/>
      <x:c r="AY298" s="240"/>
      <x:c r="AZ298" s="240"/>
      <x:c r="BA298" s="240"/>
      <x:c r="BB298" s="240"/>
      <x:c r="BC298" s="240"/>
      <x:c r="BD298" s="240"/>
      <x:c r="BE298" s="240"/>
      <x:c r="BF298" s="240"/>
    </x:row>
    <x:row r="299" ht="32" customHeight="1">
      <x:c r="A299" s="314"/>
      <x:c r="B299" s="315"/>
      <x:c r="C299" s="316"/>
      <x:c r="D299" s="316"/>
      <x:c r="E299" s="315"/>
      <x:c r="F299" s="315"/>
      <x:c r="G299" s="315"/>
      <x:c r="H299" s="315"/>
      <x:c r="I299" s="317"/>
      <x:c r="J299" s="315"/>
      <x:c r="K299" s="315"/>
      <x:c r="L299" s="315"/>
      <x:c r="M299" s="367"/>
      <x:c r="N299" s="315"/>
      <x:c r="O299" s="316"/>
      <x:c r="P299" s="349"/>
      <x:c r="Q299" s="707"/>
      <x:c r="R299" s="707"/>
      <x:c r="S299" s="708"/>
      <x:c r="T299" s="709"/>
      <x:c r="U299" s="704"/>
      <x:c r="V299" s="704"/>
      <x:c r="W299" s="704"/>
      <x:c r="X299" s="704" t="str">
        <x:f>IF(COUNTIF(R299:V299,"Belum Dinilai")&gt;0,"Belum Dinilai",IF(COUNTIF(R299:V299,"Ya")=0,"Tidak ada faktor rentan",TEXTJOIN(", ",TRUE,IF(R299="Ya","Lansia",""),IF(S299="Ya","Penyandang disabilitas",""),IF(T299="Ya","Kepala keluarga perempuan",""),IF(U299="Ya","Balita",""),IF(V299="Ya","Anggota keluarga dengan ketergantungan tinggi",""))))</x:f>
        <x:v>Tidak ada faktor rentan</x:v>
      </x:c>
      <x:c r="Y299" s="704" t="str">
        <x:f>IF(COUNTIF(R299:V299,"Belum Dinilai")&gt;0,"Belum Dinilai",IF(COUNTIF(R299:V299,"Ya")=0,"Tidak Ada Faktor Rentan",IF(COUNTIF(R299:V299,"Ya")=1,"1 Faktor Rentan","2 atau Lebih Faktor Rentan")))</x:f>
        <x:v>Tidak Ada Faktor Rentan</x:v>
      </x:c>
      <x:c r="Z299" s="704" t="str">
        <x:f>IF(OR(Q299="",Q299="Belum Dinilai"),"",IF(Q299="Terverifikasi DTKS/P3KE/MBR",10,IF(Q299="Diusulkan, Belum Terverifikasi",5,0)))</x:f>
      </x:c>
      <x:c r="AA299" s="705" t="n">
        <x:f>IF(COUNTIF(R299:V299,"Belum Dinilai")&gt;0,"",IF(COUNTIF(R299:V299,"Ya")=0,0,IF(COUNTIF(R299:V299,"Ya")=1,5,10)))</x:f>
        <x:v>0</x:v>
      </x:c>
      <x:c r="AB299" s="706" t="str">
        <x:f>IF(OR(Z299="",AA299=""),"",Z299+AA299)</x:f>
      </x:c>
      <x:c r="AC299" s="713"/>
      <x:c r="AD299" s="713"/>
      <x:c r="AE299" s="714"/>
      <x:c r="AF299" s="713"/>
      <x:c r="AG299" s="713"/>
      <x:c r="AH299" s="715"/>
      <x:c r="AI299" s="714"/>
      <x:c r="AJ299" s="713"/>
      <x:c r="AK299" s="715"/>
      <x:c r="AL299" s="713"/>
      <x:c r="AM299" s="716"/>
      <x:c r="AN299" s="716" t="str">
        <x:f>IF(AND(COUNTIF(AC299:AK299,"Ya")=0,AL299=""),IF(COUNTIF(AC299:AK299,"Belum Dinilai")&gt;0,"Belum Dinilai","Tidak ada risiko khusus"),TEXTJOIN(", ",TRUE,IF(AC299="Ya","Bangunan berpotensi roboh",""),IF(AD299="Ya","Bekas kebakaran dan tidak aman dihuni",""),IF(AE299="Ya","Atap atau dinding utama hampir runtuh",""),IF(AF299="Ya","Genangan yang membahayakan",""),IF(AG299="Ya","Struktur rumah tidak stabil",""),IF(AH299="Ya","Instalasi listrik berbahaya",""),IF(AI299="Ya","Komponen bangunan lepas atau lapuk",""),IF(AJ299="Ya","Akses keluar atau evakuasi terbatas",""),IF(AK299="Ya","Lokasi rawan bencana",""),IF(AL299&lt;&gt;"","Lainnya: "&amp;AL299,"")))</x:f>
        <x:v>Tidak ada risiko khusus</x:v>
      </x:c>
      <x:c r="AO299" s="716" t="str">
        <x:f>IF(AR299="","Belum Dinilai",IF(AR299=10,"Risiko Tinggi/Darurat",IF(AR299=5,"Risiko Sedang","Tidak Ada Risiko Khusus")))</x:f>
        <x:v>Belum Dinilai</x:v>
      </x:c>
      <x:c r="AP299" s="716"/>
      <x:c r="AQ299" s="719" t="str">
        <x:f>IF(OR(J299="",J299="Belum Dapat Ditentukan",L299="",L299="Belum Dinilai",N299="",N299="Belum Dinilai",P299="",P299="Belum Dinilai"),"",IF(J299="Permanen",0,IF(J299="Semipermanen",8,IF(J299="Nonpermanen",15,0)))+IF(L299="Baik",0,IF(L299="Rusak Ringan",5,IF(L299="Rusak Sedang",10,IF(L299="Rusak Berat",15,IF(L299="Tidak Ada/Terbuka",20,0)))))+IF(N299="Baik",0,IF(N299="Rusak Ringan",5,IF(N299="Rusak Sedang",10,IF(N299="Rusak Berat",15,IF(N299="Tidak Ada/Terbuka",20,0)))))+IF(P299="Baik",0,IF(P299="Rusak Ringan",4,IF(P299="Rusak Sedang",8,IF(P299="Rusak Berat",12,IF(P299="Tidak Layak",15,0))))))</x:f>
      </x:c>
      <x:c r="AR299" s="719" t="n">
        <x:f>IF(COUNTIF(AC299:AH299,"Ya")&gt;0,10,IF(COUNTIF(AI299:AK299,"Ya")&gt;=2,10,IF(COUNTIF(AI299:AK299,"Ya")=1,MAX(5,IF(AM299="Risiko Tinggi/Darurat",10,IF(AM299="Risiko Sedang",5,0))),IF(AL299&lt;&gt;"",IF(AM299="Risiko Tinggi/Darurat",10,IF(AM299="Risiko Sedang",5,"")),IF(COUNTIF(AC299:AK299,"Belum Dinilai")&gt;0,"",0)))))</x:f>
        <x:v>0</x:v>
      </x:c>
      <x:c r="AS299" s="719" t="str">
        <x:f>IF(OR(AQ299="",AB299="",AR299=""),"",AQ299+AB299+AR299)</x:f>
      </x:c>
      <x:c r="AT299" s="719" t="str">
        <x:f>IF(AS299="","Belum Dapat Ditentukan",IF(AS299&gt;=80,"Sangat Tinggi",IF(OR(AO299="Risiko Tinggi/Darurat",(IF(L299="Rusak Berat",1,0)+IF(L299="Tidak Ada/Terbuka",1,0)+IF(N299="Rusak Berat",1,0)+IF(N299="Tidak Ada/Terbuka",1,0)+IF(P299="Rusak Berat",1,0)+IF(P299="Tidak Layak",1,0))&gt;=2),"Tinggi",IF(AS299&gt;=65,"Tinggi",IF(AS299&gt;=50,"Sedang","Rendah")))))</x:f>
        <x:v>Belum Dapat Ditentukan</x:v>
      </x:c>
      <x:c r="AU299" s="240"/>
      <x:c r="AV299" s="240"/>
      <x:c r="AW299" s="240"/>
      <x:c r="AX299" s="240"/>
      <x:c r="AY299" s="240"/>
      <x:c r="AZ299" s="240"/>
      <x:c r="BA299" s="240"/>
      <x:c r="BB299" s="240"/>
      <x:c r="BC299" s="240"/>
      <x:c r="BD299" s="240"/>
      <x:c r="BE299" s="240"/>
      <x:c r="BF299" s="240"/>
    </x:row>
    <x:row r="300" ht="32" customHeight="1">
      <x:c r="A300" s="314"/>
      <x:c r="B300" s="315"/>
      <x:c r="C300" s="316"/>
      <x:c r="D300" s="316"/>
      <x:c r="E300" s="315"/>
      <x:c r="F300" s="315"/>
      <x:c r="G300" s="315"/>
      <x:c r="H300" s="315"/>
      <x:c r="I300" s="317"/>
      <x:c r="J300" s="315"/>
      <x:c r="K300" s="315"/>
      <x:c r="L300" s="315"/>
      <x:c r="M300" s="367"/>
      <x:c r="N300" s="315"/>
      <x:c r="O300" s="316"/>
      <x:c r="P300" s="349"/>
      <x:c r="Q300" s="707"/>
      <x:c r="R300" s="707"/>
      <x:c r="S300" s="708"/>
      <x:c r="T300" s="709"/>
      <x:c r="U300" s="704"/>
      <x:c r="V300" s="704"/>
      <x:c r="W300" s="704"/>
      <x:c r="X300" s="704" t="str">
        <x:f>IF(COUNTIF(R300:V300,"Belum Dinilai")&gt;0,"Belum Dinilai",IF(COUNTIF(R300:V300,"Ya")=0,"Tidak ada faktor rentan",TEXTJOIN(", ",TRUE,IF(R300="Ya","Lansia",""),IF(S300="Ya","Penyandang disabilitas",""),IF(T300="Ya","Kepala keluarga perempuan",""),IF(U300="Ya","Balita",""),IF(V300="Ya","Anggota keluarga dengan ketergantungan tinggi",""))))</x:f>
        <x:v>Tidak ada faktor rentan</x:v>
      </x:c>
      <x:c r="Y300" s="704" t="str">
        <x:f>IF(COUNTIF(R300:V300,"Belum Dinilai")&gt;0,"Belum Dinilai",IF(COUNTIF(R300:V300,"Ya")=0,"Tidak Ada Faktor Rentan",IF(COUNTIF(R300:V300,"Ya")=1,"1 Faktor Rentan","2 atau Lebih Faktor Rentan")))</x:f>
        <x:v>Tidak Ada Faktor Rentan</x:v>
      </x:c>
      <x:c r="Z300" s="704" t="str">
        <x:f>IF(OR(Q300="",Q300="Belum Dinilai"),"",IF(Q300="Terverifikasi DTKS/P3KE/MBR",10,IF(Q300="Diusulkan, Belum Terverifikasi",5,0)))</x:f>
      </x:c>
      <x:c r="AA300" s="705" t="n">
        <x:f>IF(COUNTIF(R300:V300,"Belum Dinilai")&gt;0,"",IF(COUNTIF(R300:V300,"Ya")=0,0,IF(COUNTIF(R300:V300,"Ya")=1,5,10)))</x:f>
        <x:v>0</x:v>
      </x:c>
      <x:c r="AB300" s="706" t="str">
        <x:f>IF(OR(Z300="",AA300=""),"",Z300+AA300)</x:f>
      </x:c>
      <x:c r="AC300" s="713"/>
      <x:c r="AD300" s="713"/>
      <x:c r="AE300" s="714"/>
      <x:c r="AF300" s="713"/>
      <x:c r="AG300" s="713"/>
      <x:c r="AH300" s="715"/>
      <x:c r="AI300" s="714"/>
      <x:c r="AJ300" s="713"/>
      <x:c r="AK300" s="715"/>
      <x:c r="AL300" s="713"/>
      <x:c r="AM300" s="716"/>
      <x:c r="AN300" s="716" t="str">
        <x:f>IF(AND(COUNTIF(AC300:AK300,"Ya")=0,AL300=""),IF(COUNTIF(AC300:AK300,"Belum Dinilai")&gt;0,"Belum Dinilai","Tidak ada risiko khusus"),TEXTJOIN(", ",TRUE,IF(AC300="Ya","Bangunan berpotensi roboh",""),IF(AD300="Ya","Bekas kebakaran dan tidak aman dihuni",""),IF(AE300="Ya","Atap atau dinding utama hampir runtuh",""),IF(AF300="Ya","Genangan yang membahayakan",""),IF(AG300="Ya","Struktur rumah tidak stabil",""),IF(AH300="Ya","Instalasi listrik berbahaya",""),IF(AI300="Ya","Komponen bangunan lepas atau lapuk",""),IF(AJ300="Ya","Akses keluar atau evakuasi terbatas",""),IF(AK300="Ya","Lokasi rawan bencana",""),IF(AL300&lt;&gt;"","Lainnya: "&amp;AL300,"")))</x:f>
        <x:v>Tidak ada risiko khusus</x:v>
      </x:c>
      <x:c r="AO300" s="716" t="str">
        <x:f>IF(AR300="","Belum Dinilai",IF(AR300=10,"Risiko Tinggi/Darurat",IF(AR300=5,"Risiko Sedang","Tidak Ada Risiko Khusus")))</x:f>
        <x:v>Belum Dinilai</x:v>
      </x:c>
      <x:c r="AP300" s="716"/>
      <x:c r="AQ300" s="719" t="str">
        <x:f>IF(OR(J300="",J300="Belum Dapat Ditentukan",L300="",L300="Belum Dinilai",N300="",N300="Belum Dinilai",P300="",P300="Belum Dinilai"),"",IF(J300="Permanen",0,IF(J300="Semipermanen",8,IF(J300="Nonpermanen",15,0)))+IF(L300="Baik",0,IF(L300="Rusak Ringan",5,IF(L300="Rusak Sedang",10,IF(L300="Rusak Berat",15,IF(L300="Tidak Ada/Terbuka",20,0)))))+IF(N300="Baik",0,IF(N300="Rusak Ringan",5,IF(N300="Rusak Sedang",10,IF(N300="Rusak Berat",15,IF(N300="Tidak Ada/Terbuka",20,0)))))+IF(P300="Baik",0,IF(P300="Rusak Ringan",4,IF(P300="Rusak Sedang",8,IF(P300="Rusak Berat",12,IF(P300="Tidak Layak",15,0))))))</x:f>
      </x:c>
      <x:c r="AR300" s="719" t="n">
        <x:f>IF(COUNTIF(AC300:AH300,"Ya")&gt;0,10,IF(COUNTIF(AI300:AK300,"Ya")&gt;=2,10,IF(COUNTIF(AI300:AK300,"Ya")=1,MAX(5,IF(AM300="Risiko Tinggi/Darurat",10,IF(AM300="Risiko Sedang",5,0))),IF(AL300&lt;&gt;"",IF(AM300="Risiko Tinggi/Darurat",10,IF(AM300="Risiko Sedang",5,"")),IF(COUNTIF(AC300:AK300,"Belum Dinilai")&gt;0,"",0)))))</x:f>
        <x:v>0</x:v>
      </x:c>
      <x:c r="AS300" s="719" t="str">
        <x:f>IF(OR(AQ300="",AB300="",AR300=""),"",AQ300+AB300+AR300)</x:f>
      </x:c>
      <x:c r="AT300" s="719" t="str">
        <x:f>IF(AS300="","Belum Dapat Ditentukan",IF(AS300&gt;=80,"Sangat Tinggi",IF(OR(AO300="Risiko Tinggi/Darurat",(IF(L300="Rusak Berat",1,0)+IF(L300="Tidak Ada/Terbuka",1,0)+IF(N300="Rusak Berat",1,0)+IF(N300="Tidak Ada/Terbuka",1,0)+IF(P300="Rusak Berat",1,0)+IF(P300="Tidak Layak",1,0))&gt;=2),"Tinggi",IF(AS300&gt;=65,"Tinggi",IF(AS300&gt;=50,"Sedang","Rendah")))))</x:f>
        <x:v>Belum Dapat Ditentukan</x:v>
      </x:c>
      <x:c r="AU300" s="240"/>
      <x:c r="AV300" s="240"/>
      <x:c r="AW300" s="240"/>
      <x:c r="AX300" s="240"/>
      <x:c r="AY300" s="240"/>
      <x:c r="AZ300" s="240"/>
      <x:c r="BA300" s="240"/>
      <x:c r="BB300" s="240"/>
      <x:c r="BC300" s="240"/>
      <x:c r="BD300" s="240"/>
      <x:c r="BE300" s="240"/>
      <x:c r="BF300" s="240"/>
    </x:row>
    <x:row r="301" ht="32" customHeight="1">
      <x:c r="A301" s="314"/>
      <x:c r="B301" s="315"/>
      <x:c r="C301" s="316"/>
      <x:c r="D301" s="316"/>
      <x:c r="E301" s="315"/>
      <x:c r="F301" s="315"/>
      <x:c r="G301" s="315"/>
      <x:c r="H301" s="315"/>
      <x:c r="I301" s="317"/>
      <x:c r="J301" s="315"/>
      <x:c r="K301" s="315"/>
      <x:c r="L301" s="315"/>
      <x:c r="M301" s="367"/>
      <x:c r="N301" s="315"/>
      <x:c r="O301" s="316"/>
      <x:c r="P301" s="349"/>
      <x:c r="Q301" s="707"/>
      <x:c r="R301" s="707"/>
      <x:c r="S301" s="708"/>
      <x:c r="T301" s="709"/>
      <x:c r="U301" s="704"/>
      <x:c r="V301" s="704"/>
      <x:c r="W301" s="704"/>
      <x:c r="X301" s="704" t="str">
        <x:f>IF(COUNTIF(R301:V301,"Belum Dinilai")&gt;0,"Belum Dinilai",IF(COUNTIF(R301:V301,"Ya")=0,"Tidak ada faktor rentan",TEXTJOIN(", ",TRUE,IF(R301="Ya","Lansia",""),IF(S301="Ya","Penyandang disabilitas",""),IF(T301="Ya","Kepala keluarga perempuan",""),IF(U301="Ya","Balita",""),IF(V301="Ya","Anggota keluarga dengan ketergantungan tinggi",""))))</x:f>
        <x:v>Tidak ada faktor rentan</x:v>
      </x:c>
      <x:c r="Y301" s="704" t="str">
        <x:f>IF(COUNTIF(R301:V301,"Belum Dinilai")&gt;0,"Belum Dinilai",IF(COUNTIF(R301:V301,"Ya")=0,"Tidak Ada Faktor Rentan",IF(COUNTIF(R301:V301,"Ya")=1,"1 Faktor Rentan","2 atau Lebih Faktor Rentan")))</x:f>
        <x:v>Tidak Ada Faktor Rentan</x:v>
      </x:c>
      <x:c r="Z301" s="704" t="str">
        <x:f>IF(OR(Q301="",Q301="Belum Dinilai"),"",IF(Q301="Terverifikasi DTKS/P3KE/MBR",10,IF(Q301="Diusulkan, Belum Terverifikasi",5,0)))</x:f>
      </x:c>
      <x:c r="AA301" s="705" t="n">
        <x:f>IF(COUNTIF(R301:V301,"Belum Dinilai")&gt;0,"",IF(COUNTIF(R301:V301,"Ya")=0,0,IF(COUNTIF(R301:V301,"Ya")=1,5,10)))</x:f>
        <x:v>0</x:v>
      </x:c>
      <x:c r="AB301" s="706" t="str">
        <x:f>IF(OR(Z301="",AA301=""),"",Z301+AA301)</x:f>
      </x:c>
      <x:c r="AC301" s="713"/>
      <x:c r="AD301" s="713"/>
      <x:c r="AE301" s="714"/>
      <x:c r="AF301" s="713"/>
      <x:c r="AG301" s="713"/>
      <x:c r="AH301" s="715"/>
      <x:c r="AI301" s="714"/>
      <x:c r="AJ301" s="713"/>
      <x:c r="AK301" s="715"/>
      <x:c r="AL301" s="713"/>
      <x:c r="AM301" s="716"/>
      <x:c r="AN301" s="716" t="str">
        <x:f>IF(AND(COUNTIF(AC301:AK301,"Ya")=0,AL301=""),IF(COUNTIF(AC301:AK301,"Belum Dinilai")&gt;0,"Belum Dinilai","Tidak ada risiko khusus"),TEXTJOIN(", ",TRUE,IF(AC301="Ya","Bangunan berpotensi roboh",""),IF(AD301="Ya","Bekas kebakaran dan tidak aman dihuni",""),IF(AE301="Ya","Atap atau dinding utama hampir runtuh",""),IF(AF301="Ya","Genangan yang membahayakan",""),IF(AG301="Ya","Struktur rumah tidak stabil",""),IF(AH301="Ya","Instalasi listrik berbahaya",""),IF(AI301="Ya","Komponen bangunan lepas atau lapuk",""),IF(AJ301="Ya","Akses keluar atau evakuasi terbatas",""),IF(AK301="Ya","Lokasi rawan bencana",""),IF(AL301&lt;&gt;"","Lainnya: "&amp;AL301,"")))</x:f>
        <x:v>Tidak ada risiko khusus</x:v>
      </x:c>
      <x:c r="AO301" s="716" t="str">
        <x:f>IF(AR301="","Belum Dinilai",IF(AR301=10,"Risiko Tinggi/Darurat",IF(AR301=5,"Risiko Sedang","Tidak Ada Risiko Khusus")))</x:f>
        <x:v>Belum Dinilai</x:v>
      </x:c>
      <x:c r="AP301" s="716"/>
      <x:c r="AQ301" s="719" t="str">
        <x:f>IF(OR(J301="",J301="Belum Dapat Ditentukan",L301="",L301="Belum Dinilai",N301="",N301="Belum Dinilai",P301="",P301="Belum Dinilai"),"",IF(J301="Permanen",0,IF(J301="Semipermanen",8,IF(J301="Nonpermanen",15,0)))+IF(L301="Baik",0,IF(L301="Rusak Ringan",5,IF(L301="Rusak Sedang",10,IF(L301="Rusak Berat",15,IF(L301="Tidak Ada/Terbuka",20,0)))))+IF(N301="Baik",0,IF(N301="Rusak Ringan",5,IF(N301="Rusak Sedang",10,IF(N301="Rusak Berat",15,IF(N301="Tidak Ada/Terbuka",20,0)))))+IF(P301="Baik",0,IF(P301="Rusak Ringan",4,IF(P301="Rusak Sedang",8,IF(P301="Rusak Berat",12,IF(P301="Tidak Layak",15,0))))))</x:f>
      </x:c>
      <x:c r="AR301" s="719" t="n">
        <x:f>IF(COUNTIF(AC301:AH301,"Ya")&gt;0,10,IF(COUNTIF(AI301:AK301,"Ya")&gt;=2,10,IF(COUNTIF(AI301:AK301,"Ya")=1,MAX(5,IF(AM301="Risiko Tinggi/Darurat",10,IF(AM301="Risiko Sedang",5,0))),IF(AL301&lt;&gt;"",IF(AM301="Risiko Tinggi/Darurat",10,IF(AM301="Risiko Sedang",5,"")),IF(COUNTIF(AC301:AK301,"Belum Dinilai")&gt;0,"",0)))))</x:f>
        <x:v>0</x:v>
      </x:c>
      <x:c r="AS301" s="719" t="str">
        <x:f>IF(OR(AQ301="",AB301="",AR301=""),"",AQ301+AB301+AR301)</x:f>
      </x:c>
      <x:c r="AT301" s="719" t="str">
        <x:f>IF(AS301="","Belum Dapat Ditentukan",IF(AS301&gt;=80,"Sangat Tinggi",IF(OR(AO301="Risiko Tinggi/Darurat",(IF(L301="Rusak Berat",1,0)+IF(L301="Tidak Ada/Terbuka",1,0)+IF(N301="Rusak Berat",1,0)+IF(N301="Tidak Ada/Terbuka",1,0)+IF(P301="Rusak Berat",1,0)+IF(P301="Tidak Layak",1,0))&gt;=2),"Tinggi",IF(AS301&gt;=65,"Tinggi",IF(AS301&gt;=50,"Sedang","Rendah")))))</x:f>
        <x:v>Belum Dapat Ditentukan</x:v>
      </x:c>
      <x:c r="AU301" s="240"/>
      <x:c r="AV301" s="240"/>
      <x:c r="AW301" s="240"/>
      <x:c r="AX301" s="240"/>
      <x:c r="AY301" s="240"/>
      <x:c r="AZ301" s="240"/>
      <x:c r="BA301" s="240"/>
      <x:c r="BB301" s="240"/>
      <x:c r="BC301" s="240"/>
      <x:c r="BD301" s="240"/>
      <x:c r="BE301" s="240"/>
      <x:c r="BF301" s="240"/>
    </x:row>
    <x:row r="302" ht="32" customHeight="1">
      <x:c r="A302" s="314"/>
      <x:c r="B302" s="315"/>
      <x:c r="C302" s="316"/>
      <x:c r="D302" s="316"/>
      <x:c r="E302" s="315"/>
      <x:c r="F302" s="315"/>
      <x:c r="G302" s="315"/>
      <x:c r="H302" s="315"/>
      <x:c r="I302" s="317"/>
      <x:c r="J302" s="315"/>
      <x:c r="K302" s="315"/>
      <x:c r="L302" s="315"/>
      <x:c r="M302" s="367"/>
      <x:c r="N302" s="315"/>
      <x:c r="O302" s="316"/>
      <x:c r="P302" s="349"/>
      <x:c r="Q302" s="707"/>
      <x:c r="R302" s="707"/>
      <x:c r="S302" s="708"/>
      <x:c r="T302" s="709"/>
      <x:c r="U302" s="704"/>
      <x:c r="V302" s="704"/>
      <x:c r="W302" s="704"/>
      <x:c r="X302" s="704" t="str">
        <x:f>IF(COUNTIF(R302:V302,"Belum Dinilai")&gt;0,"Belum Dinilai",IF(COUNTIF(R302:V302,"Ya")=0,"Tidak ada faktor rentan",TEXTJOIN(", ",TRUE,IF(R302="Ya","Lansia",""),IF(S302="Ya","Penyandang disabilitas",""),IF(T302="Ya","Kepala keluarga perempuan",""),IF(U302="Ya","Balita",""),IF(V302="Ya","Anggota keluarga dengan ketergantungan tinggi",""))))</x:f>
        <x:v>Tidak ada faktor rentan</x:v>
      </x:c>
      <x:c r="Y302" s="704" t="str">
        <x:f>IF(COUNTIF(R302:V302,"Belum Dinilai")&gt;0,"Belum Dinilai",IF(COUNTIF(R302:V302,"Ya")=0,"Tidak Ada Faktor Rentan",IF(COUNTIF(R302:V302,"Ya")=1,"1 Faktor Rentan","2 atau Lebih Faktor Rentan")))</x:f>
        <x:v>Tidak Ada Faktor Rentan</x:v>
      </x:c>
      <x:c r="Z302" s="704" t="str">
        <x:f>IF(OR(Q302="",Q302="Belum Dinilai"),"",IF(Q302="Terverifikasi DTKS/P3KE/MBR",10,IF(Q302="Diusulkan, Belum Terverifikasi",5,0)))</x:f>
      </x:c>
      <x:c r="AA302" s="705" t="n">
        <x:f>IF(COUNTIF(R302:V302,"Belum Dinilai")&gt;0,"",IF(COUNTIF(R302:V302,"Ya")=0,0,IF(COUNTIF(R302:V302,"Ya")=1,5,10)))</x:f>
        <x:v>0</x:v>
      </x:c>
      <x:c r="AB302" s="706" t="str">
        <x:f>IF(OR(Z302="",AA302=""),"",Z302+AA302)</x:f>
      </x:c>
      <x:c r="AC302" s="713"/>
      <x:c r="AD302" s="713"/>
      <x:c r="AE302" s="714"/>
      <x:c r="AF302" s="713"/>
      <x:c r="AG302" s="713"/>
      <x:c r="AH302" s="715"/>
      <x:c r="AI302" s="714"/>
      <x:c r="AJ302" s="713"/>
      <x:c r="AK302" s="715"/>
      <x:c r="AL302" s="713"/>
      <x:c r="AM302" s="716"/>
      <x:c r="AN302" s="716" t="str">
        <x:f>IF(AND(COUNTIF(AC302:AK302,"Ya")=0,AL302=""),IF(COUNTIF(AC302:AK302,"Belum Dinilai")&gt;0,"Belum Dinilai","Tidak ada risiko khusus"),TEXTJOIN(", ",TRUE,IF(AC302="Ya","Bangunan berpotensi roboh",""),IF(AD302="Ya","Bekas kebakaran dan tidak aman dihuni",""),IF(AE302="Ya","Atap atau dinding utama hampir runtuh",""),IF(AF302="Ya","Genangan yang membahayakan",""),IF(AG302="Ya","Struktur rumah tidak stabil",""),IF(AH302="Ya","Instalasi listrik berbahaya",""),IF(AI302="Ya","Komponen bangunan lepas atau lapuk",""),IF(AJ302="Ya","Akses keluar atau evakuasi terbatas",""),IF(AK302="Ya","Lokasi rawan bencana",""),IF(AL302&lt;&gt;"","Lainnya: "&amp;AL302,"")))</x:f>
        <x:v>Tidak ada risiko khusus</x:v>
      </x:c>
      <x:c r="AO302" s="716" t="str">
        <x:f>IF(AR302="","Belum Dinilai",IF(AR302=10,"Risiko Tinggi/Darurat",IF(AR302=5,"Risiko Sedang","Tidak Ada Risiko Khusus")))</x:f>
        <x:v>Belum Dinilai</x:v>
      </x:c>
      <x:c r="AP302" s="716"/>
      <x:c r="AQ302" s="719" t="str">
        <x:f>IF(OR(J302="",J302="Belum Dapat Ditentukan",L302="",L302="Belum Dinilai",N302="",N302="Belum Dinilai",P302="",P302="Belum Dinilai"),"",IF(J302="Permanen",0,IF(J302="Semipermanen",8,IF(J302="Nonpermanen",15,0)))+IF(L302="Baik",0,IF(L302="Rusak Ringan",5,IF(L302="Rusak Sedang",10,IF(L302="Rusak Berat",15,IF(L302="Tidak Ada/Terbuka",20,0)))))+IF(N302="Baik",0,IF(N302="Rusak Ringan",5,IF(N302="Rusak Sedang",10,IF(N302="Rusak Berat",15,IF(N302="Tidak Ada/Terbuka",20,0)))))+IF(P302="Baik",0,IF(P302="Rusak Ringan",4,IF(P302="Rusak Sedang",8,IF(P302="Rusak Berat",12,IF(P302="Tidak Layak",15,0))))))</x:f>
      </x:c>
      <x:c r="AR302" s="719" t="n">
        <x:f>IF(COUNTIF(AC302:AH302,"Ya")&gt;0,10,IF(COUNTIF(AI302:AK302,"Ya")&gt;=2,10,IF(COUNTIF(AI302:AK302,"Ya")=1,MAX(5,IF(AM302="Risiko Tinggi/Darurat",10,IF(AM302="Risiko Sedang",5,0))),IF(AL302&lt;&gt;"",IF(AM302="Risiko Tinggi/Darurat",10,IF(AM302="Risiko Sedang",5,"")),IF(COUNTIF(AC302:AK302,"Belum Dinilai")&gt;0,"",0)))))</x:f>
        <x:v>0</x:v>
      </x:c>
      <x:c r="AS302" s="719" t="str">
        <x:f>IF(OR(AQ302="",AB302="",AR302=""),"",AQ302+AB302+AR302)</x:f>
      </x:c>
      <x:c r="AT302" s="719" t="str">
        <x:f>IF(AS302="","Belum Dapat Ditentukan",IF(AS302&gt;=80,"Sangat Tinggi",IF(OR(AO302="Risiko Tinggi/Darurat",(IF(L302="Rusak Berat",1,0)+IF(L302="Tidak Ada/Terbuka",1,0)+IF(N302="Rusak Berat",1,0)+IF(N302="Tidak Ada/Terbuka",1,0)+IF(P302="Rusak Berat",1,0)+IF(P302="Tidak Layak",1,0))&gt;=2),"Tinggi",IF(AS302&gt;=65,"Tinggi",IF(AS302&gt;=50,"Sedang","Rendah")))))</x:f>
        <x:v>Belum Dapat Ditentukan</x:v>
      </x:c>
      <x:c r="AU302" s="240"/>
      <x:c r="AV302" s="240"/>
      <x:c r="AW302" s="240"/>
      <x:c r="AX302" s="240"/>
      <x:c r="AY302" s="240"/>
      <x:c r="AZ302" s="240"/>
      <x:c r="BA302" s="240"/>
      <x:c r="BB302" s="240"/>
      <x:c r="BC302" s="240"/>
      <x:c r="BD302" s="240"/>
      <x:c r="BE302" s="240"/>
      <x:c r="BF302" s="240"/>
    </x:row>
    <x:row r="303" ht="32" customHeight="1">
      <x:c r="A303" s="314"/>
      <x:c r="B303" s="315"/>
      <x:c r="C303" s="316"/>
      <x:c r="D303" s="316"/>
      <x:c r="E303" s="315"/>
      <x:c r="F303" s="315"/>
      <x:c r="G303" s="315"/>
      <x:c r="H303" s="315"/>
      <x:c r="I303" s="317"/>
      <x:c r="J303" s="315"/>
      <x:c r="K303" s="315"/>
      <x:c r="L303" s="315"/>
      <x:c r="M303" s="367"/>
      <x:c r="N303" s="315"/>
      <x:c r="O303" s="316"/>
      <x:c r="P303" s="349"/>
      <x:c r="Q303" s="707"/>
      <x:c r="R303" s="707"/>
      <x:c r="S303" s="708"/>
      <x:c r="T303" s="709"/>
      <x:c r="U303" s="704"/>
      <x:c r="V303" s="704"/>
      <x:c r="W303" s="704"/>
      <x:c r="X303" s="704" t="str">
        <x:f>IF(COUNTIF(R303:V303,"Belum Dinilai")&gt;0,"Belum Dinilai",IF(COUNTIF(R303:V303,"Ya")=0,"Tidak ada faktor rentan",TEXTJOIN(", ",TRUE,IF(R303="Ya","Lansia",""),IF(S303="Ya","Penyandang disabilitas",""),IF(T303="Ya","Kepala keluarga perempuan",""),IF(U303="Ya","Balita",""),IF(V303="Ya","Anggota keluarga dengan ketergantungan tinggi",""))))</x:f>
        <x:v>Tidak ada faktor rentan</x:v>
      </x:c>
      <x:c r="Y303" s="704" t="str">
        <x:f>IF(COUNTIF(R303:V303,"Belum Dinilai")&gt;0,"Belum Dinilai",IF(COUNTIF(R303:V303,"Ya")=0,"Tidak Ada Faktor Rentan",IF(COUNTIF(R303:V303,"Ya")=1,"1 Faktor Rentan","2 atau Lebih Faktor Rentan")))</x:f>
        <x:v>Tidak Ada Faktor Rentan</x:v>
      </x:c>
      <x:c r="Z303" s="704" t="str">
        <x:f>IF(OR(Q303="",Q303="Belum Dinilai"),"",IF(Q303="Terverifikasi DTKS/P3KE/MBR",10,IF(Q303="Diusulkan, Belum Terverifikasi",5,0)))</x:f>
      </x:c>
      <x:c r="AA303" s="705" t="n">
        <x:f>IF(COUNTIF(R303:V303,"Belum Dinilai")&gt;0,"",IF(COUNTIF(R303:V303,"Ya")=0,0,IF(COUNTIF(R303:V303,"Ya")=1,5,10)))</x:f>
        <x:v>0</x:v>
      </x:c>
      <x:c r="AB303" s="706" t="str">
        <x:f>IF(OR(Z303="",AA303=""),"",Z303+AA303)</x:f>
      </x:c>
      <x:c r="AC303" s="713"/>
      <x:c r="AD303" s="713"/>
      <x:c r="AE303" s="714"/>
      <x:c r="AF303" s="713"/>
      <x:c r="AG303" s="713"/>
      <x:c r="AH303" s="715"/>
      <x:c r="AI303" s="714"/>
      <x:c r="AJ303" s="713"/>
      <x:c r="AK303" s="715"/>
      <x:c r="AL303" s="713"/>
      <x:c r="AM303" s="716"/>
      <x:c r="AN303" s="716" t="str">
        <x:f>IF(AND(COUNTIF(AC303:AK303,"Ya")=0,AL303=""),IF(COUNTIF(AC303:AK303,"Belum Dinilai")&gt;0,"Belum Dinilai","Tidak ada risiko khusus"),TEXTJOIN(", ",TRUE,IF(AC303="Ya","Bangunan berpotensi roboh",""),IF(AD303="Ya","Bekas kebakaran dan tidak aman dihuni",""),IF(AE303="Ya","Atap atau dinding utama hampir runtuh",""),IF(AF303="Ya","Genangan yang membahayakan",""),IF(AG303="Ya","Struktur rumah tidak stabil",""),IF(AH303="Ya","Instalasi listrik berbahaya",""),IF(AI303="Ya","Komponen bangunan lepas atau lapuk",""),IF(AJ303="Ya","Akses keluar atau evakuasi terbatas",""),IF(AK303="Ya","Lokasi rawan bencana",""),IF(AL303&lt;&gt;"","Lainnya: "&amp;AL303,"")))</x:f>
        <x:v>Tidak ada risiko khusus</x:v>
      </x:c>
      <x:c r="AO303" s="716" t="str">
        <x:f>IF(AR303="","Belum Dinilai",IF(AR303=10,"Risiko Tinggi/Darurat",IF(AR303=5,"Risiko Sedang","Tidak Ada Risiko Khusus")))</x:f>
        <x:v>Belum Dinilai</x:v>
      </x:c>
      <x:c r="AP303" s="716"/>
      <x:c r="AQ303" s="719" t="str">
        <x:f>IF(OR(J303="",J303="Belum Dapat Ditentukan",L303="",L303="Belum Dinilai",N303="",N303="Belum Dinilai",P303="",P303="Belum Dinilai"),"",IF(J303="Permanen",0,IF(J303="Semipermanen",8,IF(J303="Nonpermanen",15,0)))+IF(L303="Baik",0,IF(L303="Rusak Ringan",5,IF(L303="Rusak Sedang",10,IF(L303="Rusak Berat",15,IF(L303="Tidak Ada/Terbuka",20,0)))))+IF(N303="Baik",0,IF(N303="Rusak Ringan",5,IF(N303="Rusak Sedang",10,IF(N303="Rusak Berat",15,IF(N303="Tidak Ada/Terbuka",20,0)))))+IF(P303="Baik",0,IF(P303="Rusak Ringan",4,IF(P303="Rusak Sedang",8,IF(P303="Rusak Berat",12,IF(P303="Tidak Layak",15,0))))))</x:f>
      </x:c>
      <x:c r="AR303" s="719" t="n">
        <x:f>IF(COUNTIF(AC303:AH303,"Ya")&gt;0,10,IF(COUNTIF(AI303:AK303,"Ya")&gt;=2,10,IF(COUNTIF(AI303:AK303,"Ya")=1,MAX(5,IF(AM303="Risiko Tinggi/Darurat",10,IF(AM303="Risiko Sedang",5,0))),IF(AL303&lt;&gt;"",IF(AM303="Risiko Tinggi/Darurat",10,IF(AM303="Risiko Sedang",5,"")),IF(COUNTIF(AC303:AK303,"Belum Dinilai")&gt;0,"",0)))))</x:f>
        <x:v>0</x:v>
      </x:c>
      <x:c r="AS303" s="719" t="str">
        <x:f>IF(OR(AQ303="",AB303="",AR303=""),"",AQ303+AB303+AR303)</x:f>
      </x:c>
      <x:c r="AT303" s="719" t="str">
        <x:f>IF(AS303="","Belum Dapat Ditentukan",IF(AS303&gt;=80,"Sangat Tinggi",IF(OR(AO303="Risiko Tinggi/Darurat",(IF(L303="Rusak Berat",1,0)+IF(L303="Tidak Ada/Terbuka",1,0)+IF(N303="Rusak Berat",1,0)+IF(N303="Tidak Ada/Terbuka",1,0)+IF(P303="Rusak Berat",1,0)+IF(P303="Tidak Layak",1,0))&gt;=2),"Tinggi",IF(AS303&gt;=65,"Tinggi",IF(AS303&gt;=50,"Sedang","Rendah")))))</x:f>
        <x:v>Belum Dapat Ditentukan</x:v>
      </x:c>
      <x:c r="AU303" s="240"/>
      <x:c r="AV303" s="240"/>
      <x:c r="AW303" s="240"/>
      <x:c r="AX303" s="240"/>
      <x:c r="AY303" s="240"/>
      <x:c r="AZ303" s="240"/>
      <x:c r="BA303" s="240"/>
      <x:c r="BB303" s="240"/>
      <x:c r="BC303" s="240"/>
      <x:c r="BD303" s="240"/>
      <x:c r="BE303" s="240"/>
      <x:c r="BF303" s="240"/>
    </x:row>
    <x:row r="304" ht="32" customHeight="1">
      <x:c r="A304" s="314"/>
      <x:c r="B304" s="315"/>
      <x:c r="C304" s="316"/>
      <x:c r="D304" s="316"/>
      <x:c r="E304" s="315"/>
      <x:c r="F304" s="315"/>
      <x:c r="G304" s="315"/>
      <x:c r="H304" s="315"/>
      <x:c r="I304" s="317"/>
      <x:c r="J304" s="315"/>
      <x:c r="K304" s="315"/>
      <x:c r="L304" s="315"/>
      <x:c r="M304" s="367"/>
      <x:c r="N304" s="315"/>
      <x:c r="O304" s="316"/>
      <x:c r="P304" s="349"/>
      <x:c r="Q304" s="707"/>
      <x:c r="R304" s="707"/>
      <x:c r="S304" s="708"/>
      <x:c r="T304" s="709"/>
      <x:c r="U304" s="704"/>
      <x:c r="V304" s="704"/>
      <x:c r="W304" s="704"/>
      <x:c r="X304" s="704" t="str">
        <x:f>IF(COUNTIF(R304:V304,"Belum Dinilai")&gt;0,"Belum Dinilai",IF(COUNTIF(R304:V304,"Ya")=0,"Tidak ada faktor rentan",TEXTJOIN(", ",TRUE,IF(R304="Ya","Lansia",""),IF(S304="Ya","Penyandang disabilitas",""),IF(T304="Ya","Kepala keluarga perempuan",""),IF(U304="Ya","Balita",""),IF(V304="Ya","Anggota keluarga dengan ketergantungan tinggi",""))))</x:f>
        <x:v>Tidak ada faktor rentan</x:v>
      </x:c>
      <x:c r="Y304" s="704" t="str">
        <x:f>IF(COUNTIF(R304:V304,"Belum Dinilai")&gt;0,"Belum Dinilai",IF(COUNTIF(R304:V304,"Ya")=0,"Tidak Ada Faktor Rentan",IF(COUNTIF(R304:V304,"Ya")=1,"1 Faktor Rentan","2 atau Lebih Faktor Rentan")))</x:f>
        <x:v>Tidak Ada Faktor Rentan</x:v>
      </x:c>
      <x:c r="Z304" s="704" t="str">
        <x:f>IF(OR(Q304="",Q304="Belum Dinilai"),"",IF(Q304="Terverifikasi DTKS/P3KE/MBR",10,IF(Q304="Diusulkan, Belum Terverifikasi",5,0)))</x:f>
      </x:c>
      <x:c r="AA304" s="705" t="n">
        <x:f>IF(COUNTIF(R304:V304,"Belum Dinilai")&gt;0,"",IF(COUNTIF(R304:V304,"Ya")=0,0,IF(COUNTIF(R304:V304,"Ya")=1,5,10)))</x:f>
        <x:v>0</x:v>
      </x:c>
      <x:c r="AB304" s="706" t="str">
        <x:f>IF(OR(Z304="",AA304=""),"",Z304+AA304)</x:f>
      </x:c>
      <x:c r="AC304" s="713"/>
      <x:c r="AD304" s="713"/>
      <x:c r="AE304" s="714"/>
      <x:c r="AF304" s="713"/>
      <x:c r="AG304" s="713"/>
      <x:c r="AH304" s="715"/>
      <x:c r="AI304" s="714"/>
      <x:c r="AJ304" s="713"/>
      <x:c r="AK304" s="715"/>
      <x:c r="AL304" s="713"/>
      <x:c r="AM304" s="716"/>
      <x:c r="AN304" s="716" t="str">
        <x:f>IF(AND(COUNTIF(AC304:AK304,"Ya")=0,AL304=""),IF(COUNTIF(AC304:AK304,"Belum Dinilai")&gt;0,"Belum Dinilai","Tidak ada risiko khusus"),TEXTJOIN(", ",TRUE,IF(AC304="Ya","Bangunan berpotensi roboh",""),IF(AD304="Ya","Bekas kebakaran dan tidak aman dihuni",""),IF(AE304="Ya","Atap atau dinding utama hampir runtuh",""),IF(AF304="Ya","Genangan yang membahayakan",""),IF(AG304="Ya","Struktur rumah tidak stabil",""),IF(AH304="Ya","Instalasi listrik berbahaya",""),IF(AI304="Ya","Komponen bangunan lepas atau lapuk",""),IF(AJ304="Ya","Akses keluar atau evakuasi terbatas",""),IF(AK304="Ya","Lokasi rawan bencana",""),IF(AL304&lt;&gt;"","Lainnya: "&amp;AL304,"")))</x:f>
        <x:v>Tidak ada risiko khusus</x:v>
      </x:c>
      <x:c r="AO304" s="716" t="str">
        <x:f>IF(AR304="","Belum Dinilai",IF(AR304=10,"Risiko Tinggi/Darurat",IF(AR304=5,"Risiko Sedang","Tidak Ada Risiko Khusus")))</x:f>
        <x:v>Belum Dinilai</x:v>
      </x:c>
      <x:c r="AP304" s="716"/>
      <x:c r="AQ304" s="719" t="str">
        <x:f>IF(OR(J304="",J304="Belum Dapat Ditentukan",L304="",L304="Belum Dinilai",N304="",N304="Belum Dinilai",P304="",P304="Belum Dinilai"),"",IF(J304="Permanen",0,IF(J304="Semipermanen",8,IF(J304="Nonpermanen",15,0)))+IF(L304="Baik",0,IF(L304="Rusak Ringan",5,IF(L304="Rusak Sedang",10,IF(L304="Rusak Berat",15,IF(L304="Tidak Ada/Terbuka",20,0)))))+IF(N304="Baik",0,IF(N304="Rusak Ringan",5,IF(N304="Rusak Sedang",10,IF(N304="Rusak Berat",15,IF(N304="Tidak Ada/Terbuka",20,0)))))+IF(P304="Baik",0,IF(P304="Rusak Ringan",4,IF(P304="Rusak Sedang",8,IF(P304="Rusak Berat",12,IF(P304="Tidak Layak",15,0))))))</x:f>
      </x:c>
      <x:c r="AR304" s="719" t="n">
        <x:f>IF(COUNTIF(AC304:AH304,"Ya")&gt;0,10,IF(COUNTIF(AI304:AK304,"Ya")&gt;=2,10,IF(COUNTIF(AI304:AK304,"Ya")=1,MAX(5,IF(AM304="Risiko Tinggi/Darurat",10,IF(AM304="Risiko Sedang",5,0))),IF(AL304&lt;&gt;"",IF(AM304="Risiko Tinggi/Darurat",10,IF(AM304="Risiko Sedang",5,"")),IF(COUNTIF(AC304:AK304,"Belum Dinilai")&gt;0,"",0)))))</x:f>
        <x:v>0</x:v>
      </x:c>
      <x:c r="AS304" s="719" t="str">
        <x:f>IF(OR(AQ304="",AB304="",AR304=""),"",AQ304+AB304+AR304)</x:f>
      </x:c>
      <x:c r="AT304" s="719" t="str">
        <x:f>IF(AS304="","Belum Dapat Ditentukan",IF(AS304&gt;=80,"Sangat Tinggi",IF(OR(AO304="Risiko Tinggi/Darurat",(IF(L304="Rusak Berat",1,0)+IF(L304="Tidak Ada/Terbuka",1,0)+IF(N304="Rusak Berat",1,0)+IF(N304="Tidak Ada/Terbuka",1,0)+IF(P304="Rusak Berat",1,0)+IF(P304="Tidak Layak",1,0))&gt;=2),"Tinggi",IF(AS304&gt;=65,"Tinggi",IF(AS304&gt;=50,"Sedang","Rendah")))))</x:f>
        <x:v>Belum Dapat Ditentukan</x:v>
      </x:c>
      <x:c r="AU304" s="240"/>
      <x:c r="AV304" s="240"/>
      <x:c r="AW304" s="240"/>
      <x:c r="AX304" s="240"/>
      <x:c r="AY304" s="240"/>
      <x:c r="AZ304" s="240"/>
      <x:c r="BA304" s="240"/>
      <x:c r="BB304" s="240"/>
      <x:c r="BC304" s="240"/>
      <x:c r="BD304" s="240"/>
      <x:c r="BE304" s="240"/>
      <x:c r="BF304" s="240"/>
    </x:row>
    <x:row r="305" ht="32" customHeight="1">
      <x:c r="A305" s="318"/>
      <x:c r="B305" s="319"/>
      <x:c r="C305" s="320"/>
      <x:c r="D305" s="320"/>
      <x:c r="E305" s="319"/>
      <x:c r="F305" s="319"/>
      <x:c r="G305" s="319"/>
      <x:c r="H305" s="319"/>
      <x:c r="I305" s="321"/>
      <x:c r="J305" s="319"/>
      <x:c r="K305" s="319"/>
      <x:c r="L305" s="319"/>
      <x:c r="M305" s="368"/>
      <x:c r="N305" s="319"/>
      <x:c r="O305" s="320"/>
      <x:c r="P305" s="351"/>
      <x:c r="Q305" s="710"/>
      <x:c r="R305" s="710"/>
      <x:c r="S305" s="711"/>
      <x:c r="T305" s="712"/>
      <x:c r="U305" s="704"/>
      <x:c r="V305" s="704"/>
      <x:c r="W305" s="704"/>
      <x:c r="X305" s="704" t="str">
        <x:f>IF(COUNTIF(R305:V305,"Belum Dinilai")&gt;0,"Belum Dinilai",IF(COUNTIF(R305:V305,"Ya")=0,"Tidak ada faktor rentan",TEXTJOIN(", ",TRUE,IF(R305="Ya","Lansia",""),IF(S305="Ya","Penyandang disabilitas",""),IF(T305="Ya","Kepala keluarga perempuan",""),IF(U305="Ya","Balita",""),IF(V305="Ya","Anggota keluarga dengan ketergantungan tinggi",""))))</x:f>
        <x:v>Tidak ada faktor rentan</x:v>
      </x:c>
      <x:c r="Y305" s="704" t="str">
        <x:f>IF(COUNTIF(R305:V305,"Belum Dinilai")&gt;0,"Belum Dinilai",IF(COUNTIF(R305:V305,"Ya")=0,"Tidak Ada Faktor Rentan",IF(COUNTIF(R305:V305,"Ya")=1,"1 Faktor Rentan","2 atau Lebih Faktor Rentan")))</x:f>
        <x:v>Tidak Ada Faktor Rentan</x:v>
      </x:c>
      <x:c r="Z305" s="704" t="str">
        <x:f>IF(OR(Q305="",Q305="Belum Dinilai"),"",IF(Q305="Terverifikasi DTKS/P3KE/MBR",10,IF(Q305="Diusulkan, Belum Terverifikasi",5,0)))</x:f>
      </x:c>
      <x:c r="AA305" s="705" t="n">
        <x:f>IF(COUNTIF(R305:V305,"Belum Dinilai")&gt;0,"",IF(COUNTIF(R305:V305,"Ya")=0,0,IF(COUNTIF(R305:V305,"Ya")=1,5,10)))</x:f>
        <x:v>0</x:v>
      </x:c>
      <x:c r="AB305" s="706" t="str">
        <x:f>IF(OR(Z305="",AA305=""),"",Z305+AA305)</x:f>
      </x:c>
      <x:c r="AC305" s="713"/>
      <x:c r="AD305" s="713"/>
      <x:c r="AE305" s="714"/>
      <x:c r="AF305" s="713"/>
      <x:c r="AG305" s="713"/>
      <x:c r="AH305" s="715"/>
      <x:c r="AI305" s="714"/>
      <x:c r="AJ305" s="713"/>
      <x:c r="AK305" s="715"/>
      <x:c r="AL305" s="713"/>
      <x:c r="AM305" s="716"/>
      <x:c r="AN305" s="716" t="str">
        <x:f>IF(AND(COUNTIF(AC305:AK305,"Ya")=0,AL305=""),IF(COUNTIF(AC305:AK305,"Belum Dinilai")&gt;0,"Belum Dinilai","Tidak ada risiko khusus"),TEXTJOIN(", ",TRUE,IF(AC305="Ya","Bangunan berpotensi roboh",""),IF(AD305="Ya","Bekas kebakaran dan tidak aman dihuni",""),IF(AE305="Ya","Atap atau dinding utama hampir runtuh",""),IF(AF305="Ya","Genangan yang membahayakan",""),IF(AG305="Ya","Struktur rumah tidak stabil",""),IF(AH305="Ya","Instalasi listrik berbahaya",""),IF(AI305="Ya","Komponen bangunan lepas atau lapuk",""),IF(AJ305="Ya","Akses keluar atau evakuasi terbatas",""),IF(AK305="Ya","Lokasi rawan bencana",""),IF(AL305&lt;&gt;"","Lainnya: "&amp;AL305,"")))</x:f>
        <x:v>Tidak ada risiko khusus</x:v>
      </x:c>
      <x:c r="AO305" s="716" t="str">
        <x:f>IF(AR305="","Belum Dinilai",IF(AR305=10,"Risiko Tinggi/Darurat",IF(AR305=5,"Risiko Sedang","Tidak Ada Risiko Khusus")))</x:f>
        <x:v>Belum Dinilai</x:v>
      </x:c>
      <x:c r="AP305" s="716"/>
      <x:c r="AQ305" s="719" t="str">
        <x:f>IF(OR(J305="",J305="Belum Dapat Ditentukan",L305="",L305="Belum Dinilai",N305="",N305="Belum Dinilai",P305="",P305="Belum Dinilai"),"",IF(J305="Permanen",0,IF(J305="Semipermanen",8,IF(J305="Nonpermanen",15,0)))+IF(L305="Baik",0,IF(L305="Rusak Ringan",5,IF(L305="Rusak Sedang",10,IF(L305="Rusak Berat",15,IF(L305="Tidak Ada/Terbuka",20,0)))))+IF(N305="Baik",0,IF(N305="Rusak Ringan",5,IF(N305="Rusak Sedang",10,IF(N305="Rusak Berat",15,IF(N305="Tidak Ada/Terbuka",20,0)))))+IF(P305="Baik",0,IF(P305="Rusak Ringan",4,IF(P305="Rusak Sedang",8,IF(P305="Rusak Berat",12,IF(P305="Tidak Layak",15,0))))))</x:f>
      </x:c>
      <x:c r="AR305" s="719" t="n">
        <x:f>IF(COUNTIF(AC305:AH305,"Ya")&gt;0,10,IF(COUNTIF(AI305:AK305,"Ya")&gt;=2,10,IF(COUNTIF(AI305:AK305,"Ya")=1,MAX(5,IF(AM305="Risiko Tinggi/Darurat",10,IF(AM305="Risiko Sedang",5,0))),IF(AL305&lt;&gt;"",IF(AM305="Risiko Tinggi/Darurat",10,IF(AM305="Risiko Sedang",5,"")),IF(COUNTIF(AC305:AK305,"Belum Dinilai")&gt;0,"",0)))))</x:f>
        <x:v>0</x:v>
      </x:c>
      <x:c r="AS305" s="719" t="str">
        <x:f>IF(OR(AQ305="",AB305="",AR305=""),"",AQ305+AB305+AR305)</x:f>
      </x:c>
      <x:c r="AT305" s="719" t="str">
        <x:f>IF(AS305="","Belum Dapat Ditentukan",IF(AS305&gt;=80,"Sangat Tinggi",IF(OR(AO305="Risiko Tinggi/Darurat",(IF(L305="Rusak Berat",1,0)+IF(L305="Tidak Ada/Terbuka",1,0)+IF(N305="Rusak Berat",1,0)+IF(N305="Tidak Ada/Terbuka",1,0)+IF(P305="Rusak Berat",1,0)+IF(P305="Tidak Layak",1,0))&gt;=2),"Tinggi",IF(AS305&gt;=65,"Tinggi",IF(AS305&gt;=50,"Sedang","Rendah")))))</x:f>
        <x:v>Belum Dapat Ditentukan</x:v>
      </x:c>
      <x:c r="AU305" s="240"/>
      <x:c r="AV305" s="240"/>
      <x:c r="AW305" s="240"/>
      <x:c r="AX305" s="240"/>
      <x:c r="AY305" s="240"/>
      <x:c r="AZ305" s="240"/>
      <x:c r="BA305" s="240"/>
      <x:c r="BB305" s="240"/>
      <x:c r="BC305" s="240"/>
      <x:c r="BD305" s="240"/>
      <x:c r="BE305" s="240"/>
      <x:c r="BF305" s="240"/>
    </x:row>
    <x:row r="308" ht="28" customHeight="1">
      <x:c r="A308" s="680" t="str">
        <x:v>PANDUAN CHECKLIST KERENTANAN PENGHUNI DAN RISIKO KESELAMATAN</x:v>
      </x:c>
      <x:c r="B308" s="680"/>
      <x:c r="C308" s="680"/>
      <x:c r="D308" s="680"/>
      <x:c r="E308" s="680"/>
      <x:c r="F308" s="680"/>
      <x:c r="G308" s="680"/>
      <x:c r="H308" s="680"/>
      <x:c r="I308" s="682"/>
      <x:c r="J308" s="682"/>
    </x:row>
    <x:row r="309" ht="34" customHeight="1">
      <x:c r="A309" s="685" t="str">
        <x:v>Pilih Ya, Tidak, atau Belum Dinilai pada setiap faktor. Dashboard menampilkan semua pilihan Ya dan menghitung poin otomatis.</x:v>
      </x:c>
      <x:c r="B309" s="685"/>
      <x:c r="C309" s="685"/>
      <x:c r="D309" s="685"/>
      <x:c r="E309" s="685"/>
      <x:c r="F309" s="685"/>
      <x:c r="G309" s="685"/>
      <x:c r="H309" s="685"/>
      <x:c r="I309" s="690"/>
      <x:c r="J309" s="690"/>
    </x:row>
    <x:row r="311" ht="38" customHeight="1">
      <x:c r="A311" s="720" t="str">
        <x:v>KELOMPOK</x:v>
      </x:c>
      <x:c r="B311" s="695" t="str">
        <x:v>FAKTOR / PENGISIAN</x:v>
      </x:c>
      <x:c r="C311" s="695" t="str">
        <x:v>ATURAN POIN</x:v>
      </x:c>
      <x:c r="D311" s="597"/>
      <x:c r="E311" s="597"/>
      <x:c r="F311" s="597"/>
      <x:c r="G311" s="597"/>
      <x:c r="H311" s="598"/>
    </x:row>
    <x:row r="312" ht="38" customHeight="1">
      <x:c r="A312" s="534" t="str">
        <x:v>Kerentanan</x:v>
      </x:c>
      <x:c r="B312" s="534" t="str">
        <x:v>Lansia; disabilitas; kepala keluarga perempuan; balita; ketergantungan tinggi</x:v>
      </x:c>
      <x:c r="C312" s="534" t="str">
        <x:v>1 faktor = 5 poin; 2 atau lebih = 10 poin.</x:v>
      </x:c>
      <x:c r="D312" s="658"/>
      <x:c r="E312" s="658"/>
      <x:c r="F312" s="658"/>
      <x:c r="G312" s="658"/>
      <x:c r="H312" s="658"/>
    </x:row>
    <x:row r="313" ht="38" customHeight="1">
      <x:c r="A313" s="534" t="str">
        <x:v>Status MBR</x:v>
      </x:c>
      <x:c r="B313" s="534" t="str">
        <x:v>Terverifikasi; diusulkan belum terverifikasi; tidak terdata</x:v>
      </x:c>
      <x:c r="C313" s="534" t="str">
        <x:v>10; 5; atau 0 poin. Total kerentanan maksimal 20.</x:v>
      </x:c>
      <x:c r="D313" s="658"/>
      <x:c r="E313" s="658"/>
      <x:c r="F313" s="658"/>
      <x:c r="G313" s="658"/>
      <x:c r="H313" s="658"/>
    </x:row>
    <x:row r="314" ht="38" customHeight="1">
      <x:c r="A314" s="534" t="str">
        <x:v>Risiko tinggi</x:v>
      </x:c>
      <x:c r="B314" s="534" t="str">
        <x:v>Potensi roboh; bekas kebakaran; atap/dinding hampir runtuh; genangan; struktur tidak stabil; listrik berbahaya</x:v>
      </x:c>
      <x:c r="C314" s="534" t="str">
        <x:v>Salah satu Ya = 10 poin.</x:v>
      </x:c>
      <x:c r="D314" s="658"/>
      <x:c r="E314" s="658"/>
      <x:c r="F314" s="658"/>
      <x:c r="G314" s="658"/>
      <x:c r="H314" s="658"/>
    </x:row>
    <x:row r="315" ht="38" customHeight="1">
      <x:c r="A315" s="534" t="str">
        <x:v>Risiko sedang</x:v>
      </x:c>
      <x:c r="B315" s="534" t="str">
        <x:v>Komponen lepas/lapuk; akses evakuasi terbatas; lokasi rawan bencana</x:v>
      </x:c>
      <x:c r="C315" s="534" t="str">
        <x:v>1 faktor = 5 poin; 2 atau lebih = 10 poin.</x:v>
      </x:c>
      <x:c r="D315" s="658"/>
      <x:c r="E315" s="658"/>
      <x:c r="F315" s="658"/>
      <x:c r="G315" s="658"/>
      <x:c r="H315" s="658"/>
    </x:row>
    <x:row r="316" ht="38" customHeight="1">
      <x:c r="A316" s="534" t="str">
        <x:v>Risiko lainnya</x:v>
      </x:c>
      <x:c r="B316" s="534" t="str">
        <x:v>Isi jenis risiko dan pilih tingkat risikonya</x:v>
      </x:c>
      <x:c r="C316" s="534" t="str">
        <x:v>Sedang = 5; Tinggi/Darurat = 10.</x:v>
      </x:c>
      <x:c r="D316" s="658"/>
      <x:c r="E316" s="658"/>
      <x:c r="F316" s="658"/>
      <x:c r="G316" s="658"/>
      <x:c r="H316" s="658"/>
    </x:row>
    <x:row r="317" ht="38" customHeight="1">
      <x:c r="A317" s="659"/>
      <x:c r="B317" s="660"/>
      <x:c r="C317" s="658"/>
      <x:c r="D317" s="658"/>
      <x:c r="E317" s="658"/>
      <x:c r="F317" s="658"/>
      <x:c r="G317" s="658"/>
      <x:c r="H317" s="658"/>
    </x:row>
    <x:row r="318" ht="38" customHeight="1">
      <x:c r="A318" s="658"/>
      <x:c r="B318" s="658"/>
      <x:c r="C318" s="658"/>
      <x:c r="D318" s="658"/>
      <x:c r="E318" s="658"/>
      <x:c r="F318" s="658"/>
      <x:c r="G318" s="658"/>
      <x:c r="H318" s="658"/>
    </x:row>
    <x:row r="319" ht="38" customHeight="1">
      <x:c r="A319" s="548"/>
      <x:c r="B319" s="548"/>
      <x:c r="C319" s="261"/>
      <x:c r="D319" s="261"/>
      <x:c r="E319" s="261"/>
      <x:c r="F319" s="261"/>
      <x:c r="G319" s="261"/>
      <x:c r="H319" s="261"/>
    </x:row>
    <x:row r="320" ht="38" customHeight="1">
      <x:c r="A320" s="654"/>
      <x:c r="B320" s="597"/>
      <x:c r="C320" s="598"/>
      <x:c r="D320" s="597"/>
      <x:c r="E320" s="597"/>
      <x:c r="F320" s="597"/>
      <x:c r="G320" s="597"/>
      <x:c r="H320" s="598"/>
    </x:row>
    <x:row r="321" ht="38" customHeight="1">
      <x:c r="A321" s="661"/>
      <x:c r="B321" s="661"/>
      <x:c r="C321" s="661"/>
      <x:c r="D321" s="661"/>
      <x:c r="E321" s="661"/>
      <x:c r="F321" s="661"/>
      <x:c r="G321" s="661"/>
      <x:c r="H321" s="661"/>
    </x:row>
    <x:row r="322" ht="38" customHeight="1">
      <x:c r="A322" s="661"/>
      <x:c r="B322" s="661"/>
      <x:c r="C322" s="661"/>
      <x:c r="D322" s="661"/>
      <x:c r="E322" s="661"/>
      <x:c r="F322" s="661"/>
      <x:c r="G322" s="661"/>
      <x:c r="H322" s="661"/>
    </x:row>
    <x:row r="323" ht="38" customHeight="1">
      <x:c r="A323" s="661"/>
      <x:c r="B323" s="661"/>
      <x:c r="C323" s="661"/>
      <x:c r="D323" s="661"/>
      <x:c r="E323" s="661"/>
      <x:c r="F323" s="661"/>
      <x:c r="G323" s="661"/>
      <x:c r="H323" s="661"/>
    </x:row>
    <x:row r="324" ht="38" customHeight="1">
      <x:c r="A324" s="661"/>
      <x:c r="B324" s="661"/>
      <x:c r="C324" s="661"/>
      <x:c r="D324" s="661"/>
      <x:c r="E324" s="661"/>
      <x:c r="F324" s="661"/>
      <x:c r="G324" s="661"/>
      <x:c r="H324" s="661"/>
    </x:row>
    <x:row r="325" ht="38" customHeight="1">
      <x:c r="A325" s="661"/>
      <x:c r="B325" s="661"/>
      <x:c r="C325" s="661"/>
      <x:c r="D325" s="661"/>
      <x:c r="E325" s="661"/>
      <x:c r="F325" s="661"/>
      <x:c r="G325" s="661"/>
      <x:c r="H325" s="661"/>
    </x:row>
    <x:row r="326" ht="38" customHeight="1">
      <x:c r="A326" s="574"/>
      <x:c r="B326" s="575"/>
      <x:c r="C326" s="261"/>
      <x:c r="D326" s="261"/>
      <x:c r="E326" s="261"/>
      <x:c r="F326" s="261"/>
      <x:c r="G326" s="261"/>
      <x:c r="H326" s="261"/>
    </x:row>
    <x:row r="327" ht="38" customHeight="1">
      <x:c r="A327" s="663"/>
      <x:c r="B327" s="663"/>
      <x:c r="C327" s="663"/>
      <x:c r="D327" s="663"/>
      <x:c r="E327" s="663"/>
      <x:c r="F327" s="663"/>
      <x:c r="G327" s="663"/>
      <x:c r="H327" s="663"/>
    </x:row>
  </x:sheetData>
  <x:mergeCells>
    <x:mergeCell ref="A1:BF1"/>
    <x:mergeCell ref="A2:BF2"/>
    <x:mergeCell ref="A3:BF3"/>
    <x:mergeCell ref="A308:J308"/>
    <x:mergeCell ref="A309:J309"/>
  </x:mergeCells>
  <x:conditionalFormatting sqref="I6:I305">
    <x:cfRule type="colorScale" priority="1">
      <x:colorScale>
        <x:cfvo type="min"/>
        <x:cfvo type="percentile" val="50"/>
        <x:cfvo type="max"/>
        <x:color rgb="FFE8F5EE"/>
        <x:color rgb="FFF6F1DA"/>
        <x:color rgb="FFFDECEC"/>
      </x:colorScale>
    </x:cfRule>
  </x:conditionalFormatting>
  <x:conditionalFormatting sqref="O6:O305">
    <x:cfRule type="expression" dxfId="2" priority="3">
      <x:formula>O6="Selesai"</x:formula>
    </x:cfRule>
  </x:conditionalFormatting>
  <x:conditionalFormatting sqref="J6:J305">
    <x:cfRule type="expression" dxfId="3" priority="4">
      <x:formula>OR(J6="Rusak Berat/Parah",J6="Bencana/Kebakaran")</x:formula>
    </x:cfRule>
    <x:cfRule type="expression" dxfId="4" priority="5">
      <x:formula>J6="Rusak Sedang"</x:formula>
    </x:cfRule>
    <x:cfRule type="expression" dxfId="5" priority="6">
      <x:formula>J6="Rusak Ringan"</x:formula>
    </x:cfRule>
  </x:conditionalFormatting>
  <x:conditionalFormatting sqref="L6:L305">
    <x:cfRule type="expression" dxfId="19" priority="20">
      <x:formula>OR(L6="Rusak Berat",L6="Tidak Ada/Terbuka",L6="Tidak Layak")</x:formula>
    </x:cfRule>
    <x:cfRule type="expression" dxfId="20" priority="21">
      <x:formula>L6="Rusak Sedang"</x:formula>
    </x:cfRule>
    <x:cfRule type="expression" dxfId="21" priority="22">
      <x:formula>L6="Rusak Ringan"</x:formula>
    </x:cfRule>
    <x:cfRule type="expression" dxfId="22" priority="23">
      <x:formula>L6="Baik"</x:formula>
    </x:cfRule>
  </x:conditionalFormatting>
  <x:conditionalFormatting sqref="N6:N305">
    <x:cfRule type="expression" dxfId="23" priority="24">
      <x:formula>OR(N6="Rusak Berat",N6="Tidak Ada/Terbuka",N6="Tidak Layak")</x:formula>
    </x:cfRule>
    <x:cfRule type="expression" dxfId="24" priority="25">
      <x:formula>N6="Rusak Sedang"</x:formula>
    </x:cfRule>
    <x:cfRule type="expression" dxfId="25" priority="26">
      <x:formula>N6="Rusak Ringan"</x:formula>
    </x:cfRule>
    <x:cfRule type="expression" dxfId="26" priority="27">
      <x:formula>N6="Baik"</x:formula>
    </x:cfRule>
  </x:conditionalFormatting>
  <x:conditionalFormatting sqref="P6:P305">
    <x:cfRule type="expression" dxfId="27" priority="28">
      <x:formula>OR(P6="Rusak Berat",P6="Tidak Ada/Terbuka",P6="Tidak Layak")</x:formula>
    </x:cfRule>
    <x:cfRule type="expression" dxfId="28" priority="29">
      <x:formula>P6="Rusak Sedang"</x:formula>
    </x:cfRule>
    <x:cfRule type="expression" dxfId="29" priority="30">
      <x:formula>P6="Rusak Ringan"</x:formula>
    </x:cfRule>
    <x:cfRule type="expression" dxfId="30" priority="31">
      <x:formula>P6="Baik"</x:formula>
    </x:cfRule>
  </x:conditionalFormatting>
  <x:conditionalFormatting sqref="Q6:Q305">
    <x:cfRule type="expression" dxfId="31" priority="32">
      <x:formula>Q6="Terverifikasi DTKS/P3KE/MBR"</x:formula>
    </x:cfRule>
  </x:conditionalFormatting>
  <x:conditionalFormatting sqref="R6:R305">
    <x:cfRule type="expression" dxfId="32" priority="33">
      <x:formula>R6="2 atau Lebih Faktor Rentan"</x:formula>
    </x:cfRule>
  </x:conditionalFormatting>
  <x:conditionalFormatting sqref="T6:T305">
    <x:cfRule type="expression" dxfId="33" priority="34">
      <x:formula>T6="Risiko Tinggi/Darurat"</x:formula>
    </x:cfRule>
    <x:cfRule type="expression" dxfId="34" priority="35">
      <x:formula>T6="Risiko Sedang"</x:formula>
    </x:cfRule>
  </x:conditionalFormatting>
  <x:conditionalFormatting sqref="Y6:Y305">
    <x:cfRule type="dataBar" priority="36">
      <x:dataBar>
        <x:cfvo type="min"/>
        <x:cfvo type="max"/>
        <x:color rgb="FF175B72"/>
      </x:dataBar>
      <x:extLst>
        <x:ext xmlns:x14="http://schemas.microsoft.com/office/spreadsheetml/2009/9/main" uri="{B025F937-C7B1-47D3-B67F-A62EFF666E3E}">
          <x14:id>{D3F97402-3710-710F-A5D6-EFB37E734511}</x14:id>
        </x:ext>
      </x:extLst>
    </x:cfRule>
  </x:conditionalFormatting>
  <x:conditionalFormatting sqref="Z6:Z305">
    <x:cfRule type="expression" dxfId="35" priority="37">
      <x:formula>Z6="Sangat Tinggi"</x:formula>
    </x:cfRule>
    <x:cfRule type="expression" dxfId="36" priority="38">
      <x:formula>Z6="Tinggi"</x:formula>
    </x:cfRule>
    <x:cfRule type="expression" dxfId="37" priority="39">
      <x:formula>Z6="Sedang"</x:formula>
    </x:cfRule>
    <x:cfRule type="expression" dxfId="38" priority="40">
      <x:formula>Z6="Rendah"</x:formula>
    </x:cfRule>
  </x:conditionalFormatting>
  <x:conditionalFormatting sqref="AA6:AA305">
    <x:cfRule type="expression" dxfId="39" priority="41">
      <x:formula>AA6="Belum Lengkap"</x:formula>
    </x:cfRule>
  </x:conditionalFormatting>
  <x:dataValidations count="28">
    <x:dataValidation type="list" sqref="G6:G305">
      <x:formula1>"Bukit Intan,Gabek,Gerunggang,Girimaya,Pangkal Balam,Rangkui,Taman Sari,Belum tersedia"</x:formula1>
    </x:dataValidation>
    <x:dataValidation type="list" sqref="J6:J305">
      <x:formula1>"Permanen,Semipermanen,Nonpermanen,Belum Dapat Ditentukan"</x:formula1>
    </x:dataValidation>
    <x:dataValidation type="list" sqref="K6:K305">
      <x:formula1>"Genteng,Seng,Asbes/Fiber Semen,Spandek,Beton/Dak,Sirap,Terpal/Material Darurat,Campuran,Lainnya,Belum Diidentifikasi"</x:formula1>
    </x:dataValidation>
    <x:dataValidation type="list" sqref="L6:L305">
      <x:formula1>"Baik,Rusak Ringan,Rusak Sedang,Rusak Berat,Tidak Ada/Terbuka,Belum Dinilai"</x:formula1>
    </x:dataValidation>
    <x:dataValidation type="list" sqref="N6:N305">
      <x:formula1>"Baik,Rusak Ringan,Rusak Sedang,Rusak Berat,Tidak Ada/Terbuka,Belum Dinilai"</x:formula1>
    </x:dataValidation>
    <x:dataValidation type="list" sqref="H6:H305">
      <x:formula1>"Pembangunan Baru,Peningkatan Kualitas,Belum Prioritas,Belum Ditentukan"</x:formula1>
    </x:dataValidation>
    <x:dataValidation type="list" sqref="O6:O305">
      <x:formula1>"Keramik,Tegel/Ubin,Semen/Plester,Papan/Kayu,Tanah,Campuran,Material Darurat,Lainnya,Belum Diidentifikasi"</x:formula1>
    </x:dataValidation>
    <x:dataValidation type="list" sqref="P6:P305">
      <x:formula1>"Baik,Rusak Ringan,Rusak Sedang,Rusak Berat,Tidak Layak,Belum Dinilai"</x:formula1>
    </x:dataValidation>
    <x:dataValidation type="list" sqref="R6:R305">
      <x:formula1>"Tidak Ada Faktor Rentan,1 Faktor Rentan,2 atau Lebih Faktor Rentan,Belum Dinilai"</x:formula1>
    </x:dataValidation>
    <x:dataValidation type="list" sqref="V6:V305">
      <x:formula1>"Usulan Musrenbang/Pokir DPRD,Musrenbang,Pokir DPRD,Pendataan Dinas,Lainnya"</x:formula1>
    </x:dataValidation>
    <x:dataValidation type="list" sqref="M6:M305">
      <x:formula1>"Bata/Batako Diplester,Bata/Batako Belum Diplester,Beton,Dinding Permanen (Material tidak dirinci),Papan/Kayu,Bambu,Seng,Campuran Permanen dan Papan,Material Darurat,Lainnya,Belum Diidentifikasi"</x:formula1>
    </x:dataValidation>
    <x:dataValidation type="list" sqref="Q6:Q305">
      <x:formula1>"Terverifikasi DTKS/P3KE/MBR,Diusulkan, Belum Terverifikasi,Tidak Terdata,Belum Dinilai"</x:formula1>
    </x:dataValidation>
    <x:dataValidation type="list" sqref="S6:S305">
      <x:formula1>"Belum Diverifikasi,Sudah Diverifikasi"</x:formula1>
    </x:dataValidation>
    <x:dataValidation type="list" sqref="T6:T305">
      <x:formula1>"Tidak Ada Risiko Khusus,Risiko Sedang,Risiko Tinggi/Darurat,Belum Dinilai"</x:formula1>
    </x:dataValidation>
    <x:dataValidation type="list" sqref="U6:U305">
      <x:formula1>"APBD Kota,APBD Provinsi,BSPS,CSR,BAZNAS,Swadaya,Lainnya"</x:formula1>
    </x:dataValidation>
    <x:dataValidation type="list" sqref="W6:W305">
      <x:formula1>"Milik Sendiri,Kepemilikan Keluarga,Sewa/Kontrak,Menumpang,Belum Diverifikasi"</x:formula1>
    </x:dataValidation>
    <x:dataValidation type="list" sqref="AA6:AA305">
      <x:formula1>"Lengkap,Belum Lengkap"</x:formula1>
    </x:dataValidation>
    <x:dataValidation type="list" sqref="AB6:AB305">
      <x:formula1>"Belum Diverifikasi,Sudah Diverifikasi"</x:formula1>
    </x:dataValidation>
    <x:dataValidation type="list" sqref="AC6:AC305">
      <x:formula1>"Belum Ditangani,Masuk Prioritas,Dalam Pelaksanaan,Selesai"</x:formula1>
    </x:dataValidation>
    <x:dataValidation type="list" sqref="AD6:AD305">
      <x:formula1>"APBD Kota,APBD Provinsi,BSPS,CSR,BAZNAS,Swadaya,Lainnya"</x:formula1>
    </x:dataValidation>
    <x:dataValidation type="list" sqref="AF6:AF305">
      <x:formula1>"Milik Sendiri,Kepemilikan Keluarga,Sewa/Kontrak,Menumpang,Belum Diverifikasi"</x:formula1>
    </x:dataValidation>
    <x:dataValidation type="list" sqref="AJ6:AJ305">
      <x:formula1>"Usulan Musrenbang/Pokir DPRD,Musrenbang,Pokir DPRD,Pendataan Dinas,Lainnya"</x:formula1>
    </x:dataValidation>
    <x:dataValidation type="list" sqref="R6:V305">
      <x:formula1>"Ya,Tidak,Belum Dinilai"</x:formula1>
    </x:dataValidation>
    <x:dataValidation type="list" sqref="AC6:AK305">
      <x:formula1>"Ya,Tidak,Belum Dinilai"</x:formula1>
    </x:dataValidation>
    <x:dataValidation type="list" sqref="AM6:AM305">
      <x:formula1>"Tidak Ada Risiko,Risiko Sedang,Risiko Tinggi/Darurat,Belum Dinilai"</x:formula1>
    </x:dataValidation>
    <x:dataValidation type="list" sqref="AU6:AU305">
      <x:formula1>"Lengkap,Belum Lengkap"</x:formula1>
    </x:dataValidation>
    <x:dataValidation type="list" sqref="AV6:AV305">
      <x:formula1>"Belum Diverifikasi,Sudah Diverifikasi"</x:formula1>
    </x:dataValidation>
    <x:dataValidation type="list" sqref="AW6:AW305">
      <x:formula1>"Belum Ditangani,Masuk Prioritas,Dalam Pelaksanaan,Selesai"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53d5ebcf3dc402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6" id="{D3F97402-3710-710F-A5D6-EFB37E734511}">
            <x14:dataBar gradient="1">
              <x14:cfvo type="min"/>
              <x14:cfvo type="max"/>
              <x14:fillColor rgb="FF175B72"/>
            </x14:dataBar>
          </x14:cfRule>
          <xm:sqref>Y6:Y305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4"/>
  <x:cols>
    <x:col min="1" max="1" width="15" customWidth="1"/>
    <x:col min="2" max="2" width="28" customWidth="1"/>
    <x:col min="3" max="3" width="16" customWidth="1"/>
    <x:col min="4" max="4" width="12" customWidth="1"/>
    <x:col min="5" max="5" width="16" customWidth="1"/>
    <x:col min="6" max="6" width="15" customWidth="1"/>
    <x:col min="7" max="7" width="22" customWidth="1"/>
    <x:col min="8" max="8" width="20" customWidth="1"/>
    <x:col min="9" max="9" width="34" customWidth="1"/>
    <x:col min="10" max="10" width="13" customWidth="1"/>
    <x:col min="11" max="11" width="30" customWidth="1"/>
    <x:col min="12" max="12" width="20" customWidth="1"/>
    <x:col min="13" max="13" width="16" customWidth="1"/>
    <x:col min="14" max="14" width="20" customWidth="1"/>
  </x:cols>
  <x:sheetData>
    <x:row r="1" ht="13.399999618530273" customHeight="1">
      <x:c r="A1" s="77" t="s">
        <x:v>878</x:v>
      </x:c>
      <x:c r="B1" s="77"/>
      <x:c r="C1" s="77"/>
      <x:c r="D1" s="77"/>
      <x:c r="E1" s="77"/>
      <x:c r="F1" s="77"/>
      <x:c r="G1" s="77"/>
      <x:c r="H1" s="77"/>
      <x:c r="I1" s="77"/>
      <x:c r="J1" s="77"/>
      <x:c r="K1" s="77"/>
      <x:c r="L1" s="77"/>
      <x:c r="M1" s="77"/>
      <x:c r="N1" s="77"/>
    </x:row>
    <x:row r="2" ht="11.649999618530273" customHeight="1">
      <x:c r="A2" s="79" t="s">
        <x:v>879</x:v>
      </x:c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</x:row>
    <x:row r="3" ht="13.399999618530273" customHeight="1">
      <x:c r="A3" s="80" t="s">
        <x:v>851</x:v>
      </x:c>
      <x:c r="B3" s="80"/>
      <x:c r="C3" s="80"/>
      <x:c r="D3" s="80"/>
      <x:c r="E3" s="80"/>
      <x:c r="F3" s="80"/>
      <x:c r="G3" s="80"/>
      <x:c r="H3" s="80"/>
      <x:c r="I3" s="80"/>
      <x:c r="J3" s="80"/>
      <x:c r="K3" s="80"/>
      <x:c r="L3" s="80"/>
      <x:c r="M3" s="80"/>
      <x:c r="N3" s="80"/>
    </x:row>
    <x:row r="5" ht="18.649999618530273" customHeight="1">
      <x:c r="A5" s="1" t="s">
        <x:v>880</x:v>
      </x:c>
      <x:c r="B5" s="2" t="s">
        <x:v>881</x:v>
      </x:c>
      <x:c r="C5" s="2" t="s">
        <x:v>882</x:v>
      </x:c>
      <x:c r="D5" s="2" t="s">
        <x:v>883</x:v>
      </x:c>
      <x:c r="E5" s="2" t="s">
        <x:v>884</x:v>
      </x:c>
      <x:c r="F5" s="2" t="s">
        <x:v>885</x:v>
      </x:c>
      <x:c r="G5" s="2" t="s">
        <x:v>886</x:v>
      </x:c>
      <x:c r="H5" s="2" t="s">
        <x:v>887</x:v>
      </x:c>
      <x:c r="I5" s="2" t="s">
        <x:v>857</x:v>
      </x:c>
      <x:c r="J5" s="2" t="s">
        <x:v>26</x:v>
      </x:c>
      <x:c r="K5" s="2" t="s">
        <x:v>27</x:v>
      </x:c>
      <x:c r="L5" s="2" t="s">
        <x:v>28</x:v>
      </x:c>
      <x:c r="M5" s="2" t="s">
        <x:v>29</x:v>
      </x:c>
      <x:c r="N5" s="3" t="s">
        <x:v>30</x:v>
      </x:c>
    </x:row>
    <x:row r="6" ht="9.75" customHeight="1">
      <x:c r="A6" s="31"/>
      <x:c r="B6" s="69" t="s">
        <x:v>888</x:v>
      </x:c>
      <x:c r="C6" s="10" t="s">
        <x:v>889</x:v>
      </x:c>
      <x:c r="D6" s="19" t="s">
        <x:v>890</x:v>
      </x:c>
      <x:c r="E6" s="46" t="s">
        <x:v>858</x:v>
      </x:c>
      <x:c r="F6" s="4"/>
      <x:c r="G6" s="10" t="s">
        <x:v>891</x:v>
      </x:c>
      <x:c r="H6" s="10" t="s">
        <x:v>892</x:v>
      </x:c>
      <x:c r="I6" s="4"/>
      <x:c r="J6" s="19"/>
      <x:c r="K6" s="10"/>
      <x:c r="L6" s="10"/>
      <x:c r="M6" s="13"/>
      <x:c r="N6" s="34"/>
    </x:row>
    <x:row r="7" ht="9.75" customHeight="1">
      <x:c r="A7" s="32"/>
      <x:c r="B7" s="69" t="s">
        <x:v>888</x:v>
      </x:c>
      <x:c r="C7" s="10" t="s">
        <x:v>889</x:v>
      </x:c>
      <x:c r="D7" s="20" t="s">
        <x:v>890</x:v>
      </x:c>
      <x:c r="E7" s="47" t="s">
        <x:v>862</x:v>
      </x:c>
      <x:c r="F7" s="6"/>
      <x:c r="G7" s="11" t="s">
        <x:v>891</x:v>
      </x:c>
      <x:c r="H7" s="11" t="s">
        <x:v>892</x:v>
      </x:c>
      <x:c r="I7" s="6"/>
      <x:c r="J7" s="20"/>
      <x:c r="K7" s="11"/>
      <x:c r="L7" s="11"/>
      <x:c r="M7" s="14"/>
      <x:c r="N7" s="35"/>
    </x:row>
    <x:row r="8" ht="9.75" customHeight="1">
      <x:c r="A8" s="32"/>
      <x:c r="B8" s="69" t="s">
        <x:v>888</x:v>
      </x:c>
      <x:c r="C8" s="10" t="s">
        <x:v>889</x:v>
      </x:c>
      <x:c r="D8" s="20" t="s">
        <x:v>890</x:v>
      </x:c>
      <x:c r="E8" s="47" t="s">
        <x:v>863</x:v>
      </x:c>
      <x:c r="F8" s="6"/>
      <x:c r="G8" s="11" t="s">
        <x:v>891</x:v>
      </x:c>
      <x:c r="H8" s="11" t="s">
        <x:v>892</x:v>
      </x:c>
      <x:c r="I8" s="6"/>
      <x:c r="J8" s="20"/>
      <x:c r="K8" s="11"/>
      <x:c r="L8" s="11"/>
      <x:c r="M8" s="14"/>
      <x:c r="N8" s="35"/>
    </x:row>
    <x:row r="9" ht="9.75" customHeight="1">
      <x:c r="A9" s="32"/>
      <x:c r="B9" s="69" t="s">
        <x:v>888</x:v>
      </x:c>
      <x:c r="C9" s="10" t="s">
        <x:v>889</x:v>
      </x:c>
      <x:c r="D9" s="20" t="s">
        <x:v>893</x:v>
      </x:c>
      <x:c r="E9" s="47" t="s">
        <x:v>858</x:v>
      </x:c>
      <x:c r="F9" s="6"/>
      <x:c r="G9" s="11" t="s">
        <x:v>894</x:v>
      </x:c>
      <x:c r="H9" s="11" t="s">
        <x:v>892</x:v>
      </x:c>
      <x:c r="I9" s="6"/>
      <x:c r="J9" s="20"/>
      <x:c r="K9" s="11"/>
      <x:c r="L9" s="11"/>
      <x:c r="M9" s="14"/>
      <x:c r="N9" s="35"/>
    </x:row>
    <x:row r="10" ht="9.75" customHeight="1">
      <x:c r="A10" s="32"/>
      <x:c r="B10" s="69" t="s">
        <x:v>888</x:v>
      </x:c>
      <x:c r="C10" s="10" t="s">
        <x:v>889</x:v>
      </x:c>
      <x:c r="D10" s="20" t="s">
        <x:v>893</x:v>
      </x:c>
      <x:c r="E10" s="47" t="s">
        <x:v>862</x:v>
      </x:c>
      <x:c r="F10" s="6"/>
      <x:c r="G10" s="11" t="s">
        <x:v>894</x:v>
      </x:c>
      <x:c r="H10" s="11" t="s">
        <x:v>895</x:v>
      </x:c>
      <x:c r="I10" s="6"/>
      <x:c r="J10" s="20"/>
      <x:c r="K10" s="11"/>
      <x:c r="L10" s="11"/>
      <x:c r="M10" s="14"/>
      <x:c r="N10" s="35"/>
    </x:row>
    <x:row r="11" ht="9.75" customHeight="1">
      <x:c r="A11" s="32"/>
      <x:c r="B11" s="69" t="s">
        <x:v>888</x:v>
      </x:c>
      <x:c r="C11" s="10" t="s">
        <x:v>889</x:v>
      </x:c>
      <x:c r="D11" s="20" t="s">
        <x:v>893</x:v>
      </x:c>
      <x:c r="E11" s="47" t="s">
        <x:v>863</x:v>
      </x:c>
      <x:c r="F11" s="6"/>
      <x:c r="G11" s="11" t="s">
        <x:v>894</x:v>
      </x:c>
      <x:c r="H11" s="11" t="s">
        <x:v>892</x:v>
      </x:c>
      <x:c r="I11" s="6"/>
      <x:c r="J11" s="20"/>
      <x:c r="K11" s="11"/>
      <x:c r="L11" s="11"/>
      <x:c r="M11" s="14"/>
      <x:c r="N11" s="35"/>
    </x:row>
    <x:row r="12" ht="9.75" customHeight="1">
      <x:c r="A12" s="32"/>
      <x:c r="B12" s="69" t="s">
        <x:v>888</x:v>
      </x:c>
      <x:c r="C12" s="10" t="s">
        <x:v>889</x:v>
      </x:c>
      <x:c r="D12" s="20" t="s">
        <x:v>893</x:v>
      </x:c>
      <x:c r="E12" s="47" t="s">
        <x:v>865</x:v>
      </x:c>
      <x:c r="F12" s="6"/>
      <x:c r="G12" s="11" t="s">
        <x:v>894</x:v>
      </x:c>
      <x:c r="H12" s="11" t="s">
        <x:v>892</x:v>
      </x:c>
      <x:c r="I12" s="6"/>
      <x:c r="J12" s="20"/>
      <x:c r="K12" s="11"/>
      <x:c r="L12" s="11"/>
      <x:c r="M12" s="14"/>
      <x:c r="N12" s="35"/>
    </x:row>
    <x:row r="13" ht="9.75" customHeight="1">
      <x:c r="A13" s="32"/>
      <x:c r="B13" s="69" t="s">
        <x:v>888</x:v>
      </x:c>
      <x:c r="C13" s="10" t="s">
        <x:v>889</x:v>
      </x:c>
      <x:c r="D13" s="20" t="s">
        <x:v>893</x:v>
      </x:c>
      <x:c r="E13" s="47" t="s">
        <x:v>866</x:v>
      </x:c>
      <x:c r="F13" s="6"/>
      <x:c r="G13" s="11" t="s">
        <x:v>891</x:v>
      </x:c>
      <x:c r="H13" s="11" t="s">
        <x:v>895</x:v>
      </x:c>
      <x:c r="I13" s="6"/>
      <x:c r="J13" s="20"/>
      <x:c r="K13" s="11"/>
      <x:c r="L13" s="11"/>
      <x:c r="M13" s="14"/>
      <x:c r="N13" s="35"/>
    </x:row>
    <x:row r="14" ht="9.75" customHeight="1">
      <x:c r="A14" s="32"/>
      <x:c r="B14" s="69" t="s">
        <x:v>888</x:v>
      </x:c>
      <x:c r="C14" s="10" t="s">
        <x:v>889</x:v>
      </x:c>
      <x:c r="D14" s="20" t="s">
        <x:v>893</x:v>
      </x:c>
      <x:c r="E14" s="47" t="s">
        <x:v>867</x:v>
      </x:c>
      <x:c r="F14" s="6"/>
      <x:c r="G14" s="11" t="s">
        <x:v>894</x:v>
      </x:c>
      <x:c r="H14" s="11" t="s">
        <x:v>895</x:v>
      </x:c>
      <x:c r="I14" s="6"/>
      <x:c r="J14" s="20"/>
      <x:c r="K14" s="11"/>
      <x:c r="L14" s="11"/>
      <x:c r="M14" s="14"/>
      <x:c r="N14" s="35"/>
    </x:row>
    <x:row r="15" ht="9.75" customHeight="1">
      <x:c r="A15" s="32"/>
      <x:c r="B15" s="69" t="s">
        <x:v>888</x:v>
      </x:c>
      <x:c r="C15" s="10" t="s">
        <x:v>889</x:v>
      </x:c>
      <x:c r="D15" s="20" t="s">
        <x:v>893</x:v>
      </x:c>
      <x:c r="E15" s="47" t="s">
        <x:v>868</x:v>
      </x:c>
      <x:c r="F15" s="6"/>
      <x:c r="G15" s="11" t="s">
        <x:v>894</x:v>
      </x:c>
      <x:c r="H15" s="11" t="s">
        <x:v>895</x:v>
      </x:c>
      <x:c r="I15" s="6"/>
      <x:c r="J15" s="20"/>
      <x:c r="K15" s="11"/>
      <x:c r="L15" s="11"/>
      <x:c r="M15" s="14"/>
      <x:c r="N15" s="35"/>
    </x:row>
    <x:row r="16" ht="9.75" customHeight="1">
      <x:c r="A16" s="32"/>
      <x:c r="B16" s="69" t="s">
        <x:v>888</x:v>
      </x:c>
      <x:c r="C16" s="10" t="s">
        <x:v>889</x:v>
      </x:c>
      <x:c r="D16" s="20" t="s">
        <x:v>893</x:v>
      </x:c>
      <x:c r="E16" s="47" t="s">
        <x:v>869</x:v>
      </x:c>
      <x:c r="F16" s="6"/>
      <x:c r="G16" s="11" t="s">
        <x:v>894</x:v>
      </x:c>
      <x:c r="H16" s="11" t="s">
        <x:v>892</x:v>
      </x:c>
      <x:c r="I16" s="6"/>
      <x:c r="J16" s="20"/>
      <x:c r="K16" s="11"/>
      <x:c r="L16" s="11"/>
      <x:c r="M16" s="14"/>
      <x:c r="N16" s="35"/>
    </x:row>
    <x:row r="17" ht="9.75" customHeight="1">
      <x:c r="A17" s="32"/>
      <x:c r="B17" s="69" t="s">
        <x:v>888</x:v>
      </x:c>
      <x:c r="C17" s="10" t="s">
        <x:v>889</x:v>
      </x:c>
      <x:c r="D17" s="20" t="s">
        <x:v>893</x:v>
      </x:c>
      <x:c r="E17" s="47" t="s">
        <x:v>896</x:v>
      </x:c>
      <x:c r="F17" s="6"/>
      <x:c r="G17" s="11" t="s">
        <x:v>891</x:v>
      </x:c>
      <x:c r="H17" s="11" t="s">
        <x:v>892</x:v>
      </x:c>
      <x:c r="I17" s="6"/>
      <x:c r="J17" s="20"/>
      <x:c r="K17" s="11"/>
      <x:c r="L17" s="11"/>
      <x:c r="M17" s="14"/>
      <x:c r="N17" s="35"/>
    </x:row>
    <x:row r="18" ht="9.75" customHeight="1">
      <x:c r="A18" s="32"/>
      <x:c r="B18" s="69" t="s">
        <x:v>888</x:v>
      </x:c>
      <x:c r="C18" s="10" t="s">
        <x:v>889</x:v>
      </x:c>
      <x:c r="D18" s="20" t="s">
        <x:v>893</x:v>
      </x:c>
      <x:c r="E18" s="47" t="s">
        <x:v>897</x:v>
      </x:c>
      <x:c r="F18" s="6"/>
      <x:c r="G18" s="11" t="s">
        <x:v>898</x:v>
      </x:c>
      <x:c r="H18" s="11" t="s">
        <x:v>899</x:v>
      </x:c>
      <x:c r="I18" s="6"/>
      <x:c r="J18" s="20"/>
      <x:c r="K18" s="11"/>
      <x:c r="L18" s="11"/>
      <x:c r="M18" s="14"/>
      <x:c r="N18" s="35"/>
    </x:row>
    <x:row r="19" ht="9.75" customHeight="1">
      <x:c r="A19" s="32"/>
      <x:c r="B19" s="69" t="s">
        <x:v>888</x:v>
      </x:c>
      <x:c r="C19" s="10" t="s">
        <x:v>889</x:v>
      </x:c>
      <x:c r="D19" s="20" t="s">
        <x:v>893</x:v>
      </x:c>
      <x:c r="E19" s="47" t="s">
        <x:v>900</x:v>
      </x:c>
      <x:c r="F19" s="6"/>
      <x:c r="G19" s="11" t="s">
        <x:v>898</x:v>
      </x:c>
      <x:c r="H19" s="11" t="s">
        <x:v>899</x:v>
      </x:c>
      <x:c r="I19" s="6"/>
      <x:c r="J19" s="20"/>
      <x:c r="K19" s="11"/>
      <x:c r="L19" s="11"/>
      <x:c r="M19" s="14"/>
      <x:c r="N19" s="35"/>
    </x:row>
    <x:row r="20" ht="9.75" customHeight="1">
      <x:c r="A20" s="32"/>
      <x:c r="B20" s="69" t="s">
        <x:v>888</x:v>
      </x:c>
      <x:c r="C20" s="10" t="s">
        <x:v>889</x:v>
      </x:c>
      <x:c r="D20" s="20" t="s">
        <x:v>893</x:v>
      </x:c>
      <x:c r="E20" s="47" t="s">
        <x:v>901</x:v>
      </x:c>
      <x:c r="F20" s="6"/>
      <x:c r="G20" s="11" t="s">
        <x:v>898</x:v>
      </x:c>
      <x:c r="H20" s="11" t="s">
        <x:v>899</x:v>
      </x:c>
      <x:c r="I20" s="6"/>
      <x:c r="J20" s="20"/>
      <x:c r="K20" s="11"/>
      <x:c r="L20" s="11"/>
      <x:c r="M20" s="14"/>
      <x:c r="N20" s="35"/>
    </x:row>
    <x:row r="21" ht="9.75" customHeight="1">
      <x:c r="A21" s="32"/>
      <x:c r="B21" s="69" t="s">
        <x:v>888</x:v>
      </x:c>
      <x:c r="C21" s="10" t="s">
        <x:v>889</x:v>
      </x:c>
      <x:c r="D21" s="20" t="s">
        <x:v>893</x:v>
      </x:c>
      <x:c r="E21" s="47" t="s">
        <x:v>902</x:v>
      </x:c>
      <x:c r="F21" s="6"/>
      <x:c r="G21" s="11" t="s">
        <x:v>891</x:v>
      </x:c>
      <x:c r="H21" s="11" t="s">
        <x:v>895</x:v>
      </x:c>
      <x:c r="I21" s="6"/>
      <x:c r="J21" s="20"/>
      <x:c r="K21" s="11"/>
      <x:c r="L21" s="11"/>
      <x:c r="M21" s="14"/>
      <x:c r="N21" s="35"/>
    </x:row>
    <x:row r="22" ht="9.75" customHeight="1">
      <x:c r="A22" s="32"/>
      <x:c r="B22" s="69" t="s">
        <x:v>888</x:v>
      </x:c>
      <x:c r="C22" s="10" t="s">
        <x:v>889</x:v>
      </x:c>
      <x:c r="D22" s="20" t="s">
        <x:v>893</x:v>
      </x:c>
      <x:c r="E22" s="47" t="s">
        <x:v>903</x:v>
      </x:c>
      <x:c r="F22" s="6"/>
      <x:c r="G22" s="11" t="s">
        <x:v>891</x:v>
      </x:c>
      <x:c r="H22" s="11" t="s">
        <x:v>895</x:v>
      </x:c>
      <x:c r="I22" s="6"/>
      <x:c r="J22" s="20"/>
      <x:c r="K22" s="11"/>
      <x:c r="L22" s="11"/>
      <x:c r="M22" s="14"/>
      <x:c r="N22" s="35"/>
    </x:row>
    <x:row r="23" ht="9.75" customHeight="1">
      <x:c r="A23" s="32"/>
      <x:c r="B23" s="69" t="s">
        <x:v>888</x:v>
      </x:c>
      <x:c r="C23" s="10" t="s">
        <x:v>889</x:v>
      </x:c>
      <x:c r="D23" s="20" t="s">
        <x:v>893</x:v>
      </x:c>
      <x:c r="E23" s="47" t="s">
        <x:v>904</x:v>
      </x:c>
      <x:c r="F23" s="6"/>
      <x:c r="G23" s="11" t="s">
        <x:v>891</x:v>
      </x:c>
      <x:c r="H23" s="11" t="s">
        <x:v>895</x:v>
      </x:c>
      <x:c r="I23" s="6"/>
      <x:c r="J23" s="20"/>
      <x:c r="K23" s="11"/>
      <x:c r="L23" s="11"/>
      <x:c r="M23" s="14"/>
      <x:c r="N23" s="35"/>
    </x:row>
    <x:row r="24" ht="9.75" customHeight="1">
      <x:c r="A24" s="32"/>
      <x:c r="B24" s="69" t="s">
        <x:v>888</x:v>
      </x:c>
      <x:c r="C24" s="10" t="s">
        <x:v>889</x:v>
      </x:c>
      <x:c r="D24" s="20" t="s">
        <x:v>893</x:v>
      </x:c>
      <x:c r="E24" s="47" t="s">
        <x:v>905</x:v>
      </x:c>
      <x:c r="F24" s="6"/>
      <x:c r="G24" s="11" t="s">
        <x:v>894</x:v>
      </x:c>
      <x:c r="H24" s="11" t="s">
        <x:v>895</x:v>
      </x:c>
      <x:c r="I24" s="6"/>
      <x:c r="J24" s="20"/>
      <x:c r="K24" s="11"/>
      <x:c r="L24" s="11"/>
      <x:c r="M24" s="14"/>
      <x:c r="N24" s="35"/>
    </x:row>
    <x:row r="25" ht="9.75" customHeight="1">
      <x:c r="A25" s="32"/>
      <x:c r="B25" s="69" t="s">
        <x:v>888</x:v>
      </x:c>
      <x:c r="C25" s="10" t="s">
        <x:v>889</x:v>
      </x:c>
      <x:c r="D25" s="20" t="s">
        <x:v>893</x:v>
      </x:c>
      <x:c r="E25" s="47" t="s">
        <x:v>906</x:v>
      </x:c>
      <x:c r="F25" s="6"/>
      <x:c r="G25" s="11" t="s">
        <x:v>894</x:v>
      </x:c>
      <x:c r="H25" s="11" t="s">
        <x:v>895</x:v>
      </x:c>
      <x:c r="I25" s="6"/>
      <x:c r="J25" s="20"/>
      <x:c r="K25" s="11"/>
      <x:c r="L25" s="11"/>
      <x:c r="M25" s="14"/>
      <x:c r="N25" s="35"/>
    </x:row>
    <x:row r="26" ht="9.75" customHeight="1">
      <x:c r="A26" s="32"/>
      <x:c r="B26" s="69" t="s">
        <x:v>888</x:v>
      </x:c>
      <x:c r="C26" s="10" t="s">
        <x:v>889</x:v>
      </x:c>
      <x:c r="D26" s="20" t="s">
        <x:v>893</x:v>
      </x:c>
      <x:c r="E26" s="47" t="s">
        <x:v>907</x:v>
      </x:c>
      <x:c r="F26" s="6"/>
      <x:c r="G26" s="11" t="s">
        <x:v>894</x:v>
      </x:c>
      <x:c r="H26" s="11" t="s">
        <x:v>895</x:v>
      </x:c>
      <x:c r="I26" s="6"/>
      <x:c r="J26" s="20"/>
      <x:c r="K26" s="11"/>
      <x:c r="L26" s="11"/>
      <x:c r="M26" s="14"/>
      <x:c r="N26" s="35"/>
    </x:row>
    <x:row r="27" ht="9.75" customHeight="1">
      <x:c r="A27" s="32"/>
      <x:c r="B27" s="69" t="s">
        <x:v>888</x:v>
      </x:c>
      <x:c r="C27" s="10" t="s">
        <x:v>889</x:v>
      </x:c>
      <x:c r="D27" s="20" t="s">
        <x:v>893</x:v>
      </x:c>
      <x:c r="E27" s="47" t="s">
        <x:v>908</x:v>
      </x:c>
      <x:c r="F27" s="6"/>
      <x:c r="G27" s="11" t="s">
        <x:v>891</x:v>
      </x:c>
      <x:c r="H27" s="11" t="s">
        <x:v>909</x:v>
      </x:c>
      <x:c r="I27" s="6"/>
      <x:c r="J27" s="20"/>
      <x:c r="K27" s="11"/>
      <x:c r="L27" s="11"/>
      <x:c r="M27" s="14"/>
      <x:c r="N27" s="35"/>
    </x:row>
    <x:row r="28" ht="9.75" customHeight="1">
      <x:c r="A28" s="32"/>
      <x:c r="B28" s="69" t="s">
        <x:v>888</x:v>
      </x:c>
      <x:c r="C28" s="10" t="s">
        <x:v>889</x:v>
      </x:c>
      <x:c r="D28" s="20" t="s">
        <x:v>893</x:v>
      </x:c>
      <x:c r="E28" s="47" t="s">
        <x:v>910</x:v>
      </x:c>
      <x:c r="F28" s="6"/>
      <x:c r="G28" s="11" t="s">
        <x:v>894</x:v>
      </x:c>
      <x:c r="H28" s="11" t="s">
        <x:v>895</x:v>
      </x:c>
      <x:c r="I28" s="6"/>
      <x:c r="J28" s="20"/>
      <x:c r="K28" s="11"/>
      <x:c r="L28" s="11"/>
      <x:c r="M28" s="14"/>
      <x:c r="N28" s="35"/>
    </x:row>
    <x:row r="29" ht="9.75" customHeight="1">
      <x:c r="A29" s="32"/>
      <x:c r="B29" s="69" t="s">
        <x:v>888</x:v>
      </x:c>
      <x:c r="C29" s="10" t="s">
        <x:v>889</x:v>
      </x:c>
      <x:c r="D29" s="20" t="s">
        <x:v>893</x:v>
      </x:c>
      <x:c r="E29" s="47" t="s">
        <x:v>911</x:v>
      </x:c>
      <x:c r="F29" s="6"/>
      <x:c r="G29" s="11" t="s">
        <x:v>894</x:v>
      </x:c>
      <x:c r="H29" s="11" t="s">
        <x:v>892</x:v>
      </x:c>
      <x:c r="I29" s="6"/>
      <x:c r="J29" s="20"/>
      <x:c r="K29" s="11"/>
      <x:c r="L29" s="11"/>
      <x:c r="M29" s="14"/>
      <x:c r="N29" s="35"/>
    </x:row>
    <x:row r="30" ht="9.75" customHeight="1">
      <x:c r="A30" s="32"/>
      <x:c r="B30" s="69" t="s">
        <x:v>888</x:v>
      </x:c>
      <x:c r="C30" s="10" t="s">
        <x:v>889</x:v>
      </x:c>
      <x:c r="D30" s="20" t="s">
        <x:v>893</x:v>
      </x:c>
      <x:c r="E30" s="47" t="s">
        <x:v>912</x:v>
      </x:c>
      <x:c r="F30" s="6"/>
      <x:c r="G30" s="11" t="s">
        <x:v>894</x:v>
      </x:c>
      <x:c r="H30" s="11" t="s">
        <x:v>892</x:v>
      </x:c>
      <x:c r="I30" s="6"/>
      <x:c r="J30" s="20"/>
      <x:c r="K30" s="11"/>
      <x:c r="L30" s="11"/>
      <x:c r="M30" s="14"/>
      <x:c r="N30" s="35"/>
    </x:row>
    <x:row r="31" ht="9.75" customHeight="1">
      <x:c r="A31" s="32"/>
      <x:c r="B31" s="69" t="s">
        <x:v>888</x:v>
      </x:c>
      <x:c r="C31" s="10" t="s">
        <x:v>889</x:v>
      </x:c>
      <x:c r="D31" s="20" t="s">
        <x:v>893</x:v>
      </x:c>
      <x:c r="E31" s="47" t="s">
        <x:v>913</x:v>
      </x:c>
      <x:c r="F31" s="6"/>
      <x:c r="G31" s="11" t="s">
        <x:v>891</x:v>
      </x:c>
      <x:c r="H31" s="11" t="s">
        <x:v>895</x:v>
      </x:c>
      <x:c r="I31" s="6"/>
      <x:c r="J31" s="20"/>
      <x:c r="K31" s="11"/>
      <x:c r="L31" s="11"/>
      <x:c r="M31" s="14"/>
      <x:c r="N31" s="35"/>
    </x:row>
    <x:row r="32" ht="9.75" customHeight="1">
      <x:c r="A32" s="32"/>
      <x:c r="B32" s="69" t="s">
        <x:v>888</x:v>
      </x:c>
      <x:c r="C32" s="10" t="s">
        <x:v>889</x:v>
      </x:c>
      <x:c r="D32" s="20" t="s">
        <x:v>893</x:v>
      </x:c>
      <x:c r="E32" s="47" t="s">
        <x:v>914</x:v>
      </x:c>
      <x:c r="F32" s="6"/>
      <x:c r="G32" s="11" t="s">
        <x:v>891</x:v>
      </x:c>
      <x:c r="H32" s="11" t="s">
        <x:v>895</x:v>
      </x:c>
      <x:c r="I32" s="6"/>
      <x:c r="J32" s="20"/>
      <x:c r="K32" s="11"/>
      <x:c r="L32" s="11"/>
      <x:c r="M32" s="14"/>
      <x:c r="N32" s="35"/>
    </x:row>
    <x:row r="33" ht="9.75" customHeight="1">
      <x:c r="A33" s="32"/>
      <x:c r="B33" s="69" t="s">
        <x:v>888</x:v>
      </x:c>
      <x:c r="C33" s="10" t="s">
        <x:v>889</x:v>
      </x:c>
      <x:c r="D33" s="20" t="s">
        <x:v>915</x:v>
      </x:c>
      <x:c r="E33" s="47" t="s">
        <x:v>858</x:v>
      </x:c>
      <x:c r="F33" s="6"/>
      <x:c r="G33" s="11" t="s">
        <x:v>894</x:v>
      </x:c>
      <x:c r="H33" s="11" t="s">
        <x:v>909</x:v>
      </x:c>
      <x:c r="I33" s="6"/>
      <x:c r="J33" s="20"/>
      <x:c r="K33" s="11"/>
      <x:c r="L33" s="11"/>
      <x:c r="M33" s="14"/>
      <x:c r="N33" s="35"/>
    </x:row>
    <x:row r="34" ht="9.75" customHeight="1">
      <x:c r="A34" s="32"/>
      <x:c r="B34" s="69" t="s">
        <x:v>888</x:v>
      </x:c>
      <x:c r="C34" s="10" t="s">
        <x:v>889</x:v>
      </x:c>
      <x:c r="D34" s="20" t="s">
        <x:v>915</x:v>
      </x:c>
      <x:c r="E34" s="47" t="s">
        <x:v>862</x:v>
      </x:c>
      <x:c r="F34" s="6"/>
      <x:c r="G34" s="11" t="s">
        <x:v>894</x:v>
      </x:c>
      <x:c r="H34" s="11" t="s">
        <x:v>909</x:v>
      </x:c>
      <x:c r="I34" s="6"/>
      <x:c r="J34" s="20"/>
      <x:c r="K34" s="11"/>
      <x:c r="L34" s="11"/>
      <x:c r="M34" s="14"/>
      <x:c r="N34" s="35"/>
    </x:row>
    <x:row r="35" ht="9.75" customHeight="1">
      <x:c r="A35" s="32"/>
      <x:c r="B35" s="69" t="s">
        <x:v>888</x:v>
      </x:c>
      <x:c r="C35" s="10" t="s">
        <x:v>889</x:v>
      </x:c>
      <x:c r="D35" s="20" t="s">
        <x:v>915</x:v>
      </x:c>
      <x:c r="E35" s="47" t="s">
        <x:v>863</x:v>
      </x:c>
      <x:c r="F35" s="6"/>
      <x:c r="G35" s="11" t="s">
        <x:v>894</x:v>
      </x:c>
      <x:c r="H35" s="11" t="s">
        <x:v>895</x:v>
      </x:c>
      <x:c r="I35" s="6"/>
      <x:c r="J35" s="20"/>
      <x:c r="K35" s="11"/>
      <x:c r="L35" s="11"/>
      <x:c r="M35" s="14"/>
      <x:c r="N35" s="35"/>
    </x:row>
    <x:row r="36" ht="9.75" customHeight="1">
      <x:c r="A36" s="32"/>
      <x:c r="B36" s="69" t="s">
        <x:v>888</x:v>
      </x:c>
      <x:c r="C36" s="10" t="s">
        <x:v>889</x:v>
      </x:c>
      <x:c r="D36" s="20" t="s">
        <x:v>915</x:v>
      </x:c>
      <x:c r="E36" s="47" t="s">
        <x:v>865</x:v>
      </x:c>
      <x:c r="F36" s="6"/>
      <x:c r="G36" s="11" t="s">
        <x:v>894</x:v>
      </x:c>
      <x:c r="H36" s="11" t="s">
        <x:v>895</x:v>
      </x:c>
      <x:c r="I36" s="6"/>
      <x:c r="J36" s="20"/>
      <x:c r="K36" s="11"/>
      <x:c r="L36" s="11"/>
      <x:c r="M36" s="14"/>
      <x:c r="N36" s="35"/>
    </x:row>
    <x:row r="37" ht="9.75" customHeight="1">
      <x:c r="A37" s="32"/>
      <x:c r="B37" s="69" t="s">
        <x:v>888</x:v>
      </x:c>
      <x:c r="C37" s="10" t="s">
        <x:v>889</x:v>
      </x:c>
      <x:c r="D37" s="20" t="s">
        <x:v>915</x:v>
      </x:c>
      <x:c r="E37" s="47" t="s">
        <x:v>866</x:v>
      </x:c>
      <x:c r="F37" s="6"/>
      <x:c r="G37" s="11" t="s">
        <x:v>898</x:v>
      </x:c>
      <x:c r="H37" s="11" t="s">
        <x:v>899</x:v>
      </x:c>
      <x:c r="I37" s="6"/>
      <x:c r="J37" s="20"/>
      <x:c r="K37" s="11"/>
      <x:c r="L37" s="11"/>
      <x:c r="M37" s="14"/>
      <x:c r="N37" s="35"/>
    </x:row>
    <x:row r="38" ht="9.75" customHeight="1">
      <x:c r="A38" s="32"/>
      <x:c r="B38" s="69" t="s">
        <x:v>888</x:v>
      </x:c>
      <x:c r="C38" s="10" t="s">
        <x:v>889</x:v>
      </x:c>
      <x:c r="D38" s="20" t="s">
        <x:v>915</x:v>
      </x:c>
      <x:c r="E38" s="47" t="s">
        <x:v>867</x:v>
      </x:c>
      <x:c r="F38" s="6"/>
      <x:c r="G38" s="11" t="s">
        <x:v>898</x:v>
      </x:c>
      <x:c r="H38" s="11" t="s">
        <x:v>899</x:v>
      </x:c>
      <x:c r="I38" s="6"/>
      <x:c r="J38" s="20"/>
      <x:c r="K38" s="11"/>
      <x:c r="L38" s="11"/>
      <x:c r="M38" s="14"/>
      <x:c r="N38" s="35"/>
    </x:row>
    <x:row r="39" ht="9.75" customHeight="1">
      <x:c r="A39" s="32"/>
      <x:c r="B39" s="69" t="s">
        <x:v>888</x:v>
      </x:c>
      <x:c r="C39" s="10" t="s">
        <x:v>889</x:v>
      </x:c>
      <x:c r="D39" s="20" t="s">
        <x:v>915</x:v>
      </x:c>
      <x:c r="E39" s="47" t="s">
        <x:v>868</x:v>
      </x:c>
      <x:c r="F39" s="6"/>
      <x:c r="G39" s="11" t="s">
        <x:v>891</x:v>
      </x:c>
      <x:c r="H39" s="11" t="s">
        <x:v>895</x:v>
      </x:c>
      <x:c r="I39" s="6"/>
      <x:c r="J39" s="20"/>
      <x:c r="K39" s="11"/>
      <x:c r="L39" s="11"/>
      <x:c r="M39" s="14"/>
      <x:c r="N39" s="35"/>
    </x:row>
    <x:row r="40" ht="9.75" customHeight="1">
      <x:c r="A40" s="32"/>
      <x:c r="B40" s="69" t="s">
        <x:v>888</x:v>
      </x:c>
      <x:c r="C40" s="10" t="s">
        <x:v>889</x:v>
      </x:c>
      <x:c r="D40" s="20" t="s">
        <x:v>915</x:v>
      </x:c>
      <x:c r="E40" s="47" t="s">
        <x:v>869</x:v>
      </x:c>
      <x:c r="F40" s="6"/>
      <x:c r="G40" s="11" t="s">
        <x:v>894</x:v>
      </x:c>
      <x:c r="H40" s="11" t="s">
        <x:v>895</x:v>
      </x:c>
      <x:c r="I40" s="6"/>
      <x:c r="J40" s="20"/>
      <x:c r="K40" s="11"/>
      <x:c r="L40" s="11"/>
      <x:c r="M40" s="14"/>
      <x:c r="N40" s="35"/>
    </x:row>
    <x:row r="41" ht="9.75" customHeight="1">
      <x:c r="A41" s="32"/>
      <x:c r="B41" s="69" t="s">
        <x:v>888</x:v>
      </x:c>
      <x:c r="C41" s="10" t="s">
        <x:v>889</x:v>
      </x:c>
      <x:c r="D41" s="20" t="s">
        <x:v>915</x:v>
      </x:c>
      <x:c r="E41" s="47" t="s">
        <x:v>896</x:v>
      </x:c>
      <x:c r="F41" s="6"/>
      <x:c r="G41" s="11" t="s">
        <x:v>891</x:v>
      </x:c>
      <x:c r="H41" s="11" t="s">
        <x:v>909</x:v>
      </x:c>
      <x:c r="I41" s="6"/>
      <x:c r="J41" s="20"/>
      <x:c r="K41" s="11"/>
      <x:c r="L41" s="11"/>
      <x:c r="M41" s="14"/>
      <x:c r="N41" s="35"/>
    </x:row>
    <x:row r="42" ht="9.75" customHeight="1">
      <x:c r="A42" s="32"/>
      <x:c r="B42" s="69" t="s">
        <x:v>888</x:v>
      </x:c>
      <x:c r="C42" s="10" t="s">
        <x:v>889</x:v>
      </x:c>
      <x:c r="D42" s="20" t="s">
        <x:v>915</x:v>
      </x:c>
      <x:c r="E42" s="47" t="s">
        <x:v>897</x:v>
      </x:c>
      <x:c r="F42" s="6"/>
      <x:c r="G42" s="11" t="s">
        <x:v>891</x:v>
      </x:c>
      <x:c r="H42" s="11" t="s">
        <x:v>909</x:v>
      </x:c>
      <x:c r="I42" s="6"/>
      <x:c r="J42" s="20"/>
      <x:c r="K42" s="11"/>
      <x:c r="L42" s="11"/>
      <x:c r="M42" s="14"/>
      <x:c r="N42" s="35"/>
    </x:row>
    <x:row r="43" ht="9.75" customHeight="1">
      <x:c r="A43" s="32"/>
      <x:c r="B43" s="69" t="s">
        <x:v>888</x:v>
      </x:c>
      <x:c r="C43" s="10" t="s">
        <x:v>889</x:v>
      </x:c>
      <x:c r="D43" s="20" t="s">
        <x:v>915</x:v>
      </x:c>
      <x:c r="E43" s="47" t="s">
        <x:v>900</x:v>
      </x:c>
      <x:c r="F43" s="6"/>
      <x:c r="G43" s="11" t="s">
        <x:v>891</x:v>
      </x:c>
      <x:c r="H43" s="11" t="s">
        <x:v>909</x:v>
      </x:c>
      <x:c r="I43" s="6"/>
      <x:c r="J43" s="20"/>
      <x:c r="K43" s="11"/>
      <x:c r="L43" s="11"/>
      <x:c r="M43" s="14"/>
      <x:c r="N43" s="35"/>
    </x:row>
    <x:row r="44" ht="9.75" customHeight="1">
      <x:c r="A44" s="32"/>
      <x:c r="B44" s="69" t="s">
        <x:v>888</x:v>
      </x:c>
      <x:c r="C44" s="10" t="s">
        <x:v>889</x:v>
      </x:c>
      <x:c r="D44" s="20" t="s">
        <x:v>915</x:v>
      </x:c>
      <x:c r="E44" s="47" t="s">
        <x:v>901</x:v>
      </x:c>
      <x:c r="F44" s="6"/>
      <x:c r="G44" s="11" t="s">
        <x:v>894</x:v>
      </x:c>
      <x:c r="H44" s="11" t="s">
        <x:v>895</x:v>
      </x:c>
      <x:c r="I44" s="6"/>
      <x:c r="J44" s="20"/>
      <x:c r="K44" s="11"/>
      <x:c r="L44" s="11"/>
      <x:c r="M44" s="14"/>
      <x:c r="N44" s="35"/>
    </x:row>
    <x:row r="45" ht="9.75" customHeight="1">
      <x:c r="A45" s="32"/>
      <x:c r="B45" s="69" t="s">
        <x:v>888</x:v>
      </x:c>
      <x:c r="C45" s="10" t="s">
        <x:v>889</x:v>
      </x:c>
      <x:c r="D45" s="20" t="s">
        <x:v>915</x:v>
      </x:c>
      <x:c r="E45" s="47" t="s">
        <x:v>902</x:v>
      </x:c>
      <x:c r="F45" s="6"/>
      <x:c r="G45" s="11" t="s">
        <x:v>891</x:v>
      </x:c>
      <x:c r="H45" s="11" t="s">
        <x:v>909</x:v>
      </x:c>
      <x:c r="I45" s="6"/>
      <x:c r="J45" s="20"/>
      <x:c r="K45" s="11"/>
      <x:c r="L45" s="11"/>
      <x:c r="M45" s="14"/>
      <x:c r="N45" s="35"/>
    </x:row>
    <x:row r="46" ht="9.75" customHeight="1">
      <x:c r="A46" s="32"/>
      <x:c r="B46" s="69" t="s">
        <x:v>888</x:v>
      </x:c>
      <x:c r="C46" s="10" t="s">
        <x:v>889</x:v>
      </x:c>
      <x:c r="D46" s="20" t="s">
        <x:v>915</x:v>
      </x:c>
      <x:c r="E46" s="47" t="s">
        <x:v>903</x:v>
      </x:c>
      <x:c r="F46" s="6"/>
      <x:c r="G46" s="11" t="s">
        <x:v>894</x:v>
      </x:c>
      <x:c r="H46" s="11" t="s">
        <x:v>895</x:v>
      </x:c>
      <x:c r="I46" s="6"/>
      <x:c r="J46" s="20"/>
      <x:c r="K46" s="11"/>
      <x:c r="L46" s="11"/>
      <x:c r="M46" s="14"/>
      <x:c r="N46" s="35"/>
    </x:row>
    <x:row r="47" ht="9.75" customHeight="1">
      <x:c r="A47" s="32"/>
      <x:c r="B47" s="69" t="s">
        <x:v>888</x:v>
      </x:c>
      <x:c r="C47" s="10" t="s">
        <x:v>889</x:v>
      </x:c>
      <x:c r="D47" s="20" t="s">
        <x:v>915</x:v>
      </x:c>
      <x:c r="E47" s="47" t="s">
        <x:v>904</x:v>
      </x:c>
      <x:c r="F47" s="6"/>
      <x:c r="G47" s="11" t="s">
        <x:v>894</x:v>
      </x:c>
      <x:c r="H47" s="11" t="s">
        <x:v>895</x:v>
      </x:c>
      <x:c r="I47" s="6"/>
      <x:c r="J47" s="20"/>
      <x:c r="K47" s="11"/>
      <x:c r="L47" s="11"/>
      <x:c r="M47" s="14"/>
      <x:c r="N47" s="35"/>
    </x:row>
    <x:row r="48" ht="9.75" customHeight="1">
      <x:c r="A48" s="32"/>
      <x:c r="B48" s="69" t="s">
        <x:v>888</x:v>
      </x:c>
      <x:c r="C48" s="10" t="s">
        <x:v>889</x:v>
      </x:c>
      <x:c r="D48" s="20" t="s">
        <x:v>915</x:v>
      </x:c>
      <x:c r="E48" s="47" t="s">
        <x:v>905</x:v>
      </x:c>
      <x:c r="F48" s="6"/>
      <x:c r="G48" s="11" t="s">
        <x:v>894</x:v>
      </x:c>
      <x:c r="H48" s="11" t="s">
        <x:v>895</x:v>
      </x:c>
      <x:c r="I48" s="6"/>
      <x:c r="J48" s="20"/>
      <x:c r="K48" s="11"/>
      <x:c r="L48" s="11"/>
      <x:c r="M48" s="14"/>
      <x:c r="N48" s="35"/>
    </x:row>
    <x:row r="49" ht="9.75" customHeight="1">
      <x:c r="A49" s="32"/>
      <x:c r="B49" s="69" t="s">
        <x:v>888</x:v>
      </x:c>
      <x:c r="C49" s="10" t="s">
        <x:v>889</x:v>
      </x:c>
      <x:c r="D49" s="20" t="s">
        <x:v>915</x:v>
      </x:c>
      <x:c r="E49" s="47" t="s">
        <x:v>906</x:v>
      </x:c>
      <x:c r="F49" s="6"/>
      <x:c r="G49" s="11" t="s">
        <x:v>894</x:v>
      </x:c>
      <x:c r="H49" s="11" t="s">
        <x:v>895</x:v>
      </x:c>
      <x:c r="I49" s="6"/>
      <x:c r="J49" s="20"/>
      <x:c r="K49" s="11"/>
      <x:c r="L49" s="11"/>
      <x:c r="M49" s="14"/>
      <x:c r="N49" s="35"/>
    </x:row>
    <x:row r="50" ht="9.75" customHeight="1">
      <x:c r="A50" s="32"/>
      <x:c r="B50" s="69" t="s">
        <x:v>888</x:v>
      </x:c>
      <x:c r="C50" s="10" t="s">
        <x:v>889</x:v>
      </x:c>
      <x:c r="D50" s="20" t="s">
        <x:v>915</x:v>
      </x:c>
      <x:c r="E50" s="47" t="s">
        <x:v>907</x:v>
      </x:c>
      <x:c r="F50" s="6"/>
      <x:c r="G50" s="11" t="s">
        <x:v>894</x:v>
      </x:c>
      <x:c r="H50" s="11" t="s">
        <x:v>895</x:v>
      </x:c>
      <x:c r="I50" s="6"/>
      <x:c r="J50" s="20"/>
      <x:c r="K50" s="11"/>
      <x:c r="L50" s="11"/>
      <x:c r="M50" s="14"/>
      <x:c r="N50" s="35"/>
    </x:row>
    <x:row r="51" ht="9.75" customHeight="1">
      <x:c r="A51" s="32"/>
      <x:c r="B51" s="69" t="s">
        <x:v>888</x:v>
      </x:c>
      <x:c r="C51" s="10" t="s">
        <x:v>889</x:v>
      </x:c>
      <x:c r="D51" s="20" t="s">
        <x:v>915</x:v>
      </x:c>
      <x:c r="E51" s="47" t="s">
        <x:v>908</x:v>
      </x:c>
      <x:c r="F51" s="6"/>
      <x:c r="G51" s="11" t="s">
        <x:v>894</x:v>
      </x:c>
      <x:c r="H51" s="11" t="s">
        <x:v>909</x:v>
      </x:c>
      <x:c r="I51" s="6"/>
      <x:c r="J51" s="20"/>
      <x:c r="K51" s="11"/>
      <x:c r="L51" s="11"/>
      <x:c r="M51" s="14"/>
      <x:c r="N51" s="35"/>
    </x:row>
    <x:row r="52" ht="9.75" customHeight="1">
      <x:c r="A52" s="32"/>
      <x:c r="B52" s="69" t="s">
        <x:v>888</x:v>
      </x:c>
      <x:c r="C52" s="10" t="s">
        <x:v>889</x:v>
      </x:c>
      <x:c r="D52" s="20" t="s">
        <x:v>915</x:v>
      </x:c>
      <x:c r="E52" s="47" t="s">
        <x:v>910</x:v>
      </x:c>
      <x:c r="F52" s="6"/>
      <x:c r="G52" s="11" t="s">
        <x:v>894</x:v>
      </x:c>
      <x:c r="H52" s="11" t="s">
        <x:v>909</x:v>
      </x:c>
      <x:c r="I52" s="6"/>
      <x:c r="J52" s="20"/>
      <x:c r="K52" s="11"/>
      <x:c r="L52" s="11"/>
      <x:c r="M52" s="14"/>
      <x:c r="N52" s="35"/>
    </x:row>
    <x:row r="53" ht="9.75" customHeight="1">
      <x:c r="A53" s="32"/>
      <x:c r="B53" s="69" t="s">
        <x:v>888</x:v>
      </x:c>
      <x:c r="C53" s="10" t="s">
        <x:v>889</x:v>
      </x:c>
      <x:c r="D53" s="20" t="s">
        <x:v>915</x:v>
      </x:c>
      <x:c r="E53" s="47" t="s">
        <x:v>911</x:v>
      </x:c>
      <x:c r="F53" s="6"/>
      <x:c r="G53" s="11" t="s">
        <x:v>894</x:v>
      </x:c>
      <x:c r="H53" s="11" t="s">
        <x:v>895</x:v>
      </x:c>
      <x:c r="I53" s="6"/>
      <x:c r="J53" s="20"/>
      <x:c r="K53" s="11"/>
      <x:c r="L53" s="11"/>
      <x:c r="M53" s="14"/>
      <x:c r="N53" s="35"/>
    </x:row>
    <x:row r="54" ht="9.75" customHeight="1">
      <x:c r="A54" s="32"/>
      <x:c r="B54" s="69" t="s">
        <x:v>888</x:v>
      </x:c>
      <x:c r="C54" s="10" t="s">
        <x:v>889</x:v>
      </x:c>
      <x:c r="D54" s="20" t="s">
        <x:v>915</x:v>
      </x:c>
      <x:c r="E54" s="47" t="s">
        <x:v>912</x:v>
      </x:c>
      <x:c r="F54" s="6"/>
      <x:c r="G54" s="11" t="s">
        <x:v>891</x:v>
      </x:c>
      <x:c r="H54" s="11" t="s">
        <x:v>909</x:v>
      </x:c>
      <x:c r="I54" s="6"/>
      <x:c r="J54" s="20"/>
      <x:c r="K54" s="11"/>
      <x:c r="L54" s="11"/>
      <x:c r="M54" s="14"/>
      <x:c r="N54" s="35"/>
    </x:row>
    <x:row r="55" ht="9.75" customHeight="1">
      <x:c r="A55" s="32"/>
      <x:c r="B55" s="69" t="s">
        <x:v>888</x:v>
      </x:c>
      <x:c r="C55" s="10" t="s">
        <x:v>889</x:v>
      </x:c>
      <x:c r="D55" s="20" t="s">
        <x:v>915</x:v>
      </x:c>
      <x:c r="E55" s="47" t="s">
        <x:v>913</x:v>
      </x:c>
      <x:c r="F55" s="6"/>
      <x:c r="G55" s="11" t="s">
        <x:v>898</x:v>
      </x:c>
      <x:c r="H55" s="11" t="s">
        <x:v>899</x:v>
      </x:c>
      <x:c r="I55" s="6"/>
      <x:c r="J55" s="20"/>
      <x:c r="K55" s="11"/>
      <x:c r="L55" s="11"/>
      <x:c r="M55" s="14"/>
      <x:c r="N55" s="35"/>
    </x:row>
    <x:row r="56" ht="9.75" customHeight="1">
      <x:c r="A56" s="32"/>
      <x:c r="B56" s="69" t="s">
        <x:v>888</x:v>
      </x:c>
      <x:c r="C56" s="10" t="s">
        <x:v>889</x:v>
      </x:c>
      <x:c r="D56" s="20" t="s">
        <x:v>915</x:v>
      </x:c>
      <x:c r="E56" s="47" t="s">
        <x:v>914</x:v>
      </x:c>
      <x:c r="F56" s="6"/>
      <x:c r="G56" s="11" t="s">
        <x:v>898</x:v>
      </x:c>
      <x:c r="H56" s="11" t="s">
        <x:v>899</x:v>
      </x:c>
      <x:c r="I56" s="6"/>
      <x:c r="J56" s="20"/>
      <x:c r="K56" s="11"/>
      <x:c r="L56" s="11"/>
      <x:c r="M56" s="14"/>
      <x:c r="N56" s="35"/>
    </x:row>
    <x:row r="57" ht="9.75" customHeight="1">
      <x:c r="A57" s="32"/>
      <x:c r="B57" s="69" t="s">
        <x:v>888</x:v>
      </x:c>
      <x:c r="C57" s="10" t="s">
        <x:v>889</x:v>
      </x:c>
      <x:c r="D57" s="20" t="s">
        <x:v>916</x:v>
      </x:c>
      <x:c r="E57" s="47" t="s">
        <x:v>858</x:v>
      </x:c>
      <x:c r="F57" s="6"/>
      <x:c r="G57" s="11" t="s">
        <x:v>894</x:v>
      </x:c>
      <x:c r="H57" s="11" t="s">
        <x:v>895</x:v>
      </x:c>
      <x:c r="I57" s="6"/>
      <x:c r="J57" s="20"/>
      <x:c r="K57" s="11"/>
      <x:c r="L57" s="11"/>
      <x:c r="M57" s="14"/>
      <x:c r="N57" s="35"/>
    </x:row>
    <x:row r="58" ht="9.75" customHeight="1">
      <x:c r="A58" s="32"/>
      <x:c r="B58" s="69" t="s">
        <x:v>888</x:v>
      </x:c>
      <x:c r="C58" s="10" t="s">
        <x:v>889</x:v>
      </x:c>
      <x:c r="D58" s="20" t="s">
        <x:v>916</x:v>
      </x:c>
      <x:c r="E58" s="47" t="s">
        <x:v>862</x:v>
      </x:c>
      <x:c r="F58" s="6"/>
      <x:c r="G58" s="11" t="s">
        <x:v>894</x:v>
      </x:c>
      <x:c r="H58" s="11" t="s">
        <x:v>895</x:v>
      </x:c>
      <x:c r="I58" s="6"/>
      <x:c r="J58" s="20"/>
      <x:c r="K58" s="11"/>
      <x:c r="L58" s="11"/>
      <x:c r="M58" s="14"/>
      <x:c r="N58" s="35"/>
    </x:row>
    <x:row r="59" ht="9.75" customHeight="1">
      <x:c r="A59" s="32"/>
      <x:c r="B59" s="69" t="s">
        <x:v>888</x:v>
      </x:c>
      <x:c r="C59" s="10" t="s">
        <x:v>889</x:v>
      </x:c>
      <x:c r="D59" s="20" t="s">
        <x:v>916</x:v>
      </x:c>
      <x:c r="E59" s="47" t="s">
        <x:v>863</x:v>
      </x:c>
      <x:c r="F59" s="6"/>
      <x:c r="G59" s="11" t="s">
        <x:v>894</x:v>
      </x:c>
      <x:c r="H59" s="11" t="s">
        <x:v>895</x:v>
      </x:c>
      <x:c r="I59" s="6"/>
      <x:c r="J59" s="20"/>
      <x:c r="K59" s="11"/>
      <x:c r="L59" s="11"/>
      <x:c r="M59" s="14"/>
      <x:c r="N59" s="35"/>
    </x:row>
    <x:row r="60" ht="9.75" customHeight="1">
      <x:c r="A60" s="32"/>
      <x:c r="B60" s="69" t="s">
        <x:v>888</x:v>
      </x:c>
      <x:c r="C60" s="10" t="s">
        <x:v>889</x:v>
      </x:c>
      <x:c r="D60" s="20" t="s">
        <x:v>916</x:v>
      </x:c>
      <x:c r="E60" s="47" t="s">
        <x:v>865</x:v>
      </x:c>
      <x:c r="F60" s="6"/>
      <x:c r="G60" s="11" t="s">
        <x:v>894</x:v>
      </x:c>
      <x:c r="H60" s="11" t="s">
        <x:v>909</x:v>
      </x:c>
      <x:c r="I60" s="6"/>
      <x:c r="J60" s="20"/>
      <x:c r="K60" s="11"/>
      <x:c r="L60" s="11"/>
      <x:c r="M60" s="14"/>
      <x:c r="N60" s="35"/>
    </x:row>
    <x:row r="61" ht="9.75" customHeight="1">
      <x:c r="A61" s="32"/>
      <x:c r="B61" s="69" t="s">
        <x:v>888</x:v>
      </x:c>
      <x:c r="C61" s="10" t="s">
        <x:v>889</x:v>
      </x:c>
      <x:c r="D61" s="20" t="s">
        <x:v>916</x:v>
      </x:c>
      <x:c r="E61" s="47" t="s">
        <x:v>866</x:v>
      </x:c>
      <x:c r="F61" s="6"/>
      <x:c r="G61" s="11" t="s">
        <x:v>894</x:v>
      </x:c>
      <x:c r="H61" s="11" t="s">
        <x:v>895</x:v>
      </x:c>
      <x:c r="I61" s="6"/>
      <x:c r="J61" s="20"/>
      <x:c r="K61" s="11"/>
      <x:c r="L61" s="11"/>
      <x:c r="M61" s="14"/>
      <x:c r="N61" s="35"/>
    </x:row>
    <x:row r="62" ht="9.75" customHeight="1">
      <x:c r="A62" s="32"/>
      <x:c r="B62" s="69" t="s">
        <x:v>888</x:v>
      </x:c>
      <x:c r="C62" s="10" t="s">
        <x:v>889</x:v>
      </x:c>
      <x:c r="D62" s="20" t="s">
        <x:v>916</x:v>
      </x:c>
      <x:c r="E62" s="47" t="s">
        <x:v>867</x:v>
      </x:c>
      <x:c r="F62" s="6"/>
      <x:c r="G62" s="11" t="s">
        <x:v>894</x:v>
      </x:c>
      <x:c r="H62" s="11" t="s">
        <x:v>892</x:v>
      </x:c>
      <x:c r="I62" s="6"/>
      <x:c r="J62" s="20"/>
      <x:c r="K62" s="11"/>
      <x:c r="L62" s="11"/>
      <x:c r="M62" s="14"/>
      <x:c r="N62" s="35"/>
    </x:row>
    <x:row r="63" ht="9.75" customHeight="1">
      <x:c r="A63" s="32"/>
      <x:c r="B63" s="69" t="s">
        <x:v>888</x:v>
      </x:c>
      <x:c r="C63" s="10" t="s">
        <x:v>889</x:v>
      </x:c>
      <x:c r="D63" s="20" t="s">
        <x:v>916</x:v>
      </x:c>
      <x:c r="E63" s="47" t="s">
        <x:v>868</x:v>
      </x:c>
      <x:c r="F63" s="6"/>
      <x:c r="G63" s="11" t="s">
        <x:v>894</x:v>
      </x:c>
      <x:c r="H63" s="11" t="s">
        <x:v>895</x:v>
      </x:c>
      <x:c r="I63" s="6"/>
      <x:c r="J63" s="20"/>
      <x:c r="K63" s="11"/>
      <x:c r="L63" s="11"/>
      <x:c r="M63" s="14"/>
      <x:c r="N63" s="35"/>
    </x:row>
    <x:row r="64" ht="9.75" customHeight="1">
      <x:c r="A64" s="32"/>
      <x:c r="B64" s="69" t="s">
        <x:v>888</x:v>
      </x:c>
      <x:c r="C64" s="10" t="s">
        <x:v>889</x:v>
      </x:c>
      <x:c r="D64" s="20" t="s">
        <x:v>916</x:v>
      </x:c>
      <x:c r="E64" s="47" t="s">
        <x:v>869</x:v>
      </x:c>
      <x:c r="F64" s="6"/>
      <x:c r="G64" s="11" t="s">
        <x:v>894</x:v>
      </x:c>
      <x:c r="H64" s="11" t="s">
        <x:v>895</x:v>
      </x:c>
      <x:c r="I64" s="6"/>
      <x:c r="J64" s="20"/>
      <x:c r="K64" s="11"/>
      <x:c r="L64" s="11"/>
      <x:c r="M64" s="14"/>
      <x:c r="N64" s="35"/>
    </x:row>
    <x:row r="65" ht="9.75" customHeight="1">
      <x:c r="A65" s="32"/>
      <x:c r="B65" s="69" t="s">
        <x:v>888</x:v>
      </x:c>
      <x:c r="C65" s="10" t="s">
        <x:v>889</x:v>
      </x:c>
      <x:c r="D65" s="20" t="s">
        <x:v>916</x:v>
      </x:c>
      <x:c r="E65" s="47" t="s">
        <x:v>896</x:v>
      </x:c>
      <x:c r="F65" s="6"/>
      <x:c r="G65" s="11" t="s">
        <x:v>894</x:v>
      </x:c>
      <x:c r="H65" s="11" t="s">
        <x:v>909</x:v>
      </x:c>
      <x:c r="I65" s="6"/>
      <x:c r="J65" s="20"/>
      <x:c r="K65" s="11"/>
      <x:c r="L65" s="11"/>
      <x:c r="M65" s="14"/>
      <x:c r="N65" s="35"/>
    </x:row>
    <x:row r="66" ht="9.75" customHeight="1">
      <x:c r="A66" s="32"/>
      <x:c r="B66" s="69" t="s">
        <x:v>888</x:v>
      </x:c>
      <x:c r="C66" s="10" t="s">
        <x:v>889</x:v>
      </x:c>
      <x:c r="D66" s="20" t="s">
        <x:v>916</x:v>
      </x:c>
      <x:c r="E66" s="47" t="s">
        <x:v>897</x:v>
      </x:c>
      <x:c r="F66" s="6"/>
      <x:c r="G66" s="11" t="s">
        <x:v>894</x:v>
      </x:c>
      <x:c r="H66" s="11" t="s">
        <x:v>892</x:v>
      </x:c>
      <x:c r="I66" s="6"/>
      <x:c r="J66" s="20"/>
      <x:c r="K66" s="11"/>
      <x:c r="L66" s="11"/>
      <x:c r="M66" s="14"/>
      <x:c r="N66" s="35"/>
    </x:row>
    <x:row r="67" ht="9.75" customHeight="1">
      <x:c r="A67" s="32"/>
      <x:c r="B67" s="69" t="s">
        <x:v>888</x:v>
      </x:c>
      <x:c r="C67" s="10" t="s">
        <x:v>889</x:v>
      </x:c>
      <x:c r="D67" s="20" t="s">
        <x:v>916</x:v>
      </x:c>
      <x:c r="E67" s="47" t="s">
        <x:v>900</x:v>
      </x:c>
      <x:c r="F67" s="6"/>
      <x:c r="G67" s="11" t="s">
        <x:v>894</x:v>
      </x:c>
      <x:c r="H67" s="11" t="s">
        <x:v>892</x:v>
      </x:c>
      <x:c r="I67" s="6"/>
      <x:c r="J67" s="20"/>
      <x:c r="K67" s="11"/>
      <x:c r="L67" s="11"/>
      <x:c r="M67" s="14"/>
      <x:c r="N67" s="35"/>
    </x:row>
    <x:row r="68" ht="9.75" customHeight="1">
      <x:c r="A68" s="32"/>
      <x:c r="B68" s="69" t="s">
        <x:v>888</x:v>
      </x:c>
      <x:c r="C68" s="10" t="s">
        <x:v>889</x:v>
      </x:c>
      <x:c r="D68" s="20" t="s">
        <x:v>916</x:v>
      </x:c>
      <x:c r="E68" s="47" t="s">
        <x:v>901</x:v>
      </x:c>
      <x:c r="F68" s="6"/>
      <x:c r="G68" s="11" t="s">
        <x:v>894</x:v>
      </x:c>
      <x:c r="H68" s="11" t="s">
        <x:v>892</x:v>
      </x:c>
      <x:c r="I68" s="6"/>
      <x:c r="J68" s="20"/>
      <x:c r="K68" s="11"/>
      <x:c r="L68" s="11"/>
      <x:c r="M68" s="14"/>
      <x:c r="N68" s="35"/>
    </x:row>
    <x:row r="69" ht="9.75" customHeight="1">
      <x:c r="A69" s="32"/>
      <x:c r="B69" s="69" t="s">
        <x:v>888</x:v>
      </x:c>
      <x:c r="C69" s="10" t="s">
        <x:v>889</x:v>
      </x:c>
      <x:c r="D69" s="20" t="s">
        <x:v>916</x:v>
      </x:c>
      <x:c r="E69" s="47" t="s">
        <x:v>902</x:v>
      </x:c>
      <x:c r="F69" s="6"/>
      <x:c r="G69" s="11" t="s">
        <x:v>894</x:v>
      </x:c>
      <x:c r="H69" s="11" t="s">
        <x:v>909</x:v>
      </x:c>
      <x:c r="I69" s="6"/>
      <x:c r="J69" s="20"/>
      <x:c r="K69" s="11"/>
      <x:c r="L69" s="11"/>
      <x:c r="M69" s="14"/>
      <x:c r="N69" s="35"/>
    </x:row>
    <x:row r="70" ht="9.75" customHeight="1">
      <x:c r="A70" s="32"/>
      <x:c r="B70" s="69" t="s">
        <x:v>888</x:v>
      </x:c>
      <x:c r="C70" s="10" t="s">
        <x:v>889</x:v>
      </x:c>
      <x:c r="D70" s="20" t="s">
        <x:v>916</x:v>
      </x:c>
      <x:c r="E70" s="47" t="s">
        <x:v>903</x:v>
      </x:c>
      <x:c r="F70" s="6"/>
      <x:c r="G70" s="11" t="s">
        <x:v>894</x:v>
      </x:c>
      <x:c r="H70" s="11" t="s">
        <x:v>895</x:v>
      </x:c>
      <x:c r="I70" s="6"/>
      <x:c r="J70" s="20"/>
      <x:c r="K70" s="11"/>
      <x:c r="L70" s="11"/>
      <x:c r="M70" s="14"/>
      <x:c r="N70" s="35"/>
    </x:row>
    <x:row r="71" ht="9.75" customHeight="1">
      <x:c r="A71" s="32"/>
      <x:c r="B71" s="69" t="s">
        <x:v>888</x:v>
      </x:c>
      <x:c r="C71" s="10" t="s">
        <x:v>889</x:v>
      </x:c>
      <x:c r="D71" s="20" t="s">
        <x:v>916</x:v>
      </x:c>
      <x:c r="E71" s="47" t="s">
        <x:v>904</x:v>
      </x:c>
      <x:c r="F71" s="6"/>
      <x:c r="G71" s="11" t="s">
        <x:v>894</x:v>
      </x:c>
      <x:c r="H71" s="11" t="s">
        <x:v>895</x:v>
      </x:c>
      <x:c r="I71" s="6"/>
      <x:c r="J71" s="20"/>
      <x:c r="K71" s="11"/>
      <x:c r="L71" s="11"/>
      <x:c r="M71" s="14"/>
      <x:c r="N71" s="35"/>
    </x:row>
    <x:row r="72" ht="9.75" customHeight="1">
      <x:c r="A72" s="32"/>
      <x:c r="B72" s="69" t="s">
        <x:v>888</x:v>
      </x:c>
      <x:c r="C72" s="10" t="s">
        <x:v>889</x:v>
      </x:c>
      <x:c r="D72" s="20" t="s">
        <x:v>916</x:v>
      </x:c>
      <x:c r="E72" s="47" t="s">
        <x:v>905</x:v>
      </x:c>
      <x:c r="F72" s="6"/>
      <x:c r="G72" s="11" t="s">
        <x:v>894</x:v>
      </x:c>
      <x:c r="H72" s="11" t="s">
        <x:v>895</x:v>
      </x:c>
      <x:c r="I72" s="6"/>
      <x:c r="J72" s="20"/>
      <x:c r="K72" s="11"/>
      <x:c r="L72" s="11"/>
      <x:c r="M72" s="14"/>
      <x:c r="N72" s="35"/>
    </x:row>
    <x:row r="73" ht="9.75" customHeight="1">
      <x:c r="A73" s="32"/>
      <x:c r="B73" s="69" t="s">
        <x:v>888</x:v>
      </x:c>
      <x:c r="C73" s="10" t="s">
        <x:v>889</x:v>
      </x:c>
      <x:c r="D73" s="20" t="s">
        <x:v>916</x:v>
      </x:c>
      <x:c r="E73" s="47" t="s">
        <x:v>906</x:v>
      </x:c>
      <x:c r="F73" s="6"/>
      <x:c r="G73" s="11" t="s">
        <x:v>891</x:v>
      </x:c>
      <x:c r="H73" s="11" t="s">
        <x:v>895</x:v>
      </x:c>
      <x:c r="I73" s="6"/>
      <x:c r="J73" s="20"/>
      <x:c r="K73" s="11"/>
      <x:c r="L73" s="11"/>
      <x:c r="M73" s="14"/>
      <x:c r="N73" s="35"/>
    </x:row>
    <x:row r="74" ht="9.75" customHeight="1">
      <x:c r="A74" s="32"/>
      <x:c r="B74" s="69" t="s">
        <x:v>888</x:v>
      </x:c>
      <x:c r="C74" s="10" t="s">
        <x:v>889</x:v>
      </x:c>
      <x:c r="D74" s="20" t="s">
        <x:v>916</x:v>
      </x:c>
      <x:c r="E74" s="47" t="s">
        <x:v>907</x:v>
      </x:c>
      <x:c r="F74" s="6"/>
      <x:c r="G74" s="11" t="s">
        <x:v>894</x:v>
      </x:c>
      <x:c r="H74" s="11" t="s">
        <x:v>895</x:v>
      </x:c>
      <x:c r="I74" s="6"/>
      <x:c r="J74" s="20"/>
      <x:c r="K74" s="11"/>
      <x:c r="L74" s="11"/>
      <x:c r="M74" s="14"/>
      <x:c r="N74" s="35"/>
    </x:row>
    <x:row r="75" ht="9.75" customHeight="1">
      <x:c r="A75" s="32"/>
      <x:c r="B75" s="69" t="s">
        <x:v>888</x:v>
      </x:c>
      <x:c r="C75" s="10" t="s">
        <x:v>889</x:v>
      </x:c>
      <x:c r="D75" s="20" t="s">
        <x:v>916</x:v>
      </x:c>
      <x:c r="E75" s="47" t="s">
        <x:v>908</x:v>
      </x:c>
      <x:c r="F75" s="6"/>
      <x:c r="G75" s="11" t="s">
        <x:v>894</x:v>
      </x:c>
      <x:c r="H75" s="11" t="s">
        <x:v>909</x:v>
      </x:c>
      <x:c r="I75" s="6"/>
      <x:c r="J75" s="20"/>
      <x:c r="K75" s="11"/>
      <x:c r="L75" s="11"/>
      <x:c r="M75" s="14"/>
      <x:c r="N75" s="35"/>
    </x:row>
    <x:row r="76" ht="9.75" customHeight="1">
      <x:c r="A76" s="32"/>
      <x:c r="B76" s="69" t="s">
        <x:v>888</x:v>
      </x:c>
      <x:c r="C76" s="10" t="s">
        <x:v>889</x:v>
      </x:c>
      <x:c r="D76" s="20" t="s">
        <x:v>916</x:v>
      </x:c>
      <x:c r="E76" s="47" t="s">
        <x:v>910</x:v>
      </x:c>
      <x:c r="F76" s="6"/>
      <x:c r="G76" s="11" t="s">
        <x:v>894</x:v>
      </x:c>
      <x:c r="H76" s="11" t="s">
        <x:v>895</x:v>
      </x:c>
      <x:c r="I76" s="6"/>
      <x:c r="J76" s="20"/>
      <x:c r="K76" s="11"/>
      <x:c r="L76" s="11"/>
      <x:c r="M76" s="14"/>
      <x:c r="N76" s="35"/>
    </x:row>
    <x:row r="77" ht="9.75" customHeight="1">
      <x:c r="A77" s="32"/>
      <x:c r="B77" s="69" t="s">
        <x:v>888</x:v>
      </x:c>
      <x:c r="C77" s="10" t="s">
        <x:v>889</x:v>
      </x:c>
      <x:c r="D77" s="20" t="s">
        <x:v>916</x:v>
      </x:c>
      <x:c r="E77" s="47" t="s">
        <x:v>911</x:v>
      </x:c>
      <x:c r="F77" s="6"/>
      <x:c r="G77" s="11" t="s">
        <x:v>894</x:v>
      </x:c>
      <x:c r="H77" s="11" t="s">
        <x:v>895</x:v>
      </x:c>
      <x:c r="I77" s="6"/>
      <x:c r="J77" s="20"/>
      <x:c r="K77" s="11"/>
      <x:c r="L77" s="11"/>
      <x:c r="M77" s="14"/>
      <x:c r="N77" s="35"/>
    </x:row>
    <x:row r="78" ht="9.75" customHeight="1">
      <x:c r="A78" s="32"/>
      <x:c r="B78" s="69" t="s">
        <x:v>888</x:v>
      </x:c>
      <x:c r="C78" s="10" t="s">
        <x:v>889</x:v>
      </x:c>
      <x:c r="D78" s="20" t="s">
        <x:v>916</x:v>
      </x:c>
      <x:c r="E78" s="47" t="s">
        <x:v>912</x:v>
      </x:c>
      <x:c r="F78" s="6"/>
      <x:c r="G78" s="11" t="s">
        <x:v>894</x:v>
      </x:c>
      <x:c r="H78" s="11" t="s">
        <x:v>895</x:v>
      </x:c>
      <x:c r="I78" s="6"/>
      <x:c r="J78" s="20"/>
      <x:c r="K78" s="11"/>
      <x:c r="L78" s="11"/>
      <x:c r="M78" s="14"/>
      <x:c r="N78" s="35"/>
    </x:row>
    <x:row r="79" ht="9.75" customHeight="1">
      <x:c r="A79" s="32"/>
      <x:c r="B79" s="69" t="s">
        <x:v>888</x:v>
      </x:c>
      <x:c r="C79" s="10" t="s">
        <x:v>889</x:v>
      </x:c>
      <x:c r="D79" s="20" t="s">
        <x:v>916</x:v>
      </x:c>
      <x:c r="E79" s="47" t="s">
        <x:v>913</x:v>
      </x:c>
      <x:c r="F79" s="6"/>
      <x:c r="G79" s="11" t="s">
        <x:v>891</x:v>
      </x:c>
      <x:c r="H79" s="11" t="s">
        <x:v>909</x:v>
      </x:c>
      <x:c r="I79" s="6"/>
      <x:c r="J79" s="20"/>
      <x:c r="K79" s="11"/>
      <x:c r="L79" s="11"/>
      <x:c r="M79" s="14"/>
      <x:c r="N79" s="35"/>
    </x:row>
    <x:row r="80" ht="9.75" customHeight="1">
      <x:c r="A80" s="32"/>
      <x:c r="B80" s="69" t="s">
        <x:v>888</x:v>
      </x:c>
      <x:c r="C80" s="10" t="s">
        <x:v>889</x:v>
      </x:c>
      <x:c r="D80" s="20" t="s">
        <x:v>916</x:v>
      </x:c>
      <x:c r="E80" s="47" t="s">
        <x:v>914</x:v>
      </x:c>
      <x:c r="F80" s="6"/>
      <x:c r="G80" s="11" t="s">
        <x:v>891</x:v>
      </x:c>
      <x:c r="H80" s="11" t="s">
        <x:v>909</x:v>
      </x:c>
      <x:c r="I80" s="6"/>
      <x:c r="J80" s="20"/>
      <x:c r="K80" s="11"/>
      <x:c r="L80" s="11"/>
      <x:c r="M80" s="14"/>
      <x:c r="N80" s="35"/>
    </x:row>
    <x:row r="81" ht="9.75" customHeight="1">
      <x:c r="A81" s="32"/>
      <x:c r="B81" s="69" t="s">
        <x:v>888</x:v>
      </x:c>
      <x:c r="C81" s="10" t="s">
        <x:v>889</x:v>
      </x:c>
      <x:c r="D81" s="20" t="s">
        <x:v>917</x:v>
      </x:c>
      <x:c r="E81" s="47" t="s">
        <x:v>858</x:v>
      </x:c>
      <x:c r="F81" s="6"/>
      <x:c r="G81" s="11" t="s">
        <x:v>894</x:v>
      </x:c>
      <x:c r="H81" s="11" t="s">
        <x:v>895</x:v>
      </x:c>
      <x:c r="I81" s="6"/>
      <x:c r="J81" s="20"/>
      <x:c r="K81" s="11"/>
      <x:c r="L81" s="11"/>
      <x:c r="M81" s="14"/>
      <x:c r="N81" s="35"/>
    </x:row>
    <x:row r="82" ht="9.75" customHeight="1">
      <x:c r="A82" s="32"/>
      <x:c r="B82" s="69" t="s">
        <x:v>888</x:v>
      </x:c>
      <x:c r="C82" s="10" t="s">
        <x:v>889</x:v>
      </x:c>
      <x:c r="D82" s="20" t="s">
        <x:v>917</x:v>
      </x:c>
      <x:c r="E82" s="47" t="s">
        <x:v>862</x:v>
      </x:c>
      <x:c r="F82" s="6"/>
      <x:c r="G82" s="11" t="s">
        <x:v>894</x:v>
      </x:c>
      <x:c r="H82" s="11" t="s">
        <x:v>892</x:v>
      </x:c>
      <x:c r="I82" s="6"/>
      <x:c r="J82" s="20"/>
      <x:c r="K82" s="11"/>
      <x:c r="L82" s="11"/>
      <x:c r="M82" s="14"/>
      <x:c r="N82" s="35"/>
    </x:row>
    <x:row r="83" ht="9.75" customHeight="1">
      <x:c r="A83" s="32"/>
      <x:c r="B83" s="69" t="s">
        <x:v>888</x:v>
      </x:c>
      <x:c r="C83" s="10" t="s">
        <x:v>889</x:v>
      </x:c>
      <x:c r="D83" s="20" t="s">
        <x:v>917</x:v>
      </x:c>
      <x:c r="E83" s="47" t="s">
        <x:v>863</x:v>
      </x:c>
      <x:c r="F83" s="6"/>
      <x:c r="G83" s="11" t="s">
        <x:v>891</x:v>
      </x:c>
      <x:c r="H83" s="11" t="s">
        <x:v>892</x:v>
      </x:c>
      <x:c r="I83" s="6"/>
      <x:c r="J83" s="20"/>
      <x:c r="K83" s="11"/>
      <x:c r="L83" s="11"/>
      <x:c r="M83" s="14"/>
      <x:c r="N83" s="35"/>
    </x:row>
    <x:row r="84" ht="9.75" customHeight="1">
      <x:c r="A84" s="32"/>
      <x:c r="B84" s="69" t="s">
        <x:v>888</x:v>
      </x:c>
      <x:c r="C84" s="10" t="s">
        <x:v>889</x:v>
      </x:c>
      <x:c r="D84" s="20" t="s">
        <x:v>917</x:v>
      </x:c>
      <x:c r="E84" s="47" t="s">
        <x:v>865</x:v>
      </x:c>
      <x:c r="F84" s="6"/>
      <x:c r="G84" s="11" t="s">
        <x:v>894</x:v>
      </x:c>
      <x:c r="H84" s="11" t="s">
        <x:v>892</x:v>
      </x:c>
      <x:c r="I84" s="6"/>
      <x:c r="J84" s="20"/>
      <x:c r="K84" s="11"/>
      <x:c r="L84" s="11"/>
      <x:c r="M84" s="14"/>
      <x:c r="N84" s="35"/>
    </x:row>
    <x:row r="85" ht="9.75" customHeight="1">
      <x:c r="A85" s="32"/>
      <x:c r="B85" s="69" t="s">
        <x:v>888</x:v>
      </x:c>
      <x:c r="C85" s="10" t="s">
        <x:v>889</x:v>
      </x:c>
      <x:c r="D85" s="20" t="s">
        <x:v>917</x:v>
      </x:c>
      <x:c r="E85" s="47" t="s">
        <x:v>866</x:v>
      </x:c>
      <x:c r="F85" s="6"/>
      <x:c r="G85" s="11" t="s">
        <x:v>894</x:v>
      </x:c>
      <x:c r="H85" s="11" t="s">
        <x:v>892</x:v>
      </x:c>
      <x:c r="I85" s="6"/>
      <x:c r="J85" s="20"/>
      <x:c r="K85" s="11"/>
      <x:c r="L85" s="11"/>
      <x:c r="M85" s="14"/>
      <x:c r="N85" s="35"/>
    </x:row>
    <x:row r="86" ht="9.75" customHeight="1">
      <x:c r="A86" s="32"/>
      <x:c r="B86" s="69" t="s">
        <x:v>888</x:v>
      </x:c>
      <x:c r="C86" s="10" t="s">
        <x:v>889</x:v>
      </x:c>
      <x:c r="D86" s="20" t="s">
        <x:v>917</x:v>
      </x:c>
      <x:c r="E86" s="47" t="s">
        <x:v>867</x:v>
      </x:c>
      <x:c r="F86" s="6"/>
      <x:c r="G86" s="11" t="s">
        <x:v>894</x:v>
      </x:c>
      <x:c r="H86" s="11" t="s">
        <x:v>892</x:v>
      </x:c>
      <x:c r="I86" s="6"/>
      <x:c r="J86" s="20"/>
      <x:c r="K86" s="11"/>
      <x:c r="L86" s="11"/>
      <x:c r="M86" s="14"/>
      <x:c r="N86" s="35"/>
    </x:row>
    <x:row r="87" ht="9.75" customHeight="1">
      <x:c r="A87" s="32"/>
      <x:c r="B87" s="69" t="s">
        <x:v>888</x:v>
      </x:c>
      <x:c r="C87" s="10" t="s">
        <x:v>889</x:v>
      </x:c>
      <x:c r="D87" s="20" t="s">
        <x:v>917</x:v>
      </x:c>
      <x:c r="E87" s="47" t="s">
        <x:v>868</x:v>
      </x:c>
      <x:c r="F87" s="6"/>
      <x:c r="G87" s="11" t="s">
        <x:v>894</x:v>
      </x:c>
      <x:c r="H87" s="11" t="s">
        <x:v>892</x:v>
      </x:c>
      <x:c r="I87" s="6"/>
      <x:c r="J87" s="20"/>
      <x:c r="K87" s="11"/>
      <x:c r="L87" s="11"/>
      <x:c r="M87" s="14"/>
      <x:c r="N87" s="35"/>
    </x:row>
    <x:row r="88" ht="9.75" customHeight="1">
      <x:c r="A88" s="32"/>
      <x:c r="B88" s="69" t="s">
        <x:v>888</x:v>
      </x:c>
      <x:c r="C88" s="10" t="s">
        <x:v>889</x:v>
      </x:c>
      <x:c r="D88" s="20" t="s">
        <x:v>917</x:v>
      </x:c>
      <x:c r="E88" s="47" t="s">
        <x:v>869</x:v>
      </x:c>
      <x:c r="F88" s="6"/>
      <x:c r="G88" s="11" t="s">
        <x:v>894</x:v>
      </x:c>
      <x:c r="H88" s="11" t="s">
        <x:v>892</x:v>
      </x:c>
      <x:c r="I88" s="6"/>
      <x:c r="J88" s="20"/>
      <x:c r="K88" s="11"/>
      <x:c r="L88" s="11"/>
      <x:c r="M88" s="14"/>
      <x:c r="N88" s="35"/>
    </x:row>
    <x:row r="89" ht="9.75" customHeight="1">
      <x:c r="A89" s="32"/>
      <x:c r="B89" s="69" t="s">
        <x:v>888</x:v>
      </x:c>
      <x:c r="C89" s="10" t="s">
        <x:v>889</x:v>
      </x:c>
      <x:c r="D89" s="20" t="s">
        <x:v>917</x:v>
      </x:c>
      <x:c r="E89" s="47" t="s">
        <x:v>896</x:v>
      </x:c>
      <x:c r="F89" s="6"/>
      <x:c r="G89" s="11" t="s">
        <x:v>894</x:v>
      </x:c>
      <x:c r="H89" s="11" t="s">
        <x:v>892</x:v>
      </x:c>
      <x:c r="I89" s="6"/>
      <x:c r="J89" s="20"/>
      <x:c r="K89" s="11"/>
      <x:c r="L89" s="11"/>
      <x:c r="M89" s="14"/>
      <x:c r="N89" s="35"/>
    </x:row>
    <x:row r="90" ht="9.75" customHeight="1">
      <x:c r="A90" s="32"/>
      <x:c r="B90" s="69" t="s">
        <x:v>888</x:v>
      </x:c>
      <x:c r="C90" s="10" t="s">
        <x:v>889</x:v>
      </x:c>
      <x:c r="D90" s="20" t="s">
        <x:v>917</x:v>
      </x:c>
      <x:c r="E90" s="47" t="s">
        <x:v>897</x:v>
      </x:c>
      <x:c r="F90" s="6"/>
      <x:c r="G90" s="11" t="s">
        <x:v>891</x:v>
      </x:c>
      <x:c r="H90" s="11" t="s">
        <x:v>895</x:v>
      </x:c>
      <x:c r="I90" s="6"/>
      <x:c r="J90" s="20"/>
      <x:c r="K90" s="11"/>
      <x:c r="L90" s="11"/>
      <x:c r="M90" s="14"/>
      <x:c r="N90" s="35"/>
    </x:row>
    <x:row r="91" ht="9.75" customHeight="1">
      <x:c r="A91" s="32"/>
      <x:c r="B91" s="69" t="s">
        <x:v>888</x:v>
      </x:c>
      <x:c r="C91" s="10" t="s">
        <x:v>889</x:v>
      </x:c>
      <x:c r="D91" s="20" t="s">
        <x:v>917</x:v>
      </x:c>
      <x:c r="E91" s="47" t="s">
        <x:v>900</x:v>
      </x:c>
      <x:c r="F91" s="6"/>
      <x:c r="G91" s="11" t="s">
        <x:v>891</x:v>
      </x:c>
      <x:c r="H91" s="11" t="s">
        <x:v>895</x:v>
      </x:c>
      <x:c r="I91" s="6"/>
      <x:c r="J91" s="20"/>
      <x:c r="K91" s="11"/>
      <x:c r="L91" s="11"/>
      <x:c r="M91" s="14"/>
      <x:c r="N91" s="35"/>
    </x:row>
    <x:row r="92" ht="9.75" customHeight="1">
      <x:c r="A92" s="32"/>
      <x:c r="B92" s="69" t="s">
        <x:v>888</x:v>
      </x:c>
      <x:c r="C92" s="10" t="s">
        <x:v>889</x:v>
      </x:c>
      <x:c r="D92" s="20" t="s">
        <x:v>917</x:v>
      </x:c>
      <x:c r="E92" s="47" t="s">
        <x:v>901</x:v>
      </x:c>
      <x:c r="F92" s="6"/>
      <x:c r="G92" s="11" t="s">
        <x:v>891</x:v>
      </x:c>
      <x:c r="H92" s="11" t="s">
        <x:v>895</x:v>
      </x:c>
      <x:c r="I92" s="6"/>
      <x:c r="J92" s="20"/>
      <x:c r="K92" s="11"/>
      <x:c r="L92" s="11"/>
      <x:c r="M92" s="14"/>
      <x:c r="N92" s="35"/>
    </x:row>
    <x:row r="93" ht="9.75" customHeight="1">
      <x:c r="A93" s="32"/>
      <x:c r="B93" s="69" t="s">
        <x:v>888</x:v>
      </x:c>
      <x:c r="C93" s="10" t="s">
        <x:v>889</x:v>
      </x:c>
      <x:c r="D93" s="20" t="s">
        <x:v>917</x:v>
      </x:c>
      <x:c r="E93" s="47" t="s">
        <x:v>902</x:v>
      </x:c>
      <x:c r="F93" s="6"/>
      <x:c r="G93" s="11" t="s">
        <x:v>894</x:v>
      </x:c>
      <x:c r="H93" s="11" t="s">
        <x:v>892</x:v>
      </x:c>
      <x:c r="I93" s="6"/>
      <x:c r="J93" s="20"/>
      <x:c r="K93" s="11"/>
      <x:c r="L93" s="11"/>
      <x:c r="M93" s="14"/>
      <x:c r="N93" s="35"/>
    </x:row>
    <x:row r="94" ht="9.75" customHeight="1">
      <x:c r="A94" s="32"/>
      <x:c r="B94" s="69" t="s">
        <x:v>888</x:v>
      </x:c>
      <x:c r="C94" s="10" t="s">
        <x:v>889</x:v>
      </x:c>
      <x:c r="D94" s="20" t="s">
        <x:v>917</x:v>
      </x:c>
      <x:c r="E94" s="47" t="s">
        <x:v>903</x:v>
      </x:c>
      <x:c r="F94" s="6"/>
      <x:c r="G94" s="11" t="s">
        <x:v>894</x:v>
      </x:c>
      <x:c r="H94" s="11" t="s">
        <x:v>892</x:v>
      </x:c>
      <x:c r="I94" s="6"/>
      <x:c r="J94" s="20"/>
      <x:c r="K94" s="11"/>
      <x:c r="L94" s="11"/>
      <x:c r="M94" s="14"/>
      <x:c r="N94" s="35"/>
    </x:row>
    <x:row r="95" ht="9.75" customHeight="1">
      <x:c r="A95" s="32"/>
      <x:c r="B95" s="69" t="s">
        <x:v>888</x:v>
      </x:c>
      <x:c r="C95" s="10" t="s">
        <x:v>889</x:v>
      </x:c>
      <x:c r="D95" s="20" t="s">
        <x:v>917</x:v>
      </x:c>
      <x:c r="E95" s="47" t="s">
        <x:v>904</x:v>
      </x:c>
      <x:c r="F95" s="6"/>
      <x:c r="G95" s="11" t="s">
        <x:v>894</x:v>
      </x:c>
      <x:c r="H95" s="11" t="s">
        <x:v>892</x:v>
      </x:c>
      <x:c r="I95" s="6"/>
      <x:c r="J95" s="20"/>
      <x:c r="K95" s="11"/>
      <x:c r="L95" s="11"/>
      <x:c r="M95" s="14"/>
      <x:c r="N95" s="35"/>
    </x:row>
    <x:row r="96" ht="9.75" customHeight="1">
      <x:c r="A96" s="32"/>
      <x:c r="B96" s="69" t="s">
        <x:v>888</x:v>
      </x:c>
      <x:c r="C96" s="10" t="s">
        <x:v>889</x:v>
      </x:c>
      <x:c r="D96" s="20" t="s">
        <x:v>917</x:v>
      </x:c>
      <x:c r="E96" s="47" t="s">
        <x:v>905</x:v>
      </x:c>
      <x:c r="F96" s="6"/>
      <x:c r="G96" s="11" t="s">
        <x:v>894</x:v>
      </x:c>
      <x:c r="H96" s="11" t="s">
        <x:v>895</x:v>
      </x:c>
      <x:c r="I96" s="6"/>
      <x:c r="J96" s="20"/>
      <x:c r="K96" s="11"/>
      <x:c r="L96" s="11"/>
      <x:c r="M96" s="14"/>
      <x:c r="N96" s="35"/>
    </x:row>
    <x:row r="97" ht="9.75" customHeight="1">
      <x:c r="A97" s="32"/>
      <x:c r="B97" s="69" t="s">
        <x:v>888</x:v>
      </x:c>
      <x:c r="C97" s="10" t="s">
        <x:v>889</x:v>
      </x:c>
      <x:c r="D97" s="20" t="s">
        <x:v>917</x:v>
      </x:c>
      <x:c r="E97" s="47" t="s">
        <x:v>906</x:v>
      </x:c>
      <x:c r="F97" s="6"/>
      <x:c r="G97" s="11" t="s">
        <x:v>894</x:v>
      </x:c>
      <x:c r="H97" s="11" t="s">
        <x:v>892</x:v>
      </x:c>
      <x:c r="I97" s="6"/>
      <x:c r="J97" s="20"/>
      <x:c r="K97" s="11"/>
      <x:c r="L97" s="11"/>
      <x:c r="M97" s="14"/>
      <x:c r="N97" s="35"/>
    </x:row>
    <x:row r="98" ht="9.75" customHeight="1">
      <x:c r="A98" s="32"/>
      <x:c r="B98" s="69" t="s">
        <x:v>888</x:v>
      </x:c>
      <x:c r="C98" s="10" t="s">
        <x:v>889</x:v>
      </x:c>
      <x:c r="D98" s="20" t="s">
        <x:v>917</x:v>
      </x:c>
      <x:c r="E98" s="47" t="s">
        <x:v>907</x:v>
      </x:c>
      <x:c r="F98" s="6"/>
      <x:c r="G98" s="11" t="s">
        <x:v>894</x:v>
      </x:c>
      <x:c r="H98" s="11" t="s">
        <x:v>892</x:v>
      </x:c>
      <x:c r="I98" s="6"/>
      <x:c r="J98" s="20"/>
      <x:c r="K98" s="11"/>
      <x:c r="L98" s="11"/>
      <x:c r="M98" s="14"/>
      <x:c r="N98" s="35"/>
    </x:row>
    <x:row r="99" ht="9.75" customHeight="1">
      <x:c r="A99" s="32"/>
      <x:c r="B99" s="69" t="s">
        <x:v>888</x:v>
      </x:c>
      <x:c r="C99" s="10" t="s">
        <x:v>889</x:v>
      </x:c>
      <x:c r="D99" s="20" t="s">
        <x:v>917</x:v>
      </x:c>
      <x:c r="E99" s="47" t="s">
        <x:v>908</x:v>
      </x:c>
      <x:c r="F99" s="6"/>
      <x:c r="G99" s="11" t="s">
        <x:v>894</x:v>
      </x:c>
      <x:c r="H99" s="11" t="s">
        <x:v>892</x:v>
      </x:c>
      <x:c r="I99" s="6"/>
      <x:c r="J99" s="20"/>
      <x:c r="K99" s="11"/>
      <x:c r="L99" s="11"/>
      <x:c r="M99" s="14"/>
      <x:c r="N99" s="35"/>
    </x:row>
    <x:row r="100" ht="9.75" customHeight="1">
      <x:c r="A100" s="32"/>
      <x:c r="B100" s="69" t="s">
        <x:v>888</x:v>
      </x:c>
      <x:c r="C100" s="10" t="s">
        <x:v>889</x:v>
      </x:c>
      <x:c r="D100" s="20" t="s">
        <x:v>917</x:v>
      </x:c>
      <x:c r="E100" s="47" t="s">
        <x:v>910</x:v>
      </x:c>
      <x:c r="F100" s="6"/>
      <x:c r="G100" s="11" t="s">
        <x:v>891</x:v>
      </x:c>
      <x:c r="H100" s="11" t="s">
        <x:v>892</x:v>
      </x:c>
      <x:c r="I100" s="6"/>
      <x:c r="J100" s="20"/>
      <x:c r="K100" s="11"/>
      <x:c r="L100" s="11"/>
      <x:c r="M100" s="14"/>
      <x:c r="N100" s="35"/>
    </x:row>
    <x:row r="101" ht="9.75" customHeight="1">
      <x:c r="A101" s="32"/>
      <x:c r="B101" s="69" t="s">
        <x:v>888</x:v>
      </x:c>
      <x:c r="C101" s="10" t="s">
        <x:v>889</x:v>
      </x:c>
      <x:c r="D101" s="20" t="s">
        <x:v>917</x:v>
      </x:c>
      <x:c r="E101" s="47" t="s">
        <x:v>911</x:v>
      </x:c>
      <x:c r="F101" s="6"/>
      <x:c r="G101" s="11" t="s">
        <x:v>891</x:v>
      </x:c>
      <x:c r="H101" s="11" t="s">
        <x:v>895</x:v>
      </x:c>
      <x:c r="I101" s="6"/>
      <x:c r="J101" s="20"/>
      <x:c r="K101" s="11"/>
      <x:c r="L101" s="11"/>
      <x:c r="M101" s="14"/>
      <x:c r="N101" s="35"/>
    </x:row>
    <x:row r="102" ht="9.75" customHeight="1">
      <x:c r="A102" s="32"/>
      <x:c r="B102" s="69" t="s">
        <x:v>888</x:v>
      </x:c>
      <x:c r="C102" s="10" t="s">
        <x:v>889</x:v>
      </x:c>
      <x:c r="D102" s="20" t="s">
        <x:v>917</x:v>
      </x:c>
      <x:c r="E102" s="47" t="s">
        <x:v>912</x:v>
      </x:c>
      <x:c r="F102" s="6"/>
      <x:c r="G102" s="11" t="s">
        <x:v>894</x:v>
      </x:c>
      <x:c r="H102" s="11" t="s">
        <x:v>892</x:v>
      </x:c>
      <x:c r="I102" s="6"/>
      <x:c r="J102" s="20"/>
      <x:c r="K102" s="11"/>
      <x:c r="L102" s="11"/>
      <x:c r="M102" s="14"/>
      <x:c r="N102" s="35"/>
    </x:row>
    <x:row r="103" ht="9.75" customHeight="1">
      <x:c r="A103" s="32"/>
      <x:c r="B103" s="69" t="s">
        <x:v>888</x:v>
      </x:c>
      <x:c r="C103" s="10" t="s">
        <x:v>889</x:v>
      </x:c>
      <x:c r="D103" s="20" t="s">
        <x:v>917</x:v>
      </x:c>
      <x:c r="E103" s="47" t="s">
        <x:v>913</x:v>
      </x:c>
      <x:c r="F103" s="6"/>
      <x:c r="G103" s="11" t="s">
        <x:v>891</x:v>
      </x:c>
      <x:c r="H103" s="11" t="s">
        <x:v>895</x:v>
      </x:c>
      <x:c r="I103" s="6"/>
      <x:c r="J103" s="20"/>
      <x:c r="K103" s="11"/>
      <x:c r="L103" s="11"/>
      <x:c r="M103" s="14"/>
      <x:c r="N103" s="35"/>
    </x:row>
    <x:row r="104" ht="9.75" customHeight="1">
      <x:c r="A104" s="32"/>
      <x:c r="B104" s="69" t="s">
        <x:v>888</x:v>
      </x:c>
      <x:c r="C104" s="10" t="s">
        <x:v>889</x:v>
      </x:c>
      <x:c r="D104" s="20" t="s">
        <x:v>917</x:v>
      </x:c>
      <x:c r="E104" s="47" t="s">
        <x:v>914</x:v>
      </x:c>
      <x:c r="F104" s="6"/>
      <x:c r="G104" s="11" t="s">
        <x:v>894</x:v>
      </x:c>
      <x:c r="H104" s="11" t="s">
        <x:v>892</x:v>
      </x:c>
      <x:c r="I104" s="6"/>
      <x:c r="J104" s="20"/>
      <x:c r="K104" s="11"/>
      <x:c r="L104" s="11"/>
      <x:c r="M104" s="14"/>
      <x:c r="N104" s="35"/>
    </x:row>
    <x:row r="105" ht="9.75" customHeight="1">
      <x:c r="A105" s="32"/>
      <x:c r="B105" s="69" t="s">
        <x:v>888</x:v>
      </x:c>
      <x:c r="C105" s="10" t="s">
        <x:v>918</x:v>
      </x:c>
      <x:c r="D105" s="20" t="s">
        <x:v>890</x:v>
      </x:c>
      <x:c r="E105" s="47" t="s">
        <x:v>858</x:v>
      </x:c>
      <x:c r="F105" s="6"/>
      <x:c r="G105" s="11" t="s">
        <x:v>898</x:v>
      </x:c>
      <x:c r="H105" s="11" t="s">
        <x:v>899</x:v>
      </x:c>
      <x:c r="I105" s="6"/>
      <x:c r="J105" s="20"/>
      <x:c r="K105" s="11"/>
      <x:c r="L105" s="11"/>
      <x:c r="M105" s="14"/>
      <x:c r="N105" s="35"/>
    </x:row>
    <x:row r="106" ht="9.75" customHeight="1">
      <x:c r="A106" s="32"/>
      <x:c r="B106" s="69" t="s">
        <x:v>888</x:v>
      </x:c>
      <x:c r="C106" s="10" t="s">
        <x:v>918</x:v>
      </x:c>
      <x:c r="D106" s="20" t="s">
        <x:v>890</x:v>
      </x:c>
      <x:c r="E106" s="47" t="s">
        <x:v>862</x:v>
      </x:c>
      <x:c r="F106" s="6"/>
      <x:c r="G106" s="11" t="s">
        <x:v>894</x:v>
      </x:c>
      <x:c r="H106" s="11" t="s">
        <x:v>895</x:v>
      </x:c>
      <x:c r="I106" s="6"/>
      <x:c r="J106" s="20"/>
      <x:c r="K106" s="11"/>
      <x:c r="L106" s="11"/>
      <x:c r="M106" s="14"/>
      <x:c r="N106" s="35"/>
    </x:row>
    <x:row r="107" ht="9.75" customHeight="1">
      <x:c r="A107" s="32"/>
      <x:c r="B107" s="69" t="s">
        <x:v>888</x:v>
      </x:c>
      <x:c r="C107" s="10" t="s">
        <x:v>918</x:v>
      </x:c>
      <x:c r="D107" s="20" t="s">
        <x:v>890</x:v>
      </x:c>
      <x:c r="E107" s="47" t="s">
        <x:v>863</x:v>
      </x:c>
      <x:c r="F107" s="6"/>
      <x:c r="G107" s="11" t="s">
        <x:v>894</x:v>
      </x:c>
      <x:c r="H107" s="11" t="s">
        <x:v>895</x:v>
      </x:c>
      <x:c r="I107" s="6"/>
      <x:c r="J107" s="20"/>
      <x:c r="K107" s="11"/>
      <x:c r="L107" s="11"/>
      <x:c r="M107" s="14"/>
      <x:c r="N107" s="35"/>
    </x:row>
    <x:row r="108" ht="9.75" customHeight="1">
      <x:c r="A108" s="32"/>
      <x:c r="B108" s="69" t="s">
        <x:v>888</x:v>
      </x:c>
      <x:c r="C108" s="10" t="s">
        <x:v>918</x:v>
      </x:c>
      <x:c r="D108" s="20" t="s">
        <x:v>893</x:v>
      </x:c>
      <x:c r="E108" s="47" t="s">
        <x:v>858</x:v>
      </x:c>
      <x:c r="F108" s="6"/>
      <x:c r="G108" s="11" t="s">
        <x:v>898</x:v>
      </x:c>
      <x:c r="H108" s="11" t="s">
        <x:v>899</x:v>
      </x:c>
      <x:c r="I108" s="6"/>
      <x:c r="J108" s="20"/>
      <x:c r="K108" s="11"/>
      <x:c r="L108" s="11"/>
      <x:c r="M108" s="14"/>
      <x:c r="N108" s="35"/>
    </x:row>
    <x:row r="109" ht="9.75" customHeight="1">
      <x:c r="A109" s="32"/>
      <x:c r="B109" s="69" t="s">
        <x:v>888</x:v>
      </x:c>
      <x:c r="C109" s="10" t="s">
        <x:v>918</x:v>
      </x:c>
      <x:c r="D109" s="20" t="s">
        <x:v>893</x:v>
      </x:c>
      <x:c r="E109" s="47" t="s">
        <x:v>862</x:v>
      </x:c>
      <x:c r="F109" s="6"/>
      <x:c r="G109" s="11" t="s">
        <x:v>894</x:v>
      </x:c>
      <x:c r="H109" s="11" t="s">
        <x:v>892</x:v>
      </x:c>
      <x:c r="I109" s="6"/>
      <x:c r="J109" s="20"/>
      <x:c r="K109" s="11"/>
      <x:c r="L109" s="11"/>
      <x:c r="M109" s="14"/>
      <x:c r="N109" s="35"/>
    </x:row>
    <x:row r="110" ht="9.75" customHeight="1">
      <x:c r="A110" s="32"/>
      <x:c r="B110" s="69" t="s">
        <x:v>888</x:v>
      </x:c>
      <x:c r="C110" s="10" t="s">
        <x:v>918</x:v>
      </x:c>
      <x:c r="D110" s="20" t="s">
        <x:v>893</x:v>
      </x:c>
      <x:c r="E110" s="47" t="s">
        <x:v>863</x:v>
      </x:c>
      <x:c r="F110" s="6"/>
      <x:c r="G110" s="11" t="s">
        <x:v>894</x:v>
      </x:c>
      <x:c r="H110" s="11" t="s">
        <x:v>892</x:v>
      </x:c>
      <x:c r="I110" s="6"/>
      <x:c r="J110" s="20"/>
      <x:c r="K110" s="11"/>
      <x:c r="L110" s="11"/>
      <x:c r="M110" s="14"/>
      <x:c r="N110" s="35"/>
    </x:row>
    <x:row r="111" ht="9.75" customHeight="1">
      <x:c r="A111" s="32"/>
      <x:c r="B111" s="69" t="s">
        <x:v>888</x:v>
      </x:c>
      <x:c r="C111" s="10" t="s">
        <x:v>918</x:v>
      </x:c>
      <x:c r="D111" s="20" t="s">
        <x:v>893</x:v>
      </x:c>
      <x:c r="E111" s="47" t="s">
        <x:v>865</x:v>
      </x:c>
      <x:c r="F111" s="6"/>
      <x:c r="G111" s="11" t="s">
        <x:v>894</x:v>
      </x:c>
      <x:c r="H111" s="11" t="s">
        <x:v>895</x:v>
      </x:c>
      <x:c r="I111" s="6"/>
      <x:c r="J111" s="20"/>
      <x:c r="K111" s="11"/>
      <x:c r="L111" s="11"/>
      <x:c r="M111" s="14"/>
      <x:c r="N111" s="35"/>
    </x:row>
    <x:row r="112" ht="9.75" customHeight="1">
      <x:c r="A112" s="32"/>
      <x:c r="B112" s="69" t="s">
        <x:v>888</x:v>
      </x:c>
      <x:c r="C112" s="10" t="s">
        <x:v>918</x:v>
      </x:c>
      <x:c r="D112" s="20" t="s">
        <x:v>893</x:v>
      </x:c>
      <x:c r="E112" s="47" t="s">
        <x:v>866</x:v>
      </x:c>
      <x:c r="F112" s="6"/>
      <x:c r="G112" s="11" t="s">
        <x:v>894</x:v>
      </x:c>
      <x:c r="H112" s="11" t="s">
        <x:v>895</x:v>
      </x:c>
      <x:c r="I112" s="6"/>
      <x:c r="J112" s="20"/>
      <x:c r="K112" s="11"/>
      <x:c r="L112" s="11"/>
      <x:c r="M112" s="14"/>
      <x:c r="N112" s="35"/>
    </x:row>
    <x:row r="113" ht="9.75" customHeight="1">
      <x:c r="A113" s="32"/>
      <x:c r="B113" s="69" t="s">
        <x:v>888</x:v>
      </x:c>
      <x:c r="C113" s="10" t="s">
        <x:v>918</x:v>
      </x:c>
      <x:c r="D113" s="20" t="s">
        <x:v>893</x:v>
      </x:c>
      <x:c r="E113" s="47" t="s">
        <x:v>867</x:v>
      </x:c>
      <x:c r="F113" s="6"/>
      <x:c r="G113" s="11" t="s">
        <x:v>891</x:v>
      </x:c>
      <x:c r="H113" s="11" t="s">
        <x:v>895</x:v>
      </x:c>
      <x:c r="I113" s="6"/>
      <x:c r="J113" s="20"/>
      <x:c r="K113" s="11"/>
      <x:c r="L113" s="11"/>
      <x:c r="M113" s="14"/>
      <x:c r="N113" s="35"/>
    </x:row>
    <x:row r="114" ht="9.75" customHeight="1">
      <x:c r="A114" s="32"/>
      <x:c r="B114" s="69" t="s">
        <x:v>888</x:v>
      </x:c>
      <x:c r="C114" s="10" t="s">
        <x:v>918</x:v>
      </x:c>
      <x:c r="D114" s="20" t="s">
        <x:v>893</x:v>
      </x:c>
      <x:c r="E114" s="47" t="s">
        <x:v>868</x:v>
      </x:c>
      <x:c r="F114" s="6"/>
      <x:c r="G114" s="11" t="s">
        <x:v>894</x:v>
      </x:c>
      <x:c r="H114" s="11" t="s">
        <x:v>895</x:v>
      </x:c>
      <x:c r="I114" s="6"/>
      <x:c r="J114" s="20"/>
      <x:c r="K114" s="11"/>
      <x:c r="L114" s="11"/>
      <x:c r="M114" s="14"/>
      <x:c r="N114" s="35"/>
    </x:row>
    <x:row r="115" ht="9.75" customHeight="1">
      <x:c r="A115" s="32"/>
      <x:c r="B115" s="69" t="s">
        <x:v>888</x:v>
      </x:c>
      <x:c r="C115" s="10" t="s">
        <x:v>918</x:v>
      </x:c>
      <x:c r="D115" s="20" t="s">
        <x:v>893</x:v>
      </x:c>
      <x:c r="E115" s="47" t="s">
        <x:v>869</x:v>
      </x:c>
      <x:c r="F115" s="6"/>
      <x:c r="G115" s="11" t="s">
        <x:v>894</x:v>
      </x:c>
      <x:c r="H115" s="11" t="s">
        <x:v>895</x:v>
      </x:c>
      <x:c r="I115" s="6"/>
      <x:c r="J115" s="20"/>
      <x:c r="K115" s="11"/>
      <x:c r="L115" s="11"/>
      <x:c r="M115" s="14"/>
      <x:c r="N115" s="35"/>
    </x:row>
    <x:row r="116" ht="9.75" customHeight="1">
      <x:c r="A116" s="32"/>
      <x:c r="B116" s="69" t="s">
        <x:v>888</x:v>
      </x:c>
      <x:c r="C116" s="10" t="s">
        <x:v>918</x:v>
      </x:c>
      <x:c r="D116" s="20" t="s">
        <x:v>893</x:v>
      </x:c>
      <x:c r="E116" s="47" t="s">
        <x:v>896</x:v>
      </x:c>
      <x:c r="F116" s="6"/>
      <x:c r="G116" s="11" t="s">
        <x:v>894</x:v>
      </x:c>
      <x:c r="H116" s="11" t="s">
        <x:v>892</x:v>
      </x:c>
      <x:c r="I116" s="6"/>
      <x:c r="J116" s="20"/>
      <x:c r="K116" s="11"/>
      <x:c r="L116" s="11"/>
      <x:c r="M116" s="14"/>
      <x:c r="N116" s="35"/>
    </x:row>
    <x:row r="117" ht="9.75" customHeight="1">
      <x:c r="A117" s="32"/>
      <x:c r="B117" s="69" t="s">
        <x:v>888</x:v>
      </x:c>
      <x:c r="C117" s="10" t="s">
        <x:v>918</x:v>
      </x:c>
      <x:c r="D117" s="20" t="s">
        <x:v>893</x:v>
      </x:c>
      <x:c r="E117" s="47" t="s">
        <x:v>897</x:v>
      </x:c>
      <x:c r="F117" s="6"/>
      <x:c r="G117" s="11" t="s">
        <x:v>898</x:v>
      </x:c>
      <x:c r="H117" s="11" t="s">
        <x:v>899</x:v>
      </x:c>
      <x:c r="I117" s="6"/>
      <x:c r="J117" s="20"/>
      <x:c r="K117" s="11"/>
      <x:c r="L117" s="11"/>
      <x:c r="M117" s="14"/>
      <x:c r="N117" s="35"/>
    </x:row>
    <x:row r="118" ht="9.75" customHeight="1">
      <x:c r="A118" s="32"/>
      <x:c r="B118" s="69" t="s">
        <x:v>888</x:v>
      </x:c>
      <x:c r="C118" s="10" t="s">
        <x:v>918</x:v>
      </x:c>
      <x:c r="D118" s="20" t="s">
        <x:v>893</x:v>
      </x:c>
      <x:c r="E118" s="47" t="s">
        <x:v>900</x:v>
      </x:c>
      <x:c r="F118" s="6"/>
      <x:c r="G118" s="11" t="s">
        <x:v>894</x:v>
      </x:c>
      <x:c r="H118" s="11" t="s">
        <x:v>895</x:v>
      </x:c>
      <x:c r="I118" s="6"/>
      <x:c r="J118" s="20"/>
      <x:c r="K118" s="11"/>
      <x:c r="L118" s="11"/>
      <x:c r="M118" s="14"/>
      <x:c r="N118" s="35"/>
    </x:row>
    <x:row r="119" ht="9.75" customHeight="1">
      <x:c r="A119" s="32"/>
      <x:c r="B119" s="69" t="s">
        <x:v>888</x:v>
      </x:c>
      <x:c r="C119" s="10" t="s">
        <x:v>918</x:v>
      </x:c>
      <x:c r="D119" s="20" t="s">
        <x:v>893</x:v>
      </x:c>
      <x:c r="E119" s="47" t="s">
        <x:v>901</x:v>
      </x:c>
      <x:c r="F119" s="6"/>
      <x:c r="G119" s="11" t="s">
        <x:v>894</x:v>
      </x:c>
      <x:c r="H119" s="11" t="s">
        <x:v>892</x:v>
      </x:c>
      <x:c r="I119" s="6"/>
      <x:c r="J119" s="20"/>
      <x:c r="K119" s="11"/>
      <x:c r="L119" s="11"/>
      <x:c r="M119" s="14"/>
      <x:c r="N119" s="35"/>
    </x:row>
    <x:row r="120" ht="9.75" customHeight="1">
      <x:c r="A120" s="32"/>
      <x:c r="B120" s="69" t="s">
        <x:v>888</x:v>
      </x:c>
      <x:c r="C120" s="10" t="s">
        <x:v>918</x:v>
      </x:c>
      <x:c r="D120" s="20" t="s">
        <x:v>893</x:v>
      </x:c>
      <x:c r="E120" s="47" t="s">
        <x:v>902</x:v>
      </x:c>
      <x:c r="F120" s="6"/>
      <x:c r="G120" s="11" t="s">
        <x:v>891</x:v>
      </x:c>
      <x:c r="H120" s="11" t="s">
        <x:v>895</x:v>
      </x:c>
      <x:c r="I120" s="6"/>
      <x:c r="J120" s="20"/>
      <x:c r="K120" s="11"/>
      <x:c r="L120" s="11"/>
      <x:c r="M120" s="14"/>
      <x:c r="N120" s="35"/>
    </x:row>
    <x:row r="121" ht="9.75" customHeight="1">
      <x:c r="A121" s="32"/>
      <x:c r="B121" s="69" t="s">
        <x:v>888</x:v>
      </x:c>
      <x:c r="C121" s="10" t="s">
        <x:v>918</x:v>
      </x:c>
      <x:c r="D121" s="20" t="s">
        <x:v>893</x:v>
      </x:c>
      <x:c r="E121" s="47" t="s">
        <x:v>903</x:v>
      </x:c>
      <x:c r="F121" s="6"/>
      <x:c r="G121" s="11" t="s">
        <x:v>898</x:v>
      </x:c>
      <x:c r="H121" s="11" t="s">
        <x:v>899</x:v>
      </x:c>
      <x:c r="I121" s="6"/>
      <x:c r="J121" s="20"/>
      <x:c r="K121" s="11"/>
      <x:c r="L121" s="11"/>
      <x:c r="M121" s="14"/>
      <x:c r="N121" s="35"/>
    </x:row>
    <x:row r="122" ht="9.75" customHeight="1">
      <x:c r="A122" s="32"/>
      <x:c r="B122" s="69" t="s">
        <x:v>888</x:v>
      </x:c>
      <x:c r="C122" s="10" t="s">
        <x:v>918</x:v>
      </x:c>
      <x:c r="D122" s="20" t="s">
        <x:v>893</x:v>
      </x:c>
      <x:c r="E122" s="47" t="s">
        <x:v>904</x:v>
      </x:c>
      <x:c r="F122" s="6"/>
      <x:c r="G122" s="11" t="s">
        <x:v>898</x:v>
      </x:c>
      <x:c r="H122" s="11" t="s">
        <x:v>899</x:v>
      </x:c>
      <x:c r="I122" s="6"/>
      <x:c r="J122" s="20"/>
      <x:c r="K122" s="11"/>
      <x:c r="L122" s="11"/>
      <x:c r="M122" s="14"/>
      <x:c r="N122" s="35"/>
    </x:row>
    <x:row r="123" ht="9.75" customHeight="1">
      <x:c r="A123" s="32"/>
      <x:c r="B123" s="69" t="s">
        <x:v>888</x:v>
      </x:c>
      <x:c r="C123" s="10" t="s">
        <x:v>918</x:v>
      </x:c>
      <x:c r="D123" s="20" t="s">
        <x:v>893</x:v>
      </x:c>
      <x:c r="E123" s="47" t="s">
        <x:v>905</x:v>
      </x:c>
      <x:c r="F123" s="6"/>
      <x:c r="G123" s="11" t="s">
        <x:v>894</x:v>
      </x:c>
      <x:c r="H123" s="11" t="s">
        <x:v>895</x:v>
      </x:c>
      <x:c r="I123" s="6"/>
      <x:c r="J123" s="20"/>
      <x:c r="K123" s="11"/>
      <x:c r="L123" s="11"/>
      <x:c r="M123" s="14"/>
      <x:c r="N123" s="35"/>
    </x:row>
    <x:row r="124" ht="9.75" customHeight="1">
      <x:c r="A124" s="32"/>
      <x:c r="B124" s="69" t="s">
        <x:v>888</x:v>
      </x:c>
      <x:c r="C124" s="10" t="s">
        <x:v>918</x:v>
      </x:c>
      <x:c r="D124" s="20" t="s">
        <x:v>893</x:v>
      </x:c>
      <x:c r="E124" s="47" t="s">
        <x:v>906</x:v>
      </x:c>
      <x:c r="F124" s="6"/>
      <x:c r="G124" s="11" t="s">
        <x:v>891</x:v>
      </x:c>
      <x:c r="H124" s="11" t="s">
        <x:v>909</x:v>
      </x:c>
      <x:c r="I124" s="6"/>
      <x:c r="J124" s="20"/>
      <x:c r="K124" s="11"/>
      <x:c r="L124" s="11"/>
      <x:c r="M124" s="14"/>
      <x:c r="N124" s="35"/>
    </x:row>
    <x:row r="125" ht="9.75" customHeight="1">
      <x:c r="A125" s="32"/>
      <x:c r="B125" s="69" t="s">
        <x:v>888</x:v>
      </x:c>
      <x:c r="C125" s="10" t="s">
        <x:v>918</x:v>
      </x:c>
      <x:c r="D125" s="20" t="s">
        <x:v>893</x:v>
      </x:c>
      <x:c r="E125" s="47" t="s">
        <x:v>907</x:v>
      </x:c>
      <x:c r="F125" s="6"/>
      <x:c r="G125" s="11" t="s">
        <x:v>894</x:v>
      </x:c>
      <x:c r="H125" s="11" t="s">
        <x:v>892</x:v>
      </x:c>
      <x:c r="I125" s="6"/>
      <x:c r="J125" s="20"/>
      <x:c r="K125" s="11"/>
      <x:c r="L125" s="11"/>
      <x:c r="M125" s="14"/>
      <x:c r="N125" s="35"/>
    </x:row>
    <x:row r="126" ht="9.75" customHeight="1">
      <x:c r="A126" s="32"/>
      <x:c r="B126" s="69" t="s">
        <x:v>888</x:v>
      </x:c>
      <x:c r="C126" s="10" t="s">
        <x:v>918</x:v>
      </x:c>
      <x:c r="D126" s="20" t="s">
        <x:v>893</x:v>
      </x:c>
      <x:c r="E126" s="47" t="s">
        <x:v>908</x:v>
      </x:c>
      <x:c r="F126" s="6"/>
      <x:c r="G126" s="11" t="s">
        <x:v>894</x:v>
      </x:c>
      <x:c r="H126" s="11" t="s">
        <x:v>895</x:v>
      </x:c>
      <x:c r="I126" s="6"/>
      <x:c r="J126" s="20"/>
      <x:c r="K126" s="11"/>
      <x:c r="L126" s="11"/>
      <x:c r="M126" s="14"/>
      <x:c r="N126" s="35"/>
    </x:row>
    <x:row r="127" ht="9.75" customHeight="1">
      <x:c r="A127" s="32"/>
      <x:c r="B127" s="69" t="s">
        <x:v>888</x:v>
      </x:c>
      <x:c r="C127" s="10" t="s">
        <x:v>918</x:v>
      </x:c>
      <x:c r="D127" s="20" t="s">
        <x:v>893</x:v>
      </x:c>
      <x:c r="E127" s="47" t="s">
        <x:v>910</x:v>
      </x:c>
      <x:c r="F127" s="6"/>
      <x:c r="G127" s="11" t="s">
        <x:v>894</x:v>
      </x:c>
      <x:c r="H127" s="11" t="s">
        <x:v>895</x:v>
      </x:c>
      <x:c r="I127" s="6"/>
      <x:c r="J127" s="20"/>
      <x:c r="K127" s="11"/>
      <x:c r="L127" s="11"/>
      <x:c r="M127" s="14"/>
      <x:c r="N127" s="35"/>
    </x:row>
    <x:row r="128" ht="9.75" customHeight="1">
      <x:c r="A128" s="32"/>
      <x:c r="B128" s="69" t="s">
        <x:v>888</x:v>
      </x:c>
      <x:c r="C128" s="10" t="s">
        <x:v>918</x:v>
      </x:c>
      <x:c r="D128" s="20" t="s">
        <x:v>893</x:v>
      </x:c>
      <x:c r="E128" s="47" t="s">
        <x:v>911</x:v>
      </x:c>
      <x:c r="F128" s="6"/>
      <x:c r="G128" s="11" t="s">
        <x:v>898</x:v>
      </x:c>
      <x:c r="H128" s="11" t="s">
        <x:v>899</x:v>
      </x:c>
      <x:c r="I128" s="6"/>
      <x:c r="J128" s="20"/>
      <x:c r="K128" s="11"/>
      <x:c r="L128" s="11"/>
      <x:c r="M128" s="14"/>
      <x:c r="N128" s="35"/>
    </x:row>
    <x:row r="129" ht="9.75" customHeight="1">
      <x:c r="A129" s="32"/>
      <x:c r="B129" s="69" t="s">
        <x:v>888</x:v>
      </x:c>
      <x:c r="C129" s="10" t="s">
        <x:v>918</x:v>
      </x:c>
      <x:c r="D129" s="20" t="s">
        <x:v>893</x:v>
      </x:c>
      <x:c r="E129" s="47" t="s">
        <x:v>912</x:v>
      </x:c>
      <x:c r="F129" s="6"/>
      <x:c r="G129" s="11" t="s">
        <x:v>894</x:v>
      </x:c>
      <x:c r="H129" s="11" t="s">
        <x:v>895</x:v>
      </x:c>
      <x:c r="I129" s="6"/>
      <x:c r="J129" s="20"/>
      <x:c r="K129" s="11"/>
      <x:c r="L129" s="11"/>
      <x:c r="M129" s="14"/>
      <x:c r="N129" s="35"/>
    </x:row>
    <x:row r="130" ht="9.75" customHeight="1">
      <x:c r="A130" s="32"/>
      <x:c r="B130" s="69" t="s">
        <x:v>888</x:v>
      </x:c>
      <x:c r="C130" s="10" t="s">
        <x:v>918</x:v>
      </x:c>
      <x:c r="D130" s="20" t="s">
        <x:v>893</x:v>
      </x:c>
      <x:c r="E130" s="47" t="s">
        <x:v>913</x:v>
      </x:c>
      <x:c r="F130" s="6"/>
      <x:c r="G130" s="11" t="s">
        <x:v>894</x:v>
      </x:c>
      <x:c r="H130" s="11" t="s">
        <x:v>895</x:v>
      </x:c>
      <x:c r="I130" s="6"/>
      <x:c r="J130" s="20"/>
      <x:c r="K130" s="11"/>
      <x:c r="L130" s="11"/>
      <x:c r="M130" s="14"/>
      <x:c r="N130" s="35"/>
    </x:row>
    <x:row r="131" ht="9.75" customHeight="1">
      <x:c r="A131" s="32"/>
      <x:c r="B131" s="69" t="s">
        <x:v>888</x:v>
      </x:c>
      <x:c r="C131" s="10" t="s">
        <x:v>918</x:v>
      </x:c>
      <x:c r="D131" s="20" t="s">
        <x:v>893</x:v>
      </x:c>
      <x:c r="E131" s="47" t="s">
        <x:v>914</x:v>
      </x:c>
      <x:c r="F131" s="6"/>
      <x:c r="G131" s="11" t="s">
        <x:v>894</x:v>
      </x:c>
      <x:c r="H131" s="11" t="s">
        <x:v>899</x:v>
      </x:c>
      <x:c r="I131" s="6"/>
      <x:c r="J131" s="20"/>
      <x:c r="K131" s="11"/>
      <x:c r="L131" s="11"/>
      <x:c r="M131" s="14"/>
      <x:c r="N131" s="35"/>
    </x:row>
    <x:row r="132" ht="9.75" customHeight="1">
      <x:c r="A132" s="32"/>
      <x:c r="B132" s="69" t="s">
        <x:v>888</x:v>
      </x:c>
      <x:c r="C132" s="10" t="s">
        <x:v>918</x:v>
      </x:c>
      <x:c r="D132" s="20" t="s">
        <x:v>915</x:v>
      </x:c>
      <x:c r="E132" s="47" t="s">
        <x:v>858</x:v>
      </x:c>
      <x:c r="F132" s="6"/>
      <x:c r="G132" s="11" t="s">
        <x:v>894</x:v>
      </x:c>
      <x:c r="H132" s="11" t="s">
        <x:v>892</x:v>
      </x:c>
      <x:c r="I132" s="6"/>
      <x:c r="J132" s="20"/>
      <x:c r="K132" s="11"/>
      <x:c r="L132" s="11"/>
      <x:c r="M132" s="14"/>
      <x:c r="N132" s="35"/>
    </x:row>
    <x:row r="133" ht="9.75" customHeight="1">
      <x:c r="A133" s="32"/>
      <x:c r="B133" s="69" t="s">
        <x:v>888</x:v>
      </x:c>
      <x:c r="C133" s="10" t="s">
        <x:v>918</x:v>
      </x:c>
      <x:c r="D133" s="20" t="s">
        <x:v>915</x:v>
      </x:c>
      <x:c r="E133" s="47" t="s">
        <x:v>862</x:v>
      </x:c>
      <x:c r="F133" s="6"/>
      <x:c r="G133" s="11" t="s">
        <x:v>894</x:v>
      </x:c>
      <x:c r="H133" s="11" t="s">
        <x:v>895</x:v>
      </x:c>
      <x:c r="I133" s="6"/>
      <x:c r="J133" s="20"/>
      <x:c r="K133" s="11"/>
      <x:c r="L133" s="11"/>
      <x:c r="M133" s="14"/>
      <x:c r="N133" s="35"/>
    </x:row>
    <x:row r="134" ht="9.75" customHeight="1">
      <x:c r="A134" s="32"/>
      <x:c r="B134" s="69" t="s">
        <x:v>888</x:v>
      </x:c>
      <x:c r="C134" s="10" t="s">
        <x:v>918</x:v>
      </x:c>
      <x:c r="D134" s="20" t="s">
        <x:v>915</x:v>
      </x:c>
      <x:c r="E134" s="47" t="s">
        <x:v>863</x:v>
      </x:c>
      <x:c r="F134" s="6"/>
      <x:c r="G134" s="11" t="s">
        <x:v>894</x:v>
      </x:c>
      <x:c r="H134" s="11" t="s">
        <x:v>895</x:v>
      </x:c>
      <x:c r="I134" s="6"/>
      <x:c r="J134" s="20"/>
      <x:c r="K134" s="11"/>
      <x:c r="L134" s="11"/>
      <x:c r="M134" s="14"/>
      <x:c r="N134" s="35"/>
    </x:row>
    <x:row r="135" ht="9.75" customHeight="1">
      <x:c r="A135" s="32"/>
      <x:c r="B135" s="69" t="s">
        <x:v>888</x:v>
      </x:c>
      <x:c r="C135" s="10" t="s">
        <x:v>918</x:v>
      </x:c>
      <x:c r="D135" s="20" t="s">
        <x:v>915</x:v>
      </x:c>
      <x:c r="E135" s="47" t="s">
        <x:v>865</x:v>
      </x:c>
      <x:c r="F135" s="6"/>
      <x:c r="G135" s="11" t="s">
        <x:v>894</x:v>
      </x:c>
      <x:c r="H135" s="11" t="s">
        <x:v>895</x:v>
      </x:c>
      <x:c r="I135" s="6"/>
      <x:c r="J135" s="20"/>
      <x:c r="K135" s="11"/>
      <x:c r="L135" s="11"/>
      <x:c r="M135" s="14"/>
      <x:c r="N135" s="35"/>
    </x:row>
    <x:row r="136" ht="9.75" customHeight="1">
      <x:c r="A136" s="32"/>
      <x:c r="B136" s="69" t="s">
        <x:v>888</x:v>
      </x:c>
      <x:c r="C136" s="10" t="s">
        <x:v>918</x:v>
      </x:c>
      <x:c r="D136" s="20" t="s">
        <x:v>915</x:v>
      </x:c>
      <x:c r="E136" s="47" t="s">
        <x:v>866</x:v>
      </x:c>
      <x:c r="F136" s="6"/>
      <x:c r="G136" s="11" t="s">
        <x:v>894</x:v>
      </x:c>
      <x:c r="H136" s="11" t="s">
        <x:v>895</x:v>
      </x:c>
      <x:c r="I136" s="6"/>
      <x:c r="J136" s="20"/>
      <x:c r="K136" s="11"/>
      <x:c r="L136" s="11"/>
      <x:c r="M136" s="14"/>
      <x:c r="N136" s="35"/>
    </x:row>
    <x:row r="137" ht="9.75" customHeight="1">
      <x:c r="A137" s="32"/>
      <x:c r="B137" s="69" t="s">
        <x:v>888</x:v>
      </x:c>
      <x:c r="C137" s="10" t="s">
        <x:v>918</x:v>
      </x:c>
      <x:c r="D137" s="20" t="s">
        <x:v>915</x:v>
      </x:c>
      <x:c r="E137" s="47" t="s">
        <x:v>867</x:v>
      </x:c>
      <x:c r="F137" s="6"/>
      <x:c r="G137" s="11" t="s">
        <x:v>894</x:v>
      </x:c>
      <x:c r="H137" s="11" t="s">
        <x:v>899</x:v>
      </x:c>
      <x:c r="I137" s="6"/>
      <x:c r="J137" s="20"/>
      <x:c r="K137" s="11"/>
      <x:c r="L137" s="11"/>
      <x:c r="M137" s="14"/>
      <x:c r="N137" s="35"/>
    </x:row>
    <x:row r="138" ht="9.75" customHeight="1">
      <x:c r="A138" s="32"/>
      <x:c r="B138" s="69" t="s">
        <x:v>888</x:v>
      </x:c>
      <x:c r="C138" s="10" t="s">
        <x:v>918</x:v>
      </x:c>
      <x:c r="D138" s="20" t="s">
        <x:v>915</x:v>
      </x:c>
      <x:c r="E138" s="47" t="s">
        <x:v>868</x:v>
      </x:c>
      <x:c r="F138" s="6"/>
      <x:c r="G138" s="11" t="s">
        <x:v>894</x:v>
      </x:c>
      <x:c r="H138" s="11" t="s">
        <x:v>895</x:v>
      </x:c>
      <x:c r="I138" s="6"/>
      <x:c r="J138" s="20"/>
      <x:c r="K138" s="11"/>
      <x:c r="L138" s="11"/>
      <x:c r="M138" s="14"/>
      <x:c r="N138" s="35"/>
    </x:row>
    <x:row r="139" ht="9.75" customHeight="1">
      <x:c r="A139" s="32"/>
      <x:c r="B139" s="69" t="s">
        <x:v>888</x:v>
      </x:c>
      <x:c r="C139" s="10" t="s">
        <x:v>918</x:v>
      </x:c>
      <x:c r="D139" s="20" t="s">
        <x:v>915</x:v>
      </x:c>
      <x:c r="E139" s="47" t="s">
        <x:v>869</x:v>
      </x:c>
      <x:c r="F139" s="6"/>
      <x:c r="G139" s="11" t="s">
        <x:v>894</x:v>
      </x:c>
      <x:c r="H139" s="11" t="s">
        <x:v>892</x:v>
      </x:c>
      <x:c r="I139" s="6"/>
      <x:c r="J139" s="20"/>
      <x:c r="K139" s="11"/>
      <x:c r="L139" s="11"/>
      <x:c r="M139" s="14"/>
      <x:c r="N139" s="35"/>
    </x:row>
    <x:row r="140" ht="9.75" customHeight="1">
      <x:c r="A140" s="32"/>
      <x:c r="B140" s="69" t="s">
        <x:v>888</x:v>
      </x:c>
      <x:c r="C140" s="10" t="s">
        <x:v>918</x:v>
      </x:c>
      <x:c r="D140" s="20" t="s">
        <x:v>915</x:v>
      </x:c>
      <x:c r="E140" s="47" t="s">
        <x:v>896</x:v>
      </x:c>
      <x:c r="F140" s="6"/>
      <x:c r="G140" s="11" t="s">
        <x:v>894</x:v>
      </x:c>
      <x:c r="H140" s="11" t="s">
        <x:v>895</x:v>
      </x:c>
      <x:c r="I140" s="6"/>
      <x:c r="J140" s="20"/>
      <x:c r="K140" s="11"/>
      <x:c r="L140" s="11"/>
      <x:c r="M140" s="14"/>
      <x:c r="N140" s="35"/>
    </x:row>
    <x:row r="141" ht="9.75" customHeight="1">
      <x:c r="A141" s="32"/>
      <x:c r="B141" s="69" t="s">
        <x:v>888</x:v>
      </x:c>
      <x:c r="C141" s="10" t="s">
        <x:v>918</x:v>
      </x:c>
      <x:c r="D141" s="20" t="s">
        <x:v>915</x:v>
      </x:c>
      <x:c r="E141" s="47" t="s">
        <x:v>897</x:v>
      </x:c>
      <x:c r="F141" s="6"/>
      <x:c r="G141" s="11" t="s">
        <x:v>894</x:v>
      </x:c>
      <x:c r="H141" s="11" t="s">
        <x:v>895</x:v>
      </x:c>
      <x:c r="I141" s="6"/>
      <x:c r="J141" s="20"/>
      <x:c r="K141" s="11"/>
      <x:c r="L141" s="11"/>
      <x:c r="M141" s="14"/>
      <x:c r="N141" s="35"/>
    </x:row>
    <x:row r="142" ht="9.75" customHeight="1">
      <x:c r="A142" s="32"/>
      <x:c r="B142" s="69" t="s">
        <x:v>888</x:v>
      </x:c>
      <x:c r="C142" s="10" t="s">
        <x:v>918</x:v>
      </x:c>
      <x:c r="D142" s="20" t="s">
        <x:v>915</x:v>
      </x:c>
      <x:c r="E142" s="47" t="s">
        <x:v>900</x:v>
      </x:c>
      <x:c r="F142" s="6"/>
      <x:c r="G142" s="11" t="s">
        <x:v>894</x:v>
      </x:c>
      <x:c r="H142" s="11" t="s">
        <x:v>892</x:v>
      </x:c>
      <x:c r="I142" s="6"/>
      <x:c r="J142" s="20"/>
      <x:c r="K142" s="11"/>
      <x:c r="L142" s="11"/>
      <x:c r="M142" s="14"/>
      <x:c r="N142" s="35"/>
    </x:row>
    <x:row r="143" ht="9.75" customHeight="1">
      <x:c r="A143" s="32"/>
      <x:c r="B143" s="69" t="s">
        <x:v>888</x:v>
      </x:c>
      <x:c r="C143" s="10" t="s">
        <x:v>918</x:v>
      </x:c>
      <x:c r="D143" s="20" t="s">
        <x:v>915</x:v>
      </x:c>
      <x:c r="E143" s="47" t="s">
        <x:v>901</x:v>
      </x:c>
      <x:c r="F143" s="6"/>
      <x:c r="G143" s="11" t="s">
        <x:v>894</x:v>
      </x:c>
      <x:c r="H143" s="11" t="s">
        <x:v>895</x:v>
      </x:c>
      <x:c r="I143" s="6"/>
      <x:c r="J143" s="20"/>
      <x:c r="K143" s="11"/>
      <x:c r="L143" s="11"/>
      <x:c r="M143" s="14"/>
      <x:c r="N143" s="35"/>
    </x:row>
    <x:row r="144" ht="9.75" customHeight="1">
      <x:c r="A144" s="32"/>
      <x:c r="B144" s="69" t="s">
        <x:v>888</x:v>
      </x:c>
      <x:c r="C144" s="10" t="s">
        <x:v>918</x:v>
      </x:c>
      <x:c r="D144" s="20" t="s">
        <x:v>915</x:v>
      </x:c>
      <x:c r="E144" s="47" t="s">
        <x:v>902</x:v>
      </x:c>
      <x:c r="F144" s="6"/>
      <x:c r="G144" s="11" t="s">
        <x:v>894</x:v>
      </x:c>
      <x:c r="H144" s="11" t="s">
        <x:v>895</x:v>
      </x:c>
      <x:c r="I144" s="6"/>
      <x:c r="J144" s="20"/>
      <x:c r="K144" s="11"/>
      <x:c r="L144" s="11"/>
      <x:c r="M144" s="14"/>
      <x:c r="N144" s="35"/>
    </x:row>
    <x:row r="145" ht="9.75" customHeight="1">
      <x:c r="A145" s="32"/>
      <x:c r="B145" s="69" t="s">
        <x:v>888</x:v>
      </x:c>
      <x:c r="C145" s="10" t="s">
        <x:v>918</x:v>
      </x:c>
      <x:c r="D145" s="20" t="s">
        <x:v>915</x:v>
      </x:c>
      <x:c r="E145" s="47" t="s">
        <x:v>903</x:v>
      </x:c>
      <x:c r="F145" s="6"/>
      <x:c r="G145" s="11" t="s">
        <x:v>894</x:v>
      </x:c>
      <x:c r="H145" s="11" t="s">
        <x:v>895</x:v>
      </x:c>
      <x:c r="I145" s="6"/>
      <x:c r="J145" s="20"/>
      <x:c r="K145" s="11"/>
      <x:c r="L145" s="11"/>
      <x:c r="M145" s="14"/>
      <x:c r="N145" s="35"/>
    </x:row>
    <x:row r="146" ht="9.75" customHeight="1">
      <x:c r="A146" s="32"/>
      <x:c r="B146" s="69" t="s">
        <x:v>888</x:v>
      </x:c>
      <x:c r="C146" s="10" t="s">
        <x:v>918</x:v>
      </x:c>
      <x:c r="D146" s="20" t="s">
        <x:v>915</x:v>
      </x:c>
      <x:c r="E146" s="47" t="s">
        <x:v>904</x:v>
      </x:c>
      <x:c r="F146" s="6"/>
      <x:c r="G146" s="11" t="s">
        <x:v>891</x:v>
      </x:c>
      <x:c r="H146" s="11" t="s">
        <x:v>895</x:v>
      </x:c>
      <x:c r="I146" s="6"/>
      <x:c r="J146" s="20"/>
      <x:c r="K146" s="11"/>
      <x:c r="L146" s="11"/>
      <x:c r="M146" s="14"/>
      <x:c r="N146" s="35"/>
    </x:row>
    <x:row r="147" ht="9.75" customHeight="1">
      <x:c r="A147" s="32"/>
      <x:c r="B147" s="69" t="s">
        <x:v>888</x:v>
      </x:c>
      <x:c r="C147" s="10" t="s">
        <x:v>918</x:v>
      </x:c>
      <x:c r="D147" s="20" t="s">
        <x:v>915</x:v>
      </x:c>
      <x:c r="E147" s="47" t="s">
        <x:v>905</x:v>
      </x:c>
      <x:c r="F147" s="6"/>
      <x:c r="G147" s="11" t="s">
        <x:v>891</x:v>
      </x:c>
      <x:c r="H147" s="11" t="s">
        <x:v>892</x:v>
      </x:c>
      <x:c r="I147" s="6"/>
      <x:c r="J147" s="20"/>
      <x:c r="K147" s="11"/>
      <x:c r="L147" s="11"/>
      <x:c r="M147" s="14"/>
      <x:c r="N147" s="35"/>
    </x:row>
    <x:row r="148" ht="9.75" customHeight="1">
      <x:c r="A148" s="32"/>
      <x:c r="B148" s="69" t="s">
        <x:v>888</x:v>
      </x:c>
      <x:c r="C148" s="10" t="s">
        <x:v>918</x:v>
      </x:c>
      <x:c r="D148" s="20" t="s">
        <x:v>915</x:v>
      </x:c>
      <x:c r="E148" s="47" t="s">
        <x:v>906</x:v>
      </x:c>
      <x:c r="F148" s="6"/>
      <x:c r="G148" s="11" t="s">
        <x:v>898</x:v>
      </x:c>
      <x:c r="H148" s="11" t="s">
        <x:v>899</x:v>
      </x:c>
      <x:c r="I148" s="6"/>
      <x:c r="J148" s="20"/>
      <x:c r="K148" s="11"/>
      <x:c r="L148" s="11"/>
      <x:c r="M148" s="14"/>
      <x:c r="N148" s="35"/>
    </x:row>
    <x:row r="149" ht="9.75" customHeight="1">
      <x:c r="A149" s="32"/>
      <x:c r="B149" s="69" t="s">
        <x:v>888</x:v>
      </x:c>
      <x:c r="C149" s="10" t="s">
        <x:v>918</x:v>
      </x:c>
      <x:c r="D149" s="20" t="s">
        <x:v>915</x:v>
      </x:c>
      <x:c r="E149" s="47" t="s">
        <x:v>907</x:v>
      </x:c>
      <x:c r="F149" s="6"/>
      <x:c r="G149" s="11" t="s">
        <x:v>894</x:v>
      </x:c>
      <x:c r="H149" s="11" t="s">
        <x:v>895</x:v>
      </x:c>
      <x:c r="I149" s="6"/>
      <x:c r="J149" s="20"/>
      <x:c r="K149" s="11"/>
      <x:c r="L149" s="11"/>
      <x:c r="M149" s="14"/>
      <x:c r="N149" s="35"/>
    </x:row>
    <x:row r="150" ht="9.75" customHeight="1">
      <x:c r="A150" s="32"/>
      <x:c r="B150" s="69" t="s">
        <x:v>888</x:v>
      </x:c>
      <x:c r="C150" s="10" t="s">
        <x:v>918</x:v>
      </x:c>
      <x:c r="D150" s="20" t="s">
        <x:v>915</x:v>
      </x:c>
      <x:c r="E150" s="47" t="s">
        <x:v>908</x:v>
      </x:c>
      <x:c r="F150" s="6"/>
      <x:c r="G150" s="11" t="s">
        <x:v>894</x:v>
      </x:c>
      <x:c r="H150" s="11" t="s">
        <x:v>892</x:v>
      </x:c>
      <x:c r="I150" s="6"/>
      <x:c r="J150" s="20"/>
      <x:c r="K150" s="11"/>
      <x:c r="L150" s="11"/>
      <x:c r="M150" s="14"/>
      <x:c r="N150" s="35"/>
    </x:row>
    <x:row r="151" ht="9.75" customHeight="1">
      <x:c r="A151" s="32"/>
      <x:c r="B151" s="69" t="s">
        <x:v>888</x:v>
      </x:c>
      <x:c r="C151" s="10" t="s">
        <x:v>918</x:v>
      </x:c>
      <x:c r="D151" s="20" t="s">
        <x:v>915</x:v>
      </x:c>
      <x:c r="E151" s="47" t="s">
        <x:v>910</x:v>
      </x:c>
      <x:c r="F151" s="6"/>
      <x:c r="G151" s="11" t="s">
        <x:v>894</x:v>
      </x:c>
      <x:c r="H151" s="11" t="s">
        <x:v>909</x:v>
      </x:c>
      <x:c r="I151" s="6"/>
      <x:c r="J151" s="20"/>
      <x:c r="K151" s="11"/>
      <x:c r="L151" s="11"/>
      <x:c r="M151" s="14"/>
      <x:c r="N151" s="35"/>
    </x:row>
    <x:row r="152" ht="9.75" customHeight="1">
      <x:c r="A152" s="32"/>
      <x:c r="B152" s="69" t="s">
        <x:v>888</x:v>
      </x:c>
      <x:c r="C152" s="10" t="s">
        <x:v>918</x:v>
      </x:c>
      <x:c r="D152" s="20" t="s">
        <x:v>915</x:v>
      </x:c>
      <x:c r="E152" s="47" t="s">
        <x:v>911</x:v>
      </x:c>
      <x:c r="F152" s="6"/>
      <x:c r="G152" s="11" t="s">
        <x:v>894</x:v>
      </x:c>
      <x:c r="H152" s="11" t="s">
        <x:v>895</x:v>
      </x:c>
      <x:c r="I152" s="6"/>
      <x:c r="J152" s="20"/>
      <x:c r="K152" s="11"/>
      <x:c r="L152" s="11"/>
      <x:c r="M152" s="14"/>
      <x:c r="N152" s="35"/>
    </x:row>
    <x:row r="153" ht="9.75" customHeight="1">
      <x:c r="A153" s="32"/>
      <x:c r="B153" s="69" t="s">
        <x:v>888</x:v>
      </x:c>
      <x:c r="C153" s="10" t="s">
        <x:v>918</x:v>
      </x:c>
      <x:c r="D153" s="20" t="s">
        <x:v>915</x:v>
      </x:c>
      <x:c r="E153" s="47" t="s">
        <x:v>912</x:v>
      </x:c>
      <x:c r="F153" s="6"/>
      <x:c r="G153" s="11" t="s">
        <x:v>894</x:v>
      </x:c>
      <x:c r="H153" s="11" t="s">
        <x:v>892</x:v>
      </x:c>
      <x:c r="I153" s="6"/>
      <x:c r="J153" s="20"/>
      <x:c r="K153" s="11"/>
      <x:c r="L153" s="11"/>
      <x:c r="M153" s="14"/>
      <x:c r="N153" s="35"/>
    </x:row>
    <x:row r="154" ht="9.75" customHeight="1">
      <x:c r="A154" s="32"/>
      <x:c r="B154" s="69" t="s">
        <x:v>888</x:v>
      </x:c>
      <x:c r="C154" s="10" t="s">
        <x:v>918</x:v>
      </x:c>
      <x:c r="D154" s="20" t="s">
        <x:v>915</x:v>
      </x:c>
      <x:c r="E154" s="47" t="s">
        <x:v>913</x:v>
      </x:c>
      <x:c r="F154" s="6"/>
      <x:c r="G154" s="11" t="s">
        <x:v>894</x:v>
      </x:c>
      <x:c r="H154" s="11" t="s">
        <x:v>895</x:v>
      </x:c>
      <x:c r="I154" s="6"/>
      <x:c r="J154" s="20"/>
      <x:c r="K154" s="11"/>
      <x:c r="L154" s="11"/>
      <x:c r="M154" s="14"/>
      <x:c r="N154" s="35"/>
    </x:row>
    <x:row r="155" ht="9.75" customHeight="1">
      <x:c r="A155" s="32"/>
      <x:c r="B155" s="69" t="s">
        <x:v>888</x:v>
      </x:c>
      <x:c r="C155" s="10" t="s">
        <x:v>918</x:v>
      </x:c>
      <x:c r="D155" s="20" t="s">
        <x:v>915</x:v>
      </x:c>
      <x:c r="E155" s="47" t="s">
        <x:v>914</x:v>
      </x:c>
      <x:c r="F155" s="6"/>
      <x:c r="G155" s="11" t="s">
        <x:v>894</x:v>
      </x:c>
      <x:c r="H155" s="11" t="s">
        <x:v>892</x:v>
      </x:c>
      <x:c r="I155" s="6"/>
      <x:c r="J155" s="20"/>
      <x:c r="K155" s="11"/>
      <x:c r="L155" s="11"/>
      <x:c r="M155" s="14"/>
      <x:c r="N155" s="35"/>
    </x:row>
    <x:row r="156" ht="9.75" customHeight="1">
      <x:c r="A156" s="32"/>
      <x:c r="B156" s="69" t="s">
        <x:v>888</x:v>
      </x:c>
      <x:c r="C156" s="10" t="s">
        <x:v>918</x:v>
      </x:c>
      <x:c r="D156" s="20" t="s">
        <x:v>916</x:v>
      </x:c>
      <x:c r="E156" s="47" t="s">
        <x:v>858</x:v>
      </x:c>
      <x:c r="F156" s="6"/>
      <x:c r="G156" s="11" t="s">
        <x:v>894</x:v>
      </x:c>
      <x:c r="H156" s="11" t="s">
        <x:v>892</x:v>
      </x:c>
      <x:c r="I156" s="6"/>
      <x:c r="J156" s="20"/>
      <x:c r="K156" s="11"/>
      <x:c r="L156" s="11"/>
      <x:c r="M156" s="14"/>
      <x:c r="N156" s="35"/>
    </x:row>
    <x:row r="157" ht="9.75" customHeight="1">
      <x:c r="A157" s="32"/>
      <x:c r="B157" s="69" t="s">
        <x:v>888</x:v>
      </x:c>
      <x:c r="C157" s="10" t="s">
        <x:v>918</x:v>
      </x:c>
      <x:c r="D157" s="20" t="s">
        <x:v>916</x:v>
      </x:c>
      <x:c r="E157" s="47" t="s">
        <x:v>862</x:v>
      </x:c>
      <x:c r="F157" s="6"/>
      <x:c r="G157" s="11" t="s">
        <x:v>894</x:v>
      </x:c>
      <x:c r="H157" s="11" t="s">
        <x:v>892</x:v>
      </x:c>
      <x:c r="I157" s="6"/>
      <x:c r="J157" s="20"/>
      <x:c r="K157" s="11"/>
      <x:c r="L157" s="11"/>
      <x:c r="M157" s="14"/>
      <x:c r="N157" s="35"/>
    </x:row>
    <x:row r="158" ht="9.75" customHeight="1">
      <x:c r="A158" s="32"/>
      <x:c r="B158" s="69" t="s">
        <x:v>888</x:v>
      </x:c>
      <x:c r="C158" s="10" t="s">
        <x:v>918</x:v>
      </x:c>
      <x:c r="D158" s="20" t="s">
        <x:v>916</x:v>
      </x:c>
      <x:c r="E158" s="47" t="s">
        <x:v>863</x:v>
      </x:c>
      <x:c r="F158" s="6"/>
      <x:c r="G158" s="11" t="s">
        <x:v>894</x:v>
      </x:c>
      <x:c r="H158" s="11" t="s">
        <x:v>892</x:v>
      </x:c>
      <x:c r="I158" s="6"/>
      <x:c r="J158" s="20"/>
      <x:c r="K158" s="11"/>
      <x:c r="L158" s="11"/>
      <x:c r="M158" s="14"/>
      <x:c r="N158" s="35"/>
    </x:row>
    <x:row r="159" ht="9.75" customHeight="1">
      <x:c r="A159" s="32"/>
      <x:c r="B159" s="69" t="s">
        <x:v>888</x:v>
      </x:c>
      <x:c r="C159" s="10" t="s">
        <x:v>918</x:v>
      </x:c>
      <x:c r="D159" s="20" t="s">
        <x:v>916</x:v>
      </x:c>
      <x:c r="E159" s="47" t="s">
        <x:v>865</x:v>
      </x:c>
      <x:c r="F159" s="6"/>
      <x:c r="G159" s="11" t="s">
        <x:v>891</x:v>
      </x:c>
      <x:c r="H159" s="11" t="s">
        <x:v>909</x:v>
      </x:c>
      <x:c r="I159" s="6"/>
      <x:c r="J159" s="20"/>
      <x:c r="K159" s="11"/>
      <x:c r="L159" s="11"/>
      <x:c r="M159" s="14"/>
      <x:c r="N159" s="35"/>
    </x:row>
    <x:row r="160" ht="9.75" customHeight="1">
      <x:c r="A160" s="32"/>
      <x:c r="B160" s="69" t="s">
        <x:v>888</x:v>
      </x:c>
      <x:c r="C160" s="10" t="s">
        <x:v>918</x:v>
      </x:c>
      <x:c r="D160" s="20" t="s">
        <x:v>916</x:v>
      </x:c>
      <x:c r="E160" s="47" t="s">
        <x:v>866</x:v>
      </x:c>
      <x:c r="F160" s="6"/>
      <x:c r="G160" s="11" t="s">
        <x:v>894</x:v>
      </x:c>
      <x:c r="H160" s="11" t="s">
        <x:v>895</x:v>
      </x:c>
      <x:c r="I160" s="6"/>
      <x:c r="J160" s="20"/>
      <x:c r="K160" s="11"/>
      <x:c r="L160" s="11"/>
      <x:c r="M160" s="14"/>
      <x:c r="N160" s="35"/>
    </x:row>
    <x:row r="161" ht="9.75" customHeight="1">
      <x:c r="A161" s="32"/>
      <x:c r="B161" s="69" t="s">
        <x:v>888</x:v>
      </x:c>
      <x:c r="C161" s="10" t="s">
        <x:v>918</x:v>
      </x:c>
      <x:c r="D161" s="20" t="s">
        <x:v>916</x:v>
      </x:c>
      <x:c r="E161" s="47" t="s">
        <x:v>867</x:v>
      </x:c>
      <x:c r="F161" s="6"/>
      <x:c r="G161" s="11" t="s">
        <x:v>894</x:v>
      </x:c>
      <x:c r="H161" s="11" t="s">
        <x:v>899</x:v>
      </x:c>
      <x:c r="I161" s="6"/>
      <x:c r="J161" s="20"/>
      <x:c r="K161" s="11"/>
      <x:c r="L161" s="11"/>
      <x:c r="M161" s="14"/>
      <x:c r="N161" s="35"/>
    </x:row>
    <x:row r="162" ht="9.75" customHeight="1">
      <x:c r="A162" s="32"/>
      <x:c r="B162" s="69" t="s">
        <x:v>888</x:v>
      </x:c>
      <x:c r="C162" s="10" t="s">
        <x:v>918</x:v>
      </x:c>
      <x:c r="D162" s="20" t="s">
        <x:v>916</x:v>
      </x:c>
      <x:c r="E162" s="47" t="s">
        <x:v>868</x:v>
      </x:c>
      <x:c r="F162" s="6"/>
      <x:c r="G162" s="11" t="s">
        <x:v>894</x:v>
      </x:c>
      <x:c r="H162" s="11" t="s">
        <x:v>895</x:v>
      </x:c>
      <x:c r="I162" s="6"/>
      <x:c r="J162" s="20"/>
      <x:c r="K162" s="11"/>
      <x:c r="L162" s="11"/>
      <x:c r="M162" s="14"/>
      <x:c r="N162" s="35"/>
    </x:row>
    <x:row r="163" ht="9.75" customHeight="1">
      <x:c r="A163" s="32"/>
      <x:c r="B163" s="69" t="s">
        <x:v>888</x:v>
      </x:c>
      <x:c r="C163" s="10" t="s">
        <x:v>918</x:v>
      </x:c>
      <x:c r="D163" s="20" t="s">
        <x:v>916</x:v>
      </x:c>
      <x:c r="E163" s="47" t="s">
        <x:v>869</x:v>
      </x:c>
      <x:c r="F163" s="6"/>
      <x:c r="G163" s="11" t="s">
        <x:v>894</x:v>
      </x:c>
      <x:c r="H163" s="11" t="s">
        <x:v>892</x:v>
      </x:c>
      <x:c r="I163" s="6"/>
      <x:c r="J163" s="20"/>
      <x:c r="K163" s="11"/>
      <x:c r="L163" s="11"/>
      <x:c r="M163" s="14"/>
      <x:c r="N163" s="35"/>
    </x:row>
    <x:row r="164" ht="9.75" customHeight="1">
      <x:c r="A164" s="32"/>
      <x:c r="B164" s="69" t="s">
        <x:v>888</x:v>
      </x:c>
      <x:c r="C164" s="10" t="s">
        <x:v>918</x:v>
      </x:c>
      <x:c r="D164" s="20" t="s">
        <x:v>916</x:v>
      </x:c>
      <x:c r="E164" s="47" t="s">
        <x:v>896</x:v>
      </x:c>
      <x:c r="F164" s="6"/>
      <x:c r="G164" s="11" t="s">
        <x:v>894</x:v>
      </x:c>
      <x:c r="H164" s="11" t="s">
        <x:v>892</x:v>
      </x:c>
      <x:c r="I164" s="6"/>
      <x:c r="J164" s="20"/>
      <x:c r="K164" s="11"/>
      <x:c r="L164" s="11"/>
      <x:c r="M164" s="14"/>
      <x:c r="N164" s="35"/>
    </x:row>
    <x:row r="165" ht="9.75" customHeight="1">
      <x:c r="A165" s="32"/>
      <x:c r="B165" s="69" t="s">
        <x:v>888</x:v>
      </x:c>
      <x:c r="C165" s="10" t="s">
        <x:v>918</x:v>
      </x:c>
      <x:c r="D165" s="20" t="s">
        <x:v>916</x:v>
      </x:c>
      <x:c r="E165" s="47" t="s">
        <x:v>897</x:v>
      </x:c>
      <x:c r="F165" s="6"/>
      <x:c r="G165" s="11" t="s">
        <x:v>894</x:v>
      </x:c>
      <x:c r="H165" s="11" t="s">
        <x:v>892</x:v>
      </x:c>
      <x:c r="I165" s="6"/>
      <x:c r="J165" s="20"/>
      <x:c r="K165" s="11"/>
      <x:c r="L165" s="11"/>
      <x:c r="M165" s="14"/>
      <x:c r="N165" s="35"/>
    </x:row>
    <x:row r="166" ht="9.75" customHeight="1">
      <x:c r="A166" s="32"/>
      <x:c r="B166" s="69" t="s">
        <x:v>888</x:v>
      </x:c>
      <x:c r="C166" s="10" t="s">
        <x:v>918</x:v>
      </x:c>
      <x:c r="D166" s="20" t="s">
        <x:v>916</x:v>
      </x:c>
      <x:c r="E166" s="47" t="s">
        <x:v>900</x:v>
      </x:c>
      <x:c r="F166" s="6"/>
      <x:c r="G166" s="11" t="s">
        <x:v>894</x:v>
      </x:c>
      <x:c r="H166" s="11" t="s">
        <x:v>892</x:v>
      </x:c>
      <x:c r="I166" s="6"/>
      <x:c r="J166" s="20"/>
      <x:c r="K166" s="11"/>
      <x:c r="L166" s="11"/>
      <x:c r="M166" s="14"/>
      <x:c r="N166" s="35"/>
    </x:row>
    <x:row r="167" ht="9.75" customHeight="1">
      <x:c r="A167" s="32"/>
      <x:c r="B167" s="69" t="s">
        <x:v>888</x:v>
      </x:c>
      <x:c r="C167" s="10" t="s">
        <x:v>918</x:v>
      </x:c>
      <x:c r="D167" s="20" t="s">
        <x:v>916</x:v>
      </x:c>
      <x:c r="E167" s="47" t="s">
        <x:v>901</x:v>
      </x:c>
      <x:c r="F167" s="6"/>
      <x:c r="G167" s="11" t="s">
        <x:v>894</x:v>
      </x:c>
      <x:c r="H167" s="11" t="s">
        <x:v>892</x:v>
      </x:c>
      <x:c r="I167" s="6"/>
      <x:c r="J167" s="20"/>
      <x:c r="K167" s="11"/>
      <x:c r="L167" s="11"/>
      <x:c r="M167" s="14"/>
      <x:c r="N167" s="35"/>
    </x:row>
    <x:row r="168" ht="9.75" customHeight="1">
      <x:c r="A168" s="32"/>
      <x:c r="B168" s="69" t="s">
        <x:v>888</x:v>
      </x:c>
      <x:c r="C168" s="10" t="s">
        <x:v>918</x:v>
      </x:c>
      <x:c r="D168" s="20" t="s">
        <x:v>916</x:v>
      </x:c>
      <x:c r="E168" s="47" t="s">
        <x:v>902</x:v>
      </x:c>
      <x:c r="F168" s="6"/>
      <x:c r="G168" s="11" t="s">
        <x:v>891</x:v>
      </x:c>
      <x:c r="H168" s="11" t="s">
        <x:v>895</x:v>
      </x:c>
      <x:c r="I168" s="6"/>
      <x:c r="J168" s="20"/>
      <x:c r="K168" s="11"/>
      <x:c r="L168" s="11"/>
      <x:c r="M168" s="14"/>
      <x:c r="N168" s="35"/>
    </x:row>
    <x:row r="169" ht="9.75" customHeight="1">
      <x:c r="A169" s="32"/>
      <x:c r="B169" s="69" t="s">
        <x:v>888</x:v>
      </x:c>
      <x:c r="C169" s="10" t="s">
        <x:v>918</x:v>
      </x:c>
      <x:c r="D169" s="20" t="s">
        <x:v>916</x:v>
      </x:c>
      <x:c r="E169" s="47" t="s">
        <x:v>903</x:v>
      </x:c>
      <x:c r="F169" s="6"/>
      <x:c r="G169" s="11" t="s">
        <x:v>894</x:v>
      </x:c>
      <x:c r="H169" s="11" t="s">
        <x:v>892</x:v>
      </x:c>
      <x:c r="I169" s="6"/>
      <x:c r="J169" s="20"/>
      <x:c r="K169" s="11"/>
      <x:c r="L169" s="11"/>
      <x:c r="M169" s="14"/>
      <x:c r="N169" s="35"/>
    </x:row>
    <x:row r="170" ht="9.75" customHeight="1">
      <x:c r="A170" s="32"/>
      <x:c r="B170" s="69" t="s">
        <x:v>888</x:v>
      </x:c>
      <x:c r="C170" s="10" t="s">
        <x:v>918</x:v>
      </x:c>
      <x:c r="D170" s="20" t="s">
        <x:v>916</x:v>
      </x:c>
      <x:c r="E170" s="47" t="s">
        <x:v>904</x:v>
      </x:c>
      <x:c r="F170" s="6"/>
      <x:c r="G170" s="11" t="s">
        <x:v>894</x:v>
      </x:c>
      <x:c r="H170" s="11" t="s">
        <x:v>892</x:v>
      </x:c>
      <x:c r="I170" s="6"/>
      <x:c r="J170" s="20"/>
      <x:c r="K170" s="11"/>
      <x:c r="L170" s="11"/>
      <x:c r="M170" s="14"/>
      <x:c r="N170" s="35"/>
    </x:row>
    <x:row r="171" ht="9.75" customHeight="1">
      <x:c r="A171" s="32"/>
      <x:c r="B171" s="69" t="s">
        <x:v>888</x:v>
      </x:c>
      <x:c r="C171" s="10" t="s">
        <x:v>918</x:v>
      </x:c>
      <x:c r="D171" s="20" t="s">
        <x:v>916</x:v>
      </x:c>
      <x:c r="E171" s="47" t="s">
        <x:v>905</x:v>
      </x:c>
      <x:c r="F171" s="6"/>
      <x:c r="G171" s="11" t="s">
        <x:v>894</x:v>
      </x:c>
      <x:c r="H171" s="11" t="s">
        <x:v>892</x:v>
      </x:c>
      <x:c r="I171" s="6"/>
      <x:c r="J171" s="20"/>
      <x:c r="K171" s="11"/>
      <x:c r="L171" s="11"/>
      <x:c r="M171" s="14"/>
      <x:c r="N171" s="35"/>
    </x:row>
    <x:row r="172" ht="9.75" customHeight="1">
      <x:c r="A172" s="32"/>
      <x:c r="B172" s="69" t="s">
        <x:v>888</x:v>
      </x:c>
      <x:c r="C172" s="10" t="s">
        <x:v>918</x:v>
      </x:c>
      <x:c r="D172" s="20" t="s">
        <x:v>916</x:v>
      </x:c>
      <x:c r="E172" s="47" t="s">
        <x:v>906</x:v>
      </x:c>
      <x:c r="F172" s="6"/>
      <x:c r="G172" s="11" t="s">
        <x:v>894</x:v>
      </x:c>
      <x:c r="H172" s="11" t="s">
        <x:v>892</x:v>
      </x:c>
      <x:c r="I172" s="6"/>
      <x:c r="J172" s="20"/>
      <x:c r="K172" s="11"/>
      <x:c r="L172" s="11"/>
      <x:c r="M172" s="14"/>
      <x:c r="N172" s="35"/>
    </x:row>
    <x:row r="173" ht="9.75" customHeight="1">
      <x:c r="A173" s="32"/>
      <x:c r="B173" s="69" t="s">
        <x:v>888</x:v>
      </x:c>
      <x:c r="C173" s="10" t="s">
        <x:v>918</x:v>
      </x:c>
      <x:c r="D173" s="20" t="s">
        <x:v>916</x:v>
      </x:c>
      <x:c r="E173" s="47" t="s">
        <x:v>907</x:v>
      </x:c>
      <x:c r="F173" s="6"/>
      <x:c r="G173" s="11" t="s">
        <x:v>894</x:v>
      </x:c>
      <x:c r="H173" s="11" t="s">
        <x:v>892</x:v>
      </x:c>
      <x:c r="I173" s="6"/>
      <x:c r="J173" s="20"/>
      <x:c r="K173" s="11"/>
      <x:c r="L173" s="11"/>
      <x:c r="M173" s="14"/>
      <x:c r="N173" s="35"/>
    </x:row>
    <x:row r="174" ht="9.75" customHeight="1">
      <x:c r="A174" s="32"/>
      <x:c r="B174" s="69" t="s">
        <x:v>888</x:v>
      </x:c>
      <x:c r="C174" s="10" t="s">
        <x:v>918</x:v>
      </x:c>
      <x:c r="D174" s="20" t="s">
        <x:v>916</x:v>
      </x:c>
      <x:c r="E174" s="47" t="s">
        <x:v>908</x:v>
      </x:c>
      <x:c r="F174" s="6"/>
      <x:c r="G174" s="11" t="s">
        <x:v>894</x:v>
      </x:c>
      <x:c r="H174" s="11" t="s">
        <x:v>895</x:v>
      </x:c>
      <x:c r="I174" s="6"/>
      <x:c r="J174" s="20"/>
      <x:c r="K174" s="11"/>
      <x:c r="L174" s="11"/>
      <x:c r="M174" s="14"/>
      <x:c r="N174" s="35"/>
    </x:row>
    <x:row r="175" ht="9.75" customHeight="1">
      <x:c r="A175" s="32"/>
      <x:c r="B175" s="69" t="s">
        <x:v>888</x:v>
      </x:c>
      <x:c r="C175" s="10" t="s">
        <x:v>918</x:v>
      </x:c>
      <x:c r="D175" s="20" t="s">
        <x:v>916</x:v>
      </x:c>
      <x:c r="E175" s="47" t="s">
        <x:v>910</x:v>
      </x:c>
      <x:c r="F175" s="6"/>
      <x:c r="G175" s="11" t="s">
        <x:v>894</x:v>
      </x:c>
      <x:c r="H175" s="11" t="s">
        <x:v>892</x:v>
      </x:c>
      <x:c r="I175" s="6"/>
      <x:c r="J175" s="20"/>
      <x:c r="K175" s="11"/>
      <x:c r="L175" s="11"/>
      <x:c r="M175" s="14"/>
      <x:c r="N175" s="35"/>
    </x:row>
    <x:row r="176" ht="9.75" customHeight="1">
      <x:c r="A176" s="32"/>
      <x:c r="B176" s="69" t="s">
        <x:v>888</x:v>
      </x:c>
      <x:c r="C176" s="10" t="s">
        <x:v>918</x:v>
      </x:c>
      <x:c r="D176" s="20" t="s">
        <x:v>916</x:v>
      </x:c>
      <x:c r="E176" s="47" t="s">
        <x:v>911</x:v>
      </x:c>
      <x:c r="F176" s="6"/>
      <x:c r="G176" s="11" t="s">
        <x:v>894</x:v>
      </x:c>
      <x:c r="H176" s="11" t="s">
        <x:v>892</x:v>
      </x:c>
      <x:c r="I176" s="6"/>
      <x:c r="J176" s="20"/>
      <x:c r="K176" s="11"/>
      <x:c r="L176" s="11"/>
      <x:c r="M176" s="14"/>
      <x:c r="N176" s="35"/>
    </x:row>
    <x:row r="177" ht="9.75" customHeight="1">
      <x:c r="A177" s="32"/>
      <x:c r="B177" s="69" t="s">
        <x:v>888</x:v>
      </x:c>
      <x:c r="C177" s="10" t="s">
        <x:v>918</x:v>
      </x:c>
      <x:c r="D177" s="20" t="s">
        <x:v>916</x:v>
      </x:c>
      <x:c r="E177" s="47" t="s">
        <x:v>912</x:v>
      </x:c>
      <x:c r="F177" s="6"/>
      <x:c r="G177" s="11" t="s">
        <x:v>891</x:v>
      </x:c>
      <x:c r="H177" s="11" t="s">
        <x:v>895</x:v>
      </x:c>
      <x:c r="I177" s="6"/>
      <x:c r="J177" s="20"/>
      <x:c r="K177" s="11"/>
      <x:c r="L177" s="11"/>
      <x:c r="M177" s="14"/>
      <x:c r="N177" s="35"/>
    </x:row>
    <x:row r="178" ht="9.75" customHeight="1">
      <x:c r="A178" s="32"/>
      <x:c r="B178" s="69" t="s">
        <x:v>888</x:v>
      </x:c>
      <x:c r="C178" s="10" t="s">
        <x:v>918</x:v>
      </x:c>
      <x:c r="D178" s="20" t="s">
        <x:v>916</x:v>
      </x:c>
      <x:c r="E178" s="47" t="s">
        <x:v>913</x:v>
      </x:c>
      <x:c r="F178" s="6"/>
      <x:c r="G178" s="11" t="s">
        <x:v>894</x:v>
      </x:c>
      <x:c r="H178" s="11" t="s">
        <x:v>892</x:v>
      </x:c>
      <x:c r="I178" s="6"/>
      <x:c r="J178" s="20"/>
      <x:c r="K178" s="11"/>
      <x:c r="L178" s="11"/>
      <x:c r="M178" s="14"/>
      <x:c r="N178" s="35"/>
    </x:row>
    <x:row r="179" ht="9.75" customHeight="1">
      <x:c r="A179" s="32"/>
      <x:c r="B179" s="69" t="s">
        <x:v>888</x:v>
      </x:c>
      <x:c r="C179" s="10" t="s">
        <x:v>918</x:v>
      </x:c>
      <x:c r="D179" s="20" t="s">
        <x:v>916</x:v>
      </x:c>
      <x:c r="E179" s="47" t="s">
        <x:v>914</x:v>
      </x:c>
      <x:c r="F179" s="6"/>
      <x:c r="G179" s="11" t="s">
        <x:v>894</x:v>
      </x:c>
      <x:c r="H179" s="11" t="s">
        <x:v>892</x:v>
      </x:c>
      <x:c r="I179" s="6"/>
      <x:c r="J179" s="20"/>
      <x:c r="K179" s="11"/>
      <x:c r="L179" s="11"/>
      <x:c r="M179" s="14"/>
      <x:c r="N179" s="35"/>
    </x:row>
    <x:row r="180" ht="9.75" customHeight="1">
      <x:c r="A180" s="32"/>
      <x:c r="B180" s="69" t="s">
        <x:v>888</x:v>
      </x:c>
      <x:c r="C180" s="10" t="s">
        <x:v>918</x:v>
      </x:c>
      <x:c r="D180" s="20" t="s">
        <x:v>917</x:v>
      </x:c>
      <x:c r="E180" s="47" t="s">
        <x:v>858</x:v>
      </x:c>
      <x:c r="F180" s="6"/>
      <x:c r="G180" s="11" t="s">
        <x:v>891</x:v>
      </x:c>
      <x:c r="H180" s="11" t="s">
        <x:v>892</x:v>
      </x:c>
      <x:c r="I180" s="6"/>
      <x:c r="J180" s="20"/>
      <x:c r="K180" s="11"/>
      <x:c r="L180" s="11"/>
      <x:c r="M180" s="14"/>
      <x:c r="N180" s="35"/>
    </x:row>
    <x:row r="181" ht="9.75" customHeight="1">
      <x:c r="A181" s="32"/>
      <x:c r="B181" s="69" t="s">
        <x:v>888</x:v>
      </x:c>
      <x:c r="C181" s="10" t="s">
        <x:v>918</x:v>
      </x:c>
      <x:c r="D181" s="20" t="s">
        <x:v>917</x:v>
      </x:c>
      <x:c r="E181" s="47" t="s">
        <x:v>862</x:v>
      </x:c>
      <x:c r="F181" s="6"/>
      <x:c r="G181" s="11" t="s">
        <x:v>898</x:v>
      </x:c>
      <x:c r="H181" s="11" t="s">
        <x:v>899</x:v>
      </x:c>
      <x:c r="I181" s="6"/>
      <x:c r="J181" s="20"/>
      <x:c r="K181" s="11"/>
      <x:c r="L181" s="11"/>
      <x:c r="M181" s="14"/>
      <x:c r="N181" s="35"/>
    </x:row>
    <x:row r="182" ht="9.75" customHeight="1">
      <x:c r="A182" s="32"/>
      <x:c r="B182" s="69" t="s">
        <x:v>888</x:v>
      </x:c>
      <x:c r="C182" s="10" t="s">
        <x:v>918</x:v>
      </x:c>
      <x:c r="D182" s="20" t="s">
        <x:v>917</x:v>
      </x:c>
      <x:c r="E182" s="47" t="s">
        <x:v>863</x:v>
      </x:c>
      <x:c r="F182" s="6"/>
      <x:c r="G182" s="11" t="s">
        <x:v>891</x:v>
      </x:c>
      <x:c r="H182" s="11" t="s">
        <x:v>895</x:v>
      </x:c>
      <x:c r="I182" s="6"/>
      <x:c r="J182" s="20"/>
      <x:c r="K182" s="11"/>
      <x:c r="L182" s="11"/>
      <x:c r="M182" s="14"/>
      <x:c r="N182" s="35"/>
    </x:row>
    <x:row r="183" ht="9.75" customHeight="1">
      <x:c r="A183" s="32"/>
      <x:c r="B183" s="69" t="s">
        <x:v>888</x:v>
      </x:c>
      <x:c r="C183" s="10" t="s">
        <x:v>918</x:v>
      </x:c>
      <x:c r="D183" s="20" t="s">
        <x:v>917</x:v>
      </x:c>
      <x:c r="E183" s="47" t="s">
        <x:v>865</x:v>
      </x:c>
      <x:c r="F183" s="6"/>
      <x:c r="G183" s="11" t="s">
        <x:v>894</x:v>
      </x:c>
      <x:c r="H183" s="11" t="s">
        <x:v>892</x:v>
      </x:c>
      <x:c r="I183" s="6"/>
      <x:c r="J183" s="20"/>
      <x:c r="K183" s="11"/>
      <x:c r="L183" s="11"/>
      <x:c r="M183" s="14"/>
      <x:c r="N183" s="35"/>
    </x:row>
    <x:row r="184" ht="9.75" customHeight="1">
      <x:c r="A184" s="32"/>
      <x:c r="B184" s="69" t="s">
        <x:v>888</x:v>
      </x:c>
      <x:c r="C184" s="10" t="s">
        <x:v>918</x:v>
      </x:c>
      <x:c r="D184" s="20" t="s">
        <x:v>917</x:v>
      </x:c>
      <x:c r="E184" s="47" t="s">
        <x:v>866</x:v>
      </x:c>
      <x:c r="F184" s="6"/>
      <x:c r="G184" s="11" t="s">
        <x:v>894</x:v>
      </x:c>
      <x:c r="H184" s="11" t="s">
        <x:v>892</x:v>
      </x:c>
      <x:c r="I184" s="6"/>
      <x:c r="J184" s="20"/>
      <x:c r="K184" s="11"/>
      <x:c r="L184" s="11"/>
      <x:c r="M184" s="14"/>
      <x:c r="N184" s="35"/>
    </x:row>
    <x:row r="185" ht="9.75" customHeight="1">
      <x:c r="A185" s="32"/>
      <x:c r="B185" s="69" t="s">
        <x:v>888</x:v>
      </x:c>
      <x:c r="C185" s="10" t="s">
        <x:v>918</x:v>
      </x:c>
      <x:c r="D185" s="20" t="s">
        <x:v>917</x:v>
      </x:c>
      <x:c r="E185" s="47" t="s">
        <x:v>867</x:v>
      </x:c>
      <x:c r="F185" s="6"/>
      <x:c r="G185" s="11" t="s">
        <x:v>894</x:v>
      </x:c>
      <x:c r="H185" s="11" t="s">
        <x:v>892</x:v>
      </x:c>
      <x:c r="I185" s="6"/>
      <x:c r="J185" s="20"/>
      <x:c r="K185" s="11"/>
      <x:c r="L185" s="11"/>
      <x:c r="M185" s="14"/>
      <x:c r="N185" s="35"/>
    </x:row>
    <x:row r="186" ht="9.75" customHeight="1">
      <x:c r="A186" s="32"/>
      <x:c r="B186" s="69" t="s">
        <x:v>888</x:v>
      </x:c>
      <x:c r="C186" s="10" t="s">
        <x:v>918</x:v>
      </x:c>
      <x:c r="D186" s="20" t="s">
        <x:v>917</x:v>
      </x:c>
      <x:c r="E186" s="47" t="s">
        <x:v>868</x:v>
      </x:c>
      <x:c r="F186" s="6"/>
      <x:c r="G186" s="11" t="s">
        <x:v>894</x:v>
      </x:c>
      <x:c r="H186" s="11" t="s">
        <x:v>892</x:v>
      </x:c>
      <x:c r="I186" s="6"/>
      <x:c r="J186" s="20"/>
      <x:c r="K186" s="11"/>
      <x:c r="L186" s="11"/>
      <x:c r="M186" s="14"/>
      <x:c r="N186" s="35"/>
    </x:row>
    <x:row r="187" ht="9.75" customHeight="1">
      <x:c r="A187" s="32"/>
      <x:c r="B187" s="69" t="s">
        <x:v>888</x:v>
      </x:c>
      <x:c r="C187" s="10" t="s">
        <x:v>918</x:v>
      </x:c>
      <x:c r="D187" s="20" t="s">
        <x:v>917</x:v>
      </x:c>
      <x:c r="E187" s="47" t="s">
        <x:v>869</x:v>
      </x:c>
      <x:c r="F187" s="6"/>
      <x:c r="G187" s="11" t="s">
        <x:v>898</x:v>
      </x:c>
      <x:c r="H187" s="11" t="s">
        <x:v>899</x:v>
      </x:c>
      <x:c r="I187" s="6"/>
      <x:c r="J187" s="20"/>
      <x:c r="K187" s="11"/>
      <x:c r="L187" s="11"/>
      <x:c r="M187" s="14"/>
      <x:c r="N187" s="35"/>
    </x:row>
    <x:row r="188" ht="9.75" customHeight="1">
      <x:c r="A188" s="32"/>
      <x:c r="B188" s="69" t="s">
        <x:v>888</x:v>
      </x:c>
      <x:c r="C188" s="10" t="s">
        <x:v>918</x:v>
      </x:c>
      <x:c r="D188" s="20" t="s">
        <x:v>917</x:v>
      </x:c>
      <x:c r="E188" s="47" t="s">
        <x:v>896</x:v>
      </x:c>
      <x:c r="F188" s="6"/>
      <x:c r="G188" s="11" t="s">
        <x:v>898</x:v>
      </x:c>
      <x:c r="H188" s="11" t="s">
        <x:v>899</x:v>
      </x:c>
      <x:c r="I188" s="6"/>
      <x:c r="J188" s="20"/>
      <x:c r="K188" s="11"/>
      <x:c r="L188" s="11"/>
      <x:c r="M188" s="14"/>
      <x:c r="N188" s="35"/>
    </x:row>
    <x:row r="189" ht="9.75" customHeight="1">
      <x:c r="A189" s="32"/>
      <x:c r="B189" s="69" t="s">
        <x:v>888</x:v>
      </x:c>
      <x:c r="C189" s="10" t="s">
        <x:v>918</x:v>
      </x:c>
      <x:c r="D189" s="20" t="s">
        <x:v>917</x:v>
      </x:c>
      <x:c r="E189" s="47" t="s">
        <x:v>897</x:v>
      </x:c>
      <x:c r="F189" s="6"/>
      <x:c r="G189" s="11" t="s">
        <x:v>898</x:v>
      </x:c>
      <x:c r="H189" s="11" t="s">
        <x:v>899</x:v>
      </x:c>
      <x:c r="I189" s="6"/>
      <x:c r="J189" s="20"/>
      <x:c r="K189" s="11"/>
      <x:c r="L189" s="11"/>
      <x:c r="M189" s="14"/>
      <x:c r="N189" s="35"/>
    </x:row>
    <x:row r="190" ht="9.75" customHeight="1">
      <x:c r="A190" s="32"/>
      <x:c r="B190" s="69" t="s">
        <x:v>888</x:v>
      </x:c>
      <x:c r="C190" s="10" t="s">
        <x:v>918</x:v>
      </x:c>
      <x:c r="D190" s="20" t="s">
        <x:v>917</x:v>
      </x:c>
      <x:c r="E190" s="47" t="s">
        <x:v>900</x:v>
      </x:c>
      <x:c r="F190" s="6"/>
      <x:c r="G190" s="11" t="s">
        <x:v>891</x:v>
      </x:c>
      <x:c r="H190" s="11" t="s">
        <x:v>895</x:v>
      </x:c>
      <x:c r="I190" s="6"/>
      <x:c r="J190" s="20"/>
      <x:c r="K190" s="11"/>
      <x:c r="L190" s="11"/>
      <x:c r="M190" s="14"/>
      <x:c r="N190" s="35"/>
    </x:row>
    <x:row r="191" ht="9.75" customHeight="1">
      <x:c r="A191" s="32"/>
      <x:c r="B191" s="69" t="s">
        <x:v>888</x:v>
      </x:c>
      <x:c r="C191" s="10" t="s">
        <x:v>918</x:v>
      </x:c>
      <x:c r="D191" s="20" t="s">
        <x:v>917</x:v>
      </x:c>
      <x:c r="E191" s="47" t="s">
        <x:v>901</x:v>
      </x:c>
      <x:c r="F191" s="6"/>
      <x:c r="G191" s="11" t="s">
        <x:v>891</x:v>
      </x:c>
      <x:c r="H191" s="11" t="s">
        <x:v>895</x:v>
      </x:c>
      <x:c r="I191" s="6"/>
      <x:c r="J191" s="20"/>
      <x:c r="K191" s="11"/>
      <x:c r="L191" s="11"/>
      <x:c r="M191" s="14"/>
      <x:c r="N191" s="35"/>
    </x:row>
    <x:row r="192" ht="9.75" customHeight="1">
      <x:c r="A192" s="32"/>
      <x:c r="B192" s="69" t="s">
        <x:v>888</x:v>
      </x:c>
      <x:c r="C192" s="10" t="s">
        <x:v>918</x:v>
      </x:c>
      <x:c r="D192" s="20" t="s">
        <x:v>917</x:v>
      </x:c>
      <x:c r="E192" s="47" t="s">
        <x:v>902</x:v>
      </x:c>
      <x:c r="F192" s="6"/>
      <x:c r="G192" s="11" t="s">
        <x:v>898</x:v>
      </x:c>
      <x:c r="H192" s="11" t="s">
        <x:v>899</x:v>
      </x:c>
      <x:c r="I192" s="6"/>
      <x:c r="J192" s="20"/>
      <x:c r="K192" s="11"/>
      <x:c r="L192" s="11"/>
      <x:c r="M192" s="14"/>
      <x:c r="N192" s="35"/>
    </x:row>
    <x:row r="193" ht="9.75" customHeight="1">
      <x:c r="A193" s="32"/>
      <x:c r="B193" s="69" t="s">
        <x:v>888</x:v>
      </x:c>
      <x:c r="C193" s="10" t="s">
        <x:v>918</x:v>
      </x:c>
      <x:c r="D193" s="20" t="s">
        <x:v>917</x:v>
      </x:c>
      <x:c r="E193" s="47" t="s">
        <x:v>903</x:v>
      </x:c>
      <x:c r="F193" s="6"/>
      <x:c r="G193" s="11" t="s">
        <x:v>898</x:v>
      </x:c>
      <x:c r="H193" s="11" t="s">
        <x:v>899</x:v>
      </x:c>
      <x:c r="I193" s="6"/>
      <x:c r="J193" s="20"/>
      <x:c r="K193" s="11"/>
      <x:c r="L193" s="11"/>
      <x:c r="M193" s="14"/>
      <x:c r="N193" s="35"/>
    </x:row>
    <x:row r="194" ht="9.75" customHeight="1">
      <x:c r="A194" s="32"/>
      <x:c r="B194" s="69" t="s">
        <x:v>888</x:v>
      </x:c>
      <x:c r="C194" s="10" t="s">
        <x:v>918</x:v>
      </x:c>
      <x:c r="D194" s="20" t="s">
        <x:v>917</x:v>
      </x:c>
      <x:c r="E194" s="47" t="s">
        <x:v>904</x:v>
      </x:c>
      <x:c r="F194" s="6"/>
      <x:c r="G194" s="11" t="s">
        <x:v>898</x:v>
      </x:c>
      <x:c r="H194" s="11" t="s">
        <x:v>899</x:v>
      </x:c>
      <x:c r="I194" s="6"/>
      <x:c r="J194" s="20"/>
      <x:c r="K194" s="11"/>
      <x:c r="L194" s="11"/>
      <x:c r="M194" s="14"/>
      <x:c r="N194" s="35"/>
    </x:row>
    <x:row r="195" ht="9.75" customHeight="1">
      <x:c r="A195" s="32"/>
      <x:c r="B195" s="69" t="s">
        <x:v>888</x:v>
      </x:c>
      <x:c r="C195" s="10" t="s">
        <x:v>918</x:v>
      </x:c>
      <x:c r="D195" s="20" t="s">
        <x:v>917</x:v>
      </x:c>
      <x:c r="E195" s="47" t="s">
        <x:v>905</x:v>
      </x:c>
      <x:c r="F195" s="6"/>
      <x:c r="G195" s="11" t="s">
        <x:v>898</x:v>
      </x:c>
      <x:c r="H195" s="11" t="s">
        <x:v>899</x:v>
      </x:c>
      <x:c r="I195" s="6"/>
      <x:c r="J195" s="20"/>
      <x:c r="K195" s="11"/>
      <x:c r="L195" s="11"/>
      <x:c r="M195" s="14"/>
      <x:c r="N195" s="35"/>
    </x:row>
    <x:row r="196" ht="9.75" customHeight="1">
      <x:c r="A196" s="32"/>
      <x:c r="B196" s="69" t="s">
        <x:v>888</x:v>
      </x:c>
      <x:c r="C196" s="10" t="s">
        <x:v>918</x:v>
      </x:c>
      <x:c r="D196" s="20" t="s">
        <x:v>917</x:v>
      </x:c>
      <x:c r="E196" s="47" t="s">
        <x:v>906</x:v>
      </x:c>
      <x:c r="F196" s="6"/>
      <x:c r="G196" s="11" t="s">
        <x:v>891</x:v>
      </x:c>
      <x:c r="H196" s="11" t="s">
        <x:v>895</x:v>
      </x:c>
      <x:c r="I196" s="6"/>
      <x:c r="J196" s="20"/>
      <x:c r="K196" s="11"/>
      <x:c r="L196" s="11"/>
      <x:c r="M196" s="14"/>
      <x:c r="N196" s="35"/>
    </x:row>
    <x:row r="197" ht="9.75" customHeight="1">
      <x:c r="A197" s="32"/>
      <x:c r="B197" s="69" t="s">
        <x:v>888</x:v>
      </x:c>
      <x:c r="C197" s="10" t="s">
        <x:v>918</x:v>
      </x:c>
      <x:c r="D197" s="20" t="s">
        <x:v>917</x:v>
      </x:c>
      <x:c r="E197" s="47" t="s">
        <x:v>907</x:v>
      </x:c>
      <x:c r="F197" s="6"/>
      <x:c r="G197" s="11" t="s">
        <x:v>894</x:v>
      </x:c>
      <x:c r="H197" s="11" t="s">
        <x:v>892</x:v>
      </x:c>
      <x:c r="I197" s="6"/>
      <x:c r="J197" s="20"/>
      <x:c r="K197" s="11"/>
      <x:c r="L197" s="11"/>
      <x:c r="M197" s="14"/>
      <x:c r="N197" s="35"/>
    </x:row>
    <x:row r="198" ht="9.75" customHeight="1">
      <x:c r="A198" s="32"/>
      <x:c r="B198" s="69" t="s">
        <x:v>888</x:v>
      </x:c>
      <x:c r="C198" s="10" t="s">
        <x:v>918</x:v>
      </x:c>
      <x:c r="D198" s="20" t="s">
        <x:v>917</x:v>
      </x:c>
      <x:c r="E198" s="47" t="s">
        <x:v>908</x:v>
      </x:c>
      <x:c r="F198" s="6"/>
      <x:c r="G198" s="11" t="s">
        <x:v>894</x:v>
      </x:c>
      <x:c r="H198" s="11" t="s">
        <x:v>892</x:v>
      </x:c>
      <x:c r="I198" s="6"/>
      <x:c r="J198" s="20"/>
      <x:c r="K198" s="11"/>
      <x:c r="L198" s="11"/>
      <x:c r="M198" s="14"/>
      <x:c r="N198" s="35"/>
    </x:row>
    <x:row r="199" ht="9.75" customHeight="1">
      <x:c r="A199" s="32"/>
      <x:c r="B199" s="69" t="s">
        <x:v>888</x:v>
      </x:c>
      <x:c r="C199" s="10" t="s">
        <x:v>918</x:v>
      </x:c>
      <x:c r="D199" s="20" t="s">
        <x:v>917</x:v>
      </x:c>
      <x:c r="E199" s="47" t="s">
        <x:v>910</x:v>
      </x:c>
      <x:c r="F199" s="6"/>
      <x:c r="G199" s="11" t="s">
        <x:v>894</x:v>
      </x:c>
      <x:c r="H199" s="11" t="s">
        <x:v>892</x:v>
      </x:c>
      <x:c r="I199" s="6"/>
      <x:c r="J199" s="20"/>
      <x:c r="K199" s="11"/>
      <x:c r="L199" s="11"/>
      <x:c r="M199" s="14"/>
      <x:c r="N199" s="35"/>
    </x:row>
    <x:row r="200" ht="9.75" customHeight="1">
      <x:c r="A200" s="32"/>
      <x:c r="B200" s="69" t="s">
        <x:v>888</x:v>
      </x:c>
      <x:c r="C200" s="10" t="s">
        <x:v>918</x:v>
      </x:c>
      <x:c r="D200" s="20" t="s">
        <x:v>917</x:v>
      </x:c>
      <x:c r="E200" s="47" t="s">
        <x:v>911</x:v>
      </x:c>
      <x:c r="F200" s="6"/>
      <x:c r="G200" s="11" t="s">
        <x:v>894</x:v>
      </x:c>
      <x:c r="H200" s="11" t="s">
        <x:v>892</x:v>
      </x:c>
      <x:c r="I200" s="6"/>
      <x:c r="J200" s="20"/>
      <x:c r="K200" s="11"/>
      <x:c r="L200" s="11"/>
      <x:c r="M200" s="14"/>
      <x:c r="N200" s="35"/>
    </x:row>
    <x:row r="201" ht="9.75" customHeight="1">
      <x:c r="A201" s="32"/>
      <x:c r="B201" s="69" t="s">
        <x:v>888</x:v>
      </x:c>
      <x:c r="C201" s="10" t="s">
        <x:v>918</x:v>
      </x:c>
      <x:c r="D201" s="20" t="s">
        <x:v>917</x:v>
      </x:c>
      <x:c r="E201" s="47" t="s">
        <x:v>912</x:v>
      </x:c>
      <x:c r="F201" s="6"/>
      <x:c r="G201" s="11" t="s">
        <x:v>894</x:v>
      </x:c>
      <x:c r="H201" s="11" t="s">
        <x:v>892</x:v>
      </x:c>
      <x:c r="I201" s="6"/>
      <x:c r="J201" s="20"/>
      <x:c r="K201" s="11"/>
      <x:c r="L201" s="11"/>
      <x:c r="M201" s="14"/>
      <x:c r="N201" s="35"/>
    </x:row>
    <x:row r="202" ht="9.75" customHeight="1">
      <x:c r="A202" s="32"/>
      <x:c r="B202" s="69" t="s">
        <x:v>888</x:v>
      </x:c>
      <x:c r="C202" s="10" t="s">
        <x:v>918</x:v>
      </x:c>
      <x:c r="D202" s="20" t="s">
        <x:v>917</x:v>
      </x:c>
      <x:c r="E202" s="47" t="s">
        <x:v>913</x:v>
      </x:c>
      <x:c r="F202" s="6"/>
      <x:c r="G202" s="11" t="s">
        <x:v>894</x:v>
      </x:c>
      <x:c r="H202" s="11" t="s">
        <x:v>892</x:v>
      </x:c>
      <x:c r="I202" s="6"/>
      <x:c r="J202" s="20"/>
      <x:c r="K202" s="11"/>
      <x:c r="L202" s="11"/>
      <x:c r="M202" s="14"/>
      <x:c r="N202" s="35"/>
    </x:row>
    <x:row r="203" ht="9.75" customHeight="1">
      <x:c r="A203" s="32"/>
      <x:c r="B203" s="69" t="s">
        <x:v>888</x:v>
      </x:c>
      <x:c r="C203" s="10" t="s">
        <x:v>918</x:v>
      </x:c>
      <x:c r="D203" s="20" t="s">
        <x:v>917</x:v>
      </x:c>
      <x:c r="E203" s="47" t="s">
        <x:v>914</x:v>
      </x:c>
      <x:c r="F203" s="6"/>
      <x:c r="G203" s="11" t="s">
        <x:v>898</x:v>
      </x:c>
      <x:c r="H203" s="11" t="s">
        <x:v>899</x:v>
      </x:c>
      <x:c r="I203" s="6"/>
      <x:c r="J203" s="20"/>
      <x:c r="K203" s="11"/>
      <x:c r="L203" s="11"/>
      <x:c r="M203" s="14"/>
      <x:c r="N203" s="35"/>
    </x:row>
    <x:row r="204" ht="9.75" customHeight="1">
      <x:c r="A204" s="32"/>
      <x:c r="B204" s="11"/>
      <x:c r="C204" s="11"/>
      <x:c r="D204" s="20"/>
      <x:c r="E204" s="47"/>
      <x:c r="F204" s="6"/>
      <x:c r="G204" s="11"/>
      <x:c r="H204" s="11"/>
      <x:c r="I204" s="6"/>
      <x:c r="J204" s="20"/>
      <x:c r="K204" s="11"/>
      <x:c r="L204" s="11"/>
      <x:c r="M204" s="14"/>
      <x:c r="N204" s="35"/>
    </x:row>
    <x:row r="205" ht="9.75" customHeight="1">
      <x:c r="A205" s="33"/>
      <x:c r="B205" s="12"/>
      <x:c r="C205" s="12"/>
      <x:c r="D205" s="21"/>
      <x:c r="E205" s="48"/>
      <x:c r="F205" s="8"/>
      <x:c r="G205" s="12"/>
      <x:c r="H205" s="12"/>
      <x:c r="I205" s="8"/>
      <x:c r="J205" s="21"/>
      <x:c r="K205" s="12"/>
      <x:c r="L205" s="12"/>
      <x:c r="M205" s="15"/>
      <x:c r="N205" s="36"/>
    </x:row>
  </x:sheetData>
  <x:mergeCells>
    <x:mergeCell ref="A1:N1"/>
    <x:mergeCell ref="A2:N2"/>
    <x:mergeCell ref="A3:N3"/>
  </x:mergeCells>
  <x:dataValidations count="3">
    <x:dataValidation type="list" sqref="G6:G205">
      <x:formula1>"Terisi,Kosong,Dalam Perbaikan,Tidak Dapat Digunakan"</x:formula1>
    </x:dataValidation>
    <x:dataValidation type="list" sqref="H6:H205">
      <x:formula1>"Baik,Rusak Ringan,Rusak Sedang,Rusak Berat"</x:formula1>
    </x:dataValidation>
    <x:dataValidation type="list" sqref="L6:L205">
      <x:formula1>"Draft,Dalam Verifikasi,Terverifikasi,Perlu Perbaikan"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f28e782976943a6"/>
  </x:tableParts>
</x:worksheet>
</file>

<file path=xl/worksheets/sheet6.xml><?xml version="1.0" encoding="utf-8"?>
<x:worksheet xmlns:x="http://schemas.openxmlformats.org/spreadsheetml/2006/main">
  <x:sheetFormatPr defaultRowHeight="14"/>
  <x:cols>
    <x:col min="1" max="1" width="18" customWidth="1"/>
    <x:col min="2" max="2" width="30" customWidth="1"/>
    <x:col min="3" max="3" width="10" customWidth="1"/>
    <x:col min="4" max="4" width="14" customWidth="1"/>
    <x:col min="5" max="5" width="19" customWidth="1"/>
    <x:col min="6" max="6" width="18" customWidth="1"/>
    <x:col min="7" max="7" width="22" customWidth="1"/>
    <x:col min="8" max="8" width="18" customWidth="1"/>
    <x:col min="9" max="9" width="22" customWidth="1"/>
    <x:col min="10" max="10" width="26" customWidth="1"/>
    <x:col min="11" max="11" width="17" customWidth="1"/>
    <x:col min="12" max="12" width="18" customWidth="1"/>
    <x:col min="13" max="13" width="42" customWidth="1"/>
  </x:cols>
  <x:sheetData>
    <x:row r="1" ht="14.25" customHeight="1">
      <x:c r="A1" s="82" t="s">
        <x:v>919</x:v>
      </x:c>
      <x:c r="B1" s="82"/>
      <x:c r="C1" s="82"/>
      <x:c r="D1" s="82"/>
      <x:c r="E1" s="82"/>
      <x:c r="F1" s="82"/>
      <x:c r="G1" s="82"/>
      <x:c r="H1" s="82"/>
      <x:c r="I1" s="82"/>
      <x:c r="J1" s="82"/>
      <x:c r="K1" s="82"/>
      <x:c r="L1" s="82"/>
      <x:c r="M1" s="83"/>
    </x:row>
    <x:row r="2" ht="15.149999618530273" customHeight="1">
      <x:c r="A2" s="84" t="s">
        <x:v>920</x:v>
      </x:c>
      <x:c r="B2" s="84"/>
      <x:c r="C2" s="84"/>
      <x:c r="D2" s="84"/>
      <x:c r="E2" s="84"/>
      <x:c r="F2" s="84"/>
      <x:c r="G2" s="84"/>
      <x:c r="H2" s="84"/>
      <x:c r="I2" s="84"/>
      <x:c r="J2" s="84"/>
      <x:c r="K2" s="84"/>
      <x:c r="L2" s="84"/>
      <x:c r="M2" s="85"/>
    </x:row>
    <x:row r="3" ht="15.149999618530273" customHeight="1">
      <x:c r="A3" s="86" t="s">
        <x:v>921</x:v>
      </x:c>
      <x:c r="B3" s="86"/>
      <x:c r="C3" s="86"/>
      <x:c r="D3" s="86"/>
      <x:c r="E3" s="86"/>
      <x:c r="F3" s="86"/>
      <x:c r="G3" s="86"/>
      <x:c r="H3" s="86"/>
      <x:c r="I3" s="86"/>
      <x:c r="J3" s="86"/>
      <x:c r="K3" s="86"/>
      <x:c r="L3" s="86"/>
      <x:c r="M3" s="87"/>
    </x:row>
    <x:row r="5" ht="17.75" customHeight="1">
      <x:c r="A5" s="67" t="s">
        <x:v>922</x:v>
      </x:c>
      <x:c r="B5" s="67" t="s">
        <x:v>881</x:v>
      </x:c>
      <x:c r="C5" s="67" t="s">
        <x:v>923</x:v>
      </x:c>
      <x:c r="D5" s="67" t="s">
        <x:v>924</x:v>
      </x:c>
      <x:c r="E5" s="67" t="s">
        <x:v>925</x:v>
      </x:c>
      <x:c r="F5" s="67" t="s">
        <x:v>926</x:v>
      </x:c>
      <x:c r="G5" s="67" t="s">
        <x:v>927</x:v>
      </x:c>
      <x:c r="H5" s="67" t="s">
        <x:v>928</x:v>
      </x:c>
      <x:c r="I5" s="67" t="s">
        <x:v>28</x:v>
      </x:c>
      <x:c r="J5" s="67" t="s">
        <x:v>27</x:v>
      </x:c>
      <x:c r="K5" s="67" t="s">
        <x:v>29</x:v>
      </x:c>
      <x:c r="L5" s="67" t="s">
        <x:v>30</x:v>
      </x:c>
      <x:c r="M5" s="67" t="s">
        <x:v>23</x:v>
      </x:c>
    </x:row>
    <x:row r="6" ht="15.149999618530273" customHeight="1">
      <x:c r="A6" s="68" t="s">
        <x:v>929</x:v>
      </x:c>
      <x:c r="B6" s="69" t="s">
        <x:v>888</x:v>
      </x:c>
      <x:c r="C6" s="70">
        <x:v>2026</x:v>
      </x:c>
      <x:c r="D6" s="68" t="s">
        <x:v>930</x:v>
      </x:c>
      <x:c r="E6" s="71">
        <x:v>350000000</x:v>
      </x:c>
      <x:c r="F6" s="71">
        <x:v>15850000</x:v>
      </x:c>
      <x:c r="G6" s="72" t="n">
        <x:f t="shared" ref="G6:G69" si="0">IF(A6="","",SUMIFS($F$6:F6,$B$6:B6,B6,$C$6:C6,C6))</x:f>
        <x:v>15850000</x:v>
      </x:c>
      <x:c r="H6" s="73" t="n">
        <x:f t="shared" ref="H6:H69" si="1">IF(A6="","",IFERROR(G6/E6,0))</x:f>
        <x:v>0.04528571428571428</x:v>
      </x:c>
      <x:c r="I6" s="68" t="s">
        <x:v>931</x:v>
      </x:c>
      <x:c r="J6" s="74"/>
      <x:c r="K6" s="74"/>
      <x:c r="L6" s="68"/>
      <x:c r="M6" s="69" t="s">
        <x:v>932</x:v>
      </x:c>
    </x:row>
    <x:row r="7" ht="10.649999618530273" customHeight="1">
      <x:c r="A7" s="68" t="s">
        <x:v>933</x:v>
      </x:c>
      <x:c r="B7" s="69" t="s">
        <x:v>888</x:v>
      </x:c>
      <x:c r="C7" s="70">
        <x:v>2026</x:v>
      </x:c>
      <x:c r="D7" s="68" t="s">
        <x:v>934</x:v>
      </x:c>
      <x:c r="E7" s="71">
        <x:v>350000000</x:v>
      </x:c>
      <x:c r="F7" s="71">
        <x:v>13675000</x:v>
      </x:c>
      <x:c r="G7" s="72">
        <x:f t="shared" si="0"/>
        <x:v>29525000</x:v>
      </x:c>
      <x:c r="H7" s="73">
        <x:f t="shared" si="1"/>
        <x:v>8.4357142857142853E-2</x:v>
      </x:c>
      <x:c r="I7" s="68" t="s">
        <x:v>931</x:v>
      </x:c>
      <x:c r="J7" s="74"/>
      <x:c r="K7" s="74"/>
      <x:c r="L7" s="68"/>
      <x:c r="M7" s="69"/>
    </x:row>
    <x:row r="8" ht="10.649999618530273" customHeight="1">
      <x:c r="A8" s="68" t="s">
        <x:v>935</x:v>
      </x:c>
      <x:c r="B8" s="69" t="s">
        <x:v>888</x:v>
      </x:c>
      <x:c r="C8" s="70">
        <x:v>2026</x:v>
      </x:c>
      <x:c r="D8" s="68" t="s">
        <x:v>936</x:v>
      </x:c>
      <x:c r="E8" s="71">
        <x:v>350000000</x:v>
      </x:c>
      <x:c r="F8" s="71">
        <x:v>24950000</x:v>
      </x:c>
      <x:c r="G8" s="72">
        <x:f t="shared" si="0"/>
        <x:v>54475000</x:v>
      </x:c>
      <x:c r="H8" s="73">
        <x:f t="shared" si="1"/>
        <x:v>0.15564285714285714</x:v>
      </x:c>
      <x:c r="I8" s="68" t="s">
        <x:v>931</x:v>
      </x:c>
      <x:c r="J8" s="74"/>
      <x:c r="K8" s="74"/>
      <x:c r="L8" s="68"/>
      <x:c r="M8" s="69"/>
    </x:row>
    <x:row r="9" ht="10.649999618530273" customHeight="1">
      <x:c r="A9" s="68" t="s">
        <x:v>937</x:v>
      </x:c>
      <x:c r="B9" s="69" t="s">
        <x:v>888</x:v>
      </x:c>
      <x:c r="C9" s="70">
        <x:v>2026</x:v>
      </x:c>
      <x:c r="D9" s="68" t="s">
        <x:v>938</x:v>
      </x:c>
      <x:c r="E9" s="71">
        <x:v>350000000</x:v>
      </x:c>
      <x:c r="F9" s="71">
        <x:v>32950000</x:v>
      </x:c>
      <x:c r="G9" s="72">
        <x:f t="shared" si="0"/>
        <x:v>87425000</x:v>
      </x:c>
      <x:c r="H9" s="73">
        <x:f t="shared" si="1"/>
        <x:v>0.24978571428571428</x:v>
      </x:c>
      <x:c r="I9" s="68" t="s">
        <x:v>931</x:v>
      </x:c>
      <x:c r="J9" s="74"/>
      <x:c r="K9" s="74"/>
      <x:c r="L9" s="68"/>
      <x:c r="M9" s="69"/>
    </x:row>
    <x:row r="10" ht="10.649999618530273" customHeight="1">
      <x:c r="A10" s="68" t="s">
        <x:v>939</x:v>
      </x:c>
      <x:c r="B10" s="69" t="s">
        <x:v>888</x:v>
      </x:c>
      <x:c r="C10" s="70">
        <x:v>2026</x:v>
      </x:c>
      <x:c r="D10" s="68" t="s">
        <x:v>940</x:v>
      </x:c>
      <x:c r="E10" s="71">
        <x:v>350000000</x:v>
      </x:c>
      <x:c r="F10" s="71">
        <x:v>32950000</x:v>
      </x:c>
      <x:c r="G10" s="72">
        <x:f t="shared" si="0"/>
        <x:v>120375000</x:v>
      </x:c>
      <x:c r="H10" s="73">
        <x:f t="shared" si="1"/>
        <x:v>0.34392857142857142</x:v>
      </x:c>
      <x:c r="I10" s="68" t="s">
        <x:v>931</x:v>
      </x:c>
      <x:c r="J10" s="74"/>
      <x:c r="K10" s="74"/>
      <x:c r="L10" s="68"/>
      <x:c r="M10" s="69"/>
    </x:row>
    <x:row r="11" ht="6.5" customHeight="1">
      <x:c r="A11" s="68"/>
      <x:c r="B11" s="69"/>
      <x:c r="C11" s="70"/>
      <x:c r="D11" s="68"/>
      <x:c r="E11" s="71"/>
      <x:c r="F11" s="71"/>
      <x:c r="G11" s="72" t="str">
        <x:f t="shared" si="0"/>
      </x:c>
      <x:c r="H11" s="73" t="str">
        <x:f t="shared" si="1"/>
      </x:c>
      <x:c r="I11" s="68"/>
      <x:c r="J11" s="74"/>
      <x:c r="K11" s="74"/>
      <x:c r="L11" s="68"/>
      <x:c r="M11" s="69"/>
    </x:row>
    <x:row r="12" ht="6.5" customHeight="1">
      <x:c r="A12" s="68"/>
      <x:c r="B12" s="69"/>
      <x:c r="C12" s="70"/>
      <x:c r="D12" s="68"/>
      <x:c r="E12" s="71"/>
      <x:c r="F12" s="71"/>
      <x:c r="G12" s="72" t="str">
        <x:f t="shared" si="0"/>
      </x:c>
      <x:c r="H12" s="73" t="str">
        <x:f t="shared" si="1"/>
      </x:c>
      <x:c r="I12" s="68"/>
      <x:c r="J12" s="74"/>
      <x:c r="K12" s="74"/>
      <x:c r="L12" s="68"/>
      <x:c r="M12" s="69"/>
    </x:row>
    <x:row r="13" ht="6.5" customHeight="1">
      <x:c r="A13" s="68"/>
      <x:c r="B13" s="69"/>
      <x:c r="C13" s="70"/>
      <x:c r="D13" s="68"/>
      <x:c r="E13" s="71"/>
      <x:c r="F13" s="71"/>
      <x:c r="G13" s="72" t="str">
        <x:f t="shared" si="0"/>
      </x:c>
      <x:c r="H13" s="73" t="str">
        <x:f t="shared" si="1"/>
      </x:c>
      <x:c r="I13" s="68"/>
      <x:c r="J13" s="74"/>
      <x:c r="K13" s="74"/>
      <x:c r="L13" s="68"/>
      <x:c r="M13" s="69"/>
    </x:row>
    <x:row r="14" ht="6.5" customHeight="1">
      <x:c r="A14" s="68"/>
      <x:c r="B14" s="69"/>
      <x:c r="C14" s="70"/>
      <x:c r="D14" s="68"/>
      <x:c r="E14" s="71"/>
      <x:c r="F14" s="71"/>
      <x:c r="G14" s="72" t="str">
        <x:f t="shared" si="0"/>
      </x:c>
      <x:c r="H14" s="73" t="str">
        <x:f t="shared" si="1"/>
      </x:c>
      <x:c r="I14" s="68"/>
      <x:c r="J14" s="74"/>
      <x:c r="K14" s="74"/>
      <x:c r="L14" s="68"/>
      <x:c r="M14" s="69"/>
    </x:row>
    <x:row r="15" ht="6.5" customHeight="1">
      <x:c r="A15" s="68"/>
      <x:c r="B15" s="69"/>
      <x:c r="C15" s="70"/>
      <x:c r="D15" s="68"/>
      <x:c r="E15" s="71"/>
      <x:c r="F15" s="71"/>
      <x:c r="G15" s="72" t="str">
        <x:f t="shared" si="0"/>
      </x:c>
      <x:c r="H15" s="73" t="str">
        <x:f t="shared" si="1"/>
      </x:c>
      <x:c r="I15" s="68"/>
      <x:c r="J15" s="74"/>
      <x:c r="K15" s="74"/>
      <x:c r="L15" s="68"/>
      <x:c r="M15" s="69"/>
    </x:row>
    <x:row r="16" ht="6.5" customHeight="1">
      <x:c r="A16" s="68"/>
      <x:c r="B16" s="69"/>
      <x:c r="C16" s="70"/>
      <x:c r="D16" s="68"/>
      <x:c r="E16" s="71"/>
      <x:c r="F16" s="71"/>
      <x:c r="G16" s="72" t="str">
        <x:f t="shared" si="0"/>
      </x:c>
      <x:c r="H16" s="73" t="str">
        <x:f t="shared" si="1"/>
      </x:c>
      <x:c r="I16" s="68"/>
      <x:c r="J16" s="74"/>
      <x:c r="K16" s="74"/>
      <x:c r="L16" s="68"/>
      <x:c r="M16" s="69"/>
    </x:row>
    <x:row r="17" ht="6.5" customHeight="1">
      <x:c r="A17" s="68"/>
      <x:c r="B17" s="69"/>
      <x:c r="C17" s="70"/>
      <x:c r="D17" s="68"/>
      <x:c r="E17" s="71"/>
      <x:c r="F17" s="71"/>
      <x:c r="G17" s="72" t="str">
        <x:f t="shared" si="0"/>
      </x:c>
      <x:c r="H17" s="73" t="str">
        <x:f t="shared" si="1"/>
      </x:c>
      <x:c r="I17" s="68"/>
      <x:c r="J17" s="74"/>
      <x:c r="K17" s="74"/>
      <x:c r="L17" s="68"/>
      <x:c r="M17" s="69"/>
    </x:row>
    <x:row r="18" ht="6.5" customHeight="1">
      <x:c r="A18" s="68"/>
      <x:c r="B18" s="69"/>
      <x:c r="C18" s="70"/>
      <x:c r="D18" s="68"/>
      <x:c r="E18" s="71"/>
      <x:c r="F18" s="71"/>
      <x:c r="G18" s="72" t="str">
        <x:f t="shared" si="0"/>
      </x:c>
      <x:c r="H18" s="73" t="str">
        <x:f t="shared" si="1"/>
      </x:c>
      <x:c r="I18" s="68"/>
      <x:c r="J18" s="74"/>
      <x:c r="K18" s="74"/>
      <x:c r="L18" s="68"/>
      <x:c r="M18" s="69"/>
    </x:row>
    <x:row r="19" ht="6.5" customHeight="1">
      <x:c r="A19" s="68"/>
      <x:c r="B19" s="69"/>
      <x:c r="C19" s="70"/>
      <x:c r="D19" s="68"/>
      <x:c r="E19" s="71"/>
      <x:c r="F19" s="71"/>
      <x:c r="G19" s="72" t="str">
        <x:f t="shared" si="0"/>
      </x:c>
      <x:c r="H19" s="73" t="str">
        <x:f t="shared" si="1"/>
      </x:c>
      <x:c r="I19" s="68"/>
      <x:c r="J19" s="74"/>
      <x:c r="K19" s="74"/>
      <x:c r="L19" s="68"/>
      <x:c r="M19" s="69"/>
    </x:row>
    <x:row r="20" ht="6.5" customHeight="1">
      <x:c r="A20" s="68"/>
      <x:c r="B20" s="69"/>
      <x:c r="C20" s="70"/>
      <x:c r="D20" s="68"/>
      <x:c r="E20" s="71"/>
      <x:c r="F20" s="71"/>
      <x:c r="G20" s="72" t="str">
        <x:f t="shared" si="0"/>
      </x:c>
      <x:c r="H20" s="73" t="str">
        <x:f t="shared" si="1"/>
      </x:c>
      <x:c r="I20" s="68"/>
      <x:c r="J20" s="74"/>
      <x:c r="K20" s="74"/>
      <x:c r="L20" s="68"/>
      <x:c r="M20" s="69"/>
    </x:row>
    <x:row r="21" ht="6.5" customHeight="1">
      <x:c r="A21" s="68"/>
      <x:c r="B21" s="69"/>
      <x:c r="C21" s="70"/>
      <x:c r="D21" s="68"/>
      <x:c r="E21" s="71"/>
      <x:c r="F21" s="71"/>
      <x:c r="G21" s="72" t="str">
        <x:f t="shared" si="0"/>
      </x:c>
      <x:c r="H21" s="73" t="str">
        <x:f t="shared" si="1"/>
      </x:c>
      <x:c r="I21" s="68"/>
      <x:c r="J21" s="74"/>
      <x:c r="K21" s="74"/>
      <x:c r="L21" s="68"/>
      <x:c r="M21" s="69"/>
    </x:row>
    <x:row r="22" ht="6.5" customHeight="1">
      <x:c r="A22" s="68"/>
      <x:c r="B22" s="69"/>
      <x:c r="C22" s="70"/>
      <x:c r="D22" s="68"/>
      <x:c r="E22" s="71"/>
      <x:c r="F22" s="71"/>
      <x:c r="G22" s="72" t="str">
        <x:f t="shared" si="0"/>
      </x:c>
      <x:c r="H22" s="73" t="str">
        <x:f t="shared" si="1"/>
      </x:c>
      <x:c r="I22" s="68"/>
      <x:c r="J22" s="74"/>
      <x:c r="K22" s="74"/>
      <x:c r="L22" s="68"/>
      <x:c r="M22" s="69"/>
    </x:row>
    <x:row r="23" ht="6.5" customHeight="1">
      <x:c r="A23" s="68"/>
      <x:c r="B23" s="69"/>
      <x:c r="C23" s="70"/>
      <x:c r="D23" s="68"/>
      <x:c r="E23" s="71"/>
      <x:c r="F23" s="71"/>
      <x:c r="G23" s="72" t="str">
        <x:f t="shared" si="0"/>
      </x:c>
      <x:c r="H23" s="73" t="str">
        <x:f t="shared" si="1"/>
      </x:c>
      <x:c r="I23" s="68"/>
      <x:c r="J23" s="74"/>
      <x:c r="K23" s="74"/>
      <x:c r="L23" s="68"/>
      <x:c r="M23" s="69"/>
    </x:row>
    <x:row r="24" ht="6.5" customHeight="1">
      <x:c r="A24" s="68"/>
      <x:c r="B24" s="69"/>
      <x:c r="C24" s="70"/>
      <x:c r="D24" s="68"/>
      <x:c r="E24" s="71"/>
      <x:c r="F24" s="71"/>
      <x:c r="G24" s="72" t="str">
        <x:f t="shared" si="0"/>
      </x:c>
      <x:c r="H24" s="73" t="str">
        <x:f t="shared" si="1"/>
      </x:c>
      <x:c r="I24" s="68"/>
      <x:c r="J24" s="74"/>
      <x:c r="K24" s="74"/>
      <x:c r="L24" s="68"/>
      <x:c r="M24" s="69"/>
    </x:row>
    <x:row r="25" ht="6.5" customHeight="1">
      <x:c r="A25" s="68"/>
      <x:c r="B25" s="69"/>
      <x:c r="C25" s="70"/>
      <x:c r="D25" s="68"/>
      <x:c r="E25" s="71"/>
      <x:c r="F25" s="71"/>
      <x:c r="G25" s="72" t="str">
        <x:f t="shared" si="0"/>
      </x:c>
      <x:c r="H25" s="73" t="str">
        <x:f t="shared" si="1"/>
      </x:c>
      <x:c r="I25" s="68"/>
      <x:c r="J25" s="74"/>
      <x:c r="K25" s="74"/>
      <x:c r="L25" s="68"/>
      <x:c r="M25" s="69"/>
    </x:row>
    <x:row r="26" ht="6.5" customHeight="1">
      <x:c r="A26" s="68"/>
      <x:c r="B26" s="69"/>
      <x:c r="C26" s="70"/>
      <x:c r="D26" s="68"/>
      <x:c r="E26" s="71"/>
      <x:c r="F26" s="71"/>
      <x:c r="G26" s="72" t="str">
        <x:f t="shared" si="0"/>
      </x:c>
      <x:c r="H26" s="73" t="str">
        <x:f t="shared" si="1"/>
      </x:c>
      <x:c r="I26" s="68"/>
      <x:c r="J26" s="74"/>
      <x:c r="K26" s="74"/>
      <x:c r="L26" s="68"/>
      <x:c r="M26" s="69"/>
    </x:row>
    <x:row r="27" ht="6.5" customHeight="1">
      <x:c r="A27" s="68"/>
      <x:c r="B27" s="69"/>
      <x:c r="C27" s="70"/>
      <x:c r="D27" s="68"/>
      <x:c r="E27" s="71"/>
      <x:c r="F27" s="71"/>
      <x:c r="G27" s="72" t="str">
        <x:f t="shared" si="0"/>
      </x:c>
      <x:c r="H27" s="73" t="str">
        <x:f t="shared" si="1"/>
      </x:c>
      <x:c r="I27" s="68"/>
      <x:c r="J27" s="74"/>
      <x:c r="K27" s="74"/>
      <x:c r="L27" s="68"/>
      <x:c r="M27" s="69"/>
    </x:row>
    <x:row r="28" ht="6.5" customHeight="1">
      <x:c r="A28" s="68"/>
      <x:c r="B28" s="69"/>
      <x:c r="C28" s="70"/>
      <x:c r="D28" s="68"/>
      <x:c r="E28" s="71"/>
      <x:c r="F28" s="71"/>
      <x:c r="G28" s="72" t="str">
        <x:f t="shared" si="0"/>
      </x:c>
      <x:c r="H28" s="73" t="str">
        <x:f t="shared" si="1"/>
      </x:c>
      <x:c r="I28" s="68"/>
      <x:c r="J28" s="74"/>
      <x:c r="K28" s="74"/>
      <x:c r="L28" s="68"/>
      <x:c r="M28" s="69"/>
    </x:row>
    <x:row r="29" ht="6.5" customHeight="1">
      <x:c r="A29" s="68"/>
      <x:c r="B29" s="69"/>
      <x:c r="C29" s="70"/>
      <x:c r="D29" s="68"/>
      <x:c r="E29" s="71"/>
      <x:c r="F29" s="71"/>
      <x:c r="G29" s="72" t="str">
        <x:f t="shared" si="0"/>
      </x:c>
      <x:c r="H29" s="73" t="str">
        <x:f t="shared" si="1"/>
      </x:c>
      <x:c r="I29" s="68"/>
      <x:c r="J29" s="74"/>
      <x:c r="K29" s="74"/>
      <x:c r="L29" s="68"/>
      <x:c r="M29" s="69"/>
    </x:row>
    <x:row r="30" ht="6.5" customHeight="1">
      <x:c r="A30" s="68"/>
      <x:c r="B30" s="69"/>
      <x:c r="C30" s="70"/>
      <x:c r="D30" s="68"/>
      <x:c r="E30" s="71"/>
      <x:c r="F30" s="71"/>
      <x:c r="G30" s="72" t="str">
        <x:f t="shared" si="0"/>
      </x:c>
      <x:c r="H30" s="73" t="str">
        <x:f t="shared" si="1"/>
      </x:c>
      <x:c r="I30" s="68"/>
      <x:c r="J30" s="74"/>
      <x:c r="K30" s="74"/>
      <x:c r="L30" s="68"/>
      <x:c r="M30" s="69"/>
    </x:row>
    <x:row r="31" ht="6.5" customHeight="1">
      <x:c r="A31" s="68"/>
      <x:c r="B31" s="69"/>
      <x:c r="C31" s="70"/>
      <x:c r="D31" s="68"/>
      <x:c r="E31" s="71"/>
      <x:c r="F31" s="71"/>
      <x:c r="G31" s="72" t="str">
        <x:f t="shared" si="0"/>
      </x:c>
      <x:c r="H31" s="73" t="str">
        <x:f t="shared" si="1"/>
      </x:c>
      <x:c r="I31" s="68"/>
      <x:c r="J31" s="74"/>
      <x:c r="K31" s="74"/>
      <x:c r="L31" s="68"/>
      <x:c r="M31" s="69"/>
    </x:row>
    <x:row r="32" ht="6.5" customHeight="1">
      <x:c r="A32" s="68"/>
      <x:c r="B32" s="69"/>
      <x:c r="C32" s="70"/>
      <x:c r="D32" s="68"/>
      <x:c r="E32" s="71"/>
      <x:c r="F32" s="71"/>
      <x:c r="G32" s="72" t="str">
        <x:f t="shared" si="0"/>
      </x:c>
      <x:c r="H32" s="73" t="str">
        <x:f t="shared" si="1"/>
      </x:c>
      <x:c r="I32" s="68"/>
      <x:c r="J32" s="74"/>
      <x:c r="K32" s="74"/>
      <x:c r="L32" s="68"/>
      <x:c r="M32" s="69"/>
    </x:row>
    <x:row r="33" ht="6.5" customHeight="1">
      <x:c r="A33" s="68"/>
      <x:c r="B33" s="69"/>
      <x:c r="C33" s="70"/>
      <x:c r="D33" s="68"/>
      <x:c r="E33" s="71"/>
      <x:c r="F33" s="71"/>
      <x:c r="G33" s="72" t="str">
        <x:f t="shared" si="0"/>
      </x:c>
      <x:c r="H33" s="73" t="str">
        <x:f t="shared" si="1"/>
      </x:c>
      <x:c r="I33" s="68"/>
      <x:c r="J33" s="74"/>
      <x:c r="K33" s="74"/>
      <x:c r="L33" s="68"/>
      <x:c r="M33" s="69"/>
    </x:row>
    <x:row r="34" ht="6.5" customHeight="1">
      <x:c r="A34" s="68"/>
      <x:c r="B34" s="69"/>
      <x:c r="C34" s="70"/>
      <x:c r="D34" s="68"/>
      <x:c r="E34" s="71"/>
      <x:c r="F34" s="71"/>
      <x:c r="G34" s="72" t="str">
        <x:f t="shared" si="0"/>
      </x:c>
      <x:c r="H34" s="73" t="str">
        <x:f t="shared" si="1"/>
      </x:c>
      <x:c r="I34" s="68"/>
      <x:c r="J34" s="74"/>
      <x:c r="K34" s="74"/>
      <x:c r="L34" s="68"/>
      <x:c r="M34" s="69"/>
    </x:row>
    <x:row r="35" ht="6.5" customHeight="1">
      <x:c r="A35" s="68"/>
      <x:c r="B35" s="69"/>
      <x:c r="C35" s="70"/>
      <x:c r="D35" s="68"/>
      <x:c r="E35" s="71"/>
      <x:c r="F35" s="71"/>
      <x:c r="G35" s="72" t="str">
        <x:f t="shared" si="0"/>
      </x:c>
      <x:c r="H35" s="73" t="str">
        <x:f t="shared" si="1"/>
      </x:c>
      <x:c r="I35" s="68"/>
      <x:c r="J35" s="74"/>
      <x:c r="K35" s="74"/>
      <x:c r="L35" s="68"/>
      <x:c r="M35" s="69"/>
    </x:row>
    <x:row r="36" ht="6.5" customHeight="1">
      <x:c r="A36" s="68"/>
      <x:c r="B36" s="69"/>
      <x:c r="C36" s="70"/>
      <x:c r="D36" s="68"/>
      <x:c r="E36" s="71"/>
      <x:c r="F36" s="71"/>
      <x:c r="G36" s="72" t="str">
        <x:f t="shared" si="0"/>
      </x:c>
      <x:c r="H36" s="73" t="str">
        <x:f t="shared" si="1"/>
      </x:c>
      <x:c r="I36" s="68"/>
      <x:c r="J36" s="74"/>
      <x:c r="K36" s="74"/>
      <x:c r="L36" s="68"/>
      <x:c r="M36" s="69"/>
    </x:row>
    <x:row r="37" ht="6.5" customHeight="1">
      <x:c r="A37" s="68"/>
      <x:c r="B37" s="69"/>
      <x:c r="C37" s="70"/>
      <x:c r="D37" s="68"/>
      <x:c r="E37" s="71"/>
      <x:c r="F37" s="71"/>
      <x:c r="G37" s="72" t="str">
        <x:f t="shared" si="0"/>
      </x:c>
      <x:c r="H37" s="73" t="str">
        <x:f t="shared" si="1"/>
      </x:c>
      <x:c r="I37" s="68"/>
      <x:c r="J37" s="74"/>
      <x:c r="K37" s="74"/>
      <x:c r="L37" s="68"/>
      <x:c r="M37" s="69"/>
    </x:row>
    <x:row r="38" ht="6.5" customHeight="1">
      <x:c r="A38" s="68"/>
      <x:c r="B38" s="69"/>
      <x:c r="C38" s="70"/>
      <x:c r="D38" s="68"/>
      <x:c r="E38" s="71"/>
      <x:c r="F38" s="71"/>
      <x:c r="G38" s="72" t="str">
        <x:f t="shared" si="0"/>
      </x:c>
      <x:c r="H38" s="73" t="str">
        <x:f t="shared" si="1"/>
      </x:c>
      <x:c r="I38" s="68"/>
      <x:c r="J38" s="74"/>
      <x:c r="K38" s="74"/>
      <x:c r="L38" s="68"/>
      <x:c r="M38" s="69"/>
    </x:row>
    <x:row r="39" ht="6.5" customHeight="1">
      <x:c r="A39" s="68"/>
      <x:c r="B39" s="69"/>
      <x:c r="C39" s="70"/>
      <x:c r="D39" s="68"/>
      <x:c r="E39" s="71"/>
      <x:c r="F39" s="71"/>
      <x:c r="G39" s="72" t="str">
        <x:f t="shared" si="0"/>
      </x:c>
      <x:c r="H39" s="73" t="str">
        <x:f t="shared" si="1"/>
      </x:c>
      <x:c r="I39" s="68"/>
      <x:c r="J39" s="74"/>
      <x:c r="K39" s="74"/>
      <x:c r="L39" s="68"/>
      <x:c r="M39" s="69"/>
    </x:row>
    <x:row r="40" ht="6.5" customHeight="1">
      <x:c r="A40" s="68"/>
      <x:c r="B40" s="69"/>
      <x:c r="C40" s="70"/>
      <x:c r="D40" s="68"/>
      <x:c r="E40" s="71"/>
      <x:c r="F40" s="71"/>
      <x:c r="G40" s="72" t="str">
        <x:f t="shared" si="0"/>
      </x:c>
      <x:c r="H40" s="73" t="str">
        <x:f t="shared" si="1"/>
      </x:c>
      <x:c r="I40" s="68"/>
      <x:c r="J40" s="74"/>
      <x:c r="K40" s="74"/>
      <x:c r="L40" s="68"/>
      <x:c r="M40" s="69"/>
    </x:row>
    <x:row r="41" ht="6.5" customHeight="1">
      <x:c r="A41" s="68"/>
      <x:c r="B41" s="69"/>
      <x:c r="C41" s="70"/>
      <x:c r="D41" s="68"/>
      <x:c r="E41" s="71"/>
      <x:c r="F41" s="71"/>
      <x:c r="G41" s="72" t="str">
        <x:f t="shared" si="0"/>
      </x:c>
      <x:c r="H41" s="73" t="str">
        <x:f t="shared" si="1"/>
      </x:c>
      <x:c r="I41" s="68"/>
      <x:c r="J41" s="74"/>
      <x:c r="K41" s="74"/>
      <x:c r="L41" s="68"/>
      <x:c r="M41" s="69"/>
    </x:row>
    <x:row r="42" ht="6.5" customHeight="1">
      <x:c r="A42" s="68"/>
      <x:c r="B42" s="69"/>
      <x:c r="C42" s="70"/>
      <x:c r="D42" s="68"/>
      <x:c r="E42" s="71"/>
      <x:c r="F42" s="71"/>
      <x:c r="G42" s="72" t="str">
        <x:f t="shared" si="0"/>
      </x:c>
      <x:c r="H42" s="73" t="str">
        <x:f t="shared" si="1"/>
      </x:c>
      <x:c r="I42" s="68"/>
      <x:c r="J42" s="74"/>
      <x:c r="K42" s="74"/>
      <x:c r="L42" s="68"/>
      <x:c r="M42" s="69"/>
    </x:row>
    <x:row r="43" ht="6.5" customHeight="1">
      <x:c r="A43" s="68"/>
      <x:c r="B43" s="69"/>
      <x:c r="C43" s="70"/>
      <x:c r="D43" s="68"/>
      <x:c r="E43" s="71"/>
      <x:c r="F43" s="71"/>
      <x:c r="G43" s="72" t="str">
        <x:f t="shared" si="0"/>
      </x:c>
      <x:c r="H43" s="73" t="str">
        <x:f t="shared" si="1"/>
      </x:c>
      <x:c r="I43" s="68"/>
      <x:c r="J43" s="74"/>
      <x:c r="K43" s="74"/>
      <x:c r="L43" s="68"/>
      <x:c r="M43" s="69"/>
    </x:row>
    <x:row r="44" ht="6.5" customHeight="1">
      <x:c r="A44" s="68"/>
      <x:c r="B44" s="69"/>
      <x:c r="C44" s="70"/>
      <x:c r="D44" s="68"/>
      <x:c r="E44" s="71"/>
      <x:c r="F44" s="71"/>
      <x:c r="G44" s="72" t="str">
        <x:f t="shared" si="0"/>
      </x:c>
      <x:c r="H44" s="73" t="str">
        <x:f t="shared" si="1"/>
      </x:c>
      <x:c r="I44" s="68"/>
      <x:c r="J44" s="74"/>
      <x:c r="K44" s="74"/>
      <x:c r="L44" s="68"/>
      <x:c r="M44" s="69"/>
    </x:row>
    <x:row r="45" ht="6.5" customHeight="1">
      <x:c r="A45" s="68"/>
      <x:c r="B45" s="69"/>
      <x:c r="C45" s="70"/>
      <x:c r="D45" s="68"/>
      <x:c r="E45" s="71"/>
      <x:c r="F45" s="71"/>
      <x:c r="G45" s="72" t="str">
        <x:f t="shared" si="0"/>
      </x:c>
      <x:c r="H45" s="73" t="str">
        <x:f t="shared" si="1"/>
      </x:c>
      <x:c r="I45" s="68"/>
      <x:c r="J45" s="74"/>
      <x:c r="K45" s="74"/>
      <x:c r="L45" s="68"/>
      <x:c r="M45" s="69"/>
    </x:row>
    <x:row r="46" ht="6.5" customHeight="1">
      <x:c r="A46" s="68"/>
      <x:c r="B46" s="69"/>
      <x:c r="C46" s="70"/>
      <x:c r="D46" s="68"/>
      <x:c r="E46" s="71"/>
      <x:c r="F46" s="71"/>
      <x:c r="G46" s="72" t="str">
        <x:f t="shared" si="0"/>
      </x:c>
      <x:c r="H46" s="73" t="str">
        <x:f t="shared" si="1"/>
      </x:c>
      <x:c r="I46" s="68"/>
      <x:c r="J46" s="74"/>
      <x:c r="K46" s="74"/>
      <x:c r="L46" s="68"/>
      <x:c r="M46" s="69"/>
    </x:row>
    <x:row r="47" ht="6.5" customHeight="1">
      <x:c r="A47" s="68"/>
      <x:c r="B47" s="69"/>
      <x:c r="C47" s="70"/>
      <x:c r="D47" s="68"/>
      <x:c r="E47" s="71"/>
      <x:c r="F47" s="71"/>
      <x:c r="G47" s="72" t="str">
        <x:f t="shared" si="0"/>
      </x:c>
      <x:c r="H47" s="73" t="str">
        <x:f t="shared" si="1"/>
      </x:c>
      <x:c r="I47" s="68"/>
      <x:c r="J47" s="74"/>
      <x:c r="K47" s="74"/>
      <x:c r="L47" s="68"/>
      <x:c r="M47" s="69"/>
    </x:row>
    <x:row r="48" ht="6.5" customHeight="1">
      <x:c r="A48" s="68"/>
      <x:c r="B48" s="69"/>
      <x:c r="C48" s="70"/>
      <x:c r="D48" s="68"/>
      <x:c r="E48" s="71"/>
      <x:c r="F48" s="71"/>
      <x:c r="G48" s="72" t="str">
        <x:f t="shared" si="0"/>
      </x:c>
      <x:c r="H48" s="73" t="str">
        <x:f t="shared" si="1"/>
      </x:c>
      <x:c r="I48" s="68"/>
      <x:c r="J48" s="74"/>
      <x:c r="K48" s="74"/>
      <x:c r="L48" s="68"/>
      <x:c r="M48" s="69"/>
    </x:row>
    <x:row r="49" ht="6.5" customHeight="1">
      <x:c r="A49" s="68"/>
      <x:c r="B49" s="69"/>
      <x:c r="C49" s="70"/>
      <x:c r="D49" s="68"/>
      <x:c r="E49" s="71"/>
      <x:c r="F49" s="71"/>
      <x:c r="G49" s="72" t="str">
        <x:f t="shared" si="0"/>
      </x:c>
      <x:c r="H49" s="73" t="str">
        <x:f t="shared" si="1"/>
      </x:c>
      <x:c r="I49" s="68"/>
      <x:c r="J49" s="74"/>
      <x:c r="K49" s="74"/>
      <x:c r="L49" s="68"/>
      <x:c r="M49" s="69"/>
    </x:row>
    <x:row r="50" ht="6.5" customHeight="1">
      <x:c r="A50" s="68"/>
      <x:c r="B50" s="69"/>
      <x:c r="C50" s="70"/>
      <x:c r="D50" s="68"/>
      <x:c r="E50" s="71"/>
      <x:c r="F50" s="71"/>
      <x:c r="G50" s="72" t="str">
        <x:f t="shared" si="0"/>
      </x:c>
      <x:c r="H50" s="73" t="str">
        <x:f t="shared" si="1"/>
      </x:c>
      <x:c r="I50" s="68"/>
      <x:c r="J50" s="74"/>
      <x:c r="K50" s="74"/>
      <x:c r="L50" s="68"/>
      <x:c r="M50" s="69"/>
    </x:row>
    <x:row r="51" ht="6.5" customHeight="1">
      <x:c r="A51" s="68"/>
      <x:c r="B51" s="69"/>
      <x:c r="C51" s="70"/>
      <x:c r="D51" s="68"/>
      <x:c r="E51" s="71"/>
      <x:c r="F51" s="71"/>
      <x:c r="G51" s="72" t="str">
        <x:f t="shared" si="0"/>
      </x:c>
      <x:c r="H51" s="73" t="str">
        <x:f t="shared" si="1"/>
      </x:c>
      <x:c r="I51" s="68"/>
      <x:c r="J51" s="74"/>
      <x:c r="K51" s="74"/>
      <x:c r="L51" s="68"/>
      <x:c r="M51" s="69"/>
    </x:row>
    <x:row r="52" ht="6.5" customHeight="1">
      <x:c r="A52" s="68"/>
      <x:c r="B52" s="69"/>
      <x:c r="C52" s="70"/>
      <x:c r="D52" s="68"/>
      <x:c r="E52" s="71"/>
      <x:c r="F52" s="71"/>
      <x:c r="G52" s="72" t="str">
        <x:f t="shared" si="0"/>
      </x:c>
      <x:c r="H52" s="73" t="str">
        <x:f t="shared" si="1"/>
      </x:c>
      <x:c r="I52" s="68"/>
      <x:c r="J52" s="74"/>
      <x:c r="K52" s="74"/>
      <x:c r="L52" s="68"/>
      <x:c r="M52" s="69"/>
    </x:row>
    <x:row r="53" ht="6.5" customHeight="1">
      <x:c r="A53" s="68"/>
      <x:c r="B53" s="69"/>
      <x:c r="C53" s="70"/>
      <x:c r="D53" s="68"/>
      <x:c r="E53" s="71"/>
      <x:c r="F53" s="71"/>
      <x:c r="G53" s="72" t="str">
        <x:f t="shared" si="0"/>
      </x:c>
      <x:c r="H53" s="73" t="str">
        <x:f t="shared" si="1"/>
      </x:c>
      <x:c r="I53" s="68"/>
      <x:c r="J53" s="74"/>
      <x:c r="K53" s="74"/>
      <x:c r="L53" s="68"/>
      <x:c r="M53" s="69"/>
    </x:row>
    <x:row r="54" ht="6.5" customHeight="1">
      <x:c r="A54" s="68"/>
      <x:c r="B54" s="69"/>
      <x:c r="C54" s="70"/>
      <x:c r="D54" s="68"/>
      <x:c r="E54" s="71"/>
      <x:c r="F54" s="71"/>
      <x:c r="G54" s="72" t="str">
        <x:f t="shared" si="0"/>
      </x:c>
      <x:c r="H54" s="73" t="str">
        <x:f t="shared" si="1"/>
      </x:c>
      <x:c r="I54" s="68"/>
      <x:c r="J54" s="74"/>
      <x:c r="K54" s="74"/>
      <x:c r="L54" s="68"/>
      <x:c r="M54" s="69"/>
    </x:row>
    <x:row r="55" ht="6.5" customHeight="1">
      <x:c r="A55" s="68"/>
      <x:c r="B55" s="69"/>
      <x:c r="C55" s="70"/>
      <x:c r="D55" s="68"/>
      <x:c r="E55" s="71"/>
      <x:c r="F55" s="71"/>
      <x:c r="G55" s="72" t="str">
        <x:f t="shared" si="0"/>
      </x:c>
      <x:c r="H55" s="73" t="str">
        <x:f t="shared" si="1"/>
      </x:c>
      <x:c r="I55" s="68"/>
      <x:c r="J55" s="74"/>
      <x:c r="K55" s="74"/>
      <x:c r="L55" s="68"/>
      <x:c r="M55" s="69"/>
    </x:row>
    <x:row r="56" ht="6.5" customHeight="1">
      <x:c r="A56" s="68"/>
      <x:c r="B56" s="69"/>
      <x:c r="C56" s="70"/>
      <x:c r="D56" s="68"/>
      <x:c r="E56" s="71"/>
      <x:c r="F56" s="71"/>
      <x:c r="G56" s="72" t="str">
        <x:f t="shared" si="0"/>
      </x:c>
      <x:c r="H56" s="73" t="str">
        <x:f t="shared" si="1"/>
      </x:c>
      <x:c r="I56" s="68"/>
      <x:c r="J56" s="74"/>
      <x:c r="K56" s="74"/>
      <x:c r="L56" s="68"/>
      <x:c r="M56" s="69"/>
    </x:row>
    <x:row r="57" ht="6.5" customHeight="1">
      <x:c r="A57" s="68"/>
      <x:c r="B57" s="69"/>
      <x:c r="C57" s="70"/>
      <x:c r="D57" s="68"/>
      <x:c r="E57" s="71"/>
      <x:c r="F57" s="71"/>
      <x:c r="G57" s="72" t="str">
        <x:f t="shared" si="0"/>
      </x:c>
      <x:c r="H57" s="73" t="str">
        <x:f t="shared" si="1"/>
      </x:c>
      <x:c r="I57" s="68"/>
      <x:c r="J57" s="74"/>
      <x:c r="K57" s="74"/>
      <x:c r="L57" s="68"/>
      <x:c r="M57" s="69"/>
    </x:row>
    <x:row r="58" ht="6.5" customHeight="1">
      <x:c r="A58" s="68"/>
      <x:c r="B58" s="69"/>
      <x:c r="C58" s="70"/>
      <x:c r="D58" s="68"/>
      <x:c r="E58" s="71"/>
      <x:c r="F58" s="71"/>
      <x:c r="G58" s="72" t="str">
        <x:f t="shared" si="0"/>
      </x:c>
      <x:c r="H58" s="73" t="str">
        <x:f t="shared" si="1"/>
      </x:c>
      <x:c r="I58" s="68"/>
      <x:c r="J58" s="74"/>
      <x:c r="K58" s="74"/>
      <x:c r="L58" s="68"/>
      <x:c r="M58" s="69"/>
    </x:row>
    <x:row r="59" ht="6.5" customHeight="1">
      <x:c r="A59" s="68"/>
      <x:c r="B59" s="69"/>
      <x:c r="C59" s="70"/>
      <x:c r="D59" s="68"/>
      <x:c r="E59" s="71"/>
      <x:c r="F59" s="71"/>
      <x:c r="G59" s="72" t="str">
        <x:f t="shared" si="0"/>
      </x:c>
      <x:c r="H59" s="73" t="str">
        <x:f t="shared" si="1"/>
      </x:c>
      <x:c r="I59" s="68"/>
      <x:c r="J59" s="74"/>
      <x:c r="K59" s="74"/>
      <x:c r="L59" s="68"/>
      <x:c r="M59" s="69"/>
    </x:row>
    <x:row r="60" ht="6.5" customHeight="1">
      <x:c r="A60" s="68"/>
      <x:c r="B60" s="69"/>
      <x:c r="C60" s="70"/>
      <x:c r="D60" s="68"/>
      <x:c r="E60" s="71"/>
      <x:c r="F60" s="71"/>
      <x:c r="G60" s="72" t="str">
        <x:f t="shared" si="0"/>
      </x:c>
      <x:c r="H60" s="73" t="str">
        <x:f t="shared" si="1"/>
      </x:c>
      <x:c r="I60" s="68"/>
      <x:c r="J60" s="74"/>
      <x:c r="K60" s="74"/>
      <x:c r="L60" s="68"/>
      <x:c r="M60" s="69"/>
    </x:row>
    <x:row r="61" ht="6.5" customHeight="1">
      <x:c r="A61" s="68"/>
      <x:c r="B61" s="69"/>
      <x:c r="C61" s="70"/>
      <x:c r="D61" s="68"/>
      <x:c r="E61" s="71"/>
      <x:c r="F61" s="71"/>
      <x:c r="G61" s="72" t="str">
        <x:f t="shared" si="0"/>
      </x:c>
      <x:c r="H61" s="73" t="str">
        <x:f t="shared" si="1"/>
      </x:c>
      <x:c r="I61" s="68"/>
      <x:c r="J61" s="74"/>
      <x:c r="K61" s="74"/>
      <x:c r="L61" s="68"/>
      <x:c r="M61" s="69"/>
    </x:row>
    <x:row r="62" ht="6.5" customHeight="1">
      <x:c r="A62" s="68"/>
      <x:c r="B62" s="69"/>
      <x:c r="C62" s="70"/>
      <x:c r="D62" s="68"/>
      <x:c r="E62" s="71"/>
      <x:c r="F62" s="71"/>
      <x:c r="G62" s="72" t="str">
        <x:f t="shared" si="0"/>
      </x:c>
      <x:c r="H62" s="73" t="str">
        <x:f t="shared" si="1"/>
      </x:c>
      <x:c r="I62" s="68"/>
      <x:c r="J62" s="74"/>
      <x:c r="K62" s="74"/>
      <x:c r="L62" s="68"/>
      <x:c r="M62" s="69"/>
    </x:row>
    <x:row r="63" ht="6.5" customHeight="1">
      <x:c r="A63" s="68"/>
      <x:c r="B63" s="69"/>
      <x:c r="C63" s="70"/>
      <x:c r="D63" s="68"/>
      <x:c r="E63" s="71"/>
      <x:c r="F63" s="71"/>
      <x:c r="G63" s="72" t="str">
        <x:f t="shared" si="0"/>
      </x:c>
      <x:c r="H63" s="73" t="str">
        <x:f t="shared" si="1"/>
      </x:c>
      <x:c r="I63" s="68"/>
      <x:c r="J63" s="74"/>
      <x:c r="K63" s="74"/>
      <x:c r="L63" s="68"/>
      <x:c r="M63" s="69"/>
    </x:row>
    <x:row r="64" ht="6.5" customHeight="1">
      <x:c r="A64" s="68"/>
      <x:c r="B64" s="69"/>
      <x:c r="C64" s="70"/>
      <x:c r="D64" s="68"/>
      <x:c r="E64" s="71"/>
      <x:c r="F64" s="71"/>
      <x:c r="G64" s="72" t="str">
        <x:f t="shared" si="0"/>
      </x:c>
      <x:c r="H64" s="73" t="str">
        <x:f t="shared" si="1"/>
      </x:c>
      <x:c r="I64" s="68"/>
      <x:c r="J64" s="74"/>
      <x:c r="K64" s="74"/>
      <x:c r="L64" s="68"/>
      <x:c r="M64" s="69"/>
    </x:row>
    <x:row r="65" ht="6.5" customHeight="1">
      <x:c r="A65" s="68"/>
      <x:c r="B65" s="69"/>
      <x:c r="C65" s="70"/>
      <x:c r="D65" s="68"/>
      <x:c r="E65" s="71"/>
      <x:c r="F65" s="71"/>
      <x:c r="G65" s="72" t="str">
        <x:f t="shared" si="0"/>
      </x:c>
      <x:c r="H65" s="73" t="str">
        <x:f t="shared" si="1"/>
      </x:c>
      <x:c r="I65" s="68"/>
      <x:c r="J65" s="74"/>
      <x:c r="K65" s="74"/>
      <x:c r="L65" s="68"/>
      <x:c r="M65" s="69"/>
    </x:row>
    <x:row r="66" ht="6.5" customHeight="1">
      <x:c r="A66" s="68"/>
      <x:c r="B66" s="69"/>
      <x:c r="C66" s="70"/>
      <x:c r="D66" s="68"/>
      <x:c r="E66" s="71"/>
      <x:c r="F66" s="71"/>
      <x:c r="G66" s="72" t="str">
        <x:f t="shared" si="0"/>
      </x:c>
      <x:c r="H66" s="73" t="str">
        <x:f t="shared" si="1"/>
      </x:c>
      <x:c r="I66" s="68"/>
      <x:c r="J66" s="74"/>
      <x:c r="K66" s="74"/>
      <x:c r="L66" s="68"/>
      <x:c r="M66" s="69"/>
    </x:row>
    <x:row r="67" ht="6.5" customHeight="1">
      <x:c r="A67" s="68"/>
      <x:c r="B67" s="69"/>
      <x:c r="C67" s="70"/>
      <x:c r="D67" s="68"/>
      <x:c r="E67" s="71"/>
      <x:c r="F67" s="71"/>
      <x:c r="G67" s="72" t="str">
        <x:f t="shared" si="0"/>
      </x:c>
      <x:c r="H67" s="73" t="str">
        <x:f t="shared" si="1"/>
      </x:c>
      <x:c r="I67" s="68"/>
      <x:c r="J67" s="74"/>
      <x:c r="K67" s="74"/>
      <x:c r="L67" s="68"/>
      <x:c r="M67" s="69"/>
    </x:row>
    <x:row r="68" ht="6.5" customHeight="1">
      <x:c r="A68" s="68"/>
      <x:c r="B68" s="69"/>
      <x:c r="C68" s="70"/>
      <x:c r="D68" s="68"/>
      <x:c r="E68" s="71"/>
      <x:c r="F68" s="71"/>
      <x:c r="G68" s="72" t="str">
        <x:f t="shared" si="0"/>
      </x:c>
      <x:c r="H68" s="73" t="str">
        <x:f t="shared" si="1"/>
      </x:c>
      <x:c r="I68" s="68"/>
      <x:c r="J68" s="74"/>
      <x:c r="K68" s="74"/>
      <x:c r="L68" s="68"/>
      <x:c r="M68" s="69"/>
    </x:row>
    <x:row r="69" ht="6.5" customHeight="1">
      <x:c r="A69" s="68"/>
      <x:c r="B69" s="69"/>
      <x:c r="C69" s="70"/>
      <x:c r="D69" s="68"/>
      <x:c r="E69" s="71"/>
      <x:c r="F69" s="71"/>
      <x:c r="G69" s="72" t="str">
        <x:f t="shared" si="0"/>
      </x:c>
      <x:c r="H69" s="73" t="str">
        <x:f t="shared" si="1"/>
      </x:c>
      <x:c r="I69" s="68"/>
      <x:c r="J69" s="74"/>
      <x:c r="K69" s="74"/>
      <x:c r="L69" s="68"/>
      <x:c r="M69" s="69"/>
    </x:row>
    <x:row r="70" ht="6.5" customHeight="1">
      <x:c r="A70" s="68"/>
      <x:c r="B70" s="69"/>
      <x:c r="C70" s="70"/>
      <x:c r="D70" s="68"/>
      <x:c r="E70" s="71"/>
      <x:c r="F70" s="71"/>
      <x:c r="G70" s="72" t="str">
        <x:f t="shared" ref="G70:G105" si="2">IF(A70="","",SUMIFS($F$6:F70,$B$6:B70,B70,$C$6:C70,C70))</x:f>
      </x:c>
      <x:c r="H70" s="73" t="str">
        <x:f t="shared" ref="H70:H105" si="3">IF(A70="","",IFERROR(G70/E70,0))</x:f>
      </x:c>
      <x:c r="I70" s="68"/>
      <x:c r="J70" s="74"/>
      <x:c r="K70" s="74"/>
      <x:c r="L70" s="68"/>
      <x:c r="M70" s="69"/>
    </x:row>
    <x:row r="71" ht="6.5" customHeight="1">
      <x:c r="A71" s="68"/>
      <x:c r="B71" s="69"/>
      <x:c r="C71" s="70"/>
      <x:c r="D71" s="68"/>
      <x:c r="E71" s="71"/>
      <x:c r="F71" s="71"/>
      <x:c r="G71" s="72" t="str">
        <x:f t="shared" si="2"/>
      </x:c>
      <x:c r="H71" s="73" t="str">
        <x:f t="shared" si="3"/>
      </x:c>
      <x:c r="I71" s="68"/>
      <x:c r="J71" s="74"/>
      <x:c r="K71" s="74"/>
      <x:c r="L71" s="68"/>
      <x:c r="M71" s="69"/>
    </x:row>
    <x:row r="72" ht="6.5" customHeight="1">
      <x:c r="A72" s="68"/>
      <x:c r="B72" s="69"/>
      <x:c r="C72" s="70"/>
      <x:c r="D72" s="68"/>
      <x:c r="E72" s="71"/>
      <x:c r="F72" s="71"/>
      <x:c r="G72" s="72" t="str">
        <x:f t="shared" si="2"/>
      </x:c>
      <x:c r="H72" s="73" t="str">
        <x:f t="shared" si="3"/>
      </x:c>
      <x:c r="I72" s="68"/>
      <x:c r="J72" s="74"/>
      <x:c r="K72" s="74"/>
      <x:c r="L72" s="68"/>
      <x:c r="M72" s="69"/>
    </x:row>
    <x:row r="73" ht="6.5" customHeight="1">
      <x:c r="A73" s="68"/>
      <x:c r="B73" s="69"/>
      <x:c r="C73" s="70"/>
      <x:c r="D73" s="68"/>
      <x:c r="E73" s="71"/>
      <x:c r="F73" s="71"/>
      <x:c r="G73" s="72" t="str">
        <x:f t="shared" si="2"/>
      </x:c>
      <x:c r="H73" s="73" t="str">
        <x:f t="shared" si="3"/>
      </x:c>
      <x:c r="I73" s="68"/>
      <x:c r="J73" s="74"/>
      <x:c r="K73" s="74"/>
      <x:c r="L73" s="68"/>
      <x:c r="M73" s="69"/>
    </x:row>
    <x:row r="74" ht="6.5" customHeight="1">
      <x:c r="A74" s="68"/>
      <x:c r="B74" s="69"/>
      <x:c r="C74" s="70"/>
      <x:c r="D74" s="68"/>
      <x:c r="E74" s="71"/>
      <x:c r="F74" s="71"/>
      <x:c r="G74" s="72" t="str">
        <x:f t="shared" si="2"/>
      </x:c>
      <x:c r="H74" s="73" t="str">
        <x:f t="shared" si="3"/>
      </x:c>
      <x:c r="I74" s="68"/>
      <x:c r="J74" s="74"/>
      <x:c r="K74" s="74"/>
      <x:c r="L74" s="68"/>
      <x:c r="M74" s="69"/>
    </x:row>
    <x:row r="75" ht="6.5" customHeight="1">
      <x:c r="A75" s="68"/>
      <x:c r="B75" s="69"/>
      <x:c r="C75" s="70"/>
      <x:c r="D75" s="68"/>
      <x:c r="E75" s="71"/>
      <x:c r="F75" s="71"/>
      <x:c r="G75" s="72" t="str">
        <x:f t="shared" si="2"/>
      </x:c>
      <x:c r="H75" s="73" t="str">
        <x:f t="shared" si="3"/>
      </x:c>
      <x:c r="I75" s="68"/>
      <x:c r="J75" s="74"/>
      <x:c r="K75" s="74"/>
      <x:c r="L75" s="68"/>
      <x:c r="M75" s="69"/>
    </x:row>
    <x:row r="76" ht="6.5" customHeight="1">
      <x:c r="A76" s="68"/>
      <x:c r="B76" s="69"/>
      <x:c r="C76" s="70"/>
      <x:c r="D76" s="68"/>
      <x:c r="E76" s="71"/>
      <x:c r="F76" s="71"/>
      <x:c r="G76" s="72" t="str">
        <x:f t="shared" si="2"/>
      </x:c>
      <x:c r="H76" s="73" t="str">
        <x:f t="shared" si="3"/>
      </x:c>
      <x:c r="I76" s="68"/>
      <x:c r="J76" s="74"/>
      <x:c r="K76" s="74"/>
      <x:c r="L76" s="68"/>
      <x:c r="M76" s="69"/>
    </x:row>
    <x:row r="77" ht="6.5" customHeight="1">
      <x:c r="A77" s="68"/>
      <x:c r="B77" s="69"/>
      <x:c r="C77" s="70"/>
      <x:c r="D77" s="68"/>
      <x:c r="E77" s="71"/>
      <x:c r="F77" s="71"/>
      <x:c r="G77" s="72" t="str">
        <x:f t="shared" si="2"/>
      </x:c>
      <x:c r="H77" s="73" t="str">
        <x:f t="shared" si="3"/>
      </x:c>
      <x:c r="I77" s="68"/>
      <x:c r="J77" s="74"/>
      <x:c r="K77" s="74"/>
      <x:c r="L77" s="68"/>
      <x:c r="M77" s="69"/>
    </x:row>
    <x:row r="78" ht="6.5" customHeight="1">
      <x:c r="A78" s="68"/>
      <x:c r="B78" s="69"/>
      <x:c r="C78" s="70"/>
      <x:c r="D78" s="68"/>
      <x:c r="E78" s="71"/>
      <x:c r="F78" s="71"/>
      <x:c r="G78" s="72" t="str">
        <x:f t="shared" si="2"/>
      </x:c>
      <x:c r="H78" s="73" t="str">
        <x:f t="shared" si="3"/>
      </x:c>
      <x:c r="I78" s="68"/>
      <x:c r="J78" s="74"/>
      <x:c r="K78" s="74"/>
      <x:c r="L78" s="68"/>
      <x:c r="M78" s="69"/>
    </x:row>
    <x:row r="79" ht="6.5" customHeight="1">
      <x:c r="A79" s="68"/>
      <x:c r="B79" s="69"/>
      <x:c r="C79" s="70"/>
      <x:c r="D79" s="68"/>
      <x:c r="E79" s="71"/>
      <x:c r="F79" s="71"/>
      <x:c r="G79" s="72" t="str">
        <x:f t="shared" si="2"/>
      </x:c>
      <x:c r="H79" s="73" t="str">
        <x:f t="shared" si="3"/>
      </x:c>
      <x:c r="I79" s="68"/>
      <x:c r="J79" s="74"/>
      <x:c r="K79" s="74"/>
      <x:c r="L79" s="68"/>
      <x:c r="M79" s="69"/>
    </x:row>
    <x:row r="80" ht="6.5" customHeight="1">
      <x:c r="A80" s="68"/>
      <x:c r="B80" s="69"/>
      <x:c r="C80" s="70"/>
      <x:c r="D80" s="68"/>
      <x:c r="E80" s="71"/>
      <x:c r="F80" s="71"/>
      <x:c r="G80" s="72" t="str">
        <x:f t="shared" si="2"/>
      </x:c>
      <x:c r="H80" s="73" t="str">
        <x:f t="shared" si="3"/>
      </x:c>
      <x:c r="I80" s="68"/>
      <x:c r="J80" s="74"/>
      <x:c r="K80" s="74"/>
      <x:c r="L80" s="68"/>
      <x:c r="M80" s="69"/>
    </x:row>
    <x:row r="81" ht="6.5" customHeight="1">
      <x:c r="A81" s="68"/>
      <x:c r="B81" s="69"/>
      <x:c r="C81" s="70"/>
      <x:c r="D81" s="68"/>
      <x:c r="E81" s="71"/>
      <x:c r="F81" s="71"/>
      <x:c r="G81" s="72" t="str">
        <x:f t="shared" si="2"/>
      </x:c>
      <x:c r="H81" s="73" t="str">
        <x:f t="shared" si="3"/>
      </x:c>
      <x:c r="I81" s="68"/>
      <x:c r="J81" s="74"/>
      <x:c r="K81" s="74"/>
      <x:c r="L81" s="68"/>
      <x:c r="M81" s="69"/>
    </x:row>
    <x:row r="82" ht="6.5" customHeight="1">
      <x:c r="A82" s="68"/>
      <x:c r="B82" s="69"/>
      <x:c r="C82" s="70"/>
      <x:c r="D82" s="68"/>
      <x:c r="E82" s="71"/>
      <x:c r="F82" s="71"/>
      <x:c r="G82" s="72" t="str">
        <x:f t="shared" si="2"/>
      </x:c>
      <x:c r="H82" s="73" t="str">
        <x:f t="shared" si="3"/>
      </x:c>
      <x:c r="I82" s="68"/>
      <x:c r="J82" s="74"/>
      <x:c r="K82" s="74"/>
      <x:c r="L82" s="68"/>
      <x:c r="M82" s="69"/>
    </x:row>
    <x:row r="83" ht="6.5" customHeight="1">
      <x:c r="A83" s="68"/>
      <x:c r="B83" s="69"/>
      <x:c r="C83" s="70"/>
      <x:c r="D83" s="68"/>
      <x:c r="E83" s="71"/>
      <x:c r="F83" s="71"/>
      <x:c r="G83" s="72" t="str">
        <x:f t="shared" si="2"/>
      </x:c>
      <x:c r="H83" s="73" t="str">
        <x:f t="shared" si="3"/>
      </x:c>
      <x:c r="I83" s="68"/>
      <x:c r="J83" s="74"/>
      <x:c r="K83" s="74"/>
      <x:c r="L83" s="68"/>
      <x:c r="M83" s="69"/>
    </x:row>
    <x:row r="84" ht="6.5" customHeight="1">
      <x:c r="A84" s="68"/>
      <x:c r="B84" s="69"/>
      <x:c r="C84" s="70"/>
      <x:c r="D84" s="68"/>
      <x:c r="E84" s="71"/>
      <x:c r="F84" s="71"/>
      <x:c r="G84" s="72" t="str">
        <x:f t="shared" si="2"/>
      </x:c>
      <x:c r="H84" s="73" t="str">
        <x:f t="shared" si="3"/>
      </x:c>
      <x:c r="I84" s="68"/>
      <x:c r="J84" s="74"/>
      <x:c r="K84" s="74"/>
      <x:c r="L84" s="68"/>
      <x:c r="M84" s="69"/>
    </x:row>
    <x:row r="85" ht="6.5" customHeight="1">
      <x:c r="A85" s="68"/>
      <x:c r="B85" s="69"/>
      <x:c r="C85" s="70"/>
      <x:c r="D85" s="68"/>
      <x:c r="E85" s="71"/>
      <x:c r="F85" s="71"/>
      <x:c r="G85" s="72" t="str">
        <x:f t="shared" si="2"/>
      </x:c>
      <x:c r="H85" s="73" t="str">
        <x:f t="shared" si="3"/>
      </x:c>
      <x:c r="I85" s="68"/>
      <x:c r="J85" s="74"/>
      <x:c r="K85" s="74"/>
      <x:c r="L85" s="68"/>
      <x:c r="M85" s="69"/>
    </x:row>
    <x:row r="86" ht="6.5" customHeight="1">
      <x:c r="A86" s="68"/>
      <x:c r="B86" s="69"/>
      <x:c r="C86" s="70"/>
      <x:c r="D86" s="68"/>
      <x:c r="E86" s="71"/>
      <x:c r="F86" s="71"/>
      <x:c r="G86" s="72" t="str">
        <x:f t="shared" si="2"/>
      </x:c>
      <x:c r="H86" s="73" t="str">
        <x:f t="shared" si="3"/>
      </x:c>
      <x:c r="I86" s="68"/>
      <x:c r="J86" s="74"/>
      <x:c r="K86" s="74"/>
      <x:c r="L86" s="68"/>
      <x:c r="M86" s="69"/>
    </x:row>
    <x:row r="87" ht="6.5" customHeight="1">
      <x:c r="A87" s="68"/>
      <x:c r="B87" s="69"/>
      <x:c r="C87" s="70"/>
      <x:c r="D87" s="68"/>
      <x:c r="E87" s="71"/>
      <x:c r="F87" s="71"/>
      <x:c r="G87" s="72" t="str">
        <x:f t="shared" si="2"/>
      </x:c>
      <x:c r="H87" s="73" t="str">
        <x:f t="shared" si="3"/>
      </x:c>
      <x:c r="I87" s="68"/>
      <x:c r="J87" s="74"/>
      <x:c r="K87" s="74"/>
      <x:c r="L87" s="68"/>
      <x:c r="M87" s="69"/>
    </x:row>
    <x:row r="88" ht="6.5" customHeight="1">
      <x:c r="A88" s="68"/>
      <x:c r="B88" s="69"/>
      <x:c r="C88" s="70"/>
      <x:c r="D88" s="68"/>
      <x:c r="E88" s="71"/>
      <x:c r="F88" s="71"/>
      <x:c r="G88" s="72" t="str">
        <x:f t="shared" si="2"/>
      </x:c>
      <x:c r="H88" s="73" t="str">
        <x:f t="shared" si="3"/>
      </x:c>
      <x:c r="I88" s="68"/>
      <x:c r="J88" s="74"/>
      <x:c r="K88" s="74"/>
      <x:c r="L88" s="68"/>
      <x:c r="M88" s="69"/>
    </x:row>
    <x:row r="89" ht="6.5" customHeight="1">
      <x:c r="A89" s="68"/>
      <x:c r="B89" s="69"/>
      <x:c r="C89" s="70"/>
      <x:c r="D89" s="68"/>
      <x:c r="E89" s="71"/>
      <x:c r="F89" s="71"/>
      <x:c r="G89" s="72" t="str">
        <x:f t="shared" si="2"/>
      </x:c>
      <x:c r="H89" s="73" t="str">
        <x:f t="shared" si="3"/>
      </x:c>
      <x:c r="I89" s="68"/>
      <x:c r="J89" s="74"/>
      <x:c r="K89" s="74"/>
      <x:c r="L89" s="68"/>
      <x:c r="M89" s="69"/>
    </x:row>
    <x:row r="90" ht="6.5" customHeight="1">
      <x:c r="A90" s="68"/>
      <x:c r="B90" s="69"/>
      <x:c r="C90" s="70"/>
      <x:c r="D90" s="68"/>
      <x:c r="E90" s="71"/>
      <x:c r="F90" s="71"/>
      <x:c r="G90" s="72" t="str">
        <x:f t="shared" si="2"/>
      </x:c>
      <x:c r="H90" s="73" t="str">
        <x:f t="shared" si="3"/>
      </x:c>
      <x:c r="I90" s="68"/>
      <x:c r="J90" s="74"/>
      <x:c r="K90" s="74"/>
      <x:c r="L90" s="68"/>
      <x:c r="M90" s="69"/>
    </x:row>
    <x:row r="91" ht="6.5" customHeight="1">
      <x:c r="A91" s="68"/>
      <x:c r="B91" s="69"/>
      <x:c r="C91" s="70"/>
      <x:c r="D91" s="68"/>
      <x:c r="E91" s="71"/>
      <x:c r="F91" s="71"/>
      <x:c r="G91" s="72" t="str">
        <x:f t="shared" si="2"/>
      </x:c>
      <x:c r="H91" s="73" t="str">
        <x:f t="shared" si="3"/>
      </x:c>
      <x:c r="I91" s="68"/>
      <x:c r="J91" s="74"/>
      <x:c r="K91" s="74"/>
      <x:c r="L91" s="68"/>
      <x:c r="M91" s="69"/>
    </x:row>
    <x:row r="92" ht="6.5" customHeight="1">
      <x:c r="A92" s="68"/>
      <x:c r="B92" s="69"/>
      <x:c r="C92" s="70"/>
      <x:c r="D92" s="68"/>
      <x:c r="E92" s="71"/>
      <x:c r="F92" s="71"/>
      <x:c r="G92" s="72" t="str">
        <x:f t="shared" si="2"/>
      </x:c>
      <x:c r="H92" s="73" t="str">
        <x:f t="shared" si="3"/>
      </x:c>
      <x:c r="I92" s="68"/>
      <x:c r="J92" s="74"/>
      <x:c r="K92" s="74"/>
      <x:c r="L92" s="68"/>
      <x:c r="M92" s="69"/>
    </x:row>
    <x:row r="93" ht="6.5" customHeight="1">
      <x:c r="A93" s="68"/>
      <x:c r="B93" s="69"/>
      <x:c r="C93" s="70"/>
      <x:c r="D93" s="68"/>
      <x:c r="E93" s="71"/>
      <x:c r="F93" s="71"/>
      <x:c r="G93" s="72" t="str">
        <x:f t="shared" si="2"/>
      </x:c>
      <x:c r="H93" s="73" t="str">
        <x:f t="shared" si="3"/>
      </x:c>
      <x:c r="I93" s="68"/>
      <x:c r="J93" s="74"/>
      <x:c r="K93" s="74"/>
      <x:c r="L93" s="68"/>
      <x:c r="M93" s="69"/>
    </x:row>
    <x:row r="94" ht="6.5" customHeight="1">
      <x:c r="A94" s="68"/>
      <x:c r="B94" s="69"/>
      <x:c r="C94" s="70"/>
      <x:c r="D94" s="68"/>
      <x:c r="E94" s="71"/>
      <x:c r="F94" s="71"/>
      <x:c r="G94" s="72" t="str">
        <x:f t="shared" si="2"/>
      </x:c>
      <x:c r="H94" s="73" t="str">
        <x:f t="shared" si="3"/>
      </x:c>
      <x:c r="I94" s="68"/>
      <x:c r="J94" s="74"/>
      <x:c r="K94" s="74"/>
      <x:c r="L94" s="68"/>
      <x:c r="M94" s="69"/>
    </x:row>
    <x:row r="95" ht="6.5" customHeight="1">
      <x:c r="A95" s="68"/>
      <x:c r="B95" s="69"/>
      <x:c r="C95" s="70"/>
      <x:c r="D95" s="68"/>
      <x:c r="E95" s="71"/>
      <x:c r="F95" s="71"/>
      <x:c r="G95" s="72" t="str">
        <x:f t="shared" si="2"/>
      </x:c>
      <x:c r="H95" s="73" t="str">
        <x:f t="shared" si="3"/>
      </x:c>
      <x:c r="I95" s="68"/>
      <x:c r="J95" s="74"/>
      <x:c r="K95" s="74"/>
      <x:c r="L95" s="68"/>
      <x:c r="M95" s="69"/>
    </x:row>
    <x:row r="96" ht="6.5" customHeight="1">
      <x:c r="A96" s="68"/>
      <x:c r="B96" s="69"/>
      <x:c r="C96" s="70"/>
      <x:c r="D96" s="68"/>
      <x:c r="E96" s="71"/>
      <x:c r="F96" s="71"/>
      <x:c r="G96" s="72" t="str">
        <x:f t="shared" si="2"/>
      </x:c>
      <x:c r="H96" s="73" t="str">
        <x:f t="shared" si="3"/>
      </x:c>
      <x:c r="I96" s="68"/>
      <x:c r="J96" s="74"/>
      <x:c r="K96" s="74"/>
      <x:c r="L96" s="68"/>
      <x:c r="M96" s="69"/>
    </x:row>
    <x:row r="97" ht="6.5" customHeight="1">
      <x:c r="A97" s="68"/>
      <x:c r="B97" s="69"/>
      <x:c r="C97" s="70"/>
      <x:c r="D97" s="68"/>
      <x:c r="E97" s="71"/>
      <x:c r="F97" s="71"/>
      <x:c r="G97" s="72" t="str">
        <x:f t="shared" si="2"/>
      </x:c>
      <x:c r="H97" s="73" t="str">
        <x:f t="shared" si="3"/>
      </x:c>
      <x:c r="I97" s="68"/>
      <x:c r="J97" s="74"/>
      <x:c r="K97" s="74"/>
      <x:c r="L97" s="68"/>
      <x:c r="M97" s="69"/>
    </x:row>
    <x:row r="98" ht="6.5" customHeight="1">
      <x:c r="A98" s="68"/>
      <x:c r="B98" s="69"/>
      <x:c r="C98" s="70"/>
      <x:c r="D98" s="68"/>
      <x:c r="E98" s="71"/>
      <x:c r="F98" s="71"/>
      <x:c r="G98" s="72" t="str">
        <x:f t="shared" si="2"/>
      </x:c>
      <x:c r="H98" s="73" t="str">
        <x:f t="shared" si="3"/>
      </x:c>
      <x:c r="I98" s="68"/>
      <x:c r="J98" s="74"/>
      <x:c r="K98" s="74"/>
      <x:c r="L98" s="68"/>
      <x:c r="M98" s="69"/>
    </x:row>
    <x:row r="99" ht="6.5" customHeight="1">
      <x:c r="A99" s="68"/>
      <x:c r="B99" s="69"/>
      <x:c r="C99" s="70"/>
      <x:c r="D99" s="68"/>
      <x:c r="E99" s="71"/>
      <x:c r="F99" s="71"/>
      <x:c r="G99" s="72" t="str">
        <x:f t="shared" si="2"/>
      </x:c>
      <x:c r="H99" s="73" t="str">
        <x:f t="shared" si="3"/>
      </x:c>
      <x:c r="I99" s="68"/>
      <x:c r="J99" s="74"/>
      <x:c r="K99" s="74"/>
      <x:c r="L99" s="68"/>
      <x:c r="M99" s="69"/>
    </x:row>
    <x:row r="100" ht="6.5" customHeight="1">
      <x:c r="A100" s="68"/>
      <x:c r="B100" s="69"/>
      <x:c r="C100" s="70"/>
      <x:c r="D100" s="68"/>
      <x:c r="E100" s="71"/>
      <x:c r="F100" s="71"/>
      <x:c r="G100" s="72" t="str">
        <x:f t="shared" si="2"/>
      </x:c>
      <x:c r="H100" s="73" t="str">
        <x:f t="shared" si="3"/>
      </x:c>
      <x:c r="I100" s="68"/>
      <x:c r="J100" s="74"/>
      <x:c r="K100" s="74"/>
      <x:c r="L100" s="68"/>
      <x:c r="M100" s="69"/>
    </x:row>
    <x:row r="101" ht="6.5" customHeight="1">
      <x:c r="A101" s="68"/>
      <x:c r="B101" s="69"/>
      <x:c r="C101" s="70"/>
      <x:c r="D101" s="68"/>
      <x:c r="E101" s="71"/>
      <x:c r="F101" s="71"/>
      <x:c r="G101" s="72" t="str">
        <x:f t="shared" si="2"/>
      </x:c>
      <x:c r="H101" s="73" t="str">
        <x:f t="shared" si="3"/>
      </x:c>
      <x:c r="I101" s="68"/>
      <x:c r="J101" s="74"/>
      <x:c r="K101" s="74"/>
      <x:c r="L101" s="68"/>
      <x:c r="M101" s="69"/>
    </x:row>
    <x:row r="102" ht="6.5" customHeight="1">
      <x:c r="A102" s="68"/>
      <x:c r="B102" s="69"/>
      <x:c r="C102" s="70"/>
      <x:c r="D102" s="68"/>
      <x:c r="E102" s="71"/>
      <x:c r="F102" s="71"/>
      <x:c r="G102" s="72" t="str">
        <x:f t="shared" si="2"/>
      </x:c>
      <x:c r="H102" s="73" t="str">
        <x:f t="shared" si="3"/>
      </x:c>
      <x:c r="I102" s="68"/>
      <x:c r="J102" s="74"/>
      <x:c r="K102" s="74"/>
      <x:c r="L102" s="68"/>
      <x:c r="M102" s="69"/>
    </x:row>
    <x:row r="103" ht="6.5" customHeight="1">
      <x:c r="A103" s="68"/>
      <x:c r="B103" s="69"/>
      <x:c r="C103" s="70"/>
      <x:c r="D103" s="68"/>
      <x:c r="E103" s="71"/>
      <x:c r="F103" s="71"/>
      <x:c r="G103" s="72" t="str">
        <x:f t="shared" si="2"/>
      </x:c>
      <x:c r="H103" s="73" t="str">
        <x:f t="shared" si="3"/>
      </x:c>
      <x:c r="I103" s="68"/>
      <x:c r="J103" s="74"/>
      <x:c r="K103" s="74"/>
      <x:c r="L103" s="68"/>
      <x:c r="M103" s="69"/>
    </x:row>
    <x:row r="104" ht="6.5" customHeight="1">
      <x:c r="A104" s="68"/>
      <x:c r="B104" s="69"/>
      <x:c r="C104" s="70"/>
      <x:c r="D104" s="68"/>
      <x:c r="E104" s="71"/>
      <x:c r="F104" s="71"/>
      <x:c r="G104" s="72" t="str">
        <x:f t="shared" si="2"/>
      </x:c>
      <x:c r="H104" s="73" t="str">
        <x:f t="shared" si="3"/>
      </x:c>
      <x:c r="I104" s="68"/>
      <x:c r="J104" s="74"/>
      <x:c r="K104" s="74"/>
      <x:c r="L104" s="68"/>
      <x:c r="M104" s="69"/>
    </x:row>
    <x:row r="105" ht="6.5" customHeight="1">
      <x:c r="A105" s="68"/>
      <x:c r="B105" s="69"/>
      <x:c r="C105" s="70"/>
      <x:c r="D105" s="68"/>
      <x:c r="E105" s="71"/>
      <x:c r="F105" s="71"/>
      <x:c r="G105" s="72" t="str">
        <x:f t="shared" si="2"/>
      </x:c>
      <x:c r="H105" s="73" t="str">
        <x:f t="shared" si="3"/>
      </x:c>
      <x:c r="I105" s="68"/>
      <x:c r="J105" s="74"/>
      <x:c r="K105" s="74"/>
      <x:c r="L105" s="68"/>
      <x:c r="M105" s="69"/>
    </x:row>
  </x:sheetData>
  <x:mergeCells>
    <x:mergeCell ref="A1:M1"/>
    <x:mergeCell ref="A2:M2"/>
    <x:mergeCell ref="A3:M3"/>
  </x:mergeCells>
  <x:conditionalFormatting sqref="G6:G105">
    <x:cfRule type="dataBar" priority="1">
      <x:dataBar>
        <x:cfvo type="min"/>
        <x:cfvo type="max"/>
        <x:color rgb="FFE8F4F4"/>
      </x:dataBar>
    </x:cfRule>
    <x:cfRule type="dataBar" priority="2">
      <x:dataBar>
        <x:cfvo type="min"/>
        <x:cfvo type="max"/>
        <x:color rgb="FFE8F4F4"/>
      </x:dataBar>
    </x:cfRule>
    <x:cfRule type="dataBar" priority="4">
      <x:dataBar>
        <x:cfvo type="min"/>
        <x:cfvo type="max"/>
        <x:color rgb="FFE8F4F4"/>
      </x:dataBar>
    </x:cfRule>
    <x:cfRule type="dataBar" priority="6">
      <x:dataBar>
        <x:cfvo type="min"/>
        <x:cfvo type="max"/>
        <x:color rgb="FFE8F4F4"/>
      </x:dataBar>
      <x:extLst>
        <x:ext xmlns:x14="http://schemas.microsoft.com/office/spreadsheetml/2009/9/main" uri="{B025F937-C7B1-47D3-B67F-A62EFF666E3E}">
          <x14:id>{1BDB8642-C99B-45A4-A39A-F48C122B76D7}</x14:id>
        </x:ext>
      </x:extLst>
    </x:cfRule>
  </x:conditionalFormatting>
  <x:conditionalFormatting sqref="H6:H105">
    <x:cfRule type="dataBar" priority="3">
      <x:dataBar>
        <x:cfvo type="min"/>
        <x:cfvo type="max"/>
        <x:color rgb="FF175B72"/>
      </x:dataBar>
    </x:cfRule>
    <x:cfRule type="dataBar" priority="5">
      <x:dataBar>
        <x:cfvo type="min"/>
        <x:cfvo type="max"/>
        <x:color rgb="FF175B72"/>
      </x:dataBar>
    </x:cfRule>
    <x:cfRule type="dataBar" priority="7">
      <x:dataBar>
        <x:cfvo type="min"/>
        <x:cfvo type="max"/>
        <x:color rgb="FF175B72"/>
      </x:dataBar>
      <x:extLst>
        <x:ext xmlns:x14="http://schemas.microsoft.com/office/spreadsheetml/2009/9/main" uri="{B025F937-C7B1-47D3-B67F-A62EFF666E3E}">
          <x14:id>{CB30F313-E5F9-4971-AD65-553A1399BD80}</x14:id>
        </x:ext>
      </x:extLst>
    </x:cfRule>
  </x:conditionalFormatting>
  <x:dataValidations count="3">
    <x:dataValidation type="list" sqref="D6:D105">
      <x:formula1>"Januari,Februari,Maret,April,Mei,Juni,Juli,Agustus,September,Oktober,November,Desember"</x:formula1>
    </x:dataValidation>
    <x:dataValidation type="list" sqref="I6:I105">
      <x:formula1>"Belum Diverifikasi,Sudah Diverifikasi"</x:formula1>
    </x:dataValidation>
    <x:dataValidation type="list" sqref="G6:H105">
      <x:formula1>"Belum Diverifikasi,Terverifikasi,Perlu Perbaikan"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d94f72c7029422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1BDB8642-C99B-45A4-A39A-F48C122B76D7}">
            <x14:dataBar>
              <x14:cfvo type="min"/>
              <x14:cfvo type="max"/>
              <x14:fillColor rgb="FFE8F4F4"/>
              <x14:negativeFillColor auto="1"/>
              <x14:axisColor auto="1"/>
            </x14:dataBar>
          </x14:cfRule>
          <xm:sqref>G6:G105</xm:sqref>
        </x14:conditionalFormatting>
        <x14:conditionalFormatting>
          <x14:cfRule type="dataBar" priority="7" id="{CB30F313-E5F9-4971-AD65-553A1399BD80}">
            <x14:dataBar>
              <x14:cfvo type="min"/>
              <x14:cfvo type="max"/>
              <x14:fillColor rgb="FF175B72"/>
              <x14:negativeFillColor auto="1"/>
              <x14:axisColor auto="1"/>
            </x14:dataBar>
          </x14:cfRule>
          <xm:sqref>H6:H105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FormatPr defaultRowHeight="14"/>
  <x:cols>
    <x:col min="1" max="1" width="16" customWidth="1"/>
    <x:col min="2" max="3" width="28" customWidth="1"/>
    <x:col min="4" max="4" width="24" customWidth="1"/>
    <x:col min="5" max="5" width="22" customWidth="1"/>
    <x:col min="6" max="6" width="14" style="75" customWidth="1"/>
    <x:col min="7" max="7" width="36" customWidth="1"/>
    <x:col min="8" max="8" width="24" customWidth="1"/>
    <x:col min="9" max="9" width="20" customWidth="1"/>
    <x:col min="10" max="10" width="13" customWidth="1"/>
    <x:col min="11" max="11" width="30" customWidth="1"/>
    <x:col min="12" max="12" width="20" customWidth="1"/>
    <x:col min="13" max="13" width="16" customWidth="1"/>
    <x:col min="14" max="14" width="20" customWidth="1"/>
  </x:cols>
  <x:sheetData>
    <x:row r="1" ht="13.399999618530273" customHeight="1">
      <x:c r="A1" s="77" t="s">
        <x:v>941</x:v>
      </x:c>
      <x:c r="B1" s="77"/>
      <x:c r="C1" s="77"/>
      <x:c r="D1" s="77"/>
      <x:c r="E1" s="77"/>
      <x:c r="F1" s="77"/>
      <x:c r="G1" s="77"/>
      <x:c r="H1" s="77"/>
      <x:c r="I1" s="77"/>
      <x:c r="J1" s="77"/>
      <x:c r="K1" s="77"/>
      <x:c r="L1" s="77"/>
      <x:c r="M1" s="77"/>
      <x:c r="N1" s="77"/>
    </x:row>
    <x:row r="2" ht="11.649999618530273" customHeight="1">
      <x:c r="A2" s="79" t="s">
        <x:v>942</x:v>
      </x:c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</x:row>
    <x:row r="3" ht="13.399999618530273" customHeight="1">
      <x:c r="A3" s="80" t="s">
        <x:v>851</x:v>
      </x:c>
      <x:c r="B3" s="80"/>
      <x:c r="C3" s="80"/>
      <x:c r="D3" s="80"/>
      <x:c r="E3" s="80"/>
      <x:c r="F3" s="80"/>
      <x:c r="G3" s="80"/>
      <x:c r="H3" s="80"/>
      <x:c r="I3" s="80"/>
      <x:c r="J3" s="80"/>
      <x:c r="K3" s="80"/>
      <x:c r="L3" s="80"/>
      <x:c r="M3" s="80"/>
      <x:c r="N3" s="80"/>
    </x:row>
    <x:row r="5" ht="18.649999618530273" customHeight="1">
      <x:c r="A5" s="1" t="s">
        <x:v>943</x:v>
      </x:c>
      <x:c r="B5" s="2" t="s">
        <x:v>881</x:v>
      </x:c>
      <x:c r="C5" s="2" t="s">
        <x:v>944</x:v>
      </x:c>
      <x:c r="D5" s="2" t="s">
        <x:v>945</x:v>
      </x:c>
      <x:c r="E5" s="2" t="s">
        <x:v>946</x:v>
      </x:c>
      <x:c r="F5" s="76" t="s">
        <x:v>947</x:v>
      </x:c>
      <x:c r="G5" s="2" t="s">
        <x:v>948</x:v>
      </x:c>
      <x:c r="H5" s="2" t="s">
        <x:v>949</x:v>
      </x:c>
      <x:c r="I5" s="2" t="s">
        <x:v>950</x:v>
      </x:c>
      <x:c r="J5" s="2" t="s">
        <x:v>26</x:v>
      </x:c>
      <x:c r="K5" s="2" t="s">
        <x:v>27</x:v>
      </x:c>
      <x:c r="L5" s="2" t="s">
        <x:v>28</x:v>
      </x:c>
      <x:c r="M5" s="2" t="s">
        <x:v>29</x:v>
      </x:c>
      <x:c r="N5" s="3" t="s">
        <x:v>30</x:v>
      </x:c>
    </x:row>
    <x:row r="6" ht="9.75" customHeight="1">
      <x:c r="A6" s="31"/>
      <x:c r="B6" s="10"/>
      <x:c r="C6" s="10" t="s">
        <x:v>951</x:v>
      </x:c>
      <x:c r="D6" s="4"/>
      <x:c r="E6" s="10" t="s">
        <x:v>952</x:v>
      </x:c>
      <x:c r="F6" s="10" t="s">
        <x:v>953</x:v>
      </x:c>
      <x:c r="G6" s="10"/>
      <x:c r="H6" s="10"/>
      <x:c r="I6" s="13"/>
      <x:c r="J6" s="19"/>
      <x:c r="K6" s="10"/>
      <x:c r="L6" s="10"/>
      <x:c r="M6" s="13"/>
      <x:c r="N6" s="34"/>
    </x:row>
    <x:row r="7" ht="9.75" customHeight="1">
      <x:c r="A7" s="32"/>
      <x:c r="B7" s="11"/>
      <x:c r="C7" s="11" t="s">
        <x:v>954</x:v>
      </x:c>
      <x:c r="D7" s="6"/>
      <x:c r="E7" s="11" t="s">
        <x:v>892</x:v>
      </x:c>
      <x:c r="F7" s="11" t="s">
        <x:v>953</x:v>
      </x:c>
      <x:c r="G7" s="11"/>
      <x:c r="H7" s="11"/>
      <x:c r="I7" s="14"/>
      <x:c r="J7" s="20"/>
      <x:c r="K7" s="11"/>
      <x:c r="L7" s="11"/>
      <x:c r="M7" s="14"/>
      <x:c r="N7" s="35"/>
    </x:row>
    <x:row r="8" ht="9.75" customHeight="1">
      <x:c r="A8" s="32"/>
      <x:c r="B8" s="11"/>
      <x:c r="C8" s="11" t="s">
        <x:v>955</x:v>
      </x:c>
      <x:c r="D8" s="6"/>
      <x:c r="E8" s="11" t="s">
        <x:v>909</x:v>
      </x:c>
      <x:c r="F8" s="11" t="s">
        <x:v>956</x:v>
      </x:c>
      <x:c r="G8" s="11"/>
      <x:c r="H8" s="11"/>
      <x:c r="I8" s="14"/>
      <x:c r="J8" s="20"/>
      <x:c r="K8" s="11"/>
      <x:c r="L8" s="11"/>
      <x:c r="M8" s="14"/>
      <x:c r="N8" s="35"/>
    </x:row>
    <x:row r="9" ht="9.75" customHeight="1">
      <x:c r="A9" s="32"/>
      <x:c r="B9" s="11"/>
      <x:c r="C9" s="11" t="s">
        <x:v>957</x:v>
      </x:c>
      <x:c r="D9" s="6"/>
      <x:c r="E9" s="11" t="s">
        <x:v>952</x:v>
      </x:c>
      <x:c r="F9" s="11" t="s">
        <x:v>953</x:v>
      </x:c>
      <x:c r="G9" s="11"/>
      <x:c r="H9" s="11"/>
      <x:c r="I9" s="14"/>
      <x:c r="J9" s="20"/>
      <x:c r="K9" s="11"/>
      <x:c r="L9" s="11"/>
      <x:c r="M9" s="14"/>
      <x:c r="N9" s="35"/>
    </x:row>
    <x:row r="10" ht="9.75" customHeight="1">
      <x:c r="A10" s="32"/>
      <x:c r="B10" s="11"/>
      <x:c r="C10" s="11" t="s">
        <x:v>958</x:v>
      </x:c>
      <x:c r="D10" s="6"/>
      <x:c r="E10" s="11" t="s">
        <x:v>895</x:v>
      </x:c>
      <x:c r="F10" s="11" t="s">
        <x:v>953</x:v>
      </x:c>
      <x:c r="G10" s="11"/>
      <x:c r="H10" s="11"/>
      <x:c r="I10" s="14"/>
      <x:c r="J10" s="20"/>
      <x:c r="K10" s="11"/>
      <x:c r="L10" s="11"/>
      <x:c r="M10" s="14"/>
      <x:c r="N10" s="35"/>
    </x:row>
    <x:row r="11" ht="9.75" customHeight="1">
      <x:c r="A11" s="32"/>
      <x:c r="B11" s="11"/>
      <x:c r="C11" s="11" t="s">
        <x:v>959</x:v>
      </x:c>
      <x:c r="D11" s="6"/>
      <x:c r="E11" s="11" t="s">
        <x:v>895</x:v>
      </x:c>
      <x:c r="F11" s="11" t="s">
        <x:v>953</x:v>
      </x:c>
      <x:c r="G11" s="11"/>
      <x:c r="H11" s="11"/>
      <x:c r="I11" s="14"/>
      <x:c r="J11" s="20"/>
      <x:c r="K11" s="11"/>
      <x:c r="L11" s="11"/>
      <x:c r="M11" s="14"/>
      <x:c r="N11" s="35"/>
    </x:row>
    <x:row r="12" ht="9.75" customHeight="1">
      <x:c r="A12" s="32"/>
      <x:c r="B12" s="11"/>
      <x:c r="C12" s="11" t="s">
        <x:v>960</x:v>
      </x:c>
      <x:c r="D12" s="6"/>
      <x:c r="E12" s="11" t="s">
        <x:v>952</x:v>
      </x:c>
      <x:c r="F12" s="11" t="s">
        <x:v>953</x:v>
      </x:c>
      <x:c r="G12" s="11"/>
      <x:c r="H12" s="11"/>
      <x:c r="I12" s="14"/>
      <x:c r="J12" s="20"/>
      <x:c r="K12" s="11"/>
      <x:c r="L12" s="11"/>
      <x:c r="M12" s="14"/>
      <x:c r="N12" s="35"/>
    </x:row>
    <x:row r="13" ht="9.75" customHeight="1">
      <x:c r="A13" s="32"/>
      <x:c r="B13" s="11"/>
      <x:c r="C13" s="11"/>
      <x:c r="D13" s="6"/>
      <x:c r="E13" s="11"/>
      <x:c r="F13" s="11"/>
      <x:c r="G13" s="11"/>
      <x:c r="H13" s="11"/>
      <x:c r="I13" s="14"/>
      <x:c r="J13" s="20"/>
      <x:c r="K13" s="11"/>
      <x:c r="L13" s="11"/>
      <x:c r="M13" s="14"/>
      <x:c r="N13" s="35"/>
    </x:row>
    <x:row r="14" ht="9.75" customHeight="1">
      <x:c r="A14" s="32"/>
      <x:c r="B14" s="11"/>
      <x:c r="C14" s="11"/>
      <x:c r="D14" s="6"/>
      <x:c r="E14" s="11"/>
      <x:c r="F14" s="11"/>
      <x:c r="G14" s="11"/>
      <x:c r="H14" s="11"/>
      <x:c r="I14" s="14"/>
      <x:c r="J14" s="20"/>
      <x:c r="K14" s="11"/>
      <x:c r="L14" s="11"/>
      <x:c r="M14" s="14"/>
      <x:c r="N14" s="35"/>
    </x:row>
    <x:row r="15" ht="9.75" customHeight="1">
      <x:c r="A15" s="32"/>
      <x:c r="B15" s="11"/>
      <x:c r="C15" s="11"/>
      <x:c r="D15" s="6"/>
      <x:c r="E15" s="11"/>
      <x:c r="F15" s="11"/>
      <x:c r="G15" s="11"/>
      <x:c r="H15" s="11"/>
      <x:c r="I15" s="14"/>
      <x:c r="J15" s="20"/>
      <x:c r="K15" s="11"/>
      <x:c r="L15" s="11"/>
      <x:c r="M15" s="14"/>
      <x:c r="N15" s="35"/>
    </x:row>
    <x:row r="16" ht="9.75" customHeight="1">
      <x:c r="A16" s="32"/>
      <x:c r="B16" s="11"/>
      <x:c r="C16" s="11"/>
      <x:c r="D16" s="6"/>
      <x:c r="E16" s="11"/>
      <x:c r="F16" s="11"/>
      <x:c r="G16" s="11"/>
      <x:c r="H16" s="11"/>
      <x:c r="I16" s="14"/>
      <x:c r="J16" s="20"/>
      <x:c r="K16" s="11"/>
      <x:c r="L16" s="11"/>
      <x:c r="M16" s="14"/>
      <x:c r="N16" s="35"/>
    </x:row>
    <x:row r="17" ht="9.75" customHeight="1">
      <x:c r="A17" s="32"/>
      <x:c r="B17" s="11"/>
      <x:c r="C17" s="11"/>
      <x:c r="D17" s="6"/>
      <x:c r="E17" s="11"/>
      <x:c r="F17" s="11"/>
      <x:c r="G17" s="11"/>
      <x:c r="H17" s="11"/>
      <x:c r="I17" s="14"/>
      <x:c r="J17" s="20"/>
      <x:c r="K17" s="11"/>
      <x:c r="L17" s="11"/>
      <x:c r="M17" s="14"/>
      <x:c r="N17" s="35"/>
    </x:row>
    <x:row r="18" ht="9.75" customHeight="1">
      <x:c r="A18" s="32"/>
      <x:c r="B18" s="11"/>
      <x:c r="C18" s="11"/>
      <x:c r="D18" s="6"/>
      <x:c r="E18" s="11"/>
      <x:c r="F18" s="11"/>
      <x:c r="G18" s="11"/>
      <x:c r="H18" s="11"/>
      <x:c r="I18" s="14"/>
      <x:c r="J18" s="20"/>
      <x:c r="K18" s="11"/>
      <x:c r="L18" s="11"/>
      <x:c r="M18" s="14"/>
      <x:c r="N18" s="35"/>
    </x:row>
    <x:row r="19" ht="9.75" customHeight="1">
      <x:c r="A19" s="32"/>
      <x:c r="B19" s="11"/>
      <x:c r="C19" s="11"/>
      <x:c r="D19" s="6"/>
      <x:c r="E19" s="11"/>
      <x:c r="F19" s="11"/>
      <x:c r="G19" s="11"/>
      <x:c r="H19" s="11"/>
      <x:c r="I19" s="14"/>
      <x:c r="J19" s="20"/>
      <x:c r="K19" s="11"/>
      <x:c r="L19" s="11"/>
      <x:c r="M19" s="14"/>
      <x:c r="N19" s="35"/>
    </x:row>
    <x:row r="20" ht="9.75" customHeight="1">
      <x:c r="A20" s="32"/>
      <x:c r="B20" s="11"/>
      <x:c r="C20" s="11"/>
      <x:c r="D20" s="6"/>
      <x:c r="E20" s="11"/>
      <x:c r="F20" s="11"/>
      <x:c r="G20" s="11"/>
      <x:c r="H20" s="11"/>
      <x:c r="I20" s="14"/>
      <x:c r="J20" s="20"/>
      <x:c r="K20" s="11"/>
      <x:c r="L20" s="11"/>
      <x:c r="M20" s="14"/>
      <x:c r="N20" s="35"/>
    </x:row>
    <x:row r="21" ht="9.75" customHeight="1">
      <x:c r="A21" s="32"/>
      <x:c r="B21" s="11"/>
      <x:c r="C21" s="11"/>
      <x:c r="D21" s="6"/>
      <x:c r="E21" s="11"/>
      <x:c r="F21" s="11"/>
      <x:c r="G21" s="11"/>
      <x:c r="H21" s="11"/>
      <x:c r="I21" s="14"/>
      <x:c r="J21" s="20"/>
      <x:c r="K21" s="11"/>
      <x:c r="L21" s="11"/>
      <x:c r="M21" s="14"/>
      <x:c r="N21" s="35"/>
    </x:row>
    <x:row r="22" ht="9.75" customHeight="1">
      <x:c r="A22" s="32"/>
      <x:c r="B22" s="11"/>
      <x:c r="C22" s="11"/>
      <x:c r="D22" s="6"/>
      <x:c r="E22" s="11"/>
      <x:c r="F22" s="11"/>
      <x:c r="G22" s="11"/>
      <x:c r="H22" s="11"/>
      <x:c r="I22" s="14"/>
      <x:c r="J22" s="20"/>
      <x:c r="K22" s="11"/>
      <x:c r="L22" s="11"/>
      <x:c r="M22" s="14"/>
      <x:c r="N22" s="35"/>
    </x:row>
    <x:row r="23" ht="9.75" customHeight="1">
      <x:c r="A23" s="32"/>
      <x:c r="B23" s="11"/>
      <x:c r="C23" s="11"/>
      <x:c r="D23" s="6"/>
      <x:c r="E23" s="11"/>
      <x:c r="F23" s="11"/>
      <x:c r="G23" s="11"/>
      <x:c r="H23" s="11"/>
      <x:c r="I23" s="14"/>
      <x:c r="J23" s="20"/>
      <x:c r="K23" s="11"/>
      <x:c r="L23" s="11"/>
      <x:c r="M23" s="14"/>
      <x:c r="N23" s="35"/>
    </x:row>
    <x:row r="24" ht="9.75" customHeight="1">
      <x:c r="A24" s="32"/>
      <x:c r="B24" s="11"/>
      <x:c r="C24" s="11"/>
      <x:c r="D24" s="6"/>
      <x:c r="E24" s="11"/>
      <x:c r="F24" s="11"/>
      <x:c r="G24" s="11"/>
      <x:c r="H24" s="11"/>
      <x:c r="I24" s="14"/>
      <x:c r="J24" s="20"/>
      <x:c r="K24" s="11"/>
      <x:c r="L24" s="11"/>
      <x:c r="M24" s="14"/>
      <x:c r="N24" s="35"/>
    </x:row>
    <x:row r="25" ht="9.75" customHeight="1">
      <x:c r="A25" s="32"/>
      <x:c r="B25" s="11"/>
      <x:c r="C25" s="11"/>
      <x:c r="D25" s="6"/>
      <x:c r="E25" s="11"/>
      <x:c r="F25" s="11"/>
      <x:c r="G25" s="11"/>
      <x:c r="H25" s="11"/>
      <x:c r="I25" s="14"/>
      <x:c r="J25" s="20"/>
      <x:c r="K25" s="11"/>
      <x:c r="L25" s="11"/>
      <x:c r="M25" s="14"/>
      <x:c r="N25" s="35"/>
    </x:row>
    <x:row r="26" ht="9.75" customHeight="1">
      <x:c r="A26" s="32"/>
      <x:c r="B26" s="11"/>
      <x:c r="C26" s="11"/>
      <x:c r="D26" s="6"/>
      <x:c r="E26" s="11"/>
      <x:c r="F26" s="11"/>
      <x:c r="G26" s="11"/>
      <x:c r="H26" s="11"/>
      <x:c r="I26" s="14"/>
      <x:c r="J26" s="20"/>
      <x:c r="K26" s="11"/>
      <x:c r="L26" s="11"/>
      <x:c r="M26" s="14"/>
      <x:c r="N26" s="35"/>
    </x:row>
    <x:row r="27" ht="9.75" customHeight="1">
      <x:c r="A27" s="32"/>
      <x:c r="B27" s="11"/>
      <x:c r="C27" s="11"/>
      <x:c r="D27" s="6"/>
      <x:c r="E27" s="11"/>
      <x:c r="F27" s="11"/>
      <x:c r="G27" s="11"/>
      <x:c r="H27" s="11"/>
      <x:c r="I27" s="14"/>
      <x:c r="J27" s="20"/>
      <x:c r="K27" s="11"/>
      <x:c r="L27" s="11"/>
      <x:c r="M27" s="14"/>
      <x:c r="N27" s="35"/>
    </x:row>
    <x:row r="28" ht="9.75" customHeight="1">
      <x:c r="A28" s="32"/>
      <x:c r="B28" s="11"/>
      <x:c r="C28" s="11"/>
      <x:c r="D28" s="6"/>
      <x:c r="E28" s="11"/>
      <x:c r="F28" s="11"/>
      <x:c r="G28" s="11"/>
      <x:c r="H28" s="11"/>
      <x:c r="I28" s="14"/>
      <x:c r="J28" s="20"/>
      <x:c r="K28" s="11"/>
      <x:c r="L28" s="11"/>
      <x:c r="M28" s="14"/>
      <x:c r="N28" s="35"/>
    </x:row>
    <x:row r="29" ht="9.75" customHeight="1">
      <x:c r="A29" s="32"/>
      <x:c r="B29" s="11"/>
      <x:c r="C29" s="11"/>
      <x:c r="D29" s="6"/>
      <x:c r="E29" s="11"/>
      <x:c r="F29" s="11"/>
      <x:c r="G29" s="11"/>
      <x:c r="H29" s="11"/>
      <x:c r="I29" s="14"/>
      <x:c r="J29" s="20"/>
      <x:c r="K29" s="11"/>
      <x:c r="L29" s="11"/>
      <x:c r="M29" s="14"/>
      <x:c r="N29" s="35"/>
    </x:row>
    <x:row r="30" ht="9.75" customHeight="1">
      <x:c r="A30" s="32"/>
      <x:c r="B30" s="11"/>
      <x:c r="C30" s="11"/>
      <x:c r="D30" s="6"/>
      <x:c r="E30" s="11"/>
      <x:c r="F30" s="11"/>
      <x:c r="G30" s="11"/>
      <x:c r="H30" s="11"/>
      <x:c r="I30" s="14"/>
      <x:c r="J30" s="20"/>
      <x:c r="K30" s="11"/>
      <x:c r="L30" s="11"/>
      <x:c r="M30" s="14"/>
      <x:c r="N30" s="35"/>
    </x:row>
    <x:row r="31" ht="9.75" customHeight="1">
      <x:c r="A31" s="32"/>
      <x:c r="B31" s="11"/>
      <x:c r="C31" s="11"/>
      <x:c r="D31" s="6"/>
      <x:c r="E31" s="11"/>
      <x:c r="F31" s="11"/>
      <x:c r="G31" s="11"/>
      <x:c r="H31" s="11"/>
      <x:c r="I31" s="14"/>
      <x:c r="J31" s="20"/>
      <x:c r="K31" s="11"/>
      <x:c r="L31" s="11"/>
      <x:c r="M31" s="14"/>
      <x:c r="N31" s="35"/>
    </x:row>
    <x:row r="32" ht="9.75" customHeight="1">
      <x:c r="A32" s="32"/>
      <x:c r="B32" s="11"/>
      <x:c r="C32" s="11"/>
      <x:c r="D32" s="6"/>
      <x:c r="E32" s="11"/>
      <x:c r="F32" s="11"/>
      <x:c r="G32" s="11"/>
      <x:c r="H32" s="11"/>
      <x:c r="I32" s="14"/>
      <x:c r="J32" s="20"/>
      <x:c r="K32" s="11"/>
      <x:c r="L32" s="11"/>
      <x:c r="M32" s="14"/>
      <x:c r="N32" s="35"/>
    </x:row>
    <x:row r="33" ht="9.75" customHeight="1">
      <x:c r="A33" s="32"/>
      <x:c r="B33" s="11"/>
      <x:c r="C33" s="11"/>
      <x:c r="D33" s="6"/>
      <x:c r="E33" s="11"/>
      <x:c r="F33" s="11"/>
      <x:c r="G33" s="11"/>
      <x:c r="H33" s="11"/>
      <x:c r="I33" s="14"/>
      <x:c r="J33" s="20"/>
      <x:c r="K33" s="11"/>
      <x:c r="L33" s="11"/>
      <x:c r="M33" s="14"/>
      <x:c r="N33" s="35"/>
    </x:row>
    <x:row r="34" ht="9.75" customHeight="1">
      <x:c r="A34" s="32"/>
      <x:c r="B34" s="11"/>
      <x:c r="C34" s="11"/>
      <x:c r="D34" s="6"/>
      <x:c r="E34" s="11"/>
      <x:c r="F34" s="11"/>
      <x:c r="G34" s="11"/>
      <x:c r="H34" s="11"/>
      <x:c r="I34" s="14"/>
      <x:c r="J34" s="20"/>
      <x:c r="K34" s="11"/>
      <x:c r="L34" s="11"/>
      <x:c r="M34" s="14"/>
      <x:c r="N34" s="35"/>
    </x:row>
    <x:row r="35" ht="9.75" customHeight="1">
      <x:c r="A35" s="32"/>
      <x:c r="B35" s="11"/>
      <x:c r="C35" s="11"/>
      <x:c r="D35" s="6"/>
      <x:c r="E35" s="11"/>
      <x:c r="F35" s="11"/>
      <x:c r="G35" s="11"/>
      <x:c r="H35" s="11"/>
      <x:c r="I35" s="14"/>
      <x:c r="J35" s="20"/>
      <x:c r="K35" s="11"/>
      <x:c r="L35" s="11"/>
      <x:c r="M35" s="14"/>
      <x:c r="N35" s="35"/>
    </x:row>
    <x:row r="36" ht="9.75" customHeight="1">
      <x:c r="A36" s="32"/>
      <x:c r="B36" s="11"/>
      <x:c r="C36" s="11"/>
      <x:c r="D36" s="6"/>
      <x:c r="E36" s="11"/>
      <x:c r="F36" s="11"/>
      <x:c r="G36" s="11"/>
      <x:c r="H36" s="11"/>
      <x:c r="I36" s="14"/>
      <x:c r="J36" s="20"/>
      <x:c r="K36" s="11"/>
      <x:c r="L36" s="11"/>
      <x:c r="M36" s="14"/>
      <x:c r="N36" s="35"/>
    </x:row>
    <x:row r="37" ht="9.75" customHeight="1">
      <x:c r="A37" s="32"/>
      <x:c r="B37" s="11"/>
      <x:c r="C37" s="11"/>
      <x:c r="D37" s="6"/>
      <x:c r="E37" s="11"/>
      <x:c r="F37" s="11"/>
      <x:c r="G37" s="11"/>
      <x:c r="H37" s="11"/>
      <x:c r="I37" s="14"/>
      <x:c r="J37" s="20"/>
      <x:c r="K37" s="11"/>
      <x:c r="L37" s="11"/>
      <x:c r="M37" s="14"/>
      <x:c r="N37" s="35"/>
    </x:row>
    <x:row r="38" ht="9.75" customHeight="1">
      <x:c r="A38" s="32"/>
      <x:c r="B38" s="11"/>
      <x:c r="C38" s="11"/>
      <x:c r="D38" s="6"/>
      <x:c r="E38" s="11"/>
      <x:c r="F38" s="11"/>
      <x:c r="G38" s="11"/>
      <x:c r="H38" s="11"/>
      <x:c r="I38" s="14"/>
      <x:c r="J38" s="20"/>
      <x:c r="K38" s="11"/>
      <x:c r="L38" s="11"/>
      <x:c r="M38" s="14"/>
      <x:c r="N38" s="35"/>
    </x:row>
    <x:row r="39" ht="9.75" customHeight="1">
      <x:c r="A39" s="32"/>
      <x:c r="B39" s="11"/>
      <x:c r="C39" s="11"/>
      <x:c r="D39" s="6"/>
      <x:c r="E39" s="11"/>
      <x:c r="F39" s="11"/>
      <x:c r="G39" s="11"/>
      <x:c r="H39" s="11"/>
      <x:c r="I39" s="14"/>
      <x:c r="J39" s="20"/>
      <x:c r="K39" s="11"/>
      <x:c r="L39" s="11"/>
      <x:c r="M39" s="14"/>
      <x:c r="N39" s="35"/>
    </x:row>
    <x:row r="40" ht="9.75" customHeight="1">
      <x:c r="A40" s="32"/>
      <x:c r="B40" s="11"/>
      <x:c r="C40" s="11"/>
      <x:c r="D40" s="6"/>
      <x:c r="E40" s="11"/>
      <x:c r="F40" s="11"/>
      <x:c r="G40" s="11"/>
      <x:c r="H40" s="11"/>
      <x:c r="I40" s="14"/>
      <x:c r="J40" s="20"/>
      <x:c r="K40" s="11"/>
      <x:c r="L40" s="11"/>
      <x:c r="M40" s="14"/>
      <x:c r="N40" s="35"/>
    </x:row>
    <x:row r="41" ht="9.75" customHeight="1">
      <x:c r="A41" s="32"/>
      <x:c r="B41" s="11"/>
      <x:c r="C41" s="11"/>
      <x:c r="D41" s="6"/>
      <x:c r="E41" s="11"/>
      <x:c r="F41" s="11"/>
      <x:c r="G41" s="11"/>
      <x:c r="H41" s="11"/>
      <x:c r="I41" s="14"/>
      <x:c r="J41" s="20"/>
      <x:c r="K41" s="11"/>
      <x:c r="L41" s="11"/>
      <x:c r="M41" s="14"/>
      <x:c r="N41" s="35"/>
    </x:row>
    <x:row r="42" ht="9.75" customHeight="1">
      <x:c r="A42" s="32"/>
      <x:c r="B42" s="11"/>
      <x:c r="C42" s="11"/>
      <x:c r="D42" s="6"/>
      <x:c r="E42" s="11"/>
      <x:c r="F42" s="11"/>
      <x:c r="G42" s="11"/>
      <x:c r="H42" s="11"/>
      <x:c r="I42" s="14"/>
      <x:c r="J42" s="20"/>
      <x:c r="K42" s="11"/>
      <x:c r="L42" s="11"/>
      <x:c r="M42" s="14"/>
      <x:c r="N42" s="35"/>
    </x:row>
    <x:row r="43" ht="9.75" customHeight="1">
      <x:c r="A43" s="32"/>
      <x:c r="B43" s="11"/>
      <x:c r="C43" s="11"/>
      <x:c r="D43" s="6"/>
      <x:c r="E43" s="11"/>
      <x:c r="F43" s="11"/>
      <x:c r="G43" s="11"/>
      <x:c r="H43" s="11"/>
      <x:c r="I43" s="14"/>
      <x:c r="J43" s="20"/>
      <x:c r="K43" s="11"/>
      <x:c r="L43" s="11"/>
      <x:c r="M43" s="14"/>
      <x:c r="N43" s="35"/>
    </x:row>
    <x:row r="44" ht="9.75" customHeight="1">
      <x:c r="A44" s="32"/>
      <x:c r="B44" s="11"/>
      <x:c r="C44" s="11"/>
      <x:c r="D44" s="6"/>
      <x:c r="E44" s="11"/>
      <x:c r="F44" s="11"/>
      <x:c r="G44" s="11"/>
      <x:c r="H44" s="11"/>
      <x:c r="I44" s="14"/>
      <x:c r="J44" s="20"/>
      <x:c r="K44" s="11"/>
      <x:c r="L44" s="11"/>
      <x:c r="M44" s="14"/>
      <x:c r="N44" s="35"/>
    </x:row>
    <x:row r="45" ht="9.75" customHeight="1">
      <x:c r="A45" s="32"/>
      <x:c r="B45" s="11"/>
      <x:c r="C45" s="11"/>
      <x:c r="D45" s="6"/>
      <x:c r="E45" s="11"/>
      <x:c r="F45" s="11"/>
      <x:c r="G45" s="11"/>
      <x:c r="H45" s="11"/>
      <x:c r="I45" s="14"/>
      <x:c r="J45" s="20"/>
      <x:c r="K45" s="11"/>
      <x:c r="L45" s="11"/>
      <x:c r="M45" s="14"/>
      <x:c r="N45" s="35"/>
    </x:row>
    <x:row r="46" ht="9.75" customHeight="1">
      <x:c r="A46" s="32"/>
      <x:c r="B46" s="11"/>
      <x:c r="C46" s="11"/>
      <x:c r="D46" s="6"/>
      <x:c r="E46" s="11"/>
      <x:c r="F46" s="11"/>
      <x:c r="G46" s="11"/>
      <x:c r="H46" s="11"/>
      <x:c r="I46" s="14"/>
      <x:c r="J46" s="20"/>
      <x:c r="K46" s="11"/>
      <x:c r="L46" s="11"/>
      <x:c r="M46" s="14"/>
      <x:c r="N46" s="35"/>
    </x:row>
    <x:row r="47" ht="9.75" customHeight="1">
      <x:c r="A47" s="32"/>
      <x:c r="B47" s="11"/>
      <x:c r="C47" s="11"/>
      <x:c r="D47" s="6"/>
      <x:c r="E47" s="11"/>
      <x:c r="F47" s="11"/>
      <x:c r="G47" s="11"/>
      <x:c r="H47" s="11"/>
      <x:c r="I47" s="14"/>
      <x:c r="J47" s="20"/>
      <x:c r="K47" s="11"/>
      <x:c r="L47" s="11"/>
      <x:c r="M47" s="14"/>
      <x:c r="N47" s="35"/>
    </x:row>
    <x:row r="48" ht="9.75" customHeight="1">
      <x:c r="A48" s="32"/>
      <x:c r="B48" s="11"/>
      <x:c r="C48" s="11"/>
      <x:c r="D48" s="6"/>
      <x:c r="E48" s="11"/>
      <x:c r="F48" s="11"/>
      <x:c r="G48" s="11"/>
      <x:c r="H48" s="11"/>
      <x:c r="I48" s="14"/>
      <x:c r="J48" s="20"/>
      <x:c r="K48" s="11"/>
      <x:c r="L48" s="11"/>
      <x:c r="M48" s="14"/>
      <x:c r="N48" s="35"/>
    </x:row>
    <x:row r="49" ht="9.75" customHeight="1">
      <x:c r="A49" s="32"/>
      <x:c r="B49" s="11"/>
      <x:c r="C49" s="11"/>
      <x:c r="D49" s="6"/>
      <x:c r="E49" s="11"/>
      <x:c r="F49" s="11"/>
      <x:c r="G49" s="11"/>
      <x:c r="H49" s="11"/>
      <x:c r="I49" s="14"/>
      <x:c r="J49" s="20"/>
      <x:c r="K49" s="11"/>
      <x:c r="L49" s="11"/>
      <x:c r="M49" s="14"/>
      <x:c r="N49" s="35"/>
    </x:row>
    <x:row r="50" ht="9.75" customHeight="1">
      <x:c r="A50" s="32"/>
      <x:c r="B50" s="11"/>
      <x:c r="C50" s="11"/>
      <x:c r="D50" s="6"/>
      <x:c r="E50" s="11"/>
      <x:c r="F50" s="11"/>
      <x:c r="G50" s="11"/>
      <x:c r="H50" s="11"/>
      <x:c r="I50" s="14"/>
      <x:c r="J50" s="20"/>
      <x:c r="K50" s="11"/>
      <x:c r="L50" s="11"/>
      <x:c r="M50" s="14"/>
      <x:c r="N50" s="35"/>
    </x:row>
    <x:row r="51" ht="9.75" customHeight="1">
      <x:c r="A51" s="32"/>
      <x:c r="B51" s="11"/>
      <x:c r="C51" s="11"/>
      <x:c r="D51" s="6"/>
      <x:c r="E51" s="11"/>
      <x:c r="F51" s="11"/>
      <x:c r="G51" s="11"/>
      <x:c r="H51" s="11"/>
      <x:c r="I51" s="14"/>
      <x:c r="J51" s="20"/>
      <x:c r="K51" s="11"/>
      <x:c r="L51" s="11"/>
      <x:c r="M51" s="14"/>
      <x:c r="N51" s="35"/>
    </x:row>
    <x:row r="52" ht="9.75" customHeight="1">
      <x:c r="A52" s="32"/>
      <x:c r="B52" s="11"/>
      <x:c r="C52" s="11"/>
      <x:c r="D52" s="6"/>
      <x:c r="E52" s="11"/>
      <x:c r="F52" s="11"/>
      <x:c r="G52" s="11"/>
      <x:c r="H52" s="11"/>
      <x:c r="I52" s="14"/>
      <x:c r="J52" s="20"/>
      <x:c r="K52" s="11"/>
      <x:c r="L52" s="11"/>
      <x:c r="M52" s="14"/>
      <x:c r="N52" s="35"/>
    </x:row>
    <x:row r="53" ht="9.75" customHeight="1">
      <x:c r="A53" s="32"/>
      <x:c r="B53" s="11"/>
      <x:c r="C53" s="11"/>
      <x:c r="D53" s="6"/>
      <x:c r="E53" s="11"/>
      <x:c r="F53" s="11"/>
      <x:c r="G53" s="11"/>
      <x:c r="H53" s="11"/>
      <x:c r="I53" s="14"/>
      <x:c r="J53" s="20"/>
      <x:c r="K53" s="11"/>
      <x:c r="L53" s="11"/>
      <x:c r="M53" s="14"/>
      <x:c r="N53" s="35"/>
    </x:row>
    <x:row r="54" ht="9.75" customHeight="1">
      <x:c r="A54" s="32"/>
      <x:c r="B54" s="11"/>
      <x:c r="C54" s="11"/>
      <x:c r="D54" s="6"/>
      <x:c r="E54" s="11"/>
      <x:c r="F54" s="11"/>
      <x:c r="G54" s="11"/>
      <x:c r="H54" s="11"/>
      <x:c r="I54" s="14"/>
      <x:c r="J54" s="20"/>
      <x:c r="K54" s="11"/>
      <x:c r="L54" s="11"/>
      <x:c r="M54" s="14"/>
      <x:c r="N54" s="35"/>
    </x:row>
    <x:row r="55" ht="9.75" customHeight="1">
      <x:c r="A55" s="32"/>
      <x:c r="B55" s="11"/>
      <x:c r="C55" s="11"/>
      <x:c r="D55" s="6"/>
      <x:c r="E55" s="11"/>
      <x:c r="F55" s="11"/>
      <x:c r="G55" s="11"/>
      <x:c r="H55" s="11"/>
      <x:c r="I55" s="14"/>
      <x:c r="J55" s="20"/>
      <x:c r="K55" s="11"/>
      <x:c r="L55" s="11"/>
      <x:c r="M55" s="14"/>
      <x:c r="N55" s="35"/>
    </x:row>
    <x:row r="56" ht="9.75" customHeight="1">
      <x:c r="A56" s="32"/>
      <x:c r="B56" s="11"/>
      <x:c r="C56" s="11"/>
      <x:c r="D56" s="6"/>
      <x:c r="E56" s="11"/>
      <x:c r="F56" s="11"/>
      <x:c r="G56" s="11"/>
      <x:c r="H56" s="11"/>
      <x:c r="I56" s="14"/>
      <x:c r="J56" s="20"/>
      <x:c r="K56" s="11"/>
      <x:c r="L56" s="11"/>
      <x:c r="M56" s="14"/>
      <x:c r="N56" s="35"/>
    </x:row>
    <x:row r="57" ht="9.75" customHeight="1">
      <x:c r="A57" s="32"/>
      <x:c r="B57" s="11"/>
      <x:c r="C57" s="11"/>
      <x:c r="D57" s="6"/>
      <x:c r="E57" s="11"/>
      <x:c r="F57" s="11"/>
      <x:c r="G57" s="11"/>
      <x:c r="H57" s="11"/>
      <x:c r="I57" s="14"/>
      <x:c r="J57" s="20"/>
      <x:c r="K57" s="11"/>
      <x:c r="L57" s="11"/>
      <x:c r="M57" s="14"/>
      <x:c r="N57" s="35"/>
    </x:row>
    <x:row r="58" ht="9.75" customHeight="1">
      <x:c r="A58" s="32"/>
      <x:c r="B58" s="11"/>
      <x:c r="C58" s="11"/>
      <x:c r="D58" s="6"/>
      <x:c r="E58" s="11"/>
      <x:c r="F58" s="11"/>
      <x:c r="G58" s="11"/>
      <x:c r="H58" s="11"/>
      <x:c r="I58" s="14"/>
      <x:c r="J58" s="20"/>
      <x:c r="K58" s="11"/>
      <x:c r="L58" s="11"/>
      <x:c r="M58" s="14"/>
      <x:c r="N58" s="35"/>
    </x:row>
    <x:row r="59" ht="9.75" customHeight="1">
      <x:c r="A59" s="32"/>
      <x:c r="B59" s="11"/>
      <x:c r="C59" s="11"/>
      <x:c r="D59" s="6"/>
      <x:c r="E59" s="11"/>
      <x:c r="F59" s="11"/>
      <x:c r="G59" s="11"/>
      <x:c r="H59" s="11"/>
      <x:c r="I59" s="14"/>
      <x:c r="J59" s="20"/>
      <x:c r="K59" s="11"/>
      <x:c r="L59" s="11"/>
      <x:c r="M59" s="14"/>
      <x:c r="N59" s="35"/>
    </x:row>
    <x:row r="60" ht="9.75" customHeight="1">
      <x:c r="A60" s="32"/>
      <x:c r="B60" s="11"/>
      <x:c r="C60" s="11"/>
      <x:c r="D60" s="6"/>
      <x:c r="E60" s="11"/>
      <x:c r="F60" s="11"/>
      <x:c r="G60" s="11"/>
      <x:c r="H60" s="11"/>
      <x:c r="I60" s="14"/>
      <x:c r="J60" s="20"/>
      <x:c r="K60" s="11"/>
      <x:c r="L60" s="11"/>
      <x:c r="M60" s="14"/>
      <x:c r="N60" s="35"/>
    </x:row>
    <x:row r="61" ht="9.75" customHeight="1">
      <x:c r="A61" s="32"/>
      <x:c r="B61" s="11"/>
      <x:c r="C61" s="11"/>
      <x:c r="D61" s="6"/>
      <x:c r="E61" s="11"/>
      <x:c r="F61" s="11"/>
      <x:c r="G61" s="11"/>
      <x:c r="H61" s="11"/>
      <x:c r="I61" s="14"/>
      <x:c r="J61" s="20"/>
      <x:c r="K61" s="11"/>
      <x:c r="L61" s="11"/>
      <x:c r="M61" s="14"/>
      <x:c r="N61" s="35"/>
    </x:row>
    <x:row r="62" ht="9.75" customHeight="1">
      <x:c r="A62" s="32"/>
      <x:c r="B62" s="11"/>
      <x:c r="C62" s="11"/>
      <x:c r="D62" s="6"/>
      <x:c r="E62" s="11"/>
      <x:c r="F62" s="11"/>
      <x:c r="G62" s="11"/>
      <x:c r="H62" s="11"/>
      <x:c r="I62" s="14"/>
      <x:c r="J62" s="20"/>
      <x:c r="K62" s="11"/>
      <x:c r="L62" s="11"/>
      <x:c r="M62" s="14"/>
      <x:c r="N62" s="35"/>
    </x:row>
    <x:row r="63" ht="9.75" customHeight="1">
      <x:c r="A63" s="32"/>
      <x:c r="B63" s="11"/>
      <x:c r="C63" s="11"/>
      <x:c r="D63" s="6"/>
      <x:c r="E63" s="11"/>
      <x:c r="F63" s="11"/>
      <x:c r="G63" s="11"/>
      <x:c r="H63" s="11"/>
      <x:c r="I63" s="14"/>
      <x:c r="J63" s="20"/>
      <x:c r="K63" s="11"/>
      <x:c r="L63" s="11"/>
      <x:c r="M63" s="14"/>
      <x:c r="N63" s="35"/>
    </x:row>
    <x:row r="64" ht="9.75" customHeight="1">
      <x:c r="A64" s="32"/>
      <x:c r="B64" s="11"/>
      <x:c r="C64" s="11"/>
      <x:c r="D64" s="6"/>
      <x:c r="E64" s="11"/>
      <x:c r="F64" s="11"/>
      <x:c r="G64" s="11"/>
      <x:c r="H64" s="11"/>
      <x:c r="I64" s="14"/>
      <x:c r="J64" s="20"/>
      <x:c r="K64" s="11"/>
      <x:c r="L64" s="11"/>
      <x:c r="M64" s="14"/>
      <x:c r="N64" s="35"/>
    </x:row>
    <x:row r="65" ht="9.75" customHeight="1">
      <x:c r="A65" s="32"/>
      <x:c r="B65" s="11"/>
      <x:c r="C65" s="11"/>
      <x:c r="D65" s="6"/>
      <x:c r="E65" s="11"/>
      <x:c r="F65" s="11"/>
      <x:c r="G65" s="11"/>
      <x:c r="H65" s="11"/>
      <x:c r="I65" s="14"/>
      <x:c r="J65" s="20"/>
      <x:c r="K65" s="11"/>
      <x:c r="L65" s="11"/>
      <x:c r="M65" s="14"/>
      <x:c r="N65" s="35"/>
    </x:row>
    <x:row r="66" ht="9.75" customHeight="1">
      <x:c r="A66" s="32"/>
      <x:c r="B66" s="11"/>
      <x:c r="C66" s="11"/>
      <x:c r="D66" s="6"/>
      <x:c r="E66" s="11"/>
      <x:c r="F66" s="11"/>
      <x:c r="G66" s="11"/>
      <x:c r="H66" s="11"/>
      <x:c r="I66" s="14"/>
      <x:c r="J66" s="20"/>
      <x:c r="K66" s="11"/>
      <x:c r="L66" s="11"/>
      <x:c r="M66" s="14"/>
      <x:c r="N66" s="35"/>
    </x:row>
    <x:row r="67" ht="9.75" customHeight="1">
      <x:c r="A67" s="32"/>
      <x:c r="B67" s="11"/>
      <x:c r="C67" s="11"/>
      <x:c r="D67" s="6"/>
      <x:c r="E67" s="11"/>
      <x:c r="F67" s="11"/>
      <x:c r="G67" s="11"/>
      <x:c r="H67" s="11"/>
      <x:c r="I67" s="14"/>
      <x:c r="J67" s="20"/>
      <x:c r="K67" s="11"/>
      <x:c r="L67" s="11"/>
      <x:c r="M67" s="14"/>
      <x:c r="N67" s="35"/>
    </x:row>
    <x:row r="68" ht="9.75" customHeight="1">
      <x:c r="A68" s="32"/>
      <x:c r="B68" s="11"/>
      <x:c r="C68" s="11"/>
      <x:c r="D68" s="6"/>
      <x:c r="E68" s="11"/>
      <x:c r="F68" s="11"/>
      <x:c r="G68" s="11"/>
      <x:c r="H68" s="11"/>
      <x:c r="I68" s="14"/>
      <x:c r="J68" s="20"/>
      <x:c r="K68" s="11"/>
      <x:c r="L68" s="11"/>
      <x:c r="M68" s="14"/>
      <x:c r="N68" s="35"/>
    </x:row>
    <x:row r="69" ht="9.75" customHeight="1">
      <x:c r="A69" s="32"/>
      <x:c r="B69" s="11"/>
      <x:c r="C69" s="11"/>
      <x:c r="D69" s="6"/>
      <x:c r="E69" s="11"/>
      <x:c r="F69" s="11"/>
      <x:c r="G69" s="11"/>
      <x:c r="H69" s="11"/>
      <x:c r="I69" s="14"/>
      <x:c r="J69" s="20"/>
      <x:c r="K69" s="11"/>
      <x:c r="L69" s="11"/>
      <x:c r="M69" s="14"/>
      <x:c r="N69" s="35"/>
    </x:row>
    <x:row r="70" ht="9.75" customHeight="1">
      <x:c r="A70" s="32"/>
      <x:c r="B70" s="11"/>
      <x:c r="C70" s="11"/>
      <x:c r="D70" s="6"/>
      <x:c r="E70" s="11"/>
      <x:c r="F70" s="11"/>
      <x:c r="G70" s="11"/>
      <x:c r="H70" s="11"/>
      <x:c r="I70" s="14"/>
      <x:c r="J70" s="20"/>
      <x:c r="K70" s="11"/>
      <x:c r="L70" s="11"/>
      <x:c r="M70" s="14"/>
      <x:c r="N70" s="35"/>
    </x:row>
    <x:row r="71" ht="9.75" customHeight="1">
      <x:c r="A71" s="32"/>
      <x:c r="B71" s="11"/>
      <x:c r="C71" s="11"/>
      <x:c r="D71" s="6"/>
      <x:c r="E71" s="11"/>
      <x:c r="F71" s="11"/>
      <x:c r="G71" s="11"/>
      <x:c r="H71" s="11"/>
      <x:c r="I71" s="14"/>
      <x:c r="J71" s="20"/>
      <x:c r="K71" s="11"/>
      <x:c r="L71" s="11"/>
      <x:c r="M71" s="14"/>
      <x:c r="N71" s="35"/>
    </x:row>
    <x:row r="72" ht="9.75" customHeight="1">
      <x:c r="A72" s="32"/>
      <x:c r="B72" s="11"/>
      <x:c r="C72" s="11"/>
      <x:c r="D72" s="6"/>
      <x:c r="E72" s="11"/>
      <x:c r="F72" s="11"/>
      <x:c r="G72" s="11"/>
      <x:c r="H72" s="11"/>
      <x:c r="I72" s="14"/>
      <x:c r="J72" s="20"/>
      <x:c r="K72" s="11"/>
      <x:c r="L72" s="11"/>
      <x:c r="M72" s="14"/>
      <x:c r="N72" s="35"/>
    </x:row>
    <x:row r="73" ht="9.75" customHeight="1">
      <x:c r="A73" s="32"/>
      <x:c r="B73" s="11"/>
      <x:c r="C73" s="11"/>
      <x:c r="D73" s="6"/>
      <x:c r="E73" s="11"/>
      <x:c r="F73" s="11"/>
      <x:c r="G73" s="11"/>
      <x:c r="H73" s="11"/>
      <x:c r="I73" s="14"/>
      <x:c r="J73" s="20"/>
      <x:c r="K73" s="11"/>
      <x:c r="L73" s="11"/>
      <x:c r="M73" s="14"/>
      <x:c r="N73" s="35"/>
    </x:row>
    <x:row r="74" ht="9.75" customHeight="1">
      <x:c r="A74" s="32"/>
      <x:c r="B74" s="11"/>
      <x:c r="C74" s="11"/>
      <x:c r="D74" s="6"/>
      <x:c r="E74" s="11"/>
      <x:c r="F74" s="11"/>
      <x:c r="G74" s="11"/>
      <x:c r="H74" s="11"/>
      <x:c r="I74" s="14"/>
      <x:c r="J74" s="20"/>
      <x:c r="K74" s="11"/>
      <x:c r="L74" s="11"/>
      <x:c r="M74" s="14"/>
      <x:c r="N74" s="35"/>
    </x:row>
    <x:row r="75" ht="9.75" customHeight="1">
      <x:c r="A75" s="32"/>
      <x:c r="B75" s="11"/>
      <x:c r="C75" s="11"/>
      <x:c r="D75" s="6"/>
      <x:c r="E75" s="11"/>
      <x:c r="F75" s="11"/>
      <x:c r="G75" s="11"/>
      <x:c r="H75" s="11"/>
      <x:c r="I75" s="14"/>
      <x:c r="J75" s="20"/>
      <x:c r="K75" s="11"/>
      <x:c r="L75" s="11"/>
      <x:c r="M75" s="14"/>
      <x:c r="N75" s="35"/>
    </x:row>
    <x:row r="76" ht="9.75" customHeight="1">
      <x:c r="A76" s="32"/>
      <x:c r="B76" s="11"/>
      <x:c r="C76" s="11"/>
      <x:c r="D76" s="6"/>
      <x:c r="E76" s="11"/>
      <x:c r="F76" s="11"/>
      <x:c r="G76" s="11"/>
      <x:c r="H76" s="11"/>
      <x:c r="I76" s="14"/>
      <x:c r="J76" s="20"/>
      <x:c r="K76" s="11"/>
      <x:c r="L76" s="11"/>
      <x:c r="M76" s="14"/>
      <x:c r="N76" s="35"/>
    </x:row>
    <x:row r="77" ht="9.75" customHeight="1">
      <x:c r="A77" s="32"/>
      <x:c r="B77" s="11"/>
      <x:c r="C77" s="11"/>
      <x:c r="D77" s="6"/>
      <x:c r="E77" s="11"/>
      <x:c r="F77" s="11"/>
      <x:c r="G77" s="11"/>
      <x:c r="H77" s="11"/>
      <x:c r="I77" s="14"/>
      <x:c r="J77" s="20"/>
      <x:c r="K77" s="11"/>
      <x:c r="L77" s="11"/>
      <x:c r="M77" s="14"/>
      <x:c r="N77" s="35"/>
    </x:row>
    <x:row r="78" ht="9.75" customHeight="1">
      <x:c r="A78" s="32"/>
      <x:c r="B78" s="11"/>
      <x:c r="C78" s="11"/>
      <x:c r="D78" s="6"/>
      <x:c r="E78" s="11"/>
      <x:c r="F78" s="11"/>
      <x:c r="G78" s="11"/>
      <x:c r="H78" s="11"/>
      <x:c r="I78" s="14"/>
      <x:c r="J78" s="20"/>
      <x:c r="K78" s="11"/>
      <x:c r="L78" s="11"/>
      <x:c r="M78" s="14"/>
      <x:c r="N78" s="35"/>
    </x:row>
    <x:row r="79" ht="9.75" customHeight="1">
      <x:c r="A79" s="32"/>
      <x:c r="B79" s="11"/>
      <x:c r="C79" s="11"/>
      <x:c r="D79" s="6"/>
      <x:c r="E79" s="11"/>
      <x:c r="F79" s="11"/>
      <x:c r="G79" s="11"/>
      <x:c r="H79" s="11"/>
      <x:c r="I79" s="14"/>
      <x:c r="J79" s="20"/>
      <x:c r="K79" s="11"/>
      <x:c r="L79" s="11"/>
      <x:c r="M79" s="14"/>
      <x:c r="N79" s="35"/>
    </x:row>
    <x:row r="80" ht="9.75" customHeight="1">
      <x:c r="A80" s="32"/>
      <x:c r="B80" s="11"/>
      <x:c r="C80" s="11"/>
      <x:c r="D80" s="6"/>
      <x:c r="E80" s="11"/>
      <x:c r="F80" s="11"/>
      <x:c r="G80" s="11"/>
      <x:c r="H80" s="11"/>
      <x:c r="I80" s="14"/>
      <x:c r="J80" s="20"/>
      <x:c r="K80" s="11"/>
      <x:c r="L80" s="11"/>
      <x:c r="M80" s="14"/>
      <x:c r="N80" s="35"/>
    </x:row>
    <x:row r="81" ht="9.75" customHeight="1">
      <x:c r="A81" s="32"/>
      <x:c r="B81" s="11"/>
      <x:c r="C81" s="11"/>
      <x:c r="D81" s="6"/>
      <x:c r="E81" s="11"/>
      <x:c r="F81" s="11"/>
      <x:c r="G81" s="11"/>
      <x:c r="H81" s="11"/>
      <x:c r="I81" s="14"/>
      <x:c r="J81" s="20"/>
      <x:c r="K81" s="11"/>
      <x:c r="L81" s="11"/>
      <x:c r="M81" s="14"/>
      <x:c r="N81" s="35"/>
    </x:row>
    <x:row r="82" ht="9.75" customHeight="1">
      <x:c r="A82" s="32"/>
      <x:c r="B82" s="11"/>
      <x:c r="C82" s="11"/>
      <x:c r="D82" s="6"/>
      <x:c r="E82" s="11"/>
      <x:c r="F82" s="11"/>
      <x:c r="G82" s="11"/>
      <x:c r="H82" s="11"/>
      <x:c r="I82" s="14"/>
      <x:c r="J82" s="20"/>
      <x:c r="K82" s="11"/>
      <x:c r="L82" s="11"/>
      <x:c r="M82" s="14"/>
      <x:c r="N82" s="35"/>
    </x:row>
    <x:row r="83" ht="9.75" customHeight="1">
      <x:c r="A83" s="32"/>
      <x:c r="B83" s="11"/>
      <x:c r="C83" s="11"/>
      <x:c r="D83" s="6"/>
      <x:c r="E83" s="11"/>
      <x:c r="F83" s="11"/>
      <x:c r="G83" s="11"/>
      <x:c r="H83" s="11"/>
      <x:c r="I83" s="14"/>
      <x:c r="J83" s="20"/>
      <x:c r="K83" s="11"/>
      <x:c r="L83" s="11"/>
      <x:c r="M83" s="14"/>
      <x:c r="N83" s="35"/>
    </x:row>
    <x:row r="84" ht="9.75" customHeight="1">
      <x:c r="A84" s="32"/>
      <x:c r="B84" s="11"/>
      <x:c r="C84" s="11"/>
      <x:c r="D84" s="6"/>
      <x:c r="E84" s="11"/>
      <x:c r="F84" s="11"/>
      <x:c r="G84" s="11"/>
      <x:c r="H84" s="11"/>
      <x:c r="I84" s="14"/>
      <x:c r="J84" s="20"/>
      <x:c r="K84" s="11"/>
      <x:c r="L84" s="11"/>
      <x:c r="M84" s="14"/>
      <x:c r="N84" s="35"/>
    </x:row>
    <x:row r="85" ht="9.75" customHeight="1">
      <x:c r="A85" s="32"/>
      <x:c r="B85" s="11"/>
      <x:c r="C85" s="11"/>
      <x:c r="D85" s="6"/>
      <x:c r="E85" s="11"/>
      <x:c r="F85" s="11"/>
      <x:c r="G85" s="11"/>
      <x:c r="H85" s="11"/>
      <x:c r="I85" s="14"/>
      <x:c r="J85" s="20"/>
      <x:c r="K85" s="11"/>
      <x:c r="L85" s="11"/>
      <x:c r="M85" s="14"/>
      <x:c r="N85" s="35"/>
    </x:row>
    <x:row r="86" ht="9.75" customHeight="1">
      <x:c r="A86" s="32"/>
      <x:c r="B86" s="11"/>
      <x:c r="C86" s="11"/>
      <x:c r="D86" s="6"/>
      <x:c r="E86" s="11"/>
      <x:c r="F86" s="11"/>
      <x:c r="G86" s="11"/>
      <x:c r="H86" s="11"/>
      <x:c r="I86" s="14"/>
      <x:c r="J86" s="20"/>
      <x:c r="K86" s="11"/>
      <x:c r="L86" s="11"/>
      <x:c r="M86" s="14"/>
      <x:c r="N86" s="35"/>
    </x:row>
    <x:row r="87" ht="9.75" customHeight="1">
      <x:c r="A87" s="32"/>
      <x:c r="B87" s="11"/>
      <x:c r="C87" s="11"/>
      <x:c r="D87" s="6"/>
      <x:c r="E87" s="11"/>
      <x:c r="F87" s="11"/>
      <x:c r="G87" s="11"/>
      <x:c r="H87" s="11"/>
      <x:c r="I87" s="14"/>
      <x:c r="J87" s="20"/>
      <x:c r="K87" s="11"/>
      <x:c r="L87" s="11"/>
      <x:c r="M87" s="14"/>
      <x:c r="N87" s="35"/>
    </x:row>
    <x:row r="88" ht="9.75" customHeight="1">
      <x:c r="A88" s="32"/>
      <x:c r="B88" s="11"/>
      <x:c r="C88" s="11"/>
      <x:c r="D88" s="6"/>
      <x:c r="E88" s="11"/>
      <x:c r="F88" s="11"/>
      <x:c r="G88" s="11"/>
      <x:c r="H88" s="11"/>
      <x:c r="I88" s="14"/>
      <x:c r="J88" s="20"/>
      <x:c r="K88" s="11"/>
      <x:c r="L88" s="11"/>
      <x:c r="M88" s="14"/>
      <x:c r="N88" s="35"/>
    </x:row>
    <x:row r="89" ht="9.75" customHeight="1">
      <x:c r="A89" s="32"/>
      <x:c r="B89" s="11"/>
      <x:c r="C89" s="11"/>
      <x:c r="D89" s="6"/>
      <x:c r="E89" s="11"/>
      <x:c r="F89" s="11"/>
      <x:c r="G89" s="11"/>
      <x:c r="H89" s="11"/>
      <x:c r="I89" s="14"/>
      <x:c r="J89" s="20"/>
      <x:c r="K89" s="11"/>
      <x:c r="L89" s="11"/>
      <x:c r="M89" s="14"/>
      <x:c r="N89" s="35"/>
    </x:row>
    <x:row r="90" ht="9.75" customHeight="1">
      <x:c r="A90" s="32"/>
      <x:c r="B90" s="11"/>
      <x:c r="C90" s="11"/>
      <x:c r="D90" s="6"/>
      <x:c r="E90" s="11"/>
      <x:c r="F90" s="11"/>
      <x:c r="G90" s="11"/>
      <x:c r="H90" s="11"/>
      <x:c r="I90" s="14"/>
      <x:c r="J90" s="20"/>
      <x:c r="K90" s="11"/>
      <x:c r="L90" s="11"/>
      <x:c r="M90" s="14"/>
      <x:c r="N90" s="35"/>
    </x:row>
    <x:row r="91" ht="9.75" customHeight="1">
      <x:c r="A91" s="32"/>
      <x:c r="B91" s="11"/>
      <x:c r="C91" s="11"/>
      <x:c r="D91" s="6"/>
      <x:c r="E91" s="11"/>
      <x:c r="F91" s="11"/>
      <x:c r="G91" s="11"/>
      <x:c r="H91" s="11"/>
      <x:c r="I91" s="14"/>
      <x:c r="J91" s="20"/>
      <x:c r="K91" s="11"/>
      <x:c r="L91" s="11"/>
      <x:c r="M91" s="14"/>
      <x:c r="N91" s="35"/>
    </x:row>
    <x:row r="92" ht="9.75" customHeight="1">
      <x:c r="A92" s="32"/>
      <x:c r="B92" s="11"/>
      <x:c r="C92" s="11"/>
      <x:c r="D92" s="6"/>
      <x:c r="E92" s="11"/>
      <x:c r="F92" s="11"/>
      <x:c r="G92" s="11"/>
      <x:c r="H92" s="11"/>
      <x:c r="I92" s="14"/>
      <x:c r="J92" s="20"/>
      <x:c r="K92" s="11"/>
      <x:c r="L92" s="11"/>
      <x:c r="M92" s="14"/>
      <x:c r="N92" s="35"/>
    </x:row>
    <x:row r="93" ht="9.75" customHeight="1">
      <x:c r="A93" s="32"/>
      <x:c r="B93" s="11"/>
      <x:c r="C93" s="11"/>
      <x:c r="D93" s="6"/>
      <x:c r="E93" s="11"/>
      <x:c r="F93" s="11"/>
      <x:c r="G93" s="11"/>
      <x:c r="H93" s="11"/>
      <x:c r="I93" s="14"/>
      <x:c r="J93" s="20"/>
      <x:c r="K93" s="11"/>
      <x:c r="L93" s="11"/>
      <x:c r="M93" s="14"/>
      <x:c r="N93" s="35"/>
    </x:row>
    <x:row r="94" ht="9.75" customHeight="1">
      <x:c r="A94" s="32"/>
      <x:c r="B94" s="11"/>
      <x:c r="C94" s="11"/>
      <x:c r="D94" s="6"/>
      <x:c r="E94" s="11"/>
      <x:c r="F94" s="11"/>
      <x:c r="G94" s="11"/>
      <x:c r="H94" s="11"/>
      <x:c r="I94" s="14"/>
      <x:c r="J94" s="20"/>
      <x:c r="K94" s="11"/>
      <x:c r="L94" s="11"/>
      <x:c r="M94" s="14"/>
      <x:c r="N94" s="35"/>
    </x:row>
    <x:row r="95" ht="9.75" customHeight="1">
      <x:c r="A95" s="32"/>
      <x:c r="B95" s="11"/>
      <x:c r="C95" s="11"/>
      <x:c r="D95" s="6"/>
      <x:c r="E95" s="11"/>
      <x:c r="F95" s="11"/>
      <x:c r="G95" s="11"/>
      <x:c r="H95" s="11"/>
      <x:c r="I95" s="14"/>
      <x:c r="J95" s="20"/>
      <x:c r="K95" s="11"/>
      <x:c r="L95" s="11"/>
      <x:c r="M95" s="14"/>
      <x:c r="N95" s="35"/>
    </x:row>
    <x:row r="96" ht="9.75" customHeight="1">
      <x:c r="A96" s="32"/>
      <x:c r="B96" s="11"/>
      <x:c r="C96" s="11"/>
      <x:c r="D96" s="6"/>
      <x:c r="E96" s="11"/>
      <x:c r="F96" s="11"/>
      <x:c r="G96" s="11"/>
      <x:c r="H96" s="11"/>
      <x:c r="I96" s="14"/>
      <x:c r="J96" s="20"/>
      <x:c r="K96" s="11"/>
      <x:c r="L96" s="11"/>
      <x:c r="M96" s="14"/>
      <x:c r="N96" s="35"/>
    </x:row>
    <x:row r="97" ht="9.75" customHeight="1">
      <x:c r="A97" s="32"/>
      <x:c r="B97" s="11"/>
      <x:c r="C97" s="11"/>
      <x:c r="D97" s="6"/>
      <x:c r="E97" s="11"/>
      <x:c r="F97" s="11"/>
      <x:c r="G97" s="11"/>
      <x:c r="H97" s="11"/>
      <x:c r="I97" s="14"/>
      <x:c r="J97" s="20"/>
      <x:c r="K97" s="11"/>
      <x:c r="L97" s="11"/>
      <x:c r="M97" s="14"/>
      <x:c r="N97" s="35"/>
    </x:row>
    <x:row r="98" ht="9.75" customHeight="1">
      <x:c r="A98" s="32"/>
      <x:c r="B98" s="11"/>
      <x:c r="C98" s="11"/>
      <x:c r="D98" s="6"/>
      <x:c r="E98" s="11"/>
      <x:c r="F98" s="11"/>
      <x:c r="G98" s="11"/>
      <x:c r="H98" s="11"/>
      <x:c r="I98" s="14"/>
      <x:c r="J98" s="20"/>
      <x:c r="K98" s="11"/>
      <x:c r="L98" s="11"/>
      <x:c r="M98" s="14"/>
      <x:c r="N98" s="35"/>
    </x:row>
    <x:row r="99" ht="9.75" customHeight="1">
      <x:c r="A99" s="32"/>
      <x:c r="B99" s="11"/>
      <x:c r="C99" s="11"/>
      <x:c r="D99" s="6"/>
      <x:c r="E99" s="11"/>
      <x:c r="F99" s="11"/>
      <x:c r="G99" s="11"/>
      <x:c r="H99" s="11"/>
      <x:c r="I99" s="14"/>
      <x:c r="J99" s="20"/>
      <x:c r="K99" s="11"/>
      <x:c r="L99" s="11"/>
      <x:c r="M99" s="14"/>
      <x:c r="N99" s="35"/>
    </x:row>
    <x:row r="100" ht="9.75" customHeight="1">
      <x:c r="A100" s="32"/>
      <x:c r="B100" s="11"/>
      <x:c r="C100" s="11"/>
      <x:c r="D100" s="6"/>
      <x:c r="E100" s="11"/>
      <x:c r="F100" s="11"/>
      <x:c r="G100" s="11"/>
      <x:c r="H100" s="11"/>
      <x:c r="I100" s="14"/>
      <x:c r="J100" s="20"/>
      <x:c r="K100" s="11"/>
      <x:c r="L100" s="11"/>
      <x:c r="M100" s="14"/>
      <x:c r="N100" s="35"/>
    </x:row>
    <x:row r="101" ht="9.75" customHeight="1">
      <x:c r="A101" s="32"/>
      <x:c r="B101" s="11"/>
      <x:c r="C101" s="11"/>
      <x:c r="D101" s="6"/>
      <x:c r="E101" s="11"/>
      <x:c r="F101" s="11"/>
      <x:c r="G101" s="11"/>
      <x:c r="H101" s="11"/>
      <x:c r="I101" s="14"/>
      <x:c r="J101" s="20"/>
      <x:c r="K101" s="11"/>
      <x:c r="L101" s="11"/>
      <x:c r="M101" s="14"/>
      <x:c r="N101" s="35"/>
    </x:row>
    <x:row r="102" ht="9.75" customHeight="1">
      <x:c r="A102" s="32"/>
      <x:c r="B102" s="11"/>
      <x:c r="C102" s="11"/>
      <x:c r="D102" s="6"/>
      <x:c r="E102" s="11"/>
      <x:c r="F102" s="11"/>
      <x:c r="G102" s="11"/>
      <x:c r="H102" s="11"/>
      <x:c r="I102" s="14"/>
      <x:c r="J102" s="20"/>
      <x:c r="K102" s="11"/>
      <x:c r="L102" s="11"/>
      <x:c r="M102" s="14"/>
      <x:c r="N102" s="35"/>
    </x:row>
    <x:row r="103" ht="9.75" customHeight="1">
      <x:c r="A103" s="32"/>
      <x:c r="B103" s="11"/>
      <x:c r="C103" s="11"/>
      <x:c r="D103" s="6"/>
      <x:c r="E103" s="11"/>
      <x:c r="F103" s="11"/>
      <x:c r="G103" s="11"/>
      <x:c r="H103" s="11"/>
      <x:c r="I103" s="14"/>
      <x:c r="J103" s="20"/>
      <x:c r="K103" s="11"/>
      <x:c r="L103" s="11"/>
      <x:c r="M103" s="14"/>
      <x:c r="N103" s="35"/>
    </x:row>
    <x:row r="104" ht="9.75" customHeight="1">
      <x:c r="A104" s="32"/>
      <x:c r="B104" s="11"/>
      <x:c r="C104" s="11"/>
      <x:c r="D104" s="6"/>
      <x:c r="E104" s="11"/>
      <x:c r="F104" s="11"/>
      <x:c r="G104" s="11"/>
      <x:c r="H104" s="11"/>
      <x:c r="I104" s="14"/>
      <x:c r="J104" s="20"/>
      <x:c r="K104" s="11"/>
      <x:c r="L104" s="11"/>
      <x:c r="M104" s="14"/>
      <x:c r="N104" s="35"/>
    </x:row>
    <x:row r="105" ht="9.75" customHeight="1">
      <x:c r="A105" s="32"/>
      <x:c r="B105" s="11"/>
      <x:c r="C105" s="11"/>
      <x:c r="D105" s="6"/>
      <x:c r="E105" s="11"/>
      <x:c r="F105" s="11"/>
      <x:c r="G105" s="11"/>
      <x:c r="H105" s="11"/>
      <x:c r="I105" s="14"/>
      <x:c r="J105" s="20"/>
      <x:c r="K105" s="11"/>
      <x:c r="L105" s="11"/>
      <x:c r="M105" s="14"/>
      <x:c r="N105" s="35"/>
    </x:row>
    <x:row r="106" ht="9.75" customHeight="1">
      <x:c r="A106" s="32"/>
      <x:c r="B106" s="11"/>
      <x:c r="C106" s="11"/>
      <x:c r="D106" s="6"/>
      <x:c r="E106" s="11"/>
      <x:c r="F106" s="11"/>
      <x:c r="G106" s="11"/>
      <x:c r="H106" s="11"/>
      <x:c r="I106" s="14"/>
      <x:c r="J106" s="20"/>
      <x:c r="K106" s="11"/>
      <x:c r="L106" s="11"/>
      <x:c r="M106" s="14"/>
      <x:c r="N106" s="35"/>
    </x:row>
    <x:row r="107" ht="9.75" customHeight="1">
      <x:c r="A107" s="32"/>
      <x:c r="B107" s="11"/>
      <x:c r="C107" s="11"/>
      <x:c r="D107" s="6"/>
      <x:c r="E107" s="11"/>
      <x:c r="F107" s="11"/>
      <x:c r="G107" s="11"/>
      <x:c r="H107" s="11"/>
      <x:c r="I107" s="14"/>
      <x:c r="J107" s="20"/>
      <x:c r="K107" s="11"/>
      <x:c r="L107" s="11"/>
      <x:c r="M107" s="14"/>
      <x:c r="N107" s="35"/>
    </x:row>
    <x:row r="108" ht="9.75" customHeight="1">
      <x:c r="A108" s="32"/>
      <x:c r="B108" s="11"/>
      <x:c r="C108" s="11"/>
      <x:c r="D108" s="6"/>
      <x:c r="E108" s="11"/>
      <x:c r="F108" s="11"/>
      <x:c r="G108" s="11"/>
      <x:c r="H108" s="11"/>
      <x:c r="I108" s="14"/>
      <x:c r="J108" s="20"/>
      <x:c r="K108" s="11"/>
      <x:c r="L108" s="11"/>
      <x:c r="M108" s="14"/>
      <x:c r="N108" s="35"/>
    </x:row>
    <x:row r="109" ht="9.75" customHeight="1">
      <x:c r="A109" s="32"/>
      <x:c r="B109" s="11"/>
      <x:c r="C109" s="11"/>
      <x:c r="D109" s="6"/>
      <x:c r="E109" s="11"/>
      <x:c r="F109" s="11"/>
      <x:c r="G109" s="11"/>
      <x:c r="H109" s="11"/>
      <x:c r="I109" s="14"/>
      <x:c r="J109" s="20"/>
      <x:c r="K109" s="11"/>
      <x:c r="L109" s="11"/>
      <x:c r="M109" s="14"/>
      <x:c r="N109" s="35"/>
    </x:row>
    <x:row r="110" ht="9.75" customHeight="1">
      <x:c r="A110" s="32"/>
      <x:c r="B110" s="11"/>
      <x:c r="C110" s="11"/>
      <x:c r="D110" s="6"/>
      <x:c r="E110" s="11"/>
      <x:c r="F110" s="11"/>
      <x:c r="G110" s="11"/>
      <x:c r="H110" s="11"/>
      <x:c r="I110" s="14"/>
      <x:c r="J110" s="20"/>
      <x:c r="K110" s="11"/>
      <x:c r="L110" s="11"/>
      <x:c r="M110" s="14"/>
      <x:c r="N110" s="35"/>
    </x:row>
    <x:row r="111" ht="9.75" customHeight="1">
      <x:c r="A111" s="32"/>
      <x:c r="B111" s="11"/>
      <x:c r="C111" s="11"/>
      <x:c r="D111" s="6"/>
      <x:c r="E111" s="11"/>
      <x:c r="F111" s="11"/>
      <x:c r="G111" s="11"/>
      <x:c r="H111" s="11"/>
      <x:c r="I111" s="14"/>
      <x:c r="J111" s="20"/>
      <x:c r="K111" s="11"/>
      <x:c r="L111" s="11"/>
      <x:c r="M111" s="14"/>
      <x:c r="N111" s="35"/>
    </x:row>
    <x:row r="112" ht="9.75" customHeight="1">
      <x:c r="A112" s="32"/>
      <x:c r="B112" s="11"/>
      <x:c r="C112" s="11"/>
      <x:c r="D112" s="6"/>
      <x:c r="E112" s="11"/>
      <x:c r="F112" s="11"/>
      <x:c r="G112" s="11"/>
      <x:c r="H112" s="11"/>
      <x:c r="I112" s="14"/>
      <x:c r="J112" s="20"/>
      <x:c r="K112" s="11"/>
      <x:c r="L112" s="11"/>
      <x:c r="M112" s="14"/>
      <x:c r="N112" s="35"/>
    </x:row>
    <x:row r="113" ht="9.75" customHeight="1">
      <x:c r="A113" s="32"/>
      <x:c r="B113" s="11"/>
      <x:c r="C113" s="11"/>
      <x:c r="D113" s="6"/>
      <x:c r="E113" s="11"/>
      <x:c r="F113" s="11"/>
      <x:c r="G113" s="11"/>
      <x:c r="H113" s="11"/>
      <x:c r="I113" s="14"/>
      <x:c r="J113" s="20"/>
      <x:c r="K113" s="11"/>
      <x:c r="L113" s="11"/>
      <x:c r="M113" s="14"/>
      <x:c r="N113" s="35"/>
    </x:row>
    <x:row r="114" ht="9.75" customHeight="1">
      <x:c r="A114" s="32"/>
      <x:c r="B114" s="11"/>
      <x:c r="C114" s="11"/>
      <x:c r="D114" s="6"/>
      <x:c r="E114" s="11"/>
      <x:c r="F114" s="11"/>
      <x:c r="G114" s="11"/>
      <x:c r="H114" s="11"/>
      <x:c r="I114" s="14"/>
      <x:c r="J114" s="20"/>
      <x:c r="K114" s="11"/>
      <x:c r="L114" s="11"/>
      <x:c r="M114" s="14"/>
      <x:c r="N114" s="35"/>
    </x:row>
    <x:row r="115" ht="9.75" customHeight="1">
      <x:c r="A115" s="32"/>
      <x:c r="B115" s="11"/>
      <x:c r="C115" s="11"/>
      <x:c r="D115" s="6"/>
      <x:c r="E115" s="11"/>
      <x:c r="F115" s="11"/>
      <x:c r="G115" s="11"/>
      <x:c r="H115" s="11"/>
      <x:c r="I115" s="14"/>
      <x:c r="J115" s="20"/>
      <x:c r="K115" s="11"/>
      <x:c r="L115" s="11"/>
      <x:c r="M115" s="14"/>
      <x:c r="N115" s="35"/>
    </x:row>
    <x:row r="116" ht="9.75" customHeight="1">
      <x:c r="A116" s="32"/>
      <x:c r="B116" s="11"/>
      <x:c r="C116" s="11"/>
      <x:c r="D116" s="6"/>
      <x:c r="E116" s="11"/>
      <x:c r="F116" s="11"/>
      <x:c r="G116" s="11"/>
      <x:c r="H116" s="11"/>
      <x:c r="I116" s="14"/>
      <x:c r="J116" s="20"/>
      <x:c r="K116" s="11"/>
      <x:c r="L116" s="11"/>
      <x:c r="M116" s="14"/>
      <x:c r="N116" s="35"/>
    </x:row>
    <x:row r="117" ht="9.75" customHeight="1">
      <x:c r="A117" s="32"/>
      <x:c r="B117" s="11"/>
      <x:c r="C117" s="11"/>
      <x:c r="D117" s="6"/>
      <x:c r="E117" s="11"/>
      <x:c r="F117" s="11"/>
      <x:c r="G117" s="11"/>
      <x:c r="H117" s="11"/>
      <x:c r="I117" s="14"/>
      <x:c r="J117" s="20"/>
      <x:c r="K117" s="11"/>
      <x:c r="L117" s="11"/>
      <x:c r="M117" s="14"/>
      <x:c r="N117" s="35"/>
    </x:row>
    <x:row r="118" ht="9.75" customHeight="1">
      <x:c r="A118" s="32"/>
      <x:c r="B118" s="11"/>
      <x:c r="C118" s="11"/>
      <x:c r="D118" s="6"/>
      <x:c r="E118" s="11"/>
      <x:c r="F118" s="11"/>
      <x:c r="G118" s="11"/>
      <x:c r="H118" s="11"/>
      <x:c r="I118" s="14"/>
      <x:c r="J118" s="20"/>
      <x:c r="K118" s="11"/>
      <x:c r="L118" s="11"/>
      <x:c r="M118" s="14"/>
      <x:c r="N118" s="35"/>
    </x:row>
    <x:row r="119" ht="9.75" customHeight="1">
      <x:c r="A119" s="32"/>
      <x:c r="B119" s="11"/>
      <x:c r="C119" s="11"/>
      <x:c r="D119" s="6"/>
      <x:c r="E119" s="11"/>
      <x:c r="F119" s="11"/>
      <x:c r="G119" s="11"/>
      <x:c r="H119" s="11"/>
      <x:c r="I119" s="14"/>
      <x:c r="J119" s="20"/>
      <x:c r="K119" s="11"/>
      <x:c r="L119" s="11"/>
      <x:c r="M119" s="14"/>
      <x:c r="N119" s="35"/>
    </x:row>
    <x:row r="120" ht="9.75" customHeight="1">
      <x:c r="A120" s="32"/>
      <x:c r="B120" s="11"/>
      <x:c r="C120" s="11"/>
      <x:c r="D120" s="6"/>
      <x:c r="E120" s="11"/>
      <x:c r="F120" s="11"/>
      <x:c r="G120" s="11"/>
      <x:c r="H120" s="11"/>
      <x:c r="I120" s="14"/>
      <x:c r="J120" s="20"/>
      <x:c r="K120" s="11"/>
      <x:c r="L120" s="11"/>
      <x:c r="M120" s="14"/>
      <x:c r="N120" s="35"/>
    </x:row>
    <x:row r="121" ht="9.75" customHeight="1">
      <x:c r="A121" s="32"/>
      <x:c r="B121" s="11"/>
      <x:c r="C121" s="11"/>
      <x:c r="D121" s="6"/>
      <x:c r="E121" s="11"/>
      <x:c r="F121" s="11"/>
      <x:c r="G121" s="11"/>
      <x:c r="H121" s="11"/>
      <x:c r="I121" s="14"/>
      <x:c r="J121" s="20"/>
      <x:c r="K121" s="11"/>
      <x:c r="L121" s="11"/>
      <x:c r="M121" s="14"/>
      <x:c r="N121" s="35"/>
    </x:row>
    <x:row r="122" ht="9.75" customHeight="1">
      <x:c r="A122" s="32"/>
      <x:c r="B122" s="11"/>
      <x:c r="C122" s="11"/>
      <x:c r="D122" s="6"/>
      <x:c r="E122" s="11"/>
      <x:c r="F122" s="11"/>
      <x:c r="G122" s="11"/>
      <x:c r="H122" s="11"/>
      <x:c r="I122" s="14"/>
      <x:c r="J122" s="20"/>
      <x:c r="K122" s="11"/>
      <x:c r="L122" s="11"/>
      <x:c r="M122" s="14"/>
      <x:c r="N122" s="35"/>
    </x:row>
    <x:row r="123" ht="9.75" customHeight="1">
      <x:c r="A123" s="32"/>
      <x:c r="B123" s="11"/>
      <x:c r="C123" s="11"/>
      <x:c r="D123" s="6"/>
      <x:c r="E123" s="11"/>
      <x:c r="F123" s="11"/>
      <x:c r="G123" s="11"/>
      <x:c r="H123" s="11"/>
      <x:c r="I123" s="14"/>
      <x:c r="J123" s="20"/>
      <x:c r="K123" s="11"/>
      <x:c r="L123" s="11"/>
      <x:c r="M123" s="14"/>
      <x:c r="N123" s="35"/>
    </x:row>
    <x:row r="124" ht="9.75" customHeight="1">
      <x:c r="A124" s="32"/>
      <x:c r="B124" s="11"/>
      <x:c r="C124" s="11"/>
      <x:c r="D124" s="6"/>
      <x:c r="E124" s="11"/>
      <x:c r="F124" s="11"/>
      <x:c r="G124" s="11"/>
      <x:c r="H124" s="11"/>
      <x:c r="I124" s="14"/>
      <x:c r="J124" s="20"/>
      <x:c r="K124" s="11"/>
      <x:c r="L124" s="11"/>
      <x:c r="M124" s="14"/>
      <x:c r="N124" s="35"/>
    </x:row>
    <x:row r="125" ht="9.75" customHeight="1">
      <x:c r="A125" s="32"/>
      <x:c r="B125" s="11"/>
      <x:c r="C125" s="11"/>
      <x:c r="D125" s="6"/>
      <x:c r="E125" s="11"/>
      <x:c r="F125" s="11"/>
      <x:c r="G125" s="11"/>
      <x:c r="H125" s="11"/>
      <x:c r="I125" s="14"/>
      <x:c r="J125" s="20"/>
      <x:c r="K125" s="11"/>
      <x:c r="L125" s="11"/>
      <x:c r="M125" s="14"/>
      <x:c r="N125" s="35"/>
    </x:row>
    <x:row r="126" ht="9.75" customHeight="1">
      <x:c r="A126" s="32"/>
      <x:c r="B126" s="11"/>
      <x:c r="C126" s="11"/>
      <x:c r="D126" s="6"/>
      <x:c r="E126" s="11"/>
      <x:c r="F126" s="11"/>
      <x:c r="G126" s="11"/>
      <x:c r="H126" s="11"/>
      <x:c r="I126" s="14"/>
      <x:c r="J126" s="20"/>
      <x:c r="K126" s="11"/>
      <x:c r="L126" s="11"/>
      <x:c r="M126" s="14"/>
      <x:c r="N126" s="35"/>
    </x:row>
    <x:row r="127" ht="9.75" customHeight="1">
      <x:c r="A127" s="32"/>
      <x:c r="B127" s="11"/>
      <x:c r="C127" s="11"/>
      <x:c r="D127" s="6"/>
      <x:c r="E127" s="11"/>
      <x:c r="F127" s="11"/>
      <x:c r="G127" s="11"/>
      <x:c r="H127" s="11"/>
      <x:c r="I127" s="14"/>
      <x:c r="J127" s="20"/>
      <x:c r="K127" s="11"/>
      <x:c r="L127" s="11"/>
      <x:c r="M127" s="14"/>
      <x:c r="N127" s="35"/>
    </x:row>
    <x:row r="128" ht="9.75" customHeight="1">
      <x:c r="A128" s="32"/>
      <x:c r="B128" s="11"/>
      <x:c r="C128" s="11"/>
      <x:c r="D128" s="6"/>
      <x:c r="E128" s="11"/>
      <x:c r="F128" s="11"/>
      <x:c r="G128" s="11"/>
      <x:c r="H128" s="11"/>
      <x:c r="I128" s="14"/>
      <x:c r="J128" s="20"/>
      <x:c r="K128" s="11"/>
      <x:c r="L128" s="11"/>
      <x:c r="M128" s="14"/>
      <x:c r="N128" s="35"/>
    </x:row>
    <x:row r="129" ht="9.75" customHeight="1">
      <x:c r="A129" s="32"/>
      <x:c r="B129" s="11"/>
      <x:c r="C129" s="11"/>
      <x:c r="D129" s="6"/>
      <x:c r="E129" s="11"/>
      <x:c r="F129" s="11"/>
      <x:c r="G129" s="11"/>
      <x:c r="H129" s="11"/>
      <x:c r="I129" s="14"/>
      <x:c r="J129" s="20"/>
      <x:c r="K129" s="11"/>
      <x:c r="L129" s="11"/>
      <x:c r="M129" s="14"/>
      <x:c r="N129" s="35"/>
    </x:row>
    <x:row r="130" ht="9.75" customHeight="1">
      <x:c r="A130" s="32"/>
      <x:c r="B130" s="11"/>
      <x:c r="C130" s="11"/>
      <x:c r="D130" s="6"/>
      <x:c r="E130" s="11"/>
      <x:c r="F130" s="11"/>
      <x:c r="G130" s="11"/>
      <x:c r="H130" s="11"/>
      <x:c r="I130" s="14"/>
      <x:c r="J130" s="20"/>
      <x:c r="K130" s="11"/>
      <x:c r="L130" s="11"/>
      <x:c r="M130" s="14"/>
      <x:c r="N130" s="35"/>
    </x:row>
    <x:row r="131" ht="9.75" customHeight="1">
      <x:c r="A131" s="32"/>
      <x:c r="B131" s="11"/>
      <x:c r="C131" s="11"/>
      <x:c r="D131" s="6"/>
      <x:c r="E131" s="11"/>
      <x:c r="F131" s="11"/>
      <x:c r="G131" s="11"/>
      <x:c r="H131" s="11"/>
      <x:c r="I131" s="14"/>
      <x:c r="J131" s="20"/>
      <x:c r="K131" s="11"/>
      <x:c r="L131" s="11"/>
      <x:c r="M131" s="14"/>
      <x:c r="N131" s="35"/>
    </x:row>
    <x:row r="132" ht="9.75" customHeight="1">
      <x:c r="A132" s="32"/>
      <x:c r="B132" s="11"/>
      <x:c r="C132" s="11"/>
      <x:c r="D132" s="6"/>
      <x:c r="E132" s="11"/>
      <x:c r="F132" s="11"/>
      <x:c r="G132" s="11"/>
      <x:c r="H132" s="11"/>
      <x:c r="I132" s="14"/>
      <x:c r="J132" s="20"/>
      <x:c r="K132" s="11"/>
      <x:c r="L132" s="11"/>
      <x:c r="M132" s="14"/>
      <x:c r="N132" s="35"/>
    </x:row>
    <x:row r="133" ht="9.75" customHeight="1">
      <x:c r="A133" s="32"/>
      <x:c r="B133" s="11"/>
      <x:c r="C133" s="11"/>
      <x:c r="D133" s="6"/>
      <x:c r="E133" s="11"/>
      <x:c r="F133" s="11"/>
      <x:c r="G133" s="11"/>
      <x:c r="H133" s="11"/>
      <x:c r="I133" s="14"/>
      <x:c r="J133" s="20"/>
      <x:c r="K133" s="11"/>
      <x:c r="L133" s="11"/>
      <x:c r="M133" s="14"/>
      <x:c r="N133" s="35"/>
    </x:row>
    <x:row r="134" ht="9.75" customHeight="1">
      <x:c r="A134" s="32"/>
      <x:c r="B134" s="11"/>
      <x:c r="C134" s="11"/>
      <x:c r="D134" s="6"/>
      <x:c r="E134" s="11"/>
      <x:c r="F134" s="11"/>
      <x:c r="G134" s="11"/>
      <x:c r="H134" s="11"/>
      <x:c r="I134" s="14"/>
      <x:c r="J134" s="20"/>
      <x:c r="K134" s="11"/>
      <x:c r="L134" s="11"/>
      <x:c r="M134" s="14"/>
      <x:c r="N134" s="35"/>
    </x:row>
    <x:row r="135" ht="9.75" customHeight="1">
      <x:c r="A135" s="32"/>
      <x:c r="B135" s="11"/>
      <x:c r="C135" s="11"/>
      <x:c r="D135" s="6"/>
      <x:c r="E135" s="11"/>
      <x:c r="F135" s="11"/>
      <x:c r="G135" s="11"/>
      <x:c r="H135" s="11"/>
      <x:c r="I135" s="14"/>
      <x:c r="J135" s="20"/>
      <x:c r="K135" s="11"/>
      <x:c r="L135" s="11"/>
      <x:c r="M135" s="14"/>
      <x:c r="N135" s="35"/>
    </x:row>
    <x:row r="136" ht="9.75" customHeight="1">
      <x:c r="A136" s="32"/>
      <x:c r="B136" s="11"/>
      <x:c r="C136" s="11"/>
      <x:c r="D136" s="6"/>
      <x:c r="E136" s="11"/>
      <x:c r="F136" s="11"/>
      <x:c r="G136" s="11"/>
      <x:c r="H136" s="11"/>
      <x:c r="I136" s="14"/>
      <x:c r="J136" s="20"/>
      <x:c r="K136" s="11"/>
      <x:c r="L136" s="11"/>
      <x:c r="M136" s="14"/>
      <x:c r="N136" s="35"/>
    </x:row>
    <x:row r="137" ht="9.75" customHeight="1">
      <x:c r="A137" s="32"/>
      <x:c r="B137" s="11"/>
      <x:c r="C137" s="11"/>
      <x:c r="D137" s="6"/>
      <x:c r="E137" s="11"/>
      <x:c r="F137" s="11"/>
      <x:c r="G137" s="11"/>
      <x:c r="H137" s="11"/>
      <x:c r="I137" s="14"/>
      <x:c r="J137" s="20"/>
      <x:c r="K137" s="11"/>
      <x:c r="L137" s="11"/>
      <x:c r="M137" s="14"/>
      <x:c r="N137" s="35"/>
    </x:row>
    <x:row r="138" ht="9.75" customHeight="1">
      <x:c r="A138" s="32"/>
      <x:c r="B138" s="11"/>
      <x:c r="C138" s="11"/>
      <x:c r="D138" s="6"/>
      <x:c r="E138" s="11"/>
      <x:c r="F138" s="11"/>
      <x:c r="G138" s="11"/>
      <x:c r="H138" s="11"/>
      <x:c r="I138" s="14"/>
      <x:c r="J138" s="20"/>
      <x:c r="K138" s="11"/>
      <x:c r="L138" s="11"/>
      <x:c r="M138" s="14"/>
      <x:c r="N138" s="35"/>
    </x:row>
    <x:row r="139" ht="9.75" customHeight="1">
      <x:c r="A139" s="32"/>
      <x:c r="B139" s="11"/>
      <x:c r="C139" s="11"/>
      <x:c r="D139" s="6"/>
      <x:c r="E139" s="11"/>
      <x:c r="F139" s="11"/>
      <x:c r="G139" s="11"/>
      <x:c r="H139" s="11"/>
      <x:c r="I139" s="14"/>
      <x:c r="J139" s="20"/>
      <x:c r="K139" s="11"/>
      <x:c r="L139" s="11"/>
      <x:c r="M139" s="14"/>
      <x:c r="N139" s="35"/>
    </x:row>
    <x:row r="140" ht="9.75" customHeight="1">
      <x:c r="A140" s="32"/>
      <x:c r="B140" s="11"/>
      <x:c r="C140" s="11"/>
      <x:c r="D140" s="6"/>
      <x:c r="E140" s="11"/>
      <x:c r="F140" s="11"/>
      <x:c r="G140" s="11"/>
      <x:c r="H140" s="11"/>
      <x:c r="I140" s="14"/>
      <x:c r="J140" s="20"/>
      <x:c r="K140" s="11"/>
      <x:c r="L140" s="11"/>
      <x:c r="M140" s="14"/>
      <x:c r="N140" s="35"/>
    </x:row>
    <x:row r="141" ht="9.75" customHeight="1">
      <x:c r="A141" s="32"/>
      <x:c r="B141" s="11"/>
      <x:c r="C141" s="11"/>
      <x:c r="D141" s="6"/>
      <x:c r="E141" s="11"/>
      <x:c r="F141" s="11"/>
      <x:c r="G141" s="11"/>
      <x:c r="H141" s="11"/>
      <x:c r="I141" s="14"/>
      <x:c r="J141" s="20"/>
      <x:c r="K141" s="11"/>
      <x:c r="L141" s="11"/>
      <x:c r="M141" s="14"/>
      <x:c r="N141" s="35"/>
    </x:row>
    <x:row r="142" ht="9.75" customHeight="1">
      <x:c r="A142" s="32"/>
      <x:c r="B142" s="11"/>
      <x:c r="C142" s="11"/>
      <x:c r="D142" s="6"/>
      <x:c r="E142" s="11"/>
      <x:c r="F142" s="11"/>
      <x:c r="G142" s="11"/>
      <x:c r="H142" s="11"/>
      <x:c r="I142" s="14"/>
      <x:c r="J142" s="20"/>
      <x:c r="K142" s="11"/>
      <x:c r="L142" s="11"/>
      <x:c r="M142" s="14"/>
      <x:c r="N142" s="35"/>
    </x:row>
    <x:row r="143" ht="9.75" customHeight="1">
      <x:c r="A143" s="32"/>
      <x:c r="B143" s="11"/>
      <x:c r="C143" s="11"/>
      <x:c r="D143" s="6"/>
      <x:c r="E143" s="11"/>
      <x:c r="F143" s="11"/>
      <x:c r="G143" s="11"/>
      <x:c r="H143" s="11"/>
      <x:c r="I143" s="14"/>
      <x:c r="J143" s="20"/>
      <x:c r="K143" s="11"/>
      <x:c r="L143" s="11"/>
      <x:c r="M143" s="14"/>
      <x:c r="N143" s="35"/>
    </x:row>
    <x:row r="144" ht="9.75" customHeight="1">
      <x:c r="A144" s="32"/>
      <x:c r="B144" s="11"/>
      <x:c r="C144" s="11"/>
      <x:c r="D144" s="6"/>
      <x:c r="E144" s="11"/>
      <x:c r="F144" s="11"/>
      <x:c r="G144" s="11"/>
      <x:c r="H144" s="11"/>
      <x:c r="I144" s="14"/>
      <x:c r="J144" s="20"/>
      <x:c r="K144" s="11"/>
      <x:c r="L144" s="11"/>
      <x:c r="M144" s="14"/>
      <x:c r="N144" s="35"/>
    </x:row>
    <x:row r="145" ht="9.75" customHeight="1">
      <x:c r="A145" s="32"/>
      <x:c r="B145" s="11"/>
      <x:c r="C145" s="11"/>
      <x:c r="D145" s="6"/>
      <x:c r="E145" s="11"/>
      <x:c r="F145" s="11"/>
      <x:c r="G145" s="11"/>
      <x:c r="H145" s="11"/>
      <x:c r="I145" s="14"/>
      <x:c r="J145" s="20"/>
      <x:c r="K145" s="11"/>
      <x:c r="L145" s="11"/>
      <x:c r="M145" s="14"/>
      <x:c r="N145" s="35"/>
    </x:row>
    <x:row r="146" ht="9.75" customHeight="1">
      <x:c r="A146" s="32"/>
      <x:c r="B146" s="11"/>
      <x:c r="C146" s="11"/>
      <x:c r="D146" s="6"/>
      <x:c r="E146" s="11"/>
      <x:c r="F146" s="11"/>
      <x:c r="G146" s="11"/>
      <x:c r="H146" s="11"/>
      <x:c r="I146" s="14"/>
      <x:c r="J146" s="20"/>
      <x:c r="K146" s="11"/>
      <x:c r="L146" s="11"/>
      <x:c r="M146" s="14"/>
      <x:c r="N146" s="35"/>
    </x:row>
    <x:row r="147" ht="9.75" customHeight="1">
      <x:c r="A147" s="32"/>
      <x:c r="B147" s="11"/>
      <x:c r="C147" s="11"/>
      <x:c r="D147" s="6"/>
      <x:c r="E147" s="11"/>
      <x:c r="F147" s="11"/>
      <x:c r="G147" s="11"/>
      <x:c r="H147" s="11"/>
      <x:c r="I147" s="14"/>
      <x:c r="J147" s="20"/>
      <x:c r="K147" s="11"/>
      <x:c r="L147" s="11"/>
      <x:c r="M147" s="14"/>
      <x:c r="N147" s="35"/>
    </x:row>
    <x:row r="148" ht="9.75" customHeight="1">
      <x:c r="A148" s="32"/>
      <x:c r="B148" s="11"/>
      <x:c r="C148" s="11"/>
      <x:c r="D148" s="6"/>
      <x:c r="E148" s="11"/>
      <x:c r="F148" s="11"/>
      <x:c r="G148" s="11"/>
      <x:c r="H148" s="11"/>
      <x:c r="I148" s="14"/>
      <x:c r="J148" s="20"/>
      <x:c r="K148" s="11"/>
      <x:c r="L148" s="11"/>
      <x:c r="M148" s="14"/>
      <x:c r="N148" s="35"/>
    </x:row>
    <x:row r="149" ht="9.75" customHeight="1">
      <x:c r="A149" s="32"/>
      <x:c r="B149" s="11"/>
      <x:c r="C149" s="11"/>
      <x:c r="D149" s="6"/>
      <x:c r="E149" s="11"/>
      <x:c r="F149" s="11"/>
      <x:c r="G149" s="11"/>
      <x:c r="H149" s="11"/>
      <x:c r="I149" s="14"/>
      <x:c r="J149" s="20"/>
      <x:c r="K149" s="11"/>
      <x:c r="L149" s="11"/>
      <x:c r="M149" s="14"/>
      <x:c r="N149" s="35"/>
    </x:row>
    <x:row r="150" ht="9.75" customHeight="1">
      <x:c r="A150" s="32"/>
      <x:c r="B150" s="11"/>
      <x:c r="C150" s="11"/>
      <x:c r="D150" s="6"/>
      <x:c r="E150" s="11"/>
      <x:c r="F150" s="11"/>
      <x:c r="G150" s="11"/>
      <x:c r="H150" s="11"/>
      <x:c r="I150" s="14"/>
      <x:c r="J150" s="20"/>
      <x:c r="K150" s="11"/>
      <x:c r="L150" s="11"/>
      <x:c r="M150" s="14"/>
      <x:c r="N150" s="35"/>
    </x:row>
    <x:row r="151" ht="9.75" customHeight="1">
      <x:c r="A151" s="32"/>
      <x:c r="B151" s="11"/>
      <x:c r="C151" s="11"/>
      <x:c r="D151" s="6"/>
      <x:c r="E151" s="11"/>
      <x:c r="F151" s="11"/>
      <x:c r="G151" s="11"/>
      <x:c r="H151" s="11"/>
      <x:c r="I151" s="14"/>
      <x:c r="J151" s="20"/>
      <x:c r="K151" s="11"/>
      <x:c r="L151" s="11"/>
      <x:c r="M151" s="14"/>
      <x:c r="N151" s="35"/>
    </x:row>
    <x:row r="152" ht="9.75" customHeight="1">
      <x:c r="A152" s="32"/>
      <x:c r="B152" s="11"/>
      <x:c r="C152" s="11"/>
      <x:c r="D152" s="6"/>
      <x:c r="E152" s="11"/>
      <x:c r="F152" s="11"/>
      <x:c r="G152" s="11"/>
      <x:c r="H152" s="11"/>
      <x:c r="I152" s="14"/>
      <x:c r="J152" s="20"/>
      <x:c r="K152" s="11"/>
      <x:c r="L152" s="11"/>
      <x:c r="M152" s="14"/>
      <x:c r="N152" s="35"/>
    </x:row>
    <x:row r="153" ht="9.75" customHeight="1">
      <x:c r="A153" s="32"/>
      <x:c r="B153" s="11"/>
      <x:c r="C153" s="11"/>
      <x:c r="D153" s="6"/>
      <x:c r="E153" s="11"/>
      <x:c r="F153" s="11"/>
      <x:c r="G153" s="11"/>
      <x:c r="H153" s="11"/>
      <x:c r="I153" s="14"/>
      <x:c r="J153" s="20"/>
      <x:c r="K153" s="11"/>
      <x:c r="L153" s="11"/>
      <x:c r="M153" s="14"/>
      <x:c r="N153" s="35"/>
    </x:row>
    <x:row r="154" ht="9.75" customHeight="1">
      <x:c r="A154" s="32"/>
      <x:c r="B154" s="11"/>
      <x:c r="C154" s="11"/>
      <x:c r="D154" s="6"/>
      <x:c r="E154" s="11"/>
      <x:c r="F154" s="11"/>
      <x:c r="G154" s="11"/>
      <x:c r="H154" s="11"/>
      <x:c r="I154" s="14"/>
      <x:c r="J154" s="20"/>
      <x:c r="K154" s="11"/>
      <x:c r="L154" s="11"/>
      <x:c r="M154" s="14"/>
      <x:c r="N154" s="35"/>
    </x:row>
    <x:row r="155" ht="9.75" customHeight="1">
      <x:c r="A155" s="33"/>
      <x:c r="B155" s="12"/>
      <x:c r="C155" s="12"/>
      <x:c r="D155" s="8"/>
      <x:c r="E155" s="12"/>
      <x:c r="F155" s="12"/>
      <x:c r="G155" s="12"/>
      <x:c r="H155" s="12"/>
      <x:c r="I155" s="15"/>
      <x:c r="J155" s="21"/>
      <x:c r="K155" s="12"/>
      <x:c r="L155" s="12"/>
      <x:c r="M155" s="15"/>
      <x:c r="N155" s="36"/>
    </x:row>
  </x:sheetData>
  <x:mergeCells>
    <x:mergeCell ref="A1:N1"/>
    <x:mergeCell ref="A2:N2"/>
    <x:mergeCell ref="A3:N3"/>
  </x:mergeCells>
  <x:dataValidations count="4">
    <x:dataValidation type="list" sqref="E6:E155">
      <x:formula1>"Baik,Gangguan Ringan,Rusak Ringan,Rusak Sedang,Rusak Berat,Perlu Pembersihan,Perlu Pemantauan"</x:formula1>
    </x:dataValidation>
    <x:dataValidation type="list" sqref="F6:F155">
      <x:formula1>"Rendah,Sedang,Tinggi"</x:formula1>
    </x:dataValidation>
    <x:dataValidation type="list" sqref="H6:H155">
      <x:formula1>"Belum Ditindaklanjuti,Direncanakan,Dalam Pelaksanaan,Selesai"</x:formula1>
    </x:dataValidation>
    <x:dataValidation type="list" sqref="L6:L155">
      <x:formula1>"Draft,Dalam Verifikasi,Terverifikasi,Perlu Perbaikan"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aa6d351a89c48bb"/>
  </x:tableParts>
</x:worksheet>
</file>