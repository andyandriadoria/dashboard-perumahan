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4c8664431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UMAHAN" sheetId="1" r:id="R56bedea691974fdb"/>
    <x:sheet xmlns:r="http://schemas.openxmlformats.org/officeDocument/2006/relationships" name="BACKLOG_KECAMATAN" sheetId="2" r:id="Re7b4d4c2865f485a"/>
    <x:sheet xmlns:r="http://schemas.openxmlformats.org/officeDocument/2006/relationships" name="RTLH_RLH_KECAMATAN" sheetId="3" r:id="Ra39cb64d234c40e3"/>
    <x:sheet xmlns:r="http://schemas.openxmlformats.org/officeDocument/2006/relationships" name="RTLH_INDIVIDU" sheetId="4" r:id="Rfa408df7e19544e3"/>
    <x:sheet xmlns:r="http://schemas.openxmlformats.org/officeDocument/2006/relationships" name="RUSUNAWA_UNIT" sheetId="5" r:id="Rb2581a164bdf4f3b"/>
    <x:sheet xmlns:r="http://schemas.openxmlformats.org/officeDocument/2006/relationships" name="RUSUNAWA_RETRIBUSI" sheetId="6" r:id="Rea2bc91fa94a4aca"/>
    <x:sheet xmlns:r="http://schemas.openxmlformats.org/officeDocument/2006/relationships" name="RUSUNAWA_SARPRAS" sheetId="7" r:id="R1965b2865e414494"/>
  </x:sheets>
</x:workbook>
</file>

<file path=xl/sharedStrings.xml><?xml version="1.0" encoding="utf-8"?>
<x:sst xmlns:x="http://schemas.openxmlformats.org/spreadsheetml/2006/main">
  <x:si>
    <x:t xml:space="preserve">TEMPLATE RESMI DATABASE SIRUMAH — DATA PERUMAHAN</x:t>
  </x:si>
  <x:si>
    <x:t xml:space="preserve">Sumber utama modul Data Perumahan, Peta Perumahan, PSU &amp; RTH, serta ringkasan unit.</x:t>
  </x:si>
  <x:si>
    <x:t xml:space="preserve">PETUNJUK: Jangan mengubah nama atau urutan header. Isi data mulai baris 6. Dropdown tersedia pada KATEGORI, KECAMATAN, STATUS_PSU, STATUS_RTH, STATUS_JALAN, STATUS_PENGEMBANG, STATUS_RAWAN_BANJIR, dan STATUS_VERIFIKASI. DIREKTUR/PELAKSANA serta ASOSIASI diisi sebagai teks. STATUS_RTH, STATUS_JALAN, STATUS_PENGEMBANG, STATUS_RAWAN_BANJIR, dan CATATAN akan digabungkan sebagai Catatan pada Dashboard. Kolom PERSEN_TERBANGUN dan PERSEN_TERHUNI dihitung otomatis.</x:t>
  </x:si>
  <x:si>
    <x:t xml:space="preserve">ID_PERUMAHAN*</x:t>
  </x:si>
  <x:si>
    <x:t xml:space="preserve">NAMA_PERUMAHAN*</x:t>
  </x:si>
  <x:si>
    <x:t xml:space="preserve">KATEGORI</x:t>
  </x:si>
  <x:si>
    <x:t xml:space="preserve">KECAMATAN*</x:t>
  </x:si>
  <x:si>
    <x:t xml:space="preserve">KELURAHAN*</x:t>
  </x:si>
  <x:si>
    <x:t xml:space="preserve">ALAMAT</x:t>
  </x:si>
  <x:si>
    <x:t xml:space="preserve">PENGEMBANG</x:t>
  </x:si>
  <x:si>
    <x:t xml:space="preserve">DIREKTUR/PELAKSANA</x:t>
  </x:si>
  <x:si>
    <x:t xml:space="preserve">ASOSIASI</x:t>
  </x:si>
  <x:si>
    <x:t xml:space="preserve">TAHUN_SITEPLAN</x:t>
  </x:si>
  <x:si>
    <x:t xml:space="preserve">JUMLAH_SITEPLAN</x:t>
  </x:si>
  <x:si>
    <x:t xml:space="preserve">JUMLAH_TERBANGUN</x:t>
  </x:si>
  <x:si>
    <x:t xml:space="preserve">JUMLAH_TERHUNI</x:t>
  </x:si>
  <x:si>
    <x:t xml:space="preserve">STATUS_PSU*</x:t>
  </x:si>
  <x:si>
    <x:t xml:space="preserve">TAHUN_SERAH_TERIMA_PSU</x:t>
  </x:si>
  <x:si>
    <x:t xml:space="preserve">LUAS_RTH_M2</x:t>
  </x:si>
  <x:si>
    <x:t xml:space="preserve">STATUS_RTH</x:t>
  </x:si>
  <x:si>
    <x:t xml:space="preserve">STATUS_JALAN</x:t>
  </x:si>
  <x:si>
    <x:t xml:space="preserve">STATUS_PENGEMBANG</x:t>
  </x:si>
  <x:si>
    <x:t xml:space="preserve">STATUS_RAWAN_BANJIR</x:t>
  </x:si>
  <x:si>
    <x:t xml:space="preserve">CATATAN</x:t>
  </x:si>
  <x:si>
    <x:t xml:space="preserve">LATITUDE</x:t>
  </x:si>
  <x:si>
    <x:t xml:space="preserve">LONGITUDE</x:t>
  </x:si>
  <x:si>
    <x:t xml:space="preserve">TAHUN_DATA*</x:t>
  </x:si>
  <x:si>
    <x:t xml:space="preserve">SUMBER_DATA*</x:t>
  </x:si>
  <x:si>
    <x:t xml:space="preserve">STATUS_VERIFIKASI*</x:t>
  </x:si>
  <x:si>
    <x:t xml:space="preserve">TANGGAL_UPDATE*</x:t>
  </x:si>
  <x:si>
    <x:t xml:space="preserve">OPERATOR*</x:t>
  </x:si>
  <x:si>
    <x:t xml:space="preserve">PERSEN_TERBANGUN</x:t>
  </x:si>
  <x:si>
    <x:t xml:space="preserve">PERSEN_TERHUNI</x:t>
  </x:si>
  <x:si>
    <x:t xml:space="preserve">ALAM KAMPAK</x:t>
  </x:si>
  <x:si>
    <x:t xml:space="preserve">Subsidi</x:t>
  </x:si>
  <x:si>
    <x:t xml:space="preserve">Gerunggang</x:t>
  </x:si>
  <x:si>
    <x:t xml:space="preserve">Tua Tunu Indah</x:t>
  </x:si>
  <x:si>
    <x:t xml:space="preserve">Jl. Seniman</x:t>
  </x:si>
  <x:si>
    <x:t xml:space="preserve">PT. ELNOV LANGGENG INDAH</x:t>
  </x:si>
  <x:si>
    <x:t xml:space="preserve">Novian Kasmofit</x:t>
  </x:si>
  <x:si>
    <x:t xml:space="preserve">APERSI</x:t>
  </x:si>
  <x:si>
    <x:t xml:space="preserve">BELUM DISERAHKAN</x:t>
  </x:si>
  <x:si>
    <x:t xml:space="preserve">NN</x:t>
  </x:si>
  <x:si>
    <x:t xml:space="preserve">RTH belum terbangun</x:t>
  </x:si>
  <x:si>
    <x:t xml:space="preserve">Titik rawan genangan dan banjir</x:t>
  </x:si>
  <x:si>
    <x:t xml:space="preserve">ALAM KEMANG PERMATA</x:t>
  </x:si>
  <x:si>
    <x:t xml:space="preserve">Air Kepala Tujuh</x:t>
  </x:si>
  <x:si>
    <x:t xml:space="preserve">Jl. Kemang Permata</x:t>
  </x:si>
  <x:si>
    <x:t xml:space="preserve">SUDAH DISERAHKAN</x:t>
  </x:si>
  <x:si>
    <x:t xml:space="preserve">ALAM PINANG PURA</x:t>
  </x:si>
  <x:si>
    <x:t xml:space="preserve">ALIA HILL RESIDENCE</x:t>
  </x:si>
  <x:si>
    <x:t xml:space="preserve">Jl. Tampuk Pinang Pura</x:t>
  </x:si>
  <x:si>
    <x:t xml:space="preserve">Rusdianto</x:t>
  </x:si>
  <x:si>
    <x:t xml:space="preserve">AMIRAH RESIDENCE</x:t>
  </x:si>
  <x:si>
    <x:t xml:space="preserve">Jl. Kulan Kampak</x:t>
  </x:si>
  <x:si>
    <x:t xml:space="preserve">Jalan rusak ringan</x:t>
  </x:si>
  <x:si>
    <x:t xml:space="preserve">ANJAYA RESIDENCE</x:t>
  </x:si>
  <x:si>
    <x:t xml:space="preserve">PT. BABEL JAYA KONSTRUKSI</x:t>
  </x:si>
  <x:si>
    <x:t xml:space="preserve">Ivan Skyler Anjaya S.T</x:t>
  </x:si>
  <x:si>
    <x:t xml:space="preserve">ANJAYO RESIDENCE 2</x:t>
  </x:si>
  <x:si>
    <x:t xml:space="preserve">Gabek</x:t>
  </x:si>
  <x:si>
    <x:t xml:space="preserve">Air Salemba</x:t>
  </x:si>
  <x:si>
    <x:t xml:space="preserve">Jl. Fatmawati</x:t>
  </x:si>
  <x:si>
    <x:t xml:space="preserve">PT. MARLINDO BANGUN PERSADA</x:t>
  </x:si>
  <x:si>
    <x:t xml:space="preserve">Andrian Bong</x:t>
  </x:si>
  <x:si>
    <x:t xml:space="preserve">APPERNAS JAYA</x:t>
  </x:si>
  <x:si>
    <x:t xml:space="preserve">ANJAYO RESIDENCE 4</x:t>
  </x:si>
  <x:si>
    <x:t xml:space="preserve">Gabek Satu</x:t>
  </x:si>
  <x:si>
    <x:t xml:space="preserve">Jl. Stadion</x:t>
  </x:si>
  <x:si>
    <x:t xml:space="preserve">ANJAYO RESIDENCE 10</x:t>
  </x:si>
  <x:si>
    <x:t xml:space="preserve">Jerambah Gantung</x:t>
  </x:si>
  <x:si>
    <x:t xml:space="preserve">Jl. Pustu</x:t>
  </x:si>
  <x:si>
    <x:t xml:space="preserve">RTH terbangun</x:t>
  </x:si>
  <x:si>
    <x:t xml:space="preserve">ANJAYO RESIDENCE 12</x:t>
  </x:si>
  <x:si>
    <x:t xml:space="preserve">Jl. Kampak Dalam</x:t>
  </x:si>
  <x:si>
    <x:t xml:space="preserve">RTH beralih fungsi</x:t>
  </x:si>
  <x:si>
    <x:t xml:space="preserve">ANJAYO RESIDENCE 15</x:t>
  </x:si>
  <x:si>
    <x:t xml:space="preserve">Jl. Mentangor</x:t>
  </x:si>
  <x:si>
    <x:t xml:space="preserve">ANJAYO RESIDENCE 16</x:t>
  </x:si>
  <x:si>
    <x:t xml:space="preserve">Jl. Kelompok</x:t>
  </x:si>
  <x:si>
    <x:t xml:space="preserve">APPLE RESIDENCE 1</x:t>
  </x:si>
  <x:si>
    <x:t xml:space="preserve">Bukit Intan</x:t>
  </x:si>
  <x:si>
    <x:t xml:space="preserve">Bacang</x:t>
  </x:si>
  <x:si>
    <x:t xml:space="preserve">Jl. Air Mangkok</x:t>
  </x:si>
  <x:si>
    <x:t xml:space="preserve">PT. BANGKA JESSTINDO LESTARI</x:t>
  </x:si>
  <x:si>
    <x:t xml:space="preserve">Rince</x:t>
  </x:si>
  <x:si>
    <x:t xml:space="preserve">REI</x:t>
  </x:si>
  <x:si>
    <x:t xml:space="preserve">APPLE RESIDENCE 1 TAMBAHAN</x:t>
  </x:si>
  <x:si>
    <x:t xml:space="preserve">Jalan belum perkerasan</x:t>
  </x:si>
  <x:si>
    <x:t xml:space="preserve">APPLE RESIDENCE 2</x:t>
  </x:si>
  <x:si>
    <x:t xml:space="preserve">Subsidi dan Komersil</x:t>
  </x:si>
  <x:si>
    <x:t xml:space="preserve">Selindung</x:t>
  </x:si>
  <x:si>
    <x:t xml:space="preserve">Jl. Sekolah</x:t>
  </x:si>
  <x:si>
    <x:t xml:space="preserve">APPLE RESIDENCE 2 TAMBAHAN</x:t>
  </x:si>
  <x:si>
    <x:t xml:space="preserve">APPLE RESIDENCE 3 TAHAP 1</x:t>
  </x:si>
  <x:si>
    <x:t xml:space="preserve">Sinar Bulan</x:t>
  </x:si>
  <x:si>
    <x:t xml:space="preserve">Jl. Sampur</x:t>
  </x:si>
  <x:si>
    <x:t xml:space="preserve">APPLE RESIDENCE 3 TAHAP 2</x:t>
  </x:si>
  <x:si>
    <x:t xml:space="preserve">AROMA RESIDENCE</x:t>
  </x:si>
  <x:si>
    <x:t xml:space="preserve">Pangkal Balam</x:t>
  </x:si>
  <x:si>
    <x:t xml:space="preserve">Ketapang</x:t>
  </x:si>
  <x:si>
    <x:t xml:space="preserve">Jl. Selar</x:t>
  </x:si>
  <x:si>
    <x:t xml:space="preserve">PT. CAHAYA KEMULIAAN BERSAMA</x:t>
  </x:si>
  <x:si>
    <x:t xml:space="preserve">ARTHA USAHA MANDIRI</x:t>
  </x:si>
  <x:si>
    <x:t xml:space="preserve">Jl. Kampung Melayu</x:t>
  </x:si>
  <x:si>
    <x:t xml:space="preserve">PT. ARTHA USAHA MANDIRI INDAH</x:t>
  </x:si>
  <x:si>
    <x:t xml:space="preserve">Dahri</x:t>
  </x:si>
  <x:si>
    <x:t xml:space="preserve">ARTHA USAHA MANDIRI 2</x:t>
  </x:si>
  <x:si>
    <x:t xml:space="preserve">ARTISTIK RESIDENCE</x:t>
  </x:si>
  <x:si>
    <x:t xml:space="preserve">Gg. Warisan Budaya Kampak</x:t>
  </x:si>
  <x:si>
    <x:t xml:space="preserve">PT. ARTISTIK JAYA CONT</x:t>
  </x:si>
  <x:si>
    <x:t xml:space="preserve">Eko Yulianto</x:t>
  </x:si>
  <x:si>
    <x:t xml:space="preserve">PI</x:t>
  </x:si>
  <x:si>
    <x:t xml:space="preserve">Jalan rusak berat</x:t>
  </x:si>
  <x:si>
    <x:t xml:space="preserve">ARTISTIK RESIDENCE 2</x:t>
  </x:si>
  <x:si>
    <x:t xml:space="preserve">ARTISTIK RESIDENCE 3</x:t>
  </x:si>
  <x:si>
    <x:t xml:space="preserve">Jl. Haji Bakir</x:t>
  </x:si>
  <x:si>
    <x:t xml:space="preserve">ARTISTIK RESIDENCE 5</x:t>
  </x:si>
  <x:si>
    <x:t xml:space="preserve">Jl. Pikas</x:t>
  </x:si>
  <x:si>
    <x:t xml:space="preserve">ARTISTIK RESIDENCE 6</x:t>
  </x:si>
  <x:si>
    <x:t xml:space="preserve">Jl. Kurma</x:t>
  </x:si>
  <x:si>
    <x:t xml:space="preserve">AYRA SRIWIJAYA RESIDENCE</x:t>
  </x:si>
  <x:si>
    <x:t xml:space="preserve">Temberan</x:t>
  </x:si>
  <x:si>
    <x:t xml:space="preserve">Jl. Pantai Pasir Padi</x:t>
  </x:si>
  <x:si>
    <x:t xml:space="preserve">PT. AYRA SRIWIJAYA MANDIRI</x:t>
  </x:si>
  <x:si>
    <x:t xml:space="preserve">Yuyun Mutriani</x:t>
  </x:si>
  <x:si>
    <x:t xml:space="preserve">AYRA SRIWIJAYA RESIDENCE 2</x:t>
  </x:si>
  <x:si>
    <x:t xml:space="preserve">Jl. Cempaka Putih</x:t>
  </x:si>
  <x:si>
    <x:t xml:space="preserve">AYRA SRIWIJAYA RESIDENCE 3</x:t>
  </x:si>
  <x:si>
    <x:t xml:space="preserve">Jl. Raya Pasir Padi</x:t>
  </x:si>
  <x:si>
    <x:t xml:space="preserve">AYRA SRIWIJAYA RESIDENCE 4</x:t>
  </x:si>
  <x:si>
    <x:t xml:space="preserve">AZKA SQUARE</x:t>
  </x:si>
  <x:si>
    <x:t xml:space="preserve">Jl. Al-Mizan</x:t>
  </x:si>
  <x:si>
    <x:t xml:space="preserve">PT. AZKA CAHAYA GEMILANG</x:t>
  </x:si>
  <x:si>
    <x:t xml:space="preserve">Anggun</x:t>
  </x:si>
  <x:si>
    <x:t xml:space="preserve">AZURA</x:t>
  </x:si>
  <x:si>
    <x:t xml:space="preserve">Taman Bunga</x:t>
  </x:si>
  <x:si>
    <x:t xml:space="preserve">Gg. Vanila</x:t>
  </x:si>
  <x:si>
    <x:t xml:space="preserve">AZZAHRAH RESIDENCE</x:t>
  </x:si>
  <x:si>
    <x:t xml:space="preserve">Gg. Palapa</x:t>
  </x:si>
  <x:si>
    <x:t xml:space="preserve">PT. ALEXINDO CIPTA PROPERTI</x:t>
  </x:si>
  <x:si>
    <x:t xml:space="preserve">Yongki Alexander</x:t>
  </x:si>
  <x:si>
    <x:t xml:space="preserve">AZZAHRAH RESIDENCE II</x:t>
  </x:si>
  <x:si>
    <x:t xml:space="preserve">Jl. Mawar Kampak</x:t>
  </x:si>
  <x:si>
    <x:t xml:space="preserve">AZZAHRAH RESIDENCE IV</x:t>
  </x:si>
  <x:si>
    <x:t xml:space="preserve">Jl. Air Ketapik</x:t>
  </x:si>
  <x:si>
    <x:t xml:space="preserve">BABEL RESIDENCE</x:t>
  </x:si>
  <x:si>
    <x:t xml:space="preserve">Jl. Kurma Dalam</x:t>
  </x:si>
  <x:si>
    <x:t xml:space="preserve">PT. IFAN AURA LESTARI</x:t>
  </x:si>
  <x:si>
    <x:t xml:space="preserve">Firmansyah</x:t>
  </x:si>
  <x:si>
    <x:t xml:space="preserve">BABEL RESIDENCE II</x:t>
  </x:si>
  <x:si>
    <x:t xml:space="preserve">BABEL RESIDENCE III</x:t>
  </x:si>
  <x:si>
    <x:t xml:space="preserve">BABEL RESIDENCE IV</x:t>
  </x:si>
  <x:si>
    <x:t xml:space="preserve">BERKAH MANDIRI</x:t>
  </x:si>
  <x:si>
    <x:t xml:space="preserve">Jl. Kerabut 2</x:t>
  </x:si>
  <x:si>
    <x:t xml:space="preserve">PT. MEGA SAPUTRA PERSADA</x:t>
  </x:si>
  <x:si>
    <x:t xml:space="preserve">Defri Hertanto</x:t>
  </x:si>
  <x:si>
    <x:t xml:space="preserve">BERKAH SYARIAH MANDIRI</x:t>
  </x:si>
  <x:si>
    <x:t xml:space="preserve">BHAYANGKARA RESIDENCE</x:t>
  </x:si>
  <x:si>
    <x:t xml:space="preserve">Jl. Komp Sampur</x:t>
  </x:si>
  <x:si>
    <x:t xml:space="preserve">PT. TJEMARA MENTARI</x:t>
  </x:si>
  <x:si>
    <x:t xml:space="preserve">Tan Tok Khian</x:t>
  </x:si>
  <x:si>
    <x:t xml:space="preserve">BINTANG SAMRATULANGI 3</x:t>
  </x:si>
  <x:si>
    <x:t xml:space="preserve">Jl. Tanjung Bunga</x:t>
  </x:si>
  <x:si>
    <x:t xml:space="preserve">PT. LIMA BINTANG SEMPURNA</x:t>
  </x:si>
  <x:si>
    <x:t xml:space="preserve">M. Nomordin</x:t>
  </x:si>
  <x:si>
    <x:t xml:space="preserve">APPERINDO</x:t>
  </x:si>
  <x:si>
    <x:t xml:space="preserve">BINTANG SAMRATULANGI 6</x:t>
  </x:si>
  <x:si>
    <x:t xml:space="preserve">Jl. Pikas 4</x:t>
  </x:si>
  <x:si>
    <x:t xml:space="preserve">BONA MUTIARA RESIDENCE</x:t>
  </x:si>
  <x:si>
    <x:t xml:space="preserve">Komersil</x:t>
  </x:si>
  <x:si>
    <x:t xml:space="preserve">Jl. Gandaria 1</x:t>
  </x:si>
  <x:si>
    <x:t xml:space="preserve">BRALING INDAH</x:t>
  </x:si>
  <x:si>
    <x:t xml:space="preserve">PT.GIE SUKSES MANDIRI</x:t>
  </x:si>
  <x:si>
    <x:t xml:space="preserve">Supriyanto</x:t>
  </x:si>
  <x:si>
    <x:t xml:space="preserve">BUKIT BARU RESIDENCE 1</x:t>
  </x:si>
  <x:si>
    <x:t xml:space="preserve">Jl. Delima III</x:t>
  </x:si>
  <x:si>
    <x:t xml:space="preserve">Defri Hartanto</x:t>
  </x:si>
  <x:si>
    <x:t xml:space="preserve">Pengembang tidak aktif</x:t>
  </x:si>
  <x:si>
    <x:t xml:space="preserve">BUKIT BARU RESIDENCE 2</x:t>
  </x:si>
  <x:si>
    <x:t xml:space="preserve">Jl. Rariang</x:t>
  </x:si>
  <x:si>
    <x:t xml:space="preserve">BUKIT BARU RESIDENCE 3</x:t>
  </x:si>
  <x:si>
    <x:t xml:space="preserve">Jl. Cendrawasih</x:t>
  </x:si>
  <x:si>
    <x:t xml:space="preserve">BUKIT BARU RESIDENCE 4</x:t>
  </x:si>
  <x:si>
    <x:t xml:space="preserve">Bukit Merapin</x:t>
  </x:si>
  <x:si>
    <x:t xml:space="preserve">Jl. Bukit Manggis</x:t>
  </x:si>
  <x:si>
    <x:t xml:space="preserve">BUKIT INTAN ASRI</x:t>
  </x:si>
  <x:si>
    <x:t xml:space="preserve">Jl. Nilam Raya No II</x:t>
  </x:si>
  <x:si>
    <x:t xml:space="preserve">BUKIT MANGGIS</x:t>
  </x:si>
  <x:si>
    <x:t xml:space="preserve">Irma Yani</x:t>
  </x:si>
  <x:si>
    <x:t xml:space="preserve">BUKIT MAS</x:t>
  </x:si>
  <x:si>
    <x:t xml:space="preserve">Jl. Borneo</x:t>
  </x:si>
  <x:si>
    <x:t xml:space="preserve">BUKIT PRIMER</x:t>
  </x:si>
  <x:si>
    <x:t xml:space="preserve">Gg. Karet</x:t>
  </x:si>
  <x:si>
    <x:t xml:space="preserve">PT. PUNDIMAS</x:t>
  </x:si>
  <x:si>
    <x:t xml:space="preserve">Efran</x:t>
  </x:si>
  <x:si>
    <x:t xml:space="preserve">HIMPERA</x:t>
  </x:si>
  <x:si>
    <x:t xml:space="preserve">BUMI ASRI PERMAI</x:t>
  </x:si>
  <x:si>
    <x:t xml:space="preserve">PT. RADHI UTAMA NUSA</x:t>
  </x:si>
  <x:si>
    <x:t xml:space="preserve">Rudi Kurniawan</x:t>
  </x:si>
  <x:si>
    <x:t xml:space="preserve">BUMI ASRI PERMAI 2</x:t>
  </x:si>
  <x:si>
    <x:t xml:space="preserve">BUMI GANADHYA</x:t>
  </x:si>
  <x:si>
    <x:t xml:space="preserve">Air Itam</x:t>
  </x:si>
  <x:si>
    <x:t xml:space="preserve">PT. MITRA GUNADHYA MANDIRI</x:t>
  </x:si>
  <x:si>
    <x:t xml:space="preserve">Novita Lestari</x:t>
  </x:si>
  <x:si>
    <x:t xml:space="preserve">BUMI KAMPAK PERMAI</x:t>
  </x:si>
  <x:si>
    <x:t xml:space="preserve">PT. TIMUR JAYA NUGRAHA</x:t>
  </x:si>
  <x:si>
    <x:t xml:space="preserve">Beny Ansory</x:t>
  </x:si>
  <x:si>
    <x:t xml:space="preserve">BUMI SELINDUNG DAMAI</x:t>
  </x:si>
  <x:si>
    <x:t xml:space="preserve">Jl. Lintas Timur</x:t>
  </x:si>
  <x:si>
    <x:t xml:space="preserve">PT. MUZAZI NURFI ABADI</x:t>
  </x:si>
  <x:si>
    <x:t xml:space="preserve">Nurul Anwar</x:t>
  </x:si>
  <x:si>
    <x:t xml:space="preserve">CAHAYA PROPERTI</x:t>
  </x:si>
  <x:si>
    <x:t xml:space="preserve">Lontong Pancur</x:t>
  </x:si>
  <x:si>
    <x:t xml:space="preserve">Jl. Dok Kartini</x:t>
  </x:si>
  <x:si>
    <x:t xml:space="preserve">PT. CAHAYA JAYA KONSTRUKSI</x:t>
  </x:si>
  <x:si>
    <x:t xml:space="preserve">Mas'ud</x:t>
  </x:si>
  <x:si>
    <x:t xml:space="preserve">CAHAYA RESIDENCE</x:t>
  </x:si>
  <x:si>
    <x:t xml:space="preserve">CAHAYA RESIDENCE 1</x:t>
  </x:si>
  <x:si>
    <x:t xml:space="preserve">CAHAYA RESIDENCE 2</x:t>
  </x:si>
  <x:si>
    <x:t xml:space="preserve">CAHAYA RESIDENCE 3</x:t>
  </x:si>
  <x:si>
    <x:t xml:space="preserve">CAHAYA RESIDENCE 4</x:t>
  </x:si>
  <x:si>
    <x:t xml:space="preserve">CAHAYA RESIDENCE 5</x:t>
  </x:si>
  <x:si>
    <x:t xml:space="preserve">CV. CAHAYA JAYA ABADI</x:t>
  </x:si>
  <x:si>
    <x:t xml:space="preserve">Hendra Wijaya</x:t>
  </x:si>
  <x:si>
    <x:t xml:space="preserve">CAHAYA RESIDENCE 6</x:t>
  </x:si>
  <x:si>
    <x:t xml:space="preserve">CAHAYA RESIDENCE 7</x:t>
  </x:si>
  <x:si>
    <x:t xml:space="preserve">Jl. Stania</x:t>
  </x:si>
  <x:si>
    <x:t xml:space="preserve">CAHAYA RESIDENCE 8</x:t>
  </x:si>
  <x:si>
    <x:t xml:space="preserve">Jl. Kerabut</x:t>
  </x:si>
  <x:si>
    <x:t xml:space="preserve">CAHAYA RESIDENCE 9</x:t>
  </x:si>
  <x:si>
    <x:t xml:space="preserve">CAHAYA RESIDENCE 10</x:t>
  </x:si>
  <x:si>
    <x:t xml:space="preserve">Jl. Fatmawati Gang Keluarga 1</x:t>
  </x:si>
  <x:si>
    <x:t xml:space="preserve">CAHAYA RESIDENCE 11</x:t>
  </x:si>
  <x:si>
    <x:t xml:space="preserve">Jl. Air Kampak</x:t>
  </x:si>
  <x:si>
    <x:t xml:space="preserve">CAHAYA RESIDENCE 12</x:t>
  </x:si>
  <x:si>
    <x:t xml:space="preserve">Jl. Ali Asik II</x:t>
  </x:si>
  <x:si>
    <x:t xml:space="preserve">PT.CAHAYA JAYA KONSTRUKSI</x:t>
  </x:si>
  <x:si>
    <x:t xml:space="preserve">CAHAYA RESIDENCE 13</x:t>
  </x:si>
  <x:si>
    <x:t xml:space="preserve">CAHAYA RESIDENCE 15</x:t>
  </x:si>
  <x:si>
    <x:t xml:space="preserve">CAHAYA RESIDENCE 17</x:t>
  </x:si>
  <x:si>
    <x:t xml:space="preserve">Jl. Anggrek</x:t>
  </x:si>
  <x:si>
    <x:t xml:space="preserve">CAHAYA RESIDENCE 18</x:t>
  </x:si>
  <x:si>
    <x:t xml:space="preserve">Jl. H. Umar</x:t>
  </x:si>
  <x:si>
    <x:t xml:space="preserve">CEMPAKA MAS RESIDENCE</x:t>
  </x:si>
  <x:si>
    <x:t xml:space="preserve">PT. WANGKA WIJAYA PROPERTY</x:t>
  </x:si>
  <x:si>
    <x:t xml:space="preserve">Ery Wahyudi</x:t>
  </x:si>
  <x:si>
    <x:t xml:space="preserve">Jalan rusak sedang</x:t>
  </x:si>
  <x:si>
    <x:t xml:space="preserve">CEMPAKA MAS RESIDENCE 3</x:t>
  </x:si>
  <x:si>
    <x:t xml:space="preserve">Jl. Jalur Dua</x:t>
  </x:si>
  <x:si>
    <x:t xml:space="preserve">CEMPAKA MAS RESIDENCE 4</x:t>
  </x:si>
  <x:si>
    <x:t xml:space="preserve">CEMPAKA MAS RESIDENCE 5</x:t>
  </x:si>
  <x:si>
    <x:t xml:space="preserve">CERIA VILLAGE</x:t>
  </x:si>
  <x:si>
    <x:t xml:space="preserve">Gg. Mirah Delima</x:t>
  </x:si>
  <x:si>
    <x:t xml:space="preserve">PT.INDO BANGKA PROPERTY</x:t>
  </x:si>
  <x:si>
    <x:t xml:space="preserve">Munawir</x:t>
  </x:si>
  <x:si>
    <x:t xml:space="preserve">CIPTA KARYA</x:t>
  </x:si>
  <x:si>
    <x:t xml:space="preserve">CITRALAND</x:t>
  </x:si>
  <x:si>
    <x:t xml:space="preserve">Jl. Alexander</x:t>
  </x:si>
  <x:si>
    <x:t xml:space="preserve">PT. CIPUTRA SUKSES PROPERTY</x:t>
  </x:si>
  <x:si>
    <x:t xml:space="preserve">CITY RESIDENCE</x:t>
  </x:si>
  <x:si>
    <x:t xml:space="preserve">DAMAI LESTARI RESIDENCE</x:t>
  </x:si>
  <x:si>
    <x:t xml:space="preserve">Jl. Nilam II</x:t>
  </x:si>
  <x:si>
    <x:t xml:space="preserve">PT.BANGKA DAMAI LESTARI</x:t>
  </x:si>
  <x:si>
    <x:t xml:space="preserve">DAMAI LESTARI RESIDENCE 1 TAHAP 1</x:t>
  </x:si>
  <x:si>
    <x:t xml:space="preserve">DAMAI LESTARI RESIDENCE 1 TAHAP 2</x:t>
  </x:si>
  <x:si>
    <x:t xml:space="preserve">DAMAI LESTARI RESIDENCE 2</x:t>
  </x:si>
  <x:si>
    <x:t xml:space="preserve">Selindung Baru</x:t>
  </x:si>
  <x:si>
    <x:t xml:space="preserve">Jl. Kartini</x:t>
  </x:si>
  <x:si>
    <x:t xml:space="preserve">PT. BANGKA DAMAI LESTARI</x:t>
  </x:si>
  <x:si>
    <x:t xml:space="preserve">DAMAI LESTARI RESIDENCE 2 B</x:t>
  </x:si>
  <x:si>
    <x:t xml:space="preserve">DAMAI LESTARI RESIDENCE 6 TAHAP 1</x:t>
  </x:si>
  <x:si>
    <x:t xml:space="preserve">DAMAI LESTARI RESIDENCE 6 TAHAP 2</x:t>
  </x:si>
  <x:si>
    <x:t xml:space="preserve">DAMAI LESTARI RESIDENCE 10</x:t>
  </x:si>
  <x:si>
    <x:t xml:space="preserve">DAMAI LESTARI RESIDENCE 10 TAHAP 2</x:t>
  </x:si>
  <x:si>
    <x:t xml:space="preserve">Jl. Kampak Serasi</x:t>
  </x:si>
  <x:si>
    <x:t xml:space="preserve">DAMAI LESTARI RESIDENCE 15 TAHAP 1</x:t>
  </x:si>
  <x:si>
    <x:t xml:space="preserve">Jl. Tanjung Bunga 2</x:t>
  </x:si>
  <x:si>
    <x:t xml:space="preserve">DAMAI LESTARI RESIDENCE 15 TAHAP 2</x:t>
  </x:si>
  <x:si>
    <x:t xml:space="preserve">DE PURNAMA</x:t>
  </x:si>
  <x:si>
    <x:t xml:space="preserve">DEALOVA BAHAGIA</x:t>
  </x:si>
  <x:si>
    <x:t xml:space="preserve">Jl. Jalur 2, Tampuk Pinang Pura</x:t>
  </x:si>
  <x:si>
    <x:t xml:space="preserve">PT. STANLEY PROPERTY MANDIRI</x:t>
  </x:si>
  <x:si>
    <x:t xml:space="preserve">Mulyadi Lie</x:t>
  </x:si>
  <x:si>
    <x:t xml:space="preserve">DEALOVA BAHAGIA TAHAP 2</x:t>
  </x:si>
  <x:si>
    <x:t xml:space="preserve">Jl. Jalur 2</x:t>
  </x:si>
  <x:si>
    <x:t xml:space="preserve">DELANO RESIDENCE</x:t>
  </x:si>
  <x:si>
    <x:t xml:space="preserve">Jl. Fatmawati Gg. Keluarga</x:t>
  </x:si>
  <x:si>
    <x:t xml:space="preserve">PT . DELANO JAYA PROPERTI</x:t>
  </x:si>
  <x:si>
    <x:t xml:space="preserve">Djong Khian Khie</x:t>
  </x:si>
  <x:si>
    <x:t xml:space="preserve">DELANO RESIDENCE 2</x:t>
  </x:si>
  <x:si>
    <x:t xml:space="preserve">Air Mawar</x:t>
  </x:si>
  <x:si>
    <x:t xml:space="preserve">Jl. Swadaya</x:t>
  </x:si>
  <x:si>
    <x:t xml:space="preserve">DELIMA BAHAGIA</x:t>
  </x:si>
  <x:si>
    <x:t xml:space="preserve">Jl. Mirah Delima</x:t>
  </x:si>
  <x:si>
    <x:t xml:space="preserve">DERIYASA</x:t>
  </x:si>
  <x:si>
    <x:t xml:space="preserve">CV. RIMA JAYA</x:t>
  </x:si>
  <x:si>
    <x:t xml:space="preserve">Asep Hidayat</x:t>
  </x:si>
  <x:si>
    <x:t xml:space="preserve">DIVA RESIDENCE</x:t>
  </x:si>
  <x:si>
    <x:t xml:space="preserve">CV. ANUGRAH ABADI</x:t>
  </x:si>
  <x:si>
    <x:t xml:space="preserve">Boy Akbar Anugrah</x:t>
  </x:si>
  <x:si>
    <x:t xml:space="preserve">DIVA RESIDENCE 2</x:t>
  </x:si>
  <x:si>
    <x:t xml:space="preserve">Bukit Sari</x:t>
  </x:si>
  <x:si>
    <x:t xml:space="preserve">Jl. Melangir</x:t>
  </x:si>
  <x:si>
    <x:t xml:space="preserve">PT. ANUGRAH DIVA ABADI</x:t>
  </x:si>
  <x:si>
    <x:t xml:space="preserve">DIZA RESIDENCE</x:t>
  </x:si>
  <x:si>
    <x:t xml:space="preserve">Girimaya</x:t>
  </x:si>
  <x:si>
    <x:t xml:space="preserve">Sriwijaya</x:t>
  </x:si>
  <x:si>
    <x:t xml:space="preserve">Jl. Basuki Rahmat Ujung 1</x:t>
  </x:si>
  <x:si>
    <x:t xml:space="preserve">DREAMLAND 1</x:t>
  </x:si>
  <x:si>
    <x:t xml:space="preserve">Jl. Haji Umar</x:t>
  </x:si>
  <x:si>
    <x:t xml:space="preserve">PT. BESTINDO PROPERTY</x:t>
  </x:si>
  <x:si>
    <x:t xml:space="preserve">Ir. Thomas Jusman, MM</x:t>
  </x:si>
  <x:si>
    <x:t xml:space="preserve">D'RICH ADYKA RESIDENCE</x:t>
  </x:si>
  <x:si>
    <x:t xml:space="preserve">Jl R. Hundani</x:t>
  </x:si>
  <x:si>
    <x:t xml:space="preserve">PT. ANUGRAH HARAPAN BARU REGENCY</x:t>
  </x:si>
  <x:si>
    <x:t xml:space="preserve">Ady Irawan/Riska Jesika</x:t>
  </x:si>
  <x:si>
    <x:t xml:space="preserve">ELGHANI REGENCY</x:t>
  </x:si>
  <x:si>
    <x:t xml:space="preserve">Jl. Cucak Rowo</x:t>
  </x:si>
  <x:si>
    <x:t xml:space="preserve">FARRAS RESIDENCE</x:t>
  </x:si>
  <x:si>
    <x:t xml:space="preserve">Jl. Dasalamah</x:t>
  </x:si>
  <x:si>
    <x:t xml:space="preserve">PT. FARRAZY PUTRA CONTRAINDO</x:t>
  </x:si>
  <x:si>
    <x:t xml:space="preserve">FEIYAZ RESIDENCE</x:t>
  </x:si>
  <x:si>
    <x:t xml:space="preserve">Jl. Pulau Gelasa</x:t>
  </x:si>
  <x:si>
    <x:t xml:space="preserve">PT. KARYA DANISH FAZILA</x:t>
  </x:si>
  <x:si>
    <x:t xml:space="preserve">Zulfani</x:t>
  </x:si>
  <x:si>
    <x:t xml:space="preserve">FEIYAZ RESIDENCE 2</x:t>
  </x:si>
  <x:si>
    <x:t xml:space="preserve">Jl. Fajar</x:t>
  </x:si>
  <x:si>
    <x:t xml:space="preserve">FERZA BERLIAN RESIDENCE</x:t>
  </x:si>
  <x:si>
    <x:t xml:space="preserve">CV. BUMI CITRA LESTARI</x:t>
  </x:si>
  <x:si>
    <x:t xml:space="preserve">Reza Eka Aprilianto</x:t>
  </x:si>
  <x:si>
    <x:t xml:space="preserve">FERZA MUTIARA RESIDENCE</x:t>
  </x:si>
  <x:si>
    <x:t xml:space="preserve">Jl. Gandaria 1 Dalam</x:t>
  </x:si>
  <x:si>
    <x:t xml:space="preserve">FERZA RESIDENCE</x:t>
  </x:si>
  <x:si>
    <x:t xml:space="preserve">Jl. Pahlawan 12</x:t>
  </x:si>
  <x:si>
    <x:t xml:space="preserve">FLAMENGO RESIDENCE</x:t>
  </x:si>
  <x:si>
    <x:t xml:space="preserve">Jl. Gandaria 1, No. 12</x:t>
  </x:si>
  <x:si>
    <x:t xml:space="preserve">PT. BANGKA INDO PROPERTY</x:t>
  </x:si>
  <x:si>
    <x:t xml:space="preserve">Sri Devi Agustini</x:t>
  </x:si>
  <x:si>
    <x:t xml:space="preserve">FLAMENGO RESIDENCE 2</x:t>
  </x:si>
  <x:si>
    <x:t xml:space="preserve">Jl. Haji Bakri</x:t>
  </x:si>
  <x:si>
    <x:t xml:space="preserve">PT. BANGKA INDO PROPERTI</x:t>
  </x:si>
  <x:si>
    <x:t xml:space="preserve">FLAMENGO RESIDENCE 3</x:t>
  </x:si>
  <x:si>
    <x:t xml:space="preserve">Jl . Gandari 1, Gg. Flamengo</x:t>
  </x:si>
  <x:si>
    <x:t xml:space="preserve">GADING HIJAU</x:t>
  </x:si>
  <x:si>
    <x:t xml:space="preserve">Bukit Besar</x:t>
  </x:si>
  <x:si>
    <x:t xml:space="preserve">Jl. Belakang Sd 60 Girimaya</x:t>
  </x:si>
  <x:si>
    <x:t xml:space="preserve">PERUMAHAN GADING HIJAU</x:t>
  </x:si>
  <x:si>
    <x:t xml:space="preserve">Hasan Basri</x:t>
  </x:si>
  <x:si>
    <x:t xml:space="preserve">GADING PERMAI</x:t>
  </x:si>
  <x:si>
    <x:t xml:space="preserve">Jl. Fatmawati Gg. H. Hasan</x:t>
  </x:si>
  <x:si>
    <x:t xml:space="preserve">PT. MAESA BANGUN SEJAHTERA</x:t>
  </x:si>
  <x:si>
    <x:t xml:space="preserve">Andrev Timbong</x:t>
  </x:si>
  <x:si>
    <x:t xml:space="preserve">GANDARIA GREEN RESIDENCE</x:t>
  </x:si>
  <x:si>
    <x:t xml:space="preserve">Jl. Gandaria Dalam</x:t>
  </x:si>
  <x:si>
    <x:t xml:space="preserve">GANDARIA MAS 2</x:t>
  </x:si>
  <x:si>
    <x:t xml:space="preserve">PT. ANGKASA RAYA MAS</x:t>
  </x:si>
  <x:si>
    <x:t xml:space="preserve">Daniel Surya Putra</x:t>
  </x:si>
  <x:si>
    <x:t xml:space="preserve">GANTUNG BRIDGE RESIDENCE</x:t>
  </x:si>
  <x:si>
    <x:t xml:space="preserve">GARDEN INDAH RESIDENCE 1</x:t>
  </x:si>
  <x:si>
    <x:t xml:space="preserve">PT. KHANZANAH BABEL LESTARI</x:t>
  </x:si>
  <x:si>
    <x:t xml:space="preserve">Robiani</x:t>
  </x:si>
  <x:si>
    <x:t xml:space="preserve">GARDEN INDAH RESIDENCE 2</x:t>
  </x:si>
  <x:si>
    <x:t xml:space="preserve">GARDEN INDAH RESIDENCE 3</x:t>
  </x:si>
  <x:si>
    <x:t xml:space="preserve">Jl. Pinang Pura</x:t>
  </x:si>
  <x:si>
    <x:t xml:space="preserve">GENIO CITY RESIDENCE 1</x:t>
  </x:si>
  <x:si>
    <x:t xml:space="preserve">Jl. Seluang III</x:t>
  </x:si>
  <x:si>
    <x:t xml:space="preserve">CV. NAGA MAS</x:t>
  </x:si>
  <x:si>
    <x:t xml:space="preserve">Zulkifli</x:t>
  </x:si>
  <x:si>
    <x:t xml:space="preserve">GENIO CITY RESIDENCE 2</x:t>
  </x:si>
  <x:si>
    <x:t xml:space="preserve">Gabek Dua</x:t>
  </x:si>
  <x:si>
    <x:t xml:space="preserve">Jl. Raya Kartini</x:t>
  </x:si>
  <x:si>
    <x:t xml:space="preserve">GOLDEN RESIDENCE 1 TAHAP 1</x:t>
  </x:si>
  <x:si>
    <x:t xml:space="preserve">Jl. Almizan Gang Seniman</x:t>
  </x:si>
  <x:si>
    <x:t xml:space="preserve">PT. CITRA PRATAMA GASINDO</x:t>
  </x:si>
  <x:si>
    <x:t xml:space="preserve">Emida</x:t>
  </x:si>
  <x:si>
    <x:t xml:space="preserve">GOLDEN RESIDENCE 1 TAHAP 2</x:t>
  </x:si>
  <x:si>
    <x:t xml:space="preserve">GRAHA ARTA</x:t>
  </x:si>
  <x:si>
    <x:t xml:space="preserve">PT. TIRTA LOKA</x:t>
  </x:si>
  <x:si>
    <x:t xml:space="preserve">GRAHA FAMILY</x:t>
  </x:si>
  <x:si>
    <x:t xml:space="preserve">Jl. Laksamana Hayati</x:t>
  </x:si>
  <x:si>
    <x:t xml:space="preserve">PT. ANUGRAH FAJAR MENUMBING</x:t>
  </x:si>
  <x:si>
    <x:t xml:space="preserve">Wanda Purnama</x:t>
  </x:si>
  <x:si>
    <x:t xml:space="preserve">GRAHA FAMILY TAHAP 2</x:t>
  </x:si>
  <x:si>
    <x:t xml:space="preserve">GRAHA GADING MAS</x:t>
  </x:si>
  <x:si>
    <x:t xml:space="preserve">Jl. Alexander, Depan Citraland</x:t>
  </x:si>
  <x:si>
    <x:t xml:space="preserve">PT. PINANG MAS DUA</x:t>
  </x:si>
  <x:si>
    <x:t xml:space="preserve">Sri Hartati</x:t>
  </x:si>
  <x:si>
    <x:t xml:space="preserve">GRAHA KORPRI / SINAR MAS</x:t>
  </x:si>
  <x:si>
    <x:t xml:space="preserve">Jl. Air Geligit</x:t>
  </x:si>
  <x:si>
    <x:t xml:space="preserve">PT. GUNA MITRA PRIMA PROPERTINDO</x:t>
  </x:si>
  <x:si>
    <x:t xml:space="preserve">GRAHA LOKA ESTATE</x:t>
  </x:si>
  <x:si>
    <x:t xml:space="preserve">Jl. Jend. Sudirman</x:t>
  </x:si>
  <x:si>
    <x:t xml:space="preserve">PT. GRAHA LOKA</x:t>
  </x:si>
  <x:si>
    <x:t xml:space="preserve">Dymas Dwi Setia</x:t>
  </x:si>
  <x:si>
    <x:t xml:space="preserve">GRAHA PESONA</x:t>
  </x:si>
  <x:si>
    <x:t xml:space="preserve">Jl. Raya Tua Tunu</x:t>
  </x:si>
  <x:si>
    <x:t xml:space="preserve">GRAHA PINANG MAS 2</x:t>
  </x:si>
  <x:si>
    <x:t xml:space="preserve">GRAHA PURI</x:t>
  </x:si>
  <x:si>
    <x:t xml:space="preserve">GRAND BANGKA CITY</x:t>
  </x:si>
  <x:si>
    <x:t xml:space="preserve">Semabung Lama</x:t>
  </x:si>
  <x:si>
    <x:t xml:space="preserve">Jl. Batu Kaldera</x:t>
  </x:si>
  <x:si>
    <x:t xml:space="preserve">PT. PINANG JAYA MURNI</x:t>
  </x:si>
  <x:si>
    <x:t xml:space="preserve">Ho Har Aty</x:t>
  </x:si>
  <x:si>
    <x:t xml:space="preserve">GRAND ERANES</x:t>
  </x:si>
  <x:si>
    <x:t xml:space="preserve">Gg. Abadi 1</x:t>
  </x:si>
  <x:si>
    <x:t xml:space="preserve">PT. ERFOLG MANDIRI INDONESIA</x:t>
  </x:si>
  <x:si>
    <x:t xml:space="preserve">Zhaud Marully Wisudawan Silaban</x:t>
  </x:si>
  <x:si>
    <x:t xml:space="preserve">GRAND GANDARIA TAHAP 1</x:t>
  </x:si>
  <x:si>
    <x:t xml:space="preserve">Jl. Kampung Melayu No.16</x:t>
  </x:si>
  <x:si>
    <x:t xml:space="preserve">PT. MADINA INVESTAMA SEJAHTERA</x:t>
  </x:si>
  <x:si>
    <x:t xml:space="preserve">Munajat</x:t>
  </x:si>
  <x:si>
    <x:t xml:space="preserve">GRAND GANDARIA TAHAP 2</x:t>
  </x:si>
  <x:si>
    <x:t xml:space="preserve">GRAND GANDARIA TAHAP 3</x:t>
  </x:si>
  <x:si>
    <x:t xml:space="preserve">GRAND PAPIN'K ESTATE</x:t>
  </x:si>
  <x:si>
    <x:t xml:space="preserve">Jl. Masjid Al Husna</x:t>
  </x:si>
  <x:si>
    <x:t xml:space="preserve">PT.PAPINK INDAH PROPERTY</x:t>
  </x:si>
  <x:si>
    <x:t xml:space="preserve">Rita</x:t>
  </x:si>
  <x:si>
    <x:t xml:space="preserve">GRAND PAPINK II</x:t>
  </x:si>
  <x:si>
    <x:t xml:space="preserve">PT.GRAHA PAPINK INDAH PROPERTY</x:t>
  </x:si>
  <x:si>
    <x:t xml:space="preserve">GRAND PAPIN'K III</x:t>
  </x:si>
  <x:si>
    <x:t xml:space="preserve">Jl. Pasir Padi</x:t>
  </x:si>
  <x:si>
    <x:t xml:space="preserve">GRAND PAPIN'K IV</x:t>
  </x:si>
  <x:si>
    <x:t xml:space="preserve">GREEN HILL</x:t>
  </x:si>
  <x:si>
    <x:t xml:space="preserve">Naser Salim</x:t>
  </x:si>
  <x:si>
    <x:t xml:space="preserve">GREEN HILL 3</x:t>
  </x:si>
  <x:si>
    <x:t xml:space="preserve">PT. BANGKA MANDIRI PROPERTY</x:t>
  </x:si>
  <x:si>
    <x:t xml:space="preserve">Edy Susanto</x:t>
  </x:si>
  <x:si>
    <x:t xml:space="preserve">GREEN HILL TAHAP 2</x:t>
  </x:si>
  <x:si>
    <x:t xml:space="preserve">GREEN PESONA SELINDUNG</x:t>
  </x:si>
  <x:si>
    <x:t xml:space="preserve">Jl. Rustam Effendi</x:t>
  </x:si>
  <x:si>
    <x:t xml:space="preserve">PT. PRIMASCO GLOBAL DWISTAMA</x:t>
  </x:si>
  <x:si>
    <x:t xml:space="preserve">Ir. Dwi Herlanto</x:t>
  </x:si>
  <x:si>
    <x:t xml:space="preserve">GREEN VILLA</x:t>
  </x:si>
  <x:si>
    <x:t xml:space="preserve">PT. PEDS GRUP PROPERTI</x:t>
  </x:si>
  <x:si>
    <x:t xml:space="preserve">Dedy</x:t>
  </x:si>
  <x:si>
    <x:t xml:space="preserve">GRIYA BANGKA POS</x:t>
  </x:si>
  <x:si>
    <x:t xml:space="preserve">Jl. Pulau Pelepas</x:t>
  </x:si>
  <x:si>
    <x:t xml:space="preserve">SEBELUM TAHUN 2014</x:t>
  </x:si>
  <x:si>
    <x:t xml:space="preserve">GRIYA BERKAH</x:t>
  </x:si>
  <x:si>
    <x:t xml:space="preserve">Jl. Bukit Tunggal</x:t>
  </x:si>
  <x:si>
    <x:t xml:space="preserve">PT.BERKAH ABADI BERJAYA</x:t>
  </x:si>
  <x:si>
    <x:t xml:space="preserve">Fiter</x:t>
  </x:si>
  <x:si>
    <x:t xml:space="preserve">GRIYA BUKIT INTAN</x:t>
  </x:si>
  <x:si>
    <x:t xml:space="preserve">GRIYA ELANG</x:t>
  </x:si>
  <x:si>
    <x:t xml:space="preserve">PT.ELANG PERKASA PROPERTY</x:t>
  </x:si>
  <x:si>
    <x:t xml:space="preserve">Muhammad Pharevi</x:t>
  </x:si>
  <x:si>
    <x:t xml:space="preserve">GRIYA ELANG 2</x:t>
  </x:si>
  <x:si>
    <x:t xml:space="preserve">PT. ELANG PERKASA PROPERTI</x:t>
  </x:si>
  <x:si>
    <x:t xml:space="preserve">GRIYA ELANG 3</x:t>
  </x:si>
  <x:si>
    <x:t xml:space="preserve">Jl. Sungai Salim Dalam</x:t>
  </x:si>
  <x:si>
    <x:t xml:space="preserve">GRIYA ELANG 4</x:t>
  </x:si>
  <x:si>
    <x:t xml:space="preserve">GRIYA GANDARIA INDAH</x:t>
  </x:si>
  <x:si>
    <x:t xml:space="preserve">CV. MADINA INVESTAMA SEJAHTERA</x:t>
  </x:si>
  <x:si>
    <x:t xml:space="preserve">GRIYA INTAN ASRI</x:t>
  </x:si>
  <x:si>
    <x:t xml:space="preserve">Jl. Padang Lama</x:t>
  </x:si>
  <x:si>
    <x:t xml:space="preserve">PT.BANGKA INDO PROPERTY</x:t>
  </x:si>
  <x:si>
    <x:t xml:space="preserve">GRIYA KHARISMA</x:t>
  </x:si>
  <x:si>
    <x:t xml:space="preserve">PT. GANDARIA SUKSES SEJAHTERA</x:t>
  </x:si>
  <x:si>
    <x:t xml:space="preserve">Zuiyita</x:t>
  </x:si>
  <x:si>
    <x:t xml:space="preserve">GRIYA MUSTIKA 1</x:t>
  </x:si>
  <x:si>
    <x:t xml:space="preserve">Jl. Masjid Al-Husna</x:t>
  </x:si>
  <x:si>
    <x:t xml:space="preserve">PT. RIZKI AGUNG PROPERTINDO</x:t>
  </x:si>
  <x:si>
    <x:t xml:space="preserve">Risky Rexcy</x:t>
  </x:si>
  <x:si>
    <x:t xml:space="preserve">GRIYA PANGKALPINANG</x:t>
  </x:si>
  <x:si>
    <x:t xml:space="preserve">Jl. Kartini Utama Raya</x:t>
  </x:si>
  <x:si>
    <x:t xml:space="preserve">PT. GRAHA KARUNIA PERKASA</x:t>
  </x:si>
  <x:si>
    <x:t xml:space="preserve">GRIYA PAPINKA 1</x:t>
  </x:si>
  <x:si>
    <x:t xml:space="preserve">Jl. Gabek I</x:t>
  </x:si>
  <x:si>
    <x:t xml:space="preserve">GRIYA PAPINKA 2</x:t>
  </x:si>
  <x:si>
    <x:t xml:space="preserve">CV. MANDIRI SUKSES</x:t>
  </x:si>
  <x:si>
    <x:t xml:space="preserve">GRIYA PAPINKA 3</x:t>
  </x:si>
  <x:si>
    <x:t xml:space="preserve">Jl. Jebung Dalam</x:t>
  </x:si>
  <x:si>
    <x:t xml:space="preserve">GRIYA PESONA</x:t>
  </x:si>
  <x:si>
    <x:t xml:space="preserve">Gunawan</x:t>
  </x:si>
  <x:si>
    <x:t xml:space="preserve">GRIYA PESONA SELINDUNG</x:t>
  </x:si>
  <x:si>
    <x:t xml:space="preserve">Jl. Bedukang Raya</x:t>
  </x:si>
  <x:si>
    <x:t xml:space="preserve">GRIYA ROSMANIA RESIDENCE</x:t>
  </x:si>
  <x:si>
    <x:t xml:space="preserve">Jl. Salma</x:t>
  </x:si>
  <x:si>
    <x:t xml:space="preserve">PT. SYAMSI INVES TAMA</x:t>
  </x:si>
  <x:si>
    <x:t xml:space="preserve">GRIYA SAFARIAH</x:t>
  </x:si>
  <x:si>
    <x:t xml:space="preserve">GRIYA SHENA PERMAI</x:t>
  </x:si>
  <x:si>
    <x:t xml:space="preserve">Jl. M. Zainuddin</x:t>
  </x:si>
  <x:si>
    <x:t xml:space="preserve">Hendry Sujono</x:t>
  </x:si>
  <x:si>
    <x:t xml:space="preserve">GRIYA SYARIAH</x:t>
  </x:si>
  <x:si>
    <x:t xml:space="preserve">HARMONI RESIDENCE</x:t>
  </x:si>
  <x:si>
    <x:t xml:space="preserve">Jl. Lingkar Barat</x:t>
  </x:si>
  <x:si>
    <x:t xml:space="preserve">PT. HARMONI CITRA BANGKA</x:t>
  </x:si>
  <x:si>
    <x:t xml:space="preserve">Susantri</x:t>
  </x:si>
  <x:si>
    <x:t xml:space="preserve">HARVEST RESIDENCE 1</x:t>
  </x:si>
  <x:si>
    <x:t xml:space="preserve">Jl. Padat Karya</x:t>
  </x:si>
  <x:si>
    <x:t xml:space="preserve">PT. TRIMADYA PRIMA JAYA</x:t>
  </x:si>
  <x:si>
    <x:t xml:space="preserve">Lilis Martono</x:t>
  </x:si>
  <x:si>
    <x:t xml:space="preserve">HARVEST RESIDENCE 2</x:t>
  </x:si>
  <x:si>
    <x:t xml:space="preserve">HARVEST RESIDENCE 3</x:t>
  </x:si>
  <x:si>
    <x:t xml:space="preserve">Jl. Jamrud III</x:t>
  </x:si>
  <x:si>
    <x:t xml:space="preserve">HARVEST RESIDENCE 5</x:t>
  </x:si>
  <x:si>
    <x:t xml:space="preserve">HARVEST RESIDENCE 6</x:t>
  </x:si>
  <x:si>
    <x:t xml:space="preserve">Jl. Line Listrik</x:t>
  </x:si>
  <x:si>
    <x:t xml:space="preserve">HARVEST RESIDENCE 7</x:t>
  </x:si>
  <x:si>
    <x:t xml:space="preserve">Jl. Line Listrik (Kampak-Kerabut)</x:t>
  </x:si>
  <x:si>
    <x:t xml:space="preserve">HARVEST RESIDENCE 8</x:t>
  </x:si>
  <x:si>
    <x:t xml:space="preserve">HARVEST RESIDENCE 9</x:t>
  </x:si>
  <x:si>
    <x:t xml:space="preserve">INDAH RESIDENCE</x:t>
  </x:si>
  <x:si>
    <x:t xml:space="preserve">Jl. Kenari Rt.03 Rw.01</x:t>
  </x:si>
  <x:si>
    <x:t xml:space="preserve">INDO GRAHA</x:t>
  </x:si>
  <x:si>
    <x:t xml:space="preserve">Jl. Kampak</x:t>
  </x:si>
  <x:si>
    <x:t xml:space="preserve">INDO GRIYA</x:t>
  </x:si>
  <x:si>
    <x:t xml:space="preserve">INDO RESIDENCE</x:t>
  </x:si>
  <x:si>
    <x:t xml:space="preserve">Jl. Singkur No.83</x:t>
  </x:si>
  <x:si>
    <x:t xml:space="preserve">INDO WANEKA RESIDENCE 1</x:t>
  </x:si>
  <x:si>
    <x:t xml:space="preserve">CV.INDO SEJAHTERA</x:t>
  </x:si>
  <x:si>
    <x:t xml:space="preserve">INDO WANEKA RESIDENCE 2</x:t>
  </x:si>
  <x:si>
    <x:t xml:space="preserve">INDO WANEKA RESIDENCE 3</x:t>
  </x:si>
  <x:si>
    <x:t xml:space="preserve">INDO WANEKA RESIDENCE 4</x:t>
  </x:si>
  <x:si>
    <x:t xml:space="preserve">INDO WANEKA RESIDENCE 5</x:t>
  </x:si>
  <x:si>
    <x:t xml:space="preserve">KALENDRA RESIDENCE</x:t>
  </x:si>
  <x:si>
    <x:t xml:space="preserve">Jl. Pikas IV</x:t>
  </x:si>
  <x:si>
    <x:t xml:space="preserve">PT. TEKNIK KONSTRUKSI PROPERTINDO</x:t>
  </x:si>
  <x:si>
    <x:t xml:space="preserve">Tri Wibowo</x:t>
  </x:si>
  <x:si>
    <x:t xml:space="preserve">KAMPUNG ASRI 3</x:t>
  </x:si>
  <x:si>
    <x:t xml:space="preserve">KAMPUNG MELAYU ASRI 2</x:t>
  </x:si>
  <x:si>
    <x:t xml:space="preserve">Jl. Rumbia</x:t>
  </x:si>
  <x:si>
    <x:t xml:space="preserve">KORPRI PERMAI</x:t>
  </x:si>
  <x:si>
    <x:t xml:space="preserve">PT. Belma</x:t>
  </x:si>
  <x:si>
    <x:t xml:space="preserve">KOTA BARU RESIDENCE</x:t>
  </x:si>
  <x:si>
    <x:t xml:space="preserve">Jl. Gerunggang</x:t>
  </x:si>
  <x:si>
    <x:t xml:space="preserve">LEGAVISTA 4</x:t>
  </x:si>
  <x:si>
    <x:t xml:space="preserve">Jl. Fatmawati Dalam</x:t>
  </x:si>
  <x:si>
    <x:t xml:space="preserve">PT. LEGA CIPTA PROPERTINDO</x:t>
  </x:si>
  <x:si>
    <x:t xml:space="preserve">Noviko</x:t>
  </x:si>
  <x:si>
    <x:t xml:space="preserve">LEGAVISTA 4 TAHAP 2</x:t>
  </x:si>
  <x:si>
    <x:t xml:space="preserve">LENTERA BAHAGIA</x:t>
  </x:si>
  <x:si>
    <x:t xml:space="preserve">Jl. Pustu Kerabut</x:t>
  </x:si>
  <x:si>
    <x:t xml:space="preserve">MADANI RESIDENCE</x:t>
  </x:si>
  <x:si>
    <x:t xml:space="preserve">PT. GRAHA MADANI SUKSES BERSAMA</x:t>
  </x:si>
  <x:si>
    <x:t xml:space="preserve">Mardani</x:t>
  </x:si>
  <x:si>
    <x:t xml:space="preserve">MAHARANI RESIDENCE</x:t>
  </x:si>
  <x:si>
    <x:t xml:space="preserve">Jl. Bukit Intan</x:t>
  </x:si>
  <x:si>
    <x:t xml:space="preserve">PT. MAHARANI BERKAH COI PROPERTI</x:t>
  </x:si>
  <x:si>
    <x:t xml:space="preserve">Corri Ihsani</x:t>
  </x:si>
  <x:si>
    <x:t xml:space="preserve">MATAHARI RESIDENCE</x:t>
  </x:si>
  <x:si>
    <x:t xml:space="preserve">CV. BANGKA INDO KARYA</x:t>
  </x:si>
  <x:si>
    <x:t xml:space="preserve">Andri</x:t>
  </x:si>
  <x:si>
    <x:t xml:space="preserve">MATAHARI RESIDENCE 2</x:t>
  </x:si>
  <x:si>
    <x:t xml:space="preserve">PT. BANGKA INDO KARYA</x:t>
  </x:si>
  <x:si>
    <x:t xml:space="preserve">MEGA HARMONI</x:t>
  </x:si>
  <x:si>
    <x:t xml:space="preserve">MENARA KAMPAK RESIDENCE</x:t>
  </x:si>
  <x:si>
    <x:t xml:space="preserve">CV.MENARA JAYA</x:t>
  </x:si>
  <x:si>
    <x:t xml:space="preserve">MENTARI RESIDENCE</x:t>
  </x:si>
  <x:si>
    <x:t xml:space="preserve">Kacang Pedang</x:t>
  </x:si>
  <x:si>
    <x:t xml:space="preserve">PT. MENTARI BERSAUDARA BABEL</x:t>
  </x:si>
  <x:si>
    <x:t xml:space="preserve">Muhammad Iqbal</x:t>
  </x:si>
  <x:si>
    <x:t xml:space="preserve">MIRACLE LAND</x:t>
  </x:si>
  <x:si>
    <x:t xml:space="preserve">MONACO RESIDENCE</x:t>
  </x:si>
  <x:si>
    <x:t xml:space="preserve">Jl. Kartini Utama</x:t>
  </x:si>
  <x:si>
    <x:t xml:space="preserve">PT. GERHANA KARUNIA PERKASA</x:t>
  </x:si>
  <x:si>
    <x:t xml:space="preserve">MUTIARA RUBY</x:t>
  </x:si>
  <x:si>
    <x:t xml:space="preserve">MUTIARA SELINDUNG</x:t>
  </x:si>
  <x:si>
    <x:t xml:space="preserve">Jl. Betutu</x:t>
  </x:si>
  <x:si>
    <x:t xml:space="preserve">PT. PBERLY'S JAYA PROPERTI</x:t>
  </x:si>
  <x:si>
    <x:t xml:space="preserve">Subuadi</x:t>
  </x:si>
  <x:si>
    <x:t xml:space="preserve">MUTIARA SELINDUNG TAHAP 2</x:t>
  </x:si>
  <x:si>
    <x:t xml:space="preserve">NILAM PERMATA RESIDENCE</x:t>
  </x:si>
  <x:si>
    <x:t xml:space="preserve">Jl. Nilam Raya</x:t>
  </x:si>
  <x:si>
    <x:t xml:space="preserve">PT.PLASMA JAYA PERKASA</x:t>
  </x:si>
  <x:si>
    <x:t xml:space="preserve">Yanto</x:t>
  </x:si>
  <x:si>
    <x:t xml:space="preserve">NILAM PERMATA RESIDENCE 2 TAHAP 1</x:t>
  </x:si>
  <x:si>
    <x:t xml:space="preserve">PT. PLASMA JAYA PERKASA</x:t>
  </x:si>
  <x:si>
    <x:t xml:space="preserve">NILAM PERMATA RESIDENCE 2 TAHAP 2</x:t>
  </x:si>
  <x:si>
    <x:t xml:space="preserve">NILAM PERMATA RESIDENCE 2 TAHAP 3</x:t>
  </x:si>
  <x:si>
    <x:t xml:space="preserve">NILAM PERMATA RESIDENCE 2 TAHAP 4</x:t>
  </x:si>
  <x:si>
    <x:t xml:space="preserve">NIRWANA ASRI</x:t>
  </x:si>
  <x:si>
    <x:t xml:space="preserve">PT. RIZKI NUGRAHA SEJAHTERA</x:t>
  </x:si>
  <x:si>
    <x:t xml:space="preserve">Zuyyika Aditama Putra</x:t>
  </x:si>
  <x:si>
    <x:t xml:space="preserve">ORIZA PERMAI</x:t>
  </x:si>
  <x:si>
    <x:t xml:space="preserve">PANORAMA ZAMRUD RESIDENCE</x:t>
  </x:si>
  <x:si>
    <x:t xml:space="preserve">PT. PUTRA LIMBUNG JAYA PROPERTINDO</x:t>
  </x:si>
  <x:si>
    <x:t xml:space="preserve">Zam Zami</x:t>
  </x:si>
  <x:si>
    <x:t xml:space="preserve">PAPINKA VALLEY (JASMINE)</x:t>
  </x:si>
  <x:si>
    <x:t xml:space="preserve">Jl. Raya Air Itam</x:t>
  </x:si>
  <x:si>
    <x:t xml:space="preserve">PT. TIGA KOTA SEMACANG</x:t>
  </x:si>
  <x:si>
    <x:t xml:space="preserve">PAPINKA VALLEY (ORCHID)</x:t>
  </x:si>
  <x:si>
    <x:t xml:space="preserve">Jl. Depati Hamzah</x:t>
  </x:si>
  <x:si>
    <x:t xml:space="preserve">PARADISE RESIDENCE 1</x:t>
  </x:si>
  <x:si>
    <x:t xml:space="preserve">Jl. Tampak Pinang Pura</x:t>
  </x:si>
  <x:si>
    <x:t xml:space="preserve">CV. ANUGRAH KARYA KONSTRUKSI</x:t>
  </x:si>
  <x:si>
    <x:t xml:space="preserve">Dori Setiawan</x:t>
  </x:si>
  <x:si>
    <x:t xml:space="preserve">PARADISE RESIDENCE 2</x:t>
  </x:si>
  <x:si>
    <x:t xml:space="preserve">PARADISE RESIDENCE 3</x:t>
  </x:si>
  <x:si>
    <x:t xml:space="preserve">Jl. Warisan Budaya</x:t>
  </x:si>
  <x:si>
    <x:t xml:space="preserve">PT. Anugerah Karya Konstruksi</x:t>
  </x:si>
  <x:si>
    <x:t xml:space="preserve">PARADISE RESIDENCE 4</x:t>
  </x:si>
  <x:si>
    <x:t xml:space="preserve">PARADISE RESIDENCE 5</x:t>
  </x:si>
  <x:si>
    <x:t xml:space="preserve">Jl. Lingkar Barat Jalur 30 M</x:t>
  </x:si>
  <x:si>
    <x:t xml:space="preserve">PARADISE RESIDENCE 6</x:t>
  </x:si>
  <x:si>
    <x:t xml:space="preserve">PT. ANUGRAH KARYA KONSTRUKSI</x:t>
  </x:si>
  <x:si>
    <x:t xml:space="preserve">PARADISE RESIDENCE 7</x:t>
  </x:si>
  <x:si>
    <x:t xml:space="preserve">PARADISE RESIDENCE 8</x:t>
  </x:si>
  <x:si>
    <x:t xml:space="preserve">PARADISE RESIDENCE 9 GANDARIA</x:t>
  </x:si>
  <x:si>
    <x:t xml:space="preserve">Jl. Dealova Bahagia</x:t>
  </x:si>
  <x:si>
    <x:t xml:space="preserve">Tisnu Rehatta</x:t>
  </x:si>
  <x:si>
    <x:t xml:space="preserve">PARIS RESIDENCE</x:t>
  </x:si>
  <x:si>
    <x:t xml:space="preserve">PASIR MUTIARA RESIDENCE</x:t>
  </x:si>
  <x:si>
    <x:t xml:space="preserve">Jl. Pasir</x:t>
  </x:si>
  <x:si>
    <x:t xml:space="preserve">PT. BHAKTI AISYAH ATAYA</x:t>
  </x:si>
  <x:si>
    <x:t xml:space="preserve">M. Aditiya Mebiantara</x:t>
  </x:si>
  <x:si>
    <x:t xml:space="preserve">PASIR PADI RESIDENCE</x:t>
  </x:si>
  <x:si>
    <x:t xml:space="preserve">PT.KARYA PUTRA BANGKA MANDIRI</x:t>
  </x:si>
  <x:si>
    <x:t xml:space="preserve">Steven Wijaya</x:t>
  </x:si>
  <x:si>
    <x:t xml:space="preserve">PEARL RESIDENCE 1</x:t>
  </x:si>
  <x:si>
    <x:t xml:space="preserve">Jl. Bukit Tunggal 1</x:t>
  </x:si>
  <x:si>
    <x:t xml:space="preserve">CV. AGRIKULTUR RUMPUT LAUT</x:t>
  </x:si>
  <x:si>
    <x:t xml:space="preserve">Prigunardi Tjhia</x:t>
  </x:si>
  <x:si>
    <x:t xml:space="preserve">PEARL RESIDENCE 2</x:t>
  </x:si>
  <x:si>
    <x:t xml:space="preserve">Jl. Perbakin Rt.01 Rw.02 Kel.Sriwijaya Kec. Girimaya</x:t>
  </x:si>
  <x:si>
    <x:t xml:space="preserve">PEARL RESIDENCE 3</x:t>
  </x:si>
  <x:si>
    <x:t xml:space="preserve">Jl. Batu Akik</x:t>
  </x:si>
  <x:si>
    <x:t xml:space="preserve">PEARL RESIDENCE 5</x:t>
  </x:si>
  <x:si>
    <x:t xml:space="preserve">Jl. Basuki Rahmat Ujung II</x:t>
  </x:si>
  <x:si>
    <x:t xml:space="preserve">PELANGI RESIDENCE</x:t>
  </x:si>
  <x:si>
    <x:t xml:space="preserve">Jl. Sungkur Dalam</x:t>
  </x:si>
  <x:si>
    <x:t xml:space="preserve">PERMATA GANDARIA</x:t>
  </x:si>
  <x:si>
    <x:t xml:space="preserve">Gg. Al Mukaromah</x:t>
  </x:si>
  <x:si>
    <x:t xml:space="preserve">PT. KAYYESA ELMA MAZEA</x:t>
  </x:si>
  <x:si>
    <x:t xml:space="preserve">Sariati</x:t>
  </x:si>
  <x:si>
    <x:t xml:space="preserve">PERMATA INTI KAMPAK</x:t>
  </x:si>
  <x:si>
    <x:t xml:space="preserve">PERMATA KULAN</x:t>
  </x:si>
  <x:si>
    <x:t xml:space="preserve">Jl. Kulan</x:t>
  </x:si>
  <x:si>
    <x:t xml:space="preserve">PT. LAUTAN EMAS ADI GRAHA</x:t>
  </x:si>
  <x:si>
    <x:t xml:space="preserve">Hendri</x:t>
  </x:si>
  <x:si>
    <x:t xml:space="preserve">PERMATA MANDIRI RESIDENCE 2</x:t>
  </x:si>
  <x:si>
    <x:t xml:space="preserve">PERMATA SELINDUNG RESIDENCE</x:t>
  </x:si>
  <x:si>
    <x:t xml:space="preserve">Jl. Lintas Timur No. 18</x:t>
  </x:si>
  <x:si>
    <x:t xml:space="preserve">PERMATA SRIWIJAYA</x:t>
  </x:si>
  <x:si>
    <x:t xml:space="preserve">Jl. Basuki Rahmat Ujung</x:t>
  </x:si>
  <x:si>
    <x:t xml:space="preserve">Suwandi</x:t>
  </x:si>
  <x:si>
    <x:t xml:space="preserve">PESONA ASROBAN INDAH</x:t>
  </x:si>
  <x:si>
    <x:t xml:space="preserve">CV. PBERLY'S</x:t>
  </x:si>
  <x:si>
    <x:t xml:space="preserve">PESONA KAMPAK PERMAI</x:t>
  </x:si>
  <x:si>
    <x:t xml:space="preserve">PESONA SELINDUNG</x:t>
  </x:si>
  <x:si>
    <x:t xml:space="preserve">Jl. Puri Kencana</x:t>
  </x:si>
  <x:si>
    <x:t xml:space="preserve">PINANG MAS</x:t>
  </x:si>
  <x:si>
    <x:t xml:space="preserve">PONDOK GRIYA KEDATON</x:t>
  </x:si>
  <x:si>
    <x:t xml:space="preserve">Jl. Depati Hamzah, Gg. Bandes</x:t>
  </x:si>
  <x:si>
    <x:t xml:space="preserve">PT. SUNGAILIAT BERKAH JAYA SENTOSA</x:t>
  </x:si>
  <x:si>
    <x:t xml:space="preserve">Hermawan Bayu Seno</x:t>
  </x:si>
  <x:si>
    <x:t xml:space="preserve">PONDOK INDAH</x:t>
  </x:si>
  <x:si>
    <x:t xml:space="preserve">Jl. Rustam Efendi</x:t>
  </x:si>
  <x:si>
    <x:t xml:space="preserve">PONDOK INDAH 2</x:t>
  </x:si>
  <x:si>
    <x:t xml:space="preserve">PT . BANGKA CIPTA MANDIRI</x:t>
  </x:si>
  <x:si>
    <x:t xml:space="preserve">Yuswan</x:t>
  </x:si>
  <x:si>
    <x:t xml:space="preserve">PONDOK INDAH 3</x:t>
  </x:si>
  <x:si>
    <x:t xml:space="preserve">PT.SUMBER MAS PRATAMA</x:t>
  </x:si>
  <x:si>
    <x:t xml:space="preserve">Selly</x:t>
  </x:si>
  <x:si>
    <x:t xml:space="preserve">PONDOK INDAH 5</x:t>
  </x:si>
  <x:si>
    <x:t xml:space="preserve">PT. SUMBER MAS PRATAMA</x:t>
  </x:si>
  <x:si>
    <x:t xml:space="preserve">PONDOK INDAH 6</x:t>
  </x:si>
  <x:si>
    <x:t xml:space="preserve">PONDOK INDAH 7</x:t>
  </x:si>
  <x:si>
    <x:t xml:space="preserve">Feri Sardani</x:t>
  </x:si>
  <x:si>
    <x:t xml:space="preserve">PONDOK INDAH 8</x:t>
  </x:si>
  <x:si>
    <x:t xml:space="preserve">Muhammad Rizki Ramadhan</x:t>
  </x:si>
  <x:si>
    <x:t xml:space="preserve">PONDOK INDAH 9</x:t>
  </x:si>
  <x:si>
    <x:t xml:space="preserve">PONDOK INDAH 10</x:t>
  </x:si>
  <x:si>
    <x:t xml:space="preserve">PONDOK INDAH 11</x:t>
  </x:si>
  <x:si>
    <x:t xml:space="preserve">PRIMA GARDEN 1</x:t>
  </x:si>
  <x:si>
    <x:t xml:space="preserve">Jl. Fatmawati Gg. Kulan</x:t>
  </x:si>
  <x:si>
    <x:t xml:space="preserve">PT. BABELINDO NUSANTARA PRIMA</x:t>
  </x:si>
  <x:si>
    <x:t xml:space="preserve">Muksen</x:t>
  </x:si>
  <x:si>
    <x:t xml:space="preserve">PRIMA GARDEN 1 TAHAP 2</x:t>
  </x:si>
  <x:si>
    <x:t xml:space="preserve">PURI ARWANA</x:t>
  </x:si>
  <x:si>
    <x:t xml:space="preserve">PT. GIBSI HMS SEJAHTERA PERSADA</x:t>
  </x:si>
  <x:si>
    <x:t xml:space="preserve">M. Dollar</x:t>
  </x:si>
  <x:si>
    <x:t xml:space="preserve">PURI KENCANA</x:t>
  </x:si>
  <x:si>
    <x:t xml:space="preserve">Edward</x:t>
  </x:si>
  <x:si>
    <x:t xml:space="preserve">PURI MANSION</x:t>
  </x:si>
  <x:si>
    <x:t xml:space="preserve">PT. MAHA KARYA KREASI</x:t>
  </x:si>
  <x:si>
    <x:t xml:space="preserve">Romitama Purwanto Wibowo</x:t>
  </x:si>
  <x:si>
    <x:t xml:space="preserve">PURI RESIDENCE</x:t>
  </x:si>
  <x:si>
    <x:t xml:space="preserve">PURI SEMABUNG INDAH</x:t>
  </x:si>
  <x:si>
    <x:t xml:space="preserve">Jl. Mustika II</x:t>
  </x:si>
  <x:si>
    <x:t xml:space="preserve">Heriyanto</x:t>
  </x:si>
  <x:si>
    <x:t xml:space="preserve">PURI SEMABUNG INDAH 1</x:t>
  </x:si>
  <x:si>
    <x:t xml:space="preserve">Jl. Semabung Lama</x:t>
  </x:si>
  <x:si>
    <x:t xml:space="preserve">RED WOOD</x:t>
  </x:si>
  <x:si>
    <x:t xml:space="preserve">Jl. Tayib</x:t>
  </x:si>
  <x:si>
    <x:t xml:space="preserve">RIVERA RESIDENCE</x:t>
  </x:si>
  <x:si>
    <x:t xml:space="preserve">Jl. Tanjung Bunga II</x:t>
  </x:si>
  <x:si>
    <x:t xml:space="preserve">Eko Yuliyanto</x:t>
  </x:si>
  <x:si>
    <x:t xml:space="preserve">RIZKI RESIDENCE</x:t>
  </x:si>
  <x:si>
    <x:t xml:space="preserve">PT.SUKMA KARYA ABADI</x:t>
  </x:si>
  <x:si>
    <x:t xml:space="preserve">Ebit Sugiarto</x:t>
  </x:si>
  <x:si>
    <x:t xml:space="preserve">RIZKY RESIDENCE 2</x:t>
  </x:si>
  <x:si>
    <x:t xml:space="preserve">PT. SUKMA KARYA ABADI PROPERTI</x:t>
  </x:si>
  <x:si>
    <x:t xml:space="preserve">Ebid Sugiarto</x:t>
  </x:si>
  <x:si>
    <x:t xml:space="preserve">ROSE WATER ESTATE</x:t>
  </x:si>
  <x:si>
    <x:t xml:space="preserve">ROYAL PERMATA INDAH</x:t>
  </x:si>
  <x:si>
    <x:t xml:space="preserve">PT. BERKAH BERSAMA KONSTRUKSI</x:t>
  </x:si>
  <x:si>
    <x:t xml:space="preserve">Agustian Safitri</x:t>
  </x:si>
  <x:si>
    <x:t xml:space="preserve">SILAM PARI</x:t>
  </x:si>
  <x:si>
    <x:t xml:space="preserve">PT. TUNGGARA BERKAH PROPERTY</x:t>
  </x:si>
  <x:si>
    <x:t xml:space="preserve">Rivaldy Oki Rudiansyah</x:t>
  </x:si>
  <x:si>
    <x:t xml:space="preserve">SINAR BANGKA INDAH</x:t>
  </x:si>
  <x:si>
    <x:t xml:space="preserve">Jl. Depati Hamzah Gg. Mirah Delima I</x:t>
  </x:si>
  <x:si>
    <x:t xml:space="preserve">PT. SINAR BANGKA INDAH</x:t>
  </x:si>
  <x:si>
    <x:t xml:space="preserve">TAMAN ANGGREK RESIDENCE 1</x:t>
  </x:si>
  <x:si>
    <x:t xml:space="preserve">TAMAN ANGGREK RESIDENCE 2</x:t>
  </x:si>
  <x:si>
    <x:t xml:space="preserve">Jl. Parit Lalang</x:t>
  </x:si>
  <x:si>
    <x:t xml:space="preserve">TAMAN GANDARIA MAS</x:t>
  </x:si>
  <x:si>
    <x:t xml:space="preserve">TAMAN GANDARIA MAS 3</x:t>
  </x:si>
  <x:si>
    <x:t xml:space="preserve">Gg. Melati</x:t>
  </x:si>
  <x:si>
    <x:t xml:space="preserve">TAMAN JAGUNG RESIDENCE 1</x:t>
  </x:si>
  <x:si>
    <x:t xml:space="preserve">Jl. Betutu Dalam</x:t>
  </x:si>
  <x:si>
    <x:t xml:space="preserve">PT. KARYA TEKNIK KONTRUKSI</x:t>
  </x:si>
  <x:si>
    <x:t xml:space="preserve">Dwi Pramono</x:t>
  </x:si>
  <x:si>
    <x:t xml:space="preserve">TAMAN JAGUNG RESIDENCE 2</x:t>
  </x:si>
  <x:si>
    <x:t xml:space="preserve">Jl. Jebung 1</x:t>
  </x:si>
  <x:si>
    <x:t xml:space="preserve">PT. KARYATEK PRIMA</x:t>
  </x:si>
  <x:si>
    <x:t xml:space="preserve">TAMAN JAGUNG RESIDENCE 3</x:t>
  </x:si>
  <x:si>
    <x:t xml:space="preserve">TAMAN JAGUNG RESIDENCE 4</x:t>
  </x:si>
  <x:si>
    <x:t xml:space="preserve">TAMAN JAGUNG RESIDENCE 5</x:t>
  </x:si>
  <x:si>
    <x:t xml:space="preserve">Jl. Terubuk Dalam</x:t>
  </x:si>
  <x:si>
    <x:t xml:space="preserve">TAMAN JAGUNG RESIDENCE 6</x:t>
  </x:si>
  <x:si>
    <x:t xml:space="preserve">Jl. Stadion Depati Amir</x:t>
  </x:si>
  <x:si>
    <x:t xml:space="preserve">TAMAN JAGUNG RESIDENCE 7</x:t>
  </x:si>
  <x:si>
    <x:t xml:space="preserve">Jl. Fatmawati Kampak</x:t>
  </x:si>
  <x:si>
    <x:t xml:space="preserve">TAMAN JAGUNG RESIDENCE 8</x:t>
  </x:si>
  <x:si>
    <x:t xml:space="preserve">TAMAN JAGUNG RESIDENCE 9</x:t>
  </x:si>
  <x:si>
    <x:t xml:space="preserve">Jl. M. Saleh Zainudin</x:t>
  </x:si>
  <x:si>
    <x:t xml:space="preserve">TAMAN JAGUNG RESIDENCE 10</x:t>
  </x:si>
  <x:si>
    <x:t xml:space="preserve">TAMAN JAGUNG RESIDENCE 11</x:t>
  </x:si>
  <x:si>
    <x:t xml:space="preserve">TAMAN JAGUNG RESIDENCE 12</x:t>
  </x:si>
  <x:si>
    <x:t xml:space="preserve">Jl. Mawar</x:t>
  </x:si>
  <x:si>
    <x:t xml:space="preserve">TAMAN JAGUNG RESIDENCE 14</x:t>
  </x:si>
  <x:si>
    <x:t xml:space="preserve">PT. KARYA TEKNIK KONSTRUKSI</x:t>
  </x:si>
  <x:si>
    <x:t xml:space="preserve">TAMAN JAGUNG RESIDENCE 15</x:t>
  </x:si>
  <x:si>
    <x:t xml:space="preserve">Rifky Pramana Putra</x:t>
  </x:si>
  <x:si>
    <x:t xml:space="preserve">TAMAN JAGUNG RESIDENCE 16</x:t>
  </x:si>
  <x:si>
    <x:t xml:space="preserve">Jl. Pikas 1</x:t>
  </x:si>
  <x:si>
    <x:t xml:space="preserve">TAMAN JAGUNG RESIDENCE 17</x:t>
  </x:si>
  <x:si>
    <x:t xml:space="preserve">TAMAN JAGUNG RESIDENCE 18</x:t>
  </x:si>
  <x:si>
    <x:t xml:space="preserve">Jl. Stadion Dalam</x:t>
  </x:si>
  <x:si>
    <x:t xml:space="preserve">TAMAN JAGUNG RESIDENCE ICON 1</x:t>
  </x:si>
  <x:si>
    <x:t xml:space="preserve">TAMAN JAGUNG RESIDENCE ICON 2</x:t>
  </x:si>
  <x:si>
    <x:t xml:space="preserve">TAMAN KOTA</x:t>
  </x:si>
  <x:si>
    <x:t xml:space="preserve">Jl. Pulad Bangka</x:t>
  </x:si>
  <x:si>
    <x:t xml:space="preserve">TAMAN MANGGIS 1</x:t>
  </x:si>
  <x:si>
    <x:t xml:space="preserve">PT. PARAHYANGAN DWI KARYA</x:t>
  </x:si>
  <x:si>
    <x:t xml:space="preserve">Hendrawan/Anugrah Wiyogo</x:t>
  </x:si>
  <x:si>
    <x:t xml:space="preserve">TAMAN MANGGIS 2</x:t>
  </x:si>
  <x:si>
    <x:t xml:space="preserve">TAMAN MANGGIS 2 TAHAP 2</x:t>
  </x:si>
  <x:si>
    <x:t xml:space="preserve">PT. PARAHYANGAN DWIKARYA</x:t>
  </x:si>
  <x:si>
    <x:t xml:space="preserve">TAMAN NAZHALEA</x:t>
  </x:si>
  <x:si>
    <x:t xml:space="preserve">PT. GITA PUTRI BANGKA</x:t>
  </x:si>
  <x:si>
    <x:t xml:space="preserve">Muhammad Ikhsan Suryaatmaja</x:t>
  </x:si>
  <x:si>
    <x:t xml:space="preserve">TAMAN PAPINKA</x:t>
  </x:si>
  <x:si>
    <x:t xml:space="preserve">CV. TAMAN PAPINKA</x:t>
  </x:si>
  <x:si>
    <x:t xml:space="preserve">TAMAN SEMESTA MAS</x:t>
  </x:si>
  <x:si>
    <x:t xml:space="preserve">TAMAN SRIWIJAYA</x:t>
  </x:si>
  <x:si>
    <x:t xml:space="preserve">Jl. Kubis</x:t>
  </x:si>
  <x:si>
    <x:t xml:space="preserve">TAMAN SRIWIJAYA II</x:t>
  </x:si>
  <x:si>
    <x:t xml:space="preserve">Jl. Kubis II</x:t>
  </x:si>
  <x:si>
    <x:t xml:space="preserve">TAMAN SURYA</x:t>
  </x:si>
  <x:si>
    <x:t xml:space="preserve">Jl. Fatmawati Gg. Makmur</x:t>
  </x:si>
  <x:si>
    <x:t xml:space="preserve">PT. BANGKA RAYA JAYA</x:t>
  </x:si>
  <x:si>
    <x:t xml:space="preserve">Julu Wahyono</x:t>
  </x:si>
  <x:si>
    <x:t xml:space="preserve">TAMAN SURYA MAS</x:t>
  </x:si>
  <x:si>
    <x:t xml:space="preserve">Jl. Kampak Gg. Haji Umar</x:t>
  </x:si>
  <x:si>
    <x:t xml:space="preserve">TAMAN SURYA MAS INDAH</x:t>
  </x:si>
  <x:si>
    <x:t xml:space="preserve">TAMAN TANJUNG BUNGA CLUSTER ANGGREK</x:t>
  </x:si>
  <x:si>
    <x:t xml:space="preserve">PT.CAHAYA INTAN ABADI SAKTI</x:t>
  </x:si>
  <x:si>
    <x:t xml:space="preserve">Welly Abdullah</x:t>
  </x:si>
  <x:si>
    <x:t xml:space="preserve">TAMAN TANJUNG BUNGA CLUSTER DAHLIA</x:t>
  </x:si>
  <x:si>
    <x:t xml:space="preserve">Jl. Perumahan Tanjung Bunga</x:t>
  </x:si>
  <x:si>
    <x:t xml:space="preserve">PT. CAHAYA INDAH ABADISAKTI</x:t>
  </x:si>
  <x:si>
    <x:t xml:space="preserve">Ferdinan</x:t>
  </x:si>
  <x:si>
    <x:t xml:space="preserve">TAMAN TANJUNG BUNGA CLUSTER LILI</x:t>
  </x:si>
  <x:si>
    <x:t xml:space="preserve">Jl. Taman Indah No 212</x:t>
  </x:si>
  <x:si>
    <x:t xml:space="preserve">TAMAN TANJUNG BUNGA CLUSTER MAWAR 1</x:t>
  </x:si>
  <x:si>
    <x:t xml:space="preserve">TAMAN TANJUNG BUNGA CLUSTER MAWAR 2</x:t>
  </x:si>
  <x:si>
    <x:t xml:space="preserve">TAMAN TANJUNG BUNGA CLUSTER SERUNI</x:t>
  </x:si>
  <x:si>
    <x:t xml:space="preserve">TAMARA DREAM LAND 2</x:t>
  </x:si>
  <x:si>
    <x:t xml:space="preserve">PT. BUSNI IPAH GEMA</x:t>
  </x:si>
  <x:si>
    <x:t xml:space="preserve">Harini</x:t>
  </x:si>
  <x:si>
    <x:t xml:space="preserve">ALIANSI PENGEMBANG PERUMAHAN NASIONAL JAYA (APPERNAS JAYA)</x:t>
  </x:si>
  <x:si>
    <x:t xml:space="preserve">TAMARA DREAM LAND 2 TAHAP 2</x:t>
  </x:si>
  <x:si>
    <x:t xml:space="preserve">Jl. Air Bebar</x:t>
  </x:si>
  <x:si>
    <x:t xml:space="preserve">TANJUNG MANDIRI</x:t>
  </x:si>
  <x:si>
    <x:t xml:space="preserve">TELAGA TIMUR 1</x:t>
  </x:si>
  <x:si>
    <x:t xml:space="preserve">Jl. Tambak Udang</x:t>
  </x:si>
  <x:si>
    <x:t xml:space="preserve">PT. CAHAYA VIATINDO PRIMA</x:t>
  </x:si>
  <x:si>
    <x:t xml:space="preserve">Doddy Primananda</x:t>
  </x:si>
  <x:si>
    <x:t xml:space="preserve">TELAGA TIMUR 2</x:t>
  </x:si>
  <x:si>
    <x:t xml:space="preserve">TELAGA TIMUR 3</x:t>
  </x:si>
  <x:si>
    <x:t xml:space="preserve">Jl. Lingkar Timur</x:t>
  </x:si>
  <x:si>
    <x:t xml:space="preserve">Efviar Said</x:t>
  </x:si>
  <x:si>
    <x:t xml:space="preserve">THE GREENLAND CITY</x:t>
  </x:si>
  <x:si>
    <x:t xml:space="preserve">Jl. Selindung Raya</x:t>
  </x:si>
  <x:si>
    <x:t xml:space="preserve">PT. MITRA ANUGRAH PERDANA</x:t>
  </x:si>
  <x:si>
    <x:t xml:space="preserve">Gunadi</x:t>
  </x:si>
  <x:si>
    <x:t xml:space="preserve">THE ZAMRUD LAND</x:t>
  </x:si>
  <x:si>
    <x:t xml:space="preserve">Jl. Perumahan Bhayangkara</x:t>
  </x:si>
  <x:si>
    <x:t xml:space="preserve">PT. BAPALINDO JAYA PROPERTI</x:t>
  </x:si>
  <x:si>
    <x:t xml:space="preserve">TIRTA KENCANA PERMAI</x:t>
  </x:si>
  <x:si>
    <x:t xml:space="preserve">Asiong</x:t>
  </x:si>
  <x:si>
    <x:t xml:space="preserve">TUNAS ILALANG</x:t>
  </x:si>
  <x:si>
    <x:t xml:space="preserve">PT. PERSLY DONNY SIREGAR</x:t>
  </x:si>
  <x:si>
    <x:t xml:space="preserve">Kristory Glorius S.</x:t>
  </x:si>
  <x:si>
    <x:t xml:space="preserve">TUNAS JERAMBAH GANTUNG</x:t>
  </x:si>
  <x:si>
    <x:t xml:space="preserve">TUNAS KAMPAK REGAR</x:t>
  </x:si>
  <x:si>
    <x:t xml:space="preserve">TUNAS TANJUNG BUNGA</x:t>
  </x:si>
  <x:si>
    <x:t xml:space="preserve">VALERI RESIDENCE</x:t>
  </x:si>
  <x:si>
    <x:t xml:space="preserve">Rangkui</x:t>
  </x:si>
  <x:si>
    <x:t xml:space="preserve">Asam</x:t>
  </x:si>
  <x:si>
    <x:t xml:space="preserve">Jl. Jeruk</x:t>
  </x:si>
  <x:si>
    <x:t xml:space="preserve">PT. PRESTIGE LAND PROPERTI</x:t>
  </x:si>
  <x:si>
    <x:t xml:space="preserve">Warino</x:t>
  </x:si>
  <x:si>
    <x:t xml:space="preserve">VALERI RESIDENCE 2</x:t>
  </x:si>
  <x:si>
    <x:t xml:space="preserve">VILLA BUKIT ASRI</x:t>
  </x:si>
  <x:si>
    <x:t xml:space="preserve">VILLA HARMONI</x:t>
  </x:si>
  <x:si>
    <x:t xml:space="preserve">Ampui</x:t>
  </x:si>
  <x:si>
    <x:t xml:space="preserve">Jl. Teluk Bayur</x:t>
  </x:si>
  <x:si>
    <x:t xml:space="preserve">Yurita Sari</x:t>
  </x:si>
  <x:si>
    <x:t xml:space="preserve">VILLA JAM'S RESIDENCE</x:t>
  </x:si>
  <x:si>
    <x:t xml:space="preserve">Jl. Padat Karya Dalam</x:t>
  </x:si>
  <x:si>
    <x:t xml:space="preserve">PT. FARISLA JAYA MAKMUR</x:t>
  </x:si>
  <x:si>
    <x:t xml:space="preserve">VILLA KAYU MAS</x:t>
  </x:si>
  <x:si>
    <x:t xml:space="preserve">Jl. Tua Tunu Raya</x:t>
  </x:si>
  <x:si>
    <x:t xml:space="preserve">PT. BUMI CITRA LESTARI PROPERTINDO</x:t>
  </x:si>
  <x:si>
    <x:t xml:space="preserve">VILLA SAKINAH INDAH</x:t>
  </x:si>
  <x:si>
    <x:t xml:space="preserve">Jl. Galanggang Kapal Selindung</x:t>
  </x:si>
  <x:si>
    <x:t xml:space="preserve">PD. DOK KARTINI</x:t>
  </x:si>
  <x:si>
    <x:t xml:space="preserve">Jibran Chairozi</x:t>
  </x:si>
  <x:si>
    <x:t xml:space="preserve">VIONA VILLAGE</x:t>
  </x:si>
  <x:si>
    <x:t xml:space="preserve">Jl. Sembilang No. 2</x:t>
  </x:si>
  <x:si>
    <x:t xml:space="preserve">WAN RESIDENCE 1</x:t>
  </x:si>
  <x:si>
    <x:t xml:space="preserve">Jl. Puskesmas/Len 30</x:t>
  </x:si>
  <x:si>
    <x:t xml:space="preserve">PT. WAN JANNAH RIA</x:t>
  </x:si>
  <x:si>
    <x:t xml:space="preserve">Dahlia</x:t>
  </x:si>
  <x:si>
    <x:t xml:space="preserve">WATERGATE PARK RESIDENCE</x:t>
  </x:si>
  <x:si>
    <x:t xml:space="preserve">Pintu Air</x:t>
  </x:si>
  <x:si>
    <x:t xml:space="preserve">Jl. Batin Iso No. 429</x:t>
  </x:si>
  <x:si>
    <x:t xml:space="preserve">ZIKRI RESIDENCE TAHAP 1</x:t>
  </x:si>
  <x:si>
    <x:t xml:space="preserve">PT. ROBIATUL RUBIEQA RABBANI</x:t>
  </x:si>
  <x:si>
    <x:t xml:space="preserve">Zikri</x:t>
  </x:si>
  <x:si>
    <x:t xml:space="preserve">ZIKRI RESIDENCE TAHAP 2</x:t>
  </x:si>
  <x:si>
    <x:t xml:space="preserve">ZIKRY RESIDENCE TAHAP 3</x:t>
  </x:si>
  <x:si>
    <x:t xml:space="preserve">ZIKRY RESIDENCE TAHAP 4</x:t>
  </x:si>
  <x:si>
    <x:t xml:space="preserve">Jl. Sungai Liat</x:t>
  </x:si>
  <x:si>
    <x:t xml:space="preserve">TEMPLATE RESMI DATABASE SIRUMAH — BACKLOG KEPEMILIKAN</x:t>
  </x:si>
  <x:si>
    <x:t xml:space="preserve">Gunakan baris Tingkat Wilayah = Kota untuk total kota. Jangan menjumlahkan ulang baris total kota dengan baris kecamatan.</x:t>
  </x:si>
  <x:si>
    <x:t xml:space="preserve">PETUNJUK: Jangan mengubah nama header. Kolom bertanda * wajib diisi. Isi data mulai baris 6. Kolom berwarna biru muda dihitung otomatis oleh Excel.</x:t>
  </x:si>
  <x:si>
    <x:t xml:space="preserve">ID_BACKLOG*</x:t>
  </x:si>
  <x:si>
    <x:t xml:space="preserve">TINGKAT_WILAYAH*</x:t>
  </x:si>
  <x:si>
    <x:t xml:space="preserve">KECAMATAN/WILAYAH*</x:t>
  </x:si>
  <x:si>
    <x:t xml:space="preserve">BACKLOG_KEPEMILIKAN</x:t>
  </x:si>
  <x:si>
    <x:t xml:space="preserve">BACKLOG_HUNIAN</x:t>
  </x:si>
  <x:si>
    <x:t xml:space="preserve">KETERANGAN</x:t>
  </x:si>
  <x:si>
    <x:t xml:space="preserve">1</x:t>
  </x:si>
  <x:si>
    <x:t xml:space="preserve">Kecamatan</x:t>
  </x:si>
  <x:si>
    <x:t xml:space="preserve">BKKBN</x:t>
  </x:si>
  <x:si>
    <x:t xml:space="preserve">Terverifikasi</x:t>
  </x:si>
  <x:si>
    <x:t xml:space="preserve">2</x:t>
  </x:si>
  <x:si>
    <x:t xml:space="preserve">3</x:t>
  </x:si>
  <x:si>
    <x:t xml:space="preserve">Taman Sari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</x:si>
  <x:si>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</x:si>
  <x:si>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</x:si>
  <x:si>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</x:si>
  <x:si>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</x:si>
  <x:si>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</x:si>
  <x:si>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Kota</x:t>
  </x:si>
  <x:si>
    <x:t xml:space="preserve">TEMPLATE RESMI DATABASE SIRUMAH — RTLH &amp; RLH PER KECAMATAN</x:t>
  </x:si>
  <x:si>
    <x:t xml:space="preserve">Kolom RLH dan Persentase RTLH dihitung otomatis. Pastikan Jumlah Rumah dan RTLH telah diverifikasi.</x:t>
  </x:si>
  <x:si>
    <x:t xml:space="preserve">ID_REKAP*</x:t>
  </x:si>
  <x:si>
    <x:t xml:space="preserve">JUMLAH_RUMAH*</x:t>
  </x:si>
  <x:si>
    <x:t xml:space="preserve">RTLH*</x:t>
  </x:si>
  <x:si>
    <x:t xml:space="preserve">RLH</x:t>
  </x:si>
  <x:si>
    <x:t xml:space="preserve">PERSENTASE_RTLH</x:t>
  </x:si>
  <x:si>
    <x:t xml:space="preserve">TEMPLATE RESMI DATABASE SIRUMAH — DATA UNIT RUSUNAWA</x:t>
  </x:si>
  <x:si>
    <x:t xml:space="preserve">Sumber Ringkasan Utama RUSUNAWA, status unit, tingkat hunian, unit siap huni, dan kondisi unit.</x:t>
  </x:si>
  <x:si>
    <x:t xml:space="preserve">ID_UNIT*</x:t>
  </x:si>
  <x:si>
    <x:t xml:space="preserve">NAMA_RUSUNAWA*</x:t>
  </x:si>
  <x:si>
    <x:t xml:space="preserve">BLOK*</x:t>
  </x:si>
  <x:si>
    <x:t xml:space="preserve">LANTAI*</x:t>
  </x:si>
  <x:si>
    <x:t xml:space="preserve">NOMOR_UNIT*</x:t>
  </x:si>
  <x:si>
    <x:t xml:space="preserve">TIPE_UNIT</x:t>
  </x:si>
  <x:si>
    <x:t xml:space="preserve">STATUS_UNIT*</x:t>
  </x:si>
  <x:si>
    <x:t xml:space="preserve">KONDISI_UNIT*</x:t>
  </x:si>
  <x:si>
    <x:t xml:space="preserve">RUSUNAWA Kota Pangkalpinang</x:t>
  </x:si>
  <x:si>
    <x:t xml:space="preserve">BLOK C</x:t>
  </x:si>
  <x:si>
    <x:t xml:space="preserve">DASAR</x:t>
  </x:si>
  <x:si>
    <x:t xml:space="preserve">Kosong</x:t>
  </x:si>
  <x:si>
    <x:t xml:space="preserve">Baik</x:t>
  </x:si>
  <x:si>
    <x:t xml:space="preserve">I</x:t>
  </x:si>
  <x:si>
    <x:t xml:space="preserve">Terisi</x:t>
  </x:si>
  <x:si>
    <x:t xml:space="preserve">Rusak Ringan</x:t>
  </x:si>
  <x:si>
    <x:t xml:space="preserve">9</x:t>
  </x:si>
  <x:si>
    <x:t xml:space="preserve">10</x:t>
  </x:si>
  <x:si>
    <x:t xml:space="preserve">Tidak Dapat Digunakan</x:t>
  </x:si>
  <x:si>
    <x:t xml:space="preserve">Rusak Berat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</x:si>
  <x:si>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</x:si>
  <x:si>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</x:si>
  <x:si>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</x:si>
  <x:si>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</x:si>
  <x:si>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</x:si>
  <x:si>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</x:si>
  <x:si>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</x:si>
  <x:si>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</x:si>
  <x:si>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</x:si>
  <x:si>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Rusak Sedang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</x:si>
  <x:si>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</x:si>
  <x:si>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</x:si>
  <x:si>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</x:si>
  <x:si>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</x:si>
  <x:si>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</x:si>
  <x:si>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II</x:t>
  </x:si>
  <x:si>
    <x:t xml:space="preserve">III</x:t>
  </x:si>
  <x:si>
    <x:t xml:space="preserve">IV</x:t>
  </x:si>
  <x:si>
    <x:t xml:space="preserve">BLOK D</x:t>
  </x:si>
  <x:si>
    <x:t xml:space="preserve">TEMPLATE RESMI DATABASE SIRUMAH — RETRIBUSI SEWA RUSUNAWA BULANAN DENGAN TARGET TAHUNAN</x:t>
  </x:si>
  <x:si>
    <x:t xml:space="preserve">Satu baris mewakili realisasi satu bulan. TARGET_TAHUNAN adalah target satu tahun anggaran, bukan target bulanan, dan harus bernilai sama pada seluruh baris bulan untuk RUSUNAWA dan tahun yang sama.</x:t>
  </x:si>
  <x:si>
    <x:t xml:space="preserve">PETUNJUK: Jangan mengubah nama header. Kolom bertanda * wajib diisi. Dashboard hanya menampilkan data tahun berjalan. REALISASI diisi per bulan; REALISASI_KUMULATIF dan CAPAIAN_PERSEN dihitung otomatis oleh Excel.</x:t>
  </x:si>
  <x:si>
    <x:t xml:space="preserve">ID_RETRIBUSI*</x:t>
  </x:si>
  <x:si>
    <x:t xml:space="preserve">TAHUN*</x:t>
  </x:si>
  <x:si>
    <x:t xml:space="preserve">BULAN*</x:t>
  </x:si>
  <x:si>
    <x:t xml:space="preserve">TARGET_TAHUNAN*</x:t>
  </x:si>
  <x:si>
    <x:t xml:space="preserve">REALISASI*</x:t>
  </x:si>
  <x:si>
    <x:t xml:space="preserve">REALISASI_KUMULATIF</x:t>
  </x:si>
  <x:si>
    <x:t xml:space="preserve">CAPAIAN_PERSEN</x:t>
  </x:si>
  <x:si>
    <x:t xml:space="preserve">RET-2026-001</x:t>
  </x:si>
  <x:si>
    <x:t xml:space="preserve">Januari</x:t>
  </x:si>
  <x:si>
    <x:t xml:space="preserve">Belum Diverifikasi</x:t>
  </x:si>
  <x:si>
    <x:t xml:space="preserve">Data Januari–Mei berasal dari template sebelumnya; lengkapi target tahunan dan metadata.</x:t>
  </x:si>
  <x:si>
    <x:t xml:space="preserve">RET-2026-002</x:t>
  </x:si>
  <x:si>
    <x:t xml:space="preserve">Februari</x:t>
  </x:si>
  <x:si>
    <x:t xml:space="preserve">RET-2026-003</x:t>
  </x:si>
  <x:si>
    <x:t xml:space="preserve">Maret</x:t>
  </x:si>
  <x:si>
    <x:t xml:space="preserve">RET-2026-004</x:t>
  </x:si>
  <x:si>
    <x:t xml:space="preserve">April</x:t>
  </x:si>
  <x:si>
    <x:t xml:space="preserve">RET-2026-005</x:t>
  </x:si>
  <x:si>
    <x:t xml:space="preserve">Mei</x:t>
  </x:si>
  <x:si>
    <x:t xml:space="preserve">TEMPLATE RESMI DATABASE SIRUMAH — SARANA PRASARANA RUSUNAWA</x:t>
  </x:si>
  <x:si>
    <x:t xml:space="preserve">Gunakan untuk monitoring kondisi bangunan, utilitas, fasilitas bersama, prioritas, dan tindak lanjut.</x:t>
  </x:si>
  <x:si>
    <x:t xml:space="preserve">ID_SARPRAS*</x:t>
  </x:si>
  <x:si>
    <x:t xml:space="preserve">KOMPONEN*</x:t>
  </x:si>
  <x:si>
    <x:t xml:space="preserve">LOKASI</x:t>
  </x:si>
  <x:si>
    <x:t xml:space="preserve">KONDISI*</x:t>
  </x:si>
  <x:si>
    <x:t xml:space="preserve">PRIORITAS*</x:t>
  </x:si>
  <x:si>
    <x:t xml:space="preserve">TINDAK_LANJUT*</x:t>
  </x:si>
  <x:si>
    <x:t xml:space="preserve">STATUS_TINDAK_LANJUT*</x:t>
  </x:si>
  <x:si>
    <x:t xml:space="preserve">TANGGAL_PEMERIKSAAN*</x:t>
  </x:si>
  <x:si>
    <x:t xml:space="preserve">Atap dan talang</x:t>
  </x:si>
  <x:si>
    <x:t xml:space="preserve">Gangguan Ringan</x:t>
  </x:si>
  <x:si>
    <x:t xml:space="preserve">Rendah</x:t>
  </x:si>
  <x:si>
    <x:t xml:space="preserve">Air bersih</x:t>
  </x:si>
  <x:si>
    <x:t xml:space="preserve">Listrik koridor</x:t>
  </x:si>
  <x:si>
    <x:t xml:space="preserve">Sedang</x:t>
  </x:si>
  <x:si>
    <x:t xml:space="preserve">Drainase lingkungan</x:t>
  </x:si>
  <x:si>
    <x:t xml:space="preserve">IPAL / septic tank</x:t>
  </x:si>
  <x:si>
    <x:t xml:space="preserve">Tangga dan railing</x:t>
  </x:si>
  <x:si>
    <x:t xml:space="preserve">Area parkir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</x:si>
</x:sst>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0.000000"/>
    <x:numFmt numFmtId="166" formatCode="[$Rp-421]\ #,##0"/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F3F50"/>
      <x:name val="Carlito"/>
    </x:font>
    <x:font>
      <x:b/>
      <x:sz val="9"/>
      <x:color rgb="FF0F3F50"/>
      <x:name val="Carlito"/>
    </x:font>
    <x:font>
      <x:b/>
      <x:sz val="10"/>
      <x:color rgb="FFD3C584"/>
      <x:name val="Carlito"/>
    </x:font>
    <x:font>
      <x:sz val="10"/>
      <x:color rgb="FF1F2937"/>
      <x:name val="Carlito"/>
    </x:font>
    <x:font>
      <x:b/>
      <x:sz val="11"/>
      <x:color rgb="FFD3C584"/>
      <x:name val="Carlito"/>
    </x:font>
    <x:font>
      <x:sz val="11"/>
      <x:color rgb="FF1F2937"/>
      <x:name val="Carlito"/>
    </x:font>
    <x:font>
      <x:sz val="10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0"/>
      <x:color rgb="FF334155"/>
      <x:name val="Carlito"/>
    </x:font>
    <x:font>
      <x:b/>
      <x:sz val="10"/>
      <x:color rgb="FFDCCF79"/>
      <x:name val="Carlito"/>
    </x:font>
    <x:font>
      <x:b/>
      <x:sz val="11"/>
      <x:color rgb="FFFFFFFF"/>
      <x:name val="Carlito"/>
    </x:font>
    <x:font>
      <x:i/>
      <x:sz val="11"/>
      <x:color rgb="FF0F3F50"/>
      <x:name val="Carlito"/>
    </x:font>
    <x:font>
      <x:b/>
      <x:sz val="11"/>
      <x:color rgb="FF0F3F50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FFF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0F3F50"/>
      </x:patternFill>
    </x:fill>
    <x:fill>
      <x:patternFill patternType="solid">
        <x:fgColor rgb="FFFFF9E6"/>
      </x:patternFill>
    </x:fill>
    <x:fill>
      <x:patternFill patternType="solid">
        <x:fgColor rgb="FFEAF2F8"/>
      </x:patternFill>
    </x:fill>
    <x:fill>
      <x:patternFill patternType="solid">
        <x:fgColor theme="0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1C6A80"/>
      </x:patternFill>
    </x:fill>
    <x:fill>
      <x:patternFill patternType="solid">
        <x:fgColor rgb="FFE6F3F7"/>
      </x:patternFill>
    </x:fill>
    <x:fill>
      <x:patternFill patternType="solid">
        <x:fgColor rgb="FFFFF7D6"/>
      </x:patternFill>
    </x:fill>
    <x:fill>
      <x:patternFill patternType="solid">
        <x:fgColor rgb="FF0F5366"/>
      </x:patternFill>
    </x:fill>
    <x:fill>
      <x:patternFill patternType="solid">
        <x:fgColor rgb="FFFFFBEA"/>
      </x:patternFill>
    </x:fill>
    <x:fill>
      <x:patternFill patternType="solid">
        <x:fgColor rgb="FFDDF0FF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F8FAFC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0F3F50"/>
      </x:patternFill>
    </x:fill>
    <x:fill>
      <x:patternFill patternType="solid">
        <x:fgColor rgb="FFF8FAFC"/>
      </x:patternFill>
    </x:fill>
    <x:fill>
      <x:patternFill patternType="solid">
        <x:fgColor rgb="FFFFFDF0"/>
      </x:patternFill>
    </x:fill>
  </x:fills>
  <x:borders count="26">
    <x:border/>
    <x:border>
      <x:bottom style="thin">
        <x:color rgb="FFD3C584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</x:border>
    <x:border>
      <x:right style="thin">
        <x:color rgb="FFD9E2E7"/>
      </x:righ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/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right style="thin">
        <x:color rgb="FFD9E2E7"/>
      </x:right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left style="thin">
        <x:color rgb="FFD9E2E7"/>
      </x:lef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3C584"/>
      </x:bottom>
    </x:border>
  </x:borders>
  <x:cellStyleXfs count="1">
    <x:xf numFmtId="0" fontId="0" fillId="0" borderId="0"/>
  </x:cellStyleXfs>
  <x:cellXfs count="574">
    <x:xf numFmtId="0" fontId="0" fillId="0" borderId="0" xfId="0"/>
    <x:xf numFmtId="0" fontId="4" fillId="5" borderId="2" xfId="0" applyFont="1" applyFill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5" fillId="6" borderId="6" xfId="0" applyFont="1" applyFill="1" applyBorder="1" applyAlignment="1">
      <x:alignment vertical="center" wrapText="1"/>
    </x:xf>
    <x:xf numFmtId="0" fontId="5" fillId="6" borderId="7" xfId="0" applyFont="1" applyFill="1" applyBorder="1" applyAlignment="1">
      <x:alignment vertical="center" wrapText="1"/>
    </x:xf>
    <x:xf numFmtId="0" fontId="5" fillId="6" borderId="0" xfId="0" applyFont="1" applyFill="1" applyAlignment="1">
      <x:alignment vertical="center" wrapText="1"/>
    </x:xf>
    <x:xf numFmtId="0" fontId="5" fillId="6" borderId="9" xfId="0" applyFont="1" applyFill="1" applyBorder="1" applyAlignment="1">
      <x:alignment vertical="center" wrapText="1"/>
    </x:xf>
    <x:xf numFmtId="0" fontId="5" fillId="6" borderId="11" xfId="0" applyFont="1" applyFill="1" applyBorder="1" applyAlignment="1">
      <x:alignment vertical="center" wrapText="1"/>
    </x:xf>
    <x:xf numFmtId="0" fontId="5" fillId="6" borderId="12" xfId="0" applyFont="1" applyFill="1" applyBorder="1" applyAlignment="1">
      <x:alignment vertical="center" wrapText="1"/>
    </x:xf>
    <x:xf numFmtId="0" fontId="5" fillId="7" borderId="6" xfId="0" applyFont="1" applyFill="1" applyBorder="1" applyAlignment="1">
      <x:alignment vertical="center" wrapText="1"/>
    </x:xf>
    <x:xf numFmtId="0" fontId="5" fillId="7" borderId="0" xfId="0" applyFont="1" applyFill="1" applyAlignment="1">
      <x:alignment vertical="center" wrapText="1"/>
    </x:xf>
    <x:xf numFmtId="0" fontId="5" fillId="7" borderId="11" xfId="0" applyFont="1" applyFill="1" applyBorder="1" applyAlignment="1">
      <x:alignment vertical="center" wrapText="1"/>
    </x:xf>
    <x:xf numFmtId="164" fontId="5" fillId="7" borderId="6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Alignment="1">
      <x:alignment vertical="center" wrapText="1"/>
    </x:xf>
    <x:xf numFmtId="164" fontId="5" fillId="7" borderId="11" xfId="0" applyNumberFormat="1" applyFont="1" applyFill="1" applyBorder="1" applyAlignment="1">
      <x:alignment vertical="center" wrapText="1"/>
    </x:xf>
    <x:xf numFmtId="3" fontId="5" fillId="6" borderId="6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Alignment="1">
      <x:alignment vertical="center" wrapText="1"/>
    </x:xf>
    <x:xf numFmtId="3" fontId="5" fillId="6" borderId="11" xfId="0" applyNumberFormat="1" applyFont="1" applyFill="1" applyBorder="1" applyAlignment="1">
      <x:alignment vertical="center" wrapText="1"/>
    </x:xf>
    <x:xf numFmtId="3" fontId="5" fillId="7" borderId="6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Alignment="1">
      <x:alignment vertical="center" wrapText="1"/>
    </x:xf>
    <x:xf numFmtId="3" fontId="5" fillId="7" borderId="11" xfId="0" applyNumberFormat="1" applyFont="1" applyFill="1" applyBorder="1" applyAlignment="1">
      <x:alignment vertical="center" wrapText="1"/>
    </x:xf>
    <x:xf numFmtId="165" fontId="5" fillId="6" borderId="6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Alignment="1">
      <x:alignment vertical="center" wrapText="1"/>
    </x:xf>
    <x:xf numFmtId="165" fontId="5" fillId="6" borderId="11" xfId="0" applyNumberFormat="1" applyFont="1" applyFill="1" applyBorder="1" applyAlignment="1">
      <x:alignment vertical="center" wrapText="1"/>
    </x:xf>
    <x:xf numFmtId="9" fontId="5" fillId="8" borderId="6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Alignment="1">
      <x:alignment vertical="center" wrapText="1"/>
    </x:xf>
    <x:xf numFmtId="9" fontId="5" fillId="8" borderId="11" xfId="0" applyNumberFormat="1" applyFont="1" applyFill="1" applyBorder="1" applyAlignment="1">
      <x:alignment vertical="center" wrapText="1"/>
    </x:xf>
    <x:xf numFmtId="9" fontId="5" fillId="8" borderId="7" xfId="0" applyNumberFormat="1" applyFont="1" applyFill="1" applyBorder="1" applyAlignment="1">
      <x:alignment vertical="center" wrapText="1"/>
    </x:xf>
    <x:xf numFmtId="9" fontId="5" fillId="8" borderId="9" xfId="0" applyNumberFormat="1" applyFont="1" applyFill="1" applyBorder="1" applyAlignment="1">
      <x:alignment vertical="center" wrapText="1"/>
    </x:xf>
    <x:xf numFmtId="9" fontId="5" fillId="8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center" wrapText="1"/>
    </x:xf>
    <x:xf numFmtId="49" fontId="5" fillId="7" borderId="8" xfId="0" applyNumberFormat="1" applyFont="1" applyFill="1" applyBorder="1" applyAlignment="1">
      <x:alignment vertical="center" wrapText="1"/>
    </x:xf>
    <x:xf numFmtId="49" fontId="5" fillId="7" borderId="10" xfId="0" applyNumberFormat="1" applyFont="1" applyFill="1" applyBorder="1" applyAlignment="1">
      <x:alignment vertical="center" wrapText="1"/>
    </x:xf>
    <x:xf numFmtId="0" fontId="5" fillId="7" borderId="7" xfId="0" applyFont="1" applyFill="1" applyBorder="1" applyAlignment="1">
      <x:alignment vertical="center" wrapText="1"/>
    </x:xf>
    <x:xf numFmtId="0" fontId="5" fillId="7" borderId="9" xfId="0" applyFont="1" applyFill="1" applyBorder="1" applyAlignment="1">
      <x:alignment vertical="center" wrapText="1"/>
    </x:xf>
    <x:xf numFmtId="0" fontId="5" fillId="7" borderId="12" xfId="0" applyFont="1" applyFill="1" applyBorder="1" applyAlignment="1">
      <x:alignment vertical="center" wrapText="1"/>
    </x:xf>
    <x:xf numFmtId="3" fontId="5" fillId="8" borderId="6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Alignment="1">
      <x:alignment vertical="center" wrapText="1"/>
    </x:xf>
    <x:xf numFmtId="3" fontId="5" fillId="8" borderId="11" xfId="0" applyNumberFormat="1" applyFont="1" applyFill="1" applyBorder="1" applyAlignment="1">
      <x:alignment vertical="center" wrapText="1"/>
    </x:xf>
    <x:xf numFmtId="164" fontId="5" fillId="6" borderId="6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Alignment="1">
      <x:alignment vertical="center" wrapText="1"/>
    </x:xf>
    <x:xf numFmtId="164" fontId="5" fillId="6" borderId="11" xfId="0" applyNumberFormat="1" applyFont="1" applyFill="1" applyBorder="1" applyAlignment="1">
      <x:alignment vertical="center" wrapText="1"/>
    </x:xf>
    <x:xf numFmtId="49" fontId="5" fillId="6" borderId="6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Alignment="1">
      <x:alignment vertical="center" wrapText="1"/>
    </x:xf>
    <x:xf numFmtId="49" fontId="5" fillId="6" borderId="11" xfId="0" applyNumberFormat="1" applyFont="1" applyFill="1" applyBorder="1" applyAlignment="1">
      <x:alignment vertical="center" wrapText="1"/>
    </x:xf>
    <x:xf numFmtId="49" fontId="5" fillId="7" borderId="6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Alignment="1">
      <x:alignment vertical="center" wrapText="1"/>
    </x:xf>
    <x:xf numFmtId="49" fontId="5" fillId="7" borderId="11" xfId="0" applyNumberFormat="1" applyFont="1" applyFill="1" applyBorder="1" applyAlignment="1">
      <x:alignment vertical="center" wrapText="1"/>
    </x:xf>
    <x:xf numFmtId="0" fontId="6" fillId="9" borderId="3" xfId="0" applyFont="1" applyFill="1" applyBorder="1" applyAlignment="1">
      <x:alignment horizontal="center" vertical="center" wrapText="1"/>
    </x:xf>
    <x:xf numFmtId="0" fontId="7" fillId="10" borderId="6" xfId="0" applyFont="1" applyFill="1" applyBorder="1" applyAlignment="1">
      <x:alignment wrapText="1"/>
    </x:xf>
    <x:xf numFmtId="0" fontId="7" fillId="10" borderId="0" xfId="0" applyFont="1" applyFill="1" applyAlignment="1">
      <x:alignment wrapText="1"/>
    </x:xf>
    <x:xf numFmtId="9" fontId="7" fillId="11" borderId="6" xfId="0" applyNumberFormat="1" applyFont="1" applyFill="1" applyBorder="1" applyAlignment="1">
      <x:alignment wrapText="1"/>
    </x:xf>
    <x:xf numFmtId="9" fontId="7" fillId="11" borderId="0" xfId="0" applyNumberFormat="1" applyFont="1" applyFill="1" applyAlignment="1">
      <x:alignment wrapText="1"/>
    </x:xf>
    <x:xf numFmtId="0" fontId="6" fillId="9" borderId="4" xfId="0" applyFont="1" applyFill="1" applyBorder="1" applyAlignment="1">
      <x:alignment horizontal="center" vertical="center" wrapText="1"/>
    </x:xf>
    <x:xf numFmtId="9" fontId="7" fillId="11" borderId="7" xfId="0" applyNumberFormat="1" applyFont="1" applyFill="1" applyBorder="1" applyAlignment="1">
      <x:alignment wrapText="1"/>
    </x:xf>
    <x:xf numFmtId="9" fontId="7" fillId="11" borderId="9" xfId="0" applyNumberFormat="1" applyFont="1" applyFill="1" applyBorder="1" applyAlignment="1">
      <x:alignment wrapText="1"/>
    </x:xf>
    <x:xf numFmtId="9" fontId="7" fillId="11" borderId="12" xfId="0" applyNumberFormat="1" applyFont="1" applyFill="1" applyBorder="1" applyAlignment="1">
      <x:alignment wrapText="1"/>
    </x:xf>
    <x:xf numFmtId="0" fontId="8" fillId="13" borderId="0" xfId="0" applyFont="1" applyFill="1"/>
    <x:xf numFmtId="0" fontId="8" fillId="12" borderId="0" xfId="0" applyFont="1" applyFill="1"/>
    <x:xf numFmtId="0" fontId="8" fillId="14" borderId="0" xfId="0" applyFont="1" applyFill="1"/>
    <x:xf numFmtId="0" fontId="8" fillId="0" borderId="0" xfId="0" applyFont="1"/>
    <x:xf numFmtId="49" fontId="8" fillId="13" borderId="0" xfId="0" applyNumberFormat="1" applyFont="1" applyFill="1" applyAlignment="1">
      <x:alignment vertical="center"/>
    </x:xf>
    <x:xf numFmtId="49" fontId="8" fillId="13" borderId="0" xfId="0" applyNumberFormat="1" applyFont="1" applyFill="1"/>
    <x:xf numFmtId="0" fontId="5" fillId="8" borderId="6" xfId="0" applyFont="1" applyFill="1" applyBorder="1" applyAlignment="1">
      <x:alignment vertical="center" wrapText="1"/>
    </x:xf>
    <x:xf numFmtId="0" fontId="5" fillId="8" borderId="0" xfId="0" applyFont="1" applyFill="1" applyAlignment="1">
      <x:alignment vertical="center" wrapText="1"/>
    </x:xf>
    <x:xf numFmtId="0" fontId="5" fillId="8" borderId="11" xfId="0" applyFont="1" applyFill="1" applyBorder="1" applyAlignment="1">
      <x:alignment vertical="center" wrapText="1"/>
    </x:xf>
    <x:xf numFmtId="0" fontId="12" fillId="18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vertical="center" wrapText="1"/>
    </x:xf>
    <x:xf numFmtId="1" fontId="5" fillId="19" borderId="0" xfId="0" applyNumberFormat="1" applyFont="1" applyFill="1" applyAlignment="1">
      <x:alignment horizontal="center" vertical="center" wrapText="1"/>
    </x:xf>
    <x:xf numFmtId="166" fontId="5" fillId="19" borderId="0" xfId="0" applyNumberFormat="1" applyFont="1" applyFill="1" applyAlignment="1">
      <x:alignment vertical="center" wrapText="1"/>
    </x:xf>
    <x:xf numFmtId="166" fontId="5" fillId="20" borderId="0" xfId="0" applyNumberFormat="1" applyFont="1" applyFill="1" applyAlignment="1">
      <x:alignment horizontal="center" vertical="center" wrapText="1"/>
    </x:xf>
    <x:xf numFmtId="10" fontId="5" fillId="20" borderId="0" xfId="0" applyNumberFormat="1" applyFont="1" applyFill="1" applyAlignment="1">
      <x:alignment horizontal="center" vertical="center" wrapText="1"/>
    </x:xf>
    <x:xf numFmtId="164" fontId="5" fillId="19" borderId="0" xfId="0" applyNumberFormat="1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4" fillId="5" borderId="3" xfId="0" applyFont="1" applyFill="1" applyBorder="1" applyAlignment="1">
      <x:alignment vertical="center"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0" fontId="9" fillId="15" borderId="0" xfId="0" applyFont="1" applyFill="1" applyAlignment="1">
      <x:alignment horizontal="left" vertical="center" wrapText="1"/>
    </x:xf>
    <x:xf numFmtId="0" fontId="9" fillId="15" borderId="0" xfId="0" applyFont="1" applyFill="1" applyAlignment="1">
      <x:alignment vertical="center"/>
    </x:xf>
    <x:xf numFmtId="0" fontId="10" fillId="16" borderId="0" xfId="0" applyFont="1" applyFill="1" applyAlignment="1">
      <x:alignment horizontal="left" vertical="center" wrapText="1"/>
    </x:xf>
    <x:xf numFmtId="0" fontId="10" fillId="16" borderId="0" xfId="0" applyFont="1" applyFill="1" applyAlignment="1">
      <x:alignment vertical="center" wrapText="1"/>
    </x:xf>
    <x:xf numFmtId="0" fontId="11" fillId="17" borderId="1" xfId="0" applyFont="1" applyFill="1" applyBorder="1" applyAlignment="1">
      <x:alignment horizontal="left" vertical="center" wrapText="1"/>
    </x:xf>
    <x:xf numFmtId="0" fontId="11" fillId="17" borderId="0" xfId="0" applyFont="1" applyFill="1" applyAlignment="1">
      <x:alignment vertical="center" wrapText="1"/>
    </x:xf>
    <x:xf numFmtId="0" fontId="0" fillId="0" borderId="13" xfId="0" applyNumberFormat="1" applyFont="1" applyFill="1" applyBorder="1"/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20" xfId="0" applyNumberFormat="1" applyFont="1" applyFill="1" applyBorder="1" applyAlignment="1">
      <x:alignment vertical="center" wrapText="1"/>
    </x:xf>
    <x:xf numFmtId="164" fontId="5" fillId="7" borderId="17" xfId="0" applyNumberFormat="1" applyFont="1" applyFill="1" applyBorder="1" applyAlignment="1">
      <x:alignment vertical="center" wrapText="1"/>
    </x:xf>
    <x:xf numFmtId="164" fontId="5" fillId="7" borderId="13" xfId="0" applyNumberFormat="1" applyFont="1" applyFill="1" applyBorder="1" applyAlignment="1">
      <x:alignment vertical="center" wrapText="1"/>
    </x:xf>
    <x:xf numFmtId="164" fontId="5" fillId="7" borderId="20" xfId="0" applyNumberFormat="1" applyFont="1" applyFill="1" applyBorder="1" applyAlignment="1">
      <x:alignment vertical="center" wrapText="1"/>
    </x:xf>
    <x:xf numFmtId="3" fontId="5" fillId="6" borderId="17" xfId="0" applyNumberFormat="1" applyFont="1" applyFill="1" applyBorder="1" applyAlignment="1">
      <x:alignment vertical="center" wrapText="1"/>
    </x:xf>
    <x:xf numFmtId="3" fontId="5" fillId="6" borderId="13" xfId="0" applyNumberFormat="1" applyFont="1" applyFill="1" applyBorder="1" applyAlignment="1">
      <x:alignment vertical="center" wrapText="1"/>
    </x:xf>
    <x:xf numFmtId="3" fontId="5" fillId="6" borderId="20" xfId="0" applyNumberFormat="1" applyFont="1" applyFill="1" applyBorder="1" applyAlignment="1">
      <x:alignment vertical="center" wrapText="1"/>
    </x:xf>
    <x:xf numFmtId="3" fontId="5" fillId="7" borderId="17" xfId="0" applyNumberFormat="1" applyFont="1" applyFill="1" applyBorder="1" applyAlignment="1">
      <x:alignment vertical="center" wrapText="1"/>
    </x:xf>
    <x:xf numFmtId="3" fontId="5" fillId="7" borderId="13" xfId="0" applyNumberFormat="1" applyFont="1" applyFill="1" applyBorder="1" applyAlignment="1">
      <x:alignment vertical="center" wrapText="1"/>
    </x:xf>
    <x:xf numFmtId="3" fontId="5" fillId="7" borderId="20" xfId="0" applyNumberFormat="1" applyFont="1" applyFill="1" applyBorder="1" applyAlignment="1">
      <x:alignment vertical="center" wrapText="1"/>
    </x:xf>
    <x:xf numFmtId="165" fontId="5" fillId="6" borderId="17" xfId="0" applyNumberFormat="1" applyFont="1" applyFill="1" applyBorder="1" applyAlignment="1">
      <x:alignment vertical="center" wrapText="1"/>
    </x:xf>
    <x:xf numFmtId="165" fontId="5" fillId="6" borderId="13" xfId="0" applyNumberFormat="1" applyFont="1" applyFill="1" applyBorder="1" applyAlignment="1">
      <x:alignment vertical="center" wrapText="1"/>
    </x:xf>
    <x:xf numFmtId="165" fontId="5" fillId="6" borderId="20" xfId="0" applyNumberFormat="1" applyFont="1" applyFill="1" applyBorder="1" applyAlignment="1">
      <x:alignment vertical="center" wrapText="1"/>
    </x:xf>
    <x:xf numFmtId="9" fontId="5" fillId="8" borderId="17" xfId="0" applyNumberFormat="1" applyFont="1" applyFill="1" applyBorder="1" applyAlignment="1">
      <x:alignment vertical="center" wrapText="1"/>
    </x:xf>
    <x:xf numFmtId="9" fontId="5" fillId="8" borderId="13" xfId="0" applyNumberFormat="1" applyFont="1" applyFill="1" applyBorder="1" applyAlignment="1">
      <x:alignment vertical="center" wrapText="1"/>
    </x:xf>
    <x:xf numFmtId="9" fontId="5" fillId="8" borderId="20" xfId="0" applyNumberFormat="1" applyFont="1" applyFill="1" applyBorder="1" applyAlignment="1">
      <x:alignment vertical="center" wrapText="1"/>
    </x:xf>
    <x:xf numFmtId="9" fontId="5" fillId="8" borderId="18" xfId="0" applyNumberFormat="1" applyFont="1" applyFill="1" applyBorder="1" applyAlignment="1">
      <x:alignment vertical="center" wrapText="1"/>
    </x:xf>
    <x:xf numFmtId="9" fontId="5" fillId="8" borderId="19" xfId="0" applyNumberFormat="1" applyFont="1" applyFill="1" applyBorder="1" applyAlignment="1">
      <x:alignment vertical="center" wrapText="1"/>
    </x:xf>
    <x:xf numFmtId="9" fontId="5" fillId="8" borderId="21" xfId="0" applyNumberFormat="1" applyFont="1" applyFill="1" applyBorder="1" applyAlignment="1">
      <x:alignment vertical="center" wrapText="1"/>
    </x:xf>
    <x:xf numFmtId="49" fontId="5" fillId="7" borderId="22" xfId="0" applyNumberFormat="1" applyFont="1" applyFill="1" applyBorder="1" applyAlignment="1">
      <x:alignment vertical="center" wrapText="1"/>
    </x:xf>
    <x:xf numFmtId="49" fontId="5" fillId="7" borderId="23" xfId="0" applyNumberFormat="1" applyFont="1" applyFill="1" applyBorder="1" applyAlignment="1">
      <x:alignment vertical="center" wrapText="1"/>
    </x:xf>
    <x:xf numFmtId="49" fontId="5" fillId="7" borderId="24" xfId="0" applyNumberFormat="1" applyFont="1" applyFill="1" applyBorder="1" applyAlignment="1">
      <x:alignment vertical="center" wrapText="1"/>
    </x:xf>
    <x:xf numFmtId="0" fontId="5" fillId="7" borderId="18" xfId="0" applyNumberFormat="1" applyFont="1" applyFill="1" applyBorder="1" applyAlignment="1">
      <x:alignment vertical="center" wrapText="1"/>
    </x:xf>
    <x:xf numFmtId="0" fontId="5" fillId="7" borderId="19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3" fontId="5" fillId="8" borderId="17" xfId="0" applyNumberFormat="1" applyFont="1" applyFill="1" applyBorder="1" applyAlignment="1">
      <x:alignment vertical="center" wrapText="1"/>
    </x:xf>
    <x:xf numFmtId="3" fontId="5" fillId="8" borderId="13" xfId="0" applyNumberFormat="1" applyFont="1" applyFill="1" applyBorder="1" applyAlignment="1">
      <x:alignment vertical="center" wrapText="1"/>
    </x:xf>
    <x:xf numFmtId="3" fontId="5" fillId="8" borderId="20" xfId="0" applyNumberFormat="1" applyFont="1" applyFill="1" applyBorder="1" applyAlignment="1">
      <x:alignment vertical="center" wrapText="1"/>
    </x:xf>
    <x:xf numFmtId="164" fontId="5" fillId="6" borderId="17" xfId="0" applyNumberFormat="1" applyFont="1" applyFill="1" applyBorder="1" applyAlignment="1">
      <x:alignment vertical="center" wrapText="1"/>
    </x:xf>
    <x:xf numFmtId="164" fontId="5" fillId="6" borderId="13" xfId="0" applyNumberFormat="1" applyFont="1" applyFill="1" applyBorder="1" applyAlignment="1">
      <x:alignment vertical="center" wrapText="1"/>
    </x:xf>
    <x:xf numFmtId="164" fontId="5" fillId="6" borderId="20" xfId="0" applyNumberFormat="1" applyFont="1" applyFill="1" applyBorder="1" applyAlignment="1">
      <x:alignment vertical="center" wrapText="1"/>
    </x:xf>
    <x:xf numFmtId="49" fontId="5" fillId="6" borderId="17" xfId="0" applyNumberFormat="1" applyFont="1" applyFill="1" applyBorder="1" applyAlignment="1">
      <x:alignment vertical="center" wrapText="1"/>
    </x:xf>
    <x:xf numFmtId="49" fontId="5" fillId="6" borderId="13" xfId="0" applyNumberFormat="1" applyFont="1" applyFill="1" applyBorder="1" applyAlignment="1">
      <x:alignment vertical="center" wrapText="1"/>
    </x:xf>
    <x:xf numFmtId="49" fontId="5" fillId="6" borderId="20" xfId="0" applyNumberFormat="1" applyFont="1" applyFill="1" applyBorder="1" applyAlignment="1">
      <x:alignment vertical="center" wrapText="1"/>
    </x:xf>
    <x:xf numFmtId="49" fontId="5" fillId="7" borderId="17" xfId="0" applyNumberFormat="1" applyFont="1" applyFill="1" applyBorder="1" applyAlignment="1">
      <x:alignment vertical="center" wrapText="1"/>
    </x:xf>
    <x:xf numFmtId="49" fontId="5" fillId="7" borderId="13" xfId="0" applyNumberFormat="1" applyFont="1" applyFill="1" applyBorder="1" applyAlignment="1">
      <x:alignment vertical="center" wrapText="1"/>
    </x:xf>
    <x:xf numFmtId="49" fontId="5" fillId="7" borderId="20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9" fontId="7" fillId="8" borderId="17" xfId="0" applyNumberFormat="1" applyFont="1" applyFill="1" applyBorder="1" applyAlignment="1">
      <x:alignment wrapText="1"/>
    </x:xf>
    <x:xf numFmtId="9" fontId="7" fillId="8" borderId="13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9" fontId="7" fillId="8" borderId="18" xfId="0" applyNumberFormat="1" applyFont="1" applyFill="1" applyBorder="1" applyAlignment="1">
      <x:alignment wrapText="1"/>
    </x:xf>
    <x:xf numFmtId="9" fontId="7" fillId="8" borderId="19" xfId="0" applyNumberFormat="1" applyFont="1" applyFill="1" applyBorder="1" applyAlignment="1">
      <x:alignment wrapText="1"/>
    </x:xf>
    <x:xf numFmtId="9" fontId="7" fillId="8" borderId="21" xfId="0" applyNumberFormat="1" applyFont="1" applyFill="1" applyBorder="1" applyAlignment="1">
      <x:alignment wrapText="1"/>
    </x:xf>
    <x:xf numFmtId="0" fontId="8" fillId="7" borderId="13" xfId="0" applyNumberFormat="1" applyFont="1" applyFill="1" applyBorder="1"/>
    <x:xf numFmtId="0" fontId="8" fillId="12" borderId="13" xfId="0" applyNumberFormat="1" applyFont="1" applyFill="1" applyBorder="1"/>
    <x:xf numFmtId="0" fontId="8" fillId="8" borderId="13" xfId="0" applyNumberFormat="1" applyFont="1" applyFill="1" applyBorder="1"/>
    <x:xf numFmtId="0" fontId="8" fillId="0" borderId="13" xfId="0" applyNumberFormat="1" applyFont="1" applyFill="1" applyBorder="1"/>
    <x:xf numFmtId="49" fontId="8" fillId="7" borderId="13" xfId="0" applyNumberFormat="1" applyFont="1" applyFill="1" applyBorder="1" applyAlignment="1">
      <x:alignment vertical="center"/>
    </x:xf>
    <x:xf numFmtId="49" fontId="8" fillId="7" borderId="13" xfId="0" applyNumberFormat="1" applyFont="1" applyFill="1" applyBorder="1"/>
    <x:xf numFmtId="0" fontId="5" fillId="8" borderId="17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20" xfId="0" applyNumberFormat="1" applyFont="1" applyFill="1" applyBorder="1" applyAlignment="1">
      <x:alignment vertical="center" wrapText="1"/>
    </x:xf>
    <x:xf numFmtId="0" fontId="12" fillId="18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vertical="center" wrapText="1"/>
    </x:xf>
    <x:xf numFmtId="1" fontId="5" fillId="19" borderId="13" xfId="0" applyNumberFormat="1" applyFont="1" applyFill="1" applyBorder="1" applyAlignment="1">
      <x:alignment horizontal="center" vertical="center" wrapText="1"/>
    </x:xf>
    <x:xf numFmtId="166" fontId="5" fillId="19" borderId="13" xfId="0" applyNumberFormat="1" applyFont="1" applyFill="1" applyBorder="1" applyAlignment="1">
      <x:alignment vertical="center" wrapText="1"/>
    </x:xf>
    <x:xf numFmtId="166" fontId="5" fillId="20" borderId="13" xfId="0" applyNumberFormat="1" applyFont="1" applyFill="1" applyBorder="1" applyAlignment="1">
      <x:alignment horizontal="center" vertical="center" wrapText="1"/>
    </x:xf>
    <x:xf numFmtId="10" fontId="5" fillId="20" borderId="13" xfId="0" applyNumberFormat="1" applyFont="1" applyFill="1" applyBorder="1" applyAlignment="1">
      <x:alignment horizontal="center" vertical="center" wrapText="1"/>
    </x:xf>
    <x:xf numFmtId="164" fontId="5" fillId="19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horizontal="left" vertical="center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3" fillId="4" borderId="25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 applyAlignment="1">
      <x:alignment wrapText="1"/>
    </x:xf>
    <x:xf numFmtId="0" fontId="9" fillId="15" borderId="13" xfId="0" applyNumberFormat="1" applyFont="1" applyFill="1" applyBorder="1" applyAlignment="1">
      <x:alignment horizontal="left" vertical="center" wrapText="1"/>
    </x:xf>
    <x:xf numFmtId="0" fontId="9" fillId="15" borderId="13" xfId="0" applyNumberFormat="1" applyFont="1" applyFill="1" applyBorder="1" applyAlignment="1">
      <x:alignment vertical="center"/>
    </x:xf>
    <x:xf numFmtId="0" fontId="10" fillId="16" borderId="13" xfId="0" applyNumberFormat="1" applyFont="1" applyFill="1" applyBorder="1" applyAlignment="1">
      <x:alignment horizontal="left" vertical="center" wrapText="1"/>
    </x:xf>
    <x:xf numFmtId="0" fontId="10" fillId="16" borderId="13" xfId="0" applyNumberFormat="1" applyFont="1" applyFill="1" applyBorder="1" applyAlignment="1">
      <x:alignment vertical="center" wrapText="1"/>
    </x:xf>
    <x:xf numFmtId="0" fontId="11" fillId="17" borderId="25" xfId="0" applyNumberFormat="1" applyFont="1" applyFill="1" applyBorder="1" applyAlignment="1">
      <x:alignment horizontal="left" vertical="center" wrapText="1"/>
    </x:xf>
    <x:xf numFmtId="0" fontId="11" fillId="17" borderId="13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horizontal="left"/>
    </x:xf>
    <x:xf numFmtId="0" fontId="13" fillId="21" borderId="0" xfId="0" applyNumberFormat="1" applyFont="1" applyFill="1" applyBorder="1" applyAlignment="1">
      <x:alignment horizontal="left" vertical="center"/>
    </x:xf>
    <x:xf numFmtId="0" fontId="1" fillId="21" borderId="13" xfId="0" applyNumberFormat="1" applyFont="1" applyFill="1" applyBorder="1" applyAlignment="1">
      <x:alignment horizontal="left" vertical="center"/>
    </x:xf>
    <x:xf numFmtId="0" fontId="0" fillId="21" borderId="13" xfId="0" applyNumberFormat="1" applyFont="1" applyFill="1" applyBorder="1"/>
    <x:xf numFmtId="0" fontId="13" fillId="21" borderId="13" xfId="0" applyNumberFormat="1" applyFont="1" applyFill="1" applyBorder="1"/>
    <x:xf numFmtId="0" fontId="13" fillId="21" borderId="13" xfId="0" applyNumberFormat="1" applyFont="1" applyFill="1" applyBorder="1" applyAlignment="1">
      <x:alignment horizontal="left"/>
    </x:xf>
    <x:xf numFmtId="0" fontId="13" fillId="21" borderId="13" xfId="0" applyNumberFormat="1" applyFont="1" applyFill="1" applyBorder="1" applyAlignment="1">
      <x:alignment horizontal="left" vertical="center"/>
    </x:xf>
    <x:xf numFmtId="0" fontId="2" fillId="22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horizontal="left"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2" fillId="22" borderId="13" xfId="0" applyNumberFormat="1" applyFont="1" applyFill="1" applyBorder="1" applyAlignment="1">
      <x:alignment horizontal="left" vertical="center" wrapText="1"/>
    </x:xf>
    <x:xf numFmtId="0" fontId="0" fillId="22" borderId="13" xfId="0" applyNumberFormat="1" applyFont="1" applyFill="1" applyBorder="1"/>
    <x:xf numFmtId="0" fontId="14" fillId="22" borderId="13" xfId="0" applyNumberFormat="1" applyFont="1" applyFill="1" applyBorder="1"/>
    <x:xf numFmtId="0" fontId="14" fillId="22" borderId="13" xfId="0" applyNumberFormat="1" applyFont="1" applyFill="1" applyBorder="1" applyAlignment="1">
      <x:alignment wrapText="1"/>
    </x:xf>
    <x:xf numFmtId="0" fontId="14" fillId="22" borderId="13" xfId="0" applyNumberFormat="1" applyFont="1" applyFill="1" applyBorder="1" applyAlignment="1">
      <x:alignment horizontal="left" wrapText="1"/>
    </x:xf>
    <x:xf numFmtId="0" fontId="14" fillId="22" borderId="13" xfId="0" applyNumberFormat="1" applyFont="1" applyFill="1" applyBorder="1" applyAlignment="1">
      <x:alignment horizontal="left" vertical="center" wrapText="1"/>
    </x:xf>
    <x:xf numFmtId="0" fontId="3" fillId="23" borderId="1" xfId="0" applyNumberFormat="1" applyFont="1" applyFill="1" applyBorder="1" applyAlignment="1">
      <x:alignment horizontal="left" vertical="center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1" xfId="0" applyNumberFormat="1" applyFont="1" applyFill="1" applyBorder="1"/>
    <x:xf numFmtId="0" fontId="15" fillId="23" borderId="1" xfId="0" applyNumberFormat="1" applyFont="1" applyFill="1" applyBorder="1" applyAlignment="1">
      <x:alignment wrapText="1"/>
    </x:xf>
    <x:xf numFmtId="0" fontId="15" fillId="23" borderId="1" xfId="0" applyNumberFormat="1" applyFont="1" applyFill="1" applyBorder="1" applyAlignment="1">
      <x:alignment horizontal="left" wrapText="1"/>
    </x:xf>
    <x:xf numFmtId="0" fontId="15" fillId="23" borderId="1" xfId="0" applyNumberFormat="1" applyFont="1" applyFill="1" applyBorder="1" applyAlignment="1">
      <x:alignment horizontal="left" vertical="center" wrapText="1"/>
    </x:xf>
    <x:xf numFmtId="0" fontId="3" fillId="23" borderId="25" xfId="0" applyNumberFormat="1" applyFont="1" applyFill="1" applyBorder="1" applyAlignment="1">
      <x:alignment horizontal="left" vertical="center" wrapText="1"/>
    </x:xf>
    <x:xf numFmtId="0" fontId="0" fillId="23" borderId="13" xfId="0" applyNumberFormat="1" applyFont="1" applyFill="1" applyBorder="1"/>
    <x:xf numFmtId="0" fontId="15" fillId="23" borderId="13" xfId="0" applyNumberFormat="1" applyFont="1" applyFill="1" applyBorder="1"/>
    <x:xf numFmtId="0" fontId="15" fillId="23" borderId="25" xfId="0" applyNumberFormat="1" applyFont="1" applyFill="1" applyBorder="1"/>
    <x:xf numFmtId="0" fontId="15" fillId="23" borderId="25" xfId="0" applyNumberFormat="1" applyFont="1" applyFill="1" applyBorder="1" applyAlignment="1">
      <x:alignment wrapText="1"/>
    </x:xf>
    <x:xf numFmtId="0" fontId="15" fillId="23" borderId="25" xfId="0" applyNumberFormat="1" applyFont="1" applyFill="1" applyBorder="1" applyAlignment="1">
      <x:alignment horizontal="left" wrapText="1"/>
    </x:xf>
    <x:xf numFmtId="0" fontId="15" fillId="23" borderId="25" xfId="0" applyNumberFormat="1" applyFont="1" applyFill="1" applyBorder="1" applyAlignment="1">
      <x:alignment horizontal="left" vertical="center" wrapText="1"/>
    </x:xf>
    <x:xf numFmtId="0" fontId="4" fillId="24" borderId="2" xfId="0" applyNumberFormat="1" applyFont="1" applyFill="1" applyBorder="1" applyAlignment="1">
      <x:alignment horizontal="center" vertical="center" wrapText="1"/>
    </x:xf>
    <x:xf numFmtId="0" fontId="4" fillId="24" borderId="3" xfId="0" applyNumberFormat="1" applyFont="1" applyFill="1" applyBorder="1" applyAlignment="1">
      <x:alignment horizontal="center" vertical="center" wrapText="1"/>
    </x:xf>
    <x:xf numFmtId="0" fontId="4" fillId="24" borderId="4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3" xfId="0" applyNumberFormat="1" applyFont="1" applyFill="1" applyBorder="1"/>
    <x:xf numFmtId="0" fontId="6" fillId="24" borderId="4" xfId="0" applyNumberFormat="1" applyFont="1" applyFill="1" applyBorder="1"/>
    <x:xf numFmtId="0" fontId="6" fillId="24" borderId="3" xfId="0" applyNumberFormat="1" applyFont="1" applyFill="1" applyBorder="1" applyAlignment="1">
      <x:alignment wrapText="1"/>
    </x:xf>
    <x:xf numFmtId="0" fontId="6" fillId="24" borderId="4" xfId="0" applyNumberFormat="1" applyFont="1" applyFill="1" applyBorder="1" applyAlignment="1">
      <x:alignment wrapText="1"/>
    </x:xf>
    <x:xf numFmtId="0" fontId="6" fillId="24" borderId="3" xfId="0" applyNumberFormat="1" applyFont="1" applyFill="1" applyBorder="1" applyAlignment="1">
      <x:alignment horizontal="center" wrapText="1"/>
    </x:xf>
    <x:xf numFmtId="0" fontId="6" fillId="24" borderId="4" xfId="0" applyNumberFormat="1" applyFont="1" applyFill="1" applyBorder="1" applyAlignment="1">
      <x:alignment horizontal="center" wrapText="1"/>
    </x:xf>
    <x:xf numFmtId="0" fontId="6" fillId="24" borderId="3" xfId="0" applyNumberFormat="1" applyFont="1" applyFill="1" applyBorder="1" applyAlignment="1">
      <x:alignment horizontal="center" vertical="center" wrapText="1"/>
    </x:xf>
    <x:xf numFmtId="0" fontId="6" fillId="24" borderId="4" xfId="0" applyNumberFormat="1" applyFont="1" applyFill="1" applyBorder="1" applyAlignment="1">
      <x:alignment horizontal="center" vertical="center" wrapText="1"/>
    </x:xf>
    <x:xf numFmtId="0" fontId="4" fillId="24" borderId="14" xfId="0" applyNumberFormat="1" applyFont="1" applyFill="1" applyBorder="1" applyAlignment="1">
      <x:alignment horizontal="center" vertical="center" wrapText="1"/>
    </x:xf>
    <x:xf numFmtId="0" fontId="4" fillId="24" borderId="15" xfId="0" applyNumberFormat="1" applyFont="1" applyFill="1" applyBorder="1" applyAlignment="1">
      <x:alignment horizontal="center" vertical="center" wrapText="1"/>
    </x:xf>
    <x:xf numFmtId="0" fontId="4" fillId="24" borderId="16" xfId="0" applyNumberFormat="1" applyFont="1" applyFill="1" applyBorder="1" applyAlignment="1">
      <x:alignment horizontal="center" vertical="center" wrapText="1"/>
    </x:xf>
    <x:xf numFmtId="0" fontId="0" fillId="24" borderId="13" xfId="0" applyNumberFormat="1" applyFont="1" applyFill="1" applyBorder="1"/>
    <x:xf numFmtId="0" fontId="6" fillId="24" borderId="13" xfId="0" applyNumberFormat="1" applyFont="1" applyFill="1" applyBorder="1"/>
    <x:xf numFmtId="0" fontId="6" fillId="24" borderId="15" xfId="0" applyNumberFormat="1" applyFont="1" applyFill="1" applyBorder="1"/>
    <x:xf numFmtId="0" fontId="6" fillId="24" borderId="16" xfId="0" applyNumberFormat="1" applyFont="1" applyFill="1" applyBorder="1"/>
    <x:xf numFmtId="0" fontId="6" fillId="24" borderId="15" xfId="0" applyNumberFormat="1" applyFont="1" applyFill="1" applyBorder="1" applyAlignment="1">
      <x:alignment wrapText="1"/>
    </x:xf>
    <x:xf numFmtId="0" fontId="6" fillId="24" borderId="16" xfId="0" applyNumberFormat="1" applyFont="1" applyFill="1" applyBorder="1" applyAlignment="1">
      <x:alignment wrapText="1"/>
    </x:xf>
    <x:xf numFmtId="0" fontId="6" fillId="24" borderId="15" xfId="0" applyNumberFormat="1" applyFont="1" applyFill="1" applyBorder="1" applyAlignment="1">
      <x:alignment horizontal="center" wrapText="1"/>
    </x:xf>
    <x:xf numFmtId="0" fontId="6" fillId="24" borderId="16" xfId="0" applyNumberFormat="1" applyFont="1" applyFill="1" applyBorder="1" applyAlignment="1">
      <x:alignment horizontal="center" wrapText="1"/>
    </x:xf>
    <x:xf numFmtId="0" fontId="6" fillId="24" borderId="15" xfId="0" applyNumberFormat="1" applyFont="1" applyFill="1" applyBorder="1" applyAlignment="1">
      <x:alignment horizontal="center" vertical="center" wrapText="1"/>
    </x:xf>
    <x:xf numFmtId="0" fontId="6" fillId="24" borderId="16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49" fontId="5" fillId="6" borderId="6" xfId="0" applyNumberFormat="1" applyFont="1" applyFill="1" applyBorder="1" applyAlignment="1">
      <x:alignment vertical="top" wrapText="1"/>
    </x:xf>
    <x:xf numFmtId="3" fontId="5" fillId="6" borderId="6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164" fontId="5" fillId="6" borderId="6" xfId="0" applyNumberFormat="1" applyFont="1" applyFill="1" applyBorder="1" applyAlignment="1">
      <x:alignment vertical="top" wrapText="1"/>
    </x:xf>
    <x:xf numFmtId="3" fontId="5" fillId="7" borderId="6" xfId="0" applyNumberFormat="1" applyFont="1" applyFill="1" applyBorder="1" applyAlignment="1">
      <x:alignment vertical="top" wrapText="1"/>
    </x:xf>
    <x:xf numFmtId="164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49" fontId="5" fillId="7" borderId="8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49" fontId="5" fillId="6" borderId="0" xfId="0" applyNumberFormat="1" applyFont="1" applyFill="1" applyBorder="1" applyAlignment="1">
      <x:alignment vertical="top" wrapText="1"/>
    </x:xf>
    <x:xf numFmtId="3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164" fontId="5" fillId="6" borderId="0" xfId="0" applyNumberFormat="1" applyFont="1" applyFill="1" applyBorder="1" applyAlignment="1">
      <x:alignment vertical="top" wrapText="1"/>
    </x:xf>
    <x:xf numFmtId="3" fontId="5" fillId="7" borderId="0" xfId="0" applyNumberFormat="1" applyFont="1" applyFill="1" applyBorder="1" applyAlignment="1">
      <x:alignment vertical="top" wrapText="1"/>
    </x:xf>
    <x:xf numFmtId="164" fontId="5" fillId="7" borderId="0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49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49" fontId="5" fillId="6" borderId="11" xfId="0" applyNumberFormat="1" applyFont="1" applyFill="1" applyBorder="1" applyAlignment="1">
      <x:alignment vertical="top" wrapText="1"/>
    </x:xf>
    <x:xf numFmtId="3" fontId="5" fillId="6" borderId="11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164" fontId="5" fillId="6" borderId="11" xfId="0" applyNumberFormat="1" applyFont="1" applyFill="1" applyBorder="1" applyAlignment="1">
      <x:alignment vertical="top" wrapText="1"/>
    </x:xf>
    <x:xf numFmtId="3" fontId="5" fillId="7" borderId="11" xfId="0" applyNumberFormat="1" applyFont="1" applyFill="1" applyBorder="1" applyAlignment="1">
      <x:alignment vertical="top" wrapText="1"/>
    </x:xf>
    <x:xf numFmtId="164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49" fontId="5" fillId="7" borderId="22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49" fontId="5" fillId="6" borderId="17" xfId="0" applyNumberFormat="1" applyFont="1" applyFill="1" applyBorder="1" applyAlignment="1">
      <x:alignment vertical="top" wrapText="1"/>
    </x:xf>
    <x:xf numFmtId="3" fontId="5" fillId="6" borderId="17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164" fontId="5" fillId="6" borderId="17" xfId="0" applyNumberFormat="1" applyFont="1" applyFill="1" applyBorder="1" applyAlignment="1">
      <x:alignment vertical="top" wrapText="1"/>
    </x:xf>
    <x:xf numFmtId="3" fontId="5" fillId="7" borderId="17" xfId="0" applyNumberFormat="1" applyFont="1" applyFill="1" applyBorder="1" applyAlignment="1">
      <x:alignment vertical="top" wrapText="1"/>
    </x:xf>
    <x:xf numFmtId="164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49" fontId="5" fillId="7" borderId="23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49" fontId="5" fillId="6" borderId="13" xfId="0" applyNumberFormat="1" applyFont="1" applyFill="1" applyBorder="1" applyAlignment="1">
      <x:alignment vertical="top" wrapText="1"/>
    </x:xf>
    <x:xf numFmtId="3" fontId="5" fillId="6" borderId="13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164" fontId="5" fillId="6" borderId="13" xfId="0" applyNumberFormat="1" applyFont="1" applyFill="1" applyBorder="1" applyAlignment="1">
      <x:alignment vertical="top" wrapText="1"/>
    </x:xf>
    <x:xf numFmtId="3" fontId="5" fillId="7" borderId="13" xfId="0" applyNumberFormat="1" applyFont="1" applyFill="1" applyBorder="1" applyAlignment="1">
      <x:alignment vertical="top" wrapText="1"/>
    </x:xf>
    <x:xf numFmtId="164" fontId="5" fillId="7" borderId="13" xfId="0" applyNumberFormat="1" applyFont="1" applyFill="1" applyBorder="1" applyAlignment="1">
      <x:alignment vertical="top" wrapText="1"/>
    </x:xf>
    <x:xf numFmtId="0" fontId="5" fillId="7" borderId="19" xfId="0" applyNumberFormat="1" applyFont="1" applyFill="1" applyBorder="1" applyAlignment="1">
      <x:alignment vertical="top" wrapText="1"/>
    </x:xf>
    <x:xf numFmtId="49" fontId="5" fillId="7" borderId="24" xfId="0" applyNumberFormat="1" applyFont="1" applyFill="1" applyBorder="1" applyAlignment="1">
      <x:alignment vertical="top" wrapText="1"/>
    </x:xf>
    <x:xf numFmtId="0" fontId="5" fillId="7" borderId="20" xfId="0" applyNumberFormat="1" applyFont="1" applyFill="1" applyBorder="1" applyAlignment="1">
      <x:alignment vertical="top" wrapText="1"/>
    </x:xf>
    <x:xf numFmtId="49" fontId="5" fillId="6" borderId="20" xfId="0" applyNumberFormat="1" applyFont="1" applyFill="1" applyBorder="1" applyAlignment="1">
      <x:alignment vertical="top" wrapText="1"/>
    </x:xf>
    <x:xf numFmtId="3" fontId="5" fillId="6" borderId="20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164" fontId="5" fillId="6" borderId="20" xfId="0" applyNumberFormat="1" applyFont="1" applyFill="1" applyBorder="1" applyAlignment="1">
      <x:alignment vertical="top" wrapText="1"/>
    </x:xf>
    <x:xf numFmtId="3" fontId="5" fillId="7" borderId="20" xfId="0" applyNumberFormat="1" applyFont="1" applyFill="1" applyBorder="1" applyAlignment="1">
      <x:alignment vertical="top" wrapText="1"/>
    </x:xf>
    <x:xf numFmtId="164" fontId="5" fillId="7" borderId="20" xfId="0" applyNumberFormat="1" applyFont="1" applyFill="1" applyBorder="1" applyAlignment="1">
      <x:alignment vertical="top" wrapText="1"/>
    </x:xf>
    <x:xf numFmtId="0" fontId="5" fillId="7" borderId="2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49" fontId="5" fillId="25" borderId="5" xfId="0" applyNumberFormat="1" applyFont="1" applyFill="1" applyBorder="1" applyAlignment="1">
      <x:alignment vertical="top" wrapText="1"/>
    </x:xf>
    <x:xf numFmtId="0" fontId="5" fillId="25" borderId="6" xfId="0" applyNumberFormat="1" applyFont="1" applyFill="1" applyBorder="1" applyAlignment="1">
      <x:alignment vertical="top" wrapText="1"/>
    </x:xf>
    <x:xf numFmtId="49" fontId="5" fillId="25" borderId="6" xfId="0" applyNumberFormat="1" applyFont="1" applyFill="1" applyBorder="1" applyAlignment="1">
      <x:alignment vertical="top" wrapText="1"/>
    </x:xf>
    <x:xf numFmtId="3" fontId="5" fillId="25" borderId="6" xfId="0" applyNumberFormat="1" applyFont="1" applyFill="1" applyBorder="1" applyAlignment="1">
      <x:alignment vertical="top" wrapText="1"/>
    </x:xf>
    <x:xf numFmtId="49" fontId="5" fillId="25" borderId="8" xfId="0" applyNumberFormat="1" applyFont="1" applyFill="1" applyBorder="1" applyAlignment="1">
      <x:alignment vertical="top" wrapText="1"/>
    </x:xf>
    <x:xf numFmtId="0" fontId="5" fillId="25" borderId="0" xfId="0" applyNumberFormat="1" applyFont="1" applyFill="1" applyBorder="1" applyAlignment="1">
      <x:alignment vertical="top" wrapText="1"/>
    </x:xf>
    <x:xf numFmtId="49" fontId="5" fillId="25" borderId="0" xfId="0" applyNumberFormat="1" applyFont="1" applyFill="1" applyBorder="1" applyAlignment="1">
      <x:alignment vertical="top" wrapText="1"/>
    </x:xf>
    <x:xf numFmtId="3" fontId="5" fillId="25" borderId="0" xfId="0" applyNumberFormat="1" applyFont="1" applyFill="1" applyBorder="1" applyAlignment="1">
      <x:alignment vertical="top" wrapText="1"/>
    </x:xf>
    <x:xf numFmtId="49" fontId="5" fillId="25" borderId="10" xfId="0" applyNumberFormat="1" applyFont="1" applyFill="1" applyBorder="1" applyAlignment="1">
      <x:alignment vertical="top" wrapText="1"/>
    </x:xf>
    <x:xf numFmtId="0" fontId="5" fillId="25" borderId="11" xfId="0" applyNumberFormat="1" applyFont="1" applyFill="1" applyBorder="1" applyAlignment="1">
      <x:alignment vertical="top" wrapText="1"/>
    </x:xf>
    <x:xf numFmtId="49" fontId="5" fillId="25" borderId="11" xfId="0" applyNumberFormat="1" applyFont="1" applyFill="1" applyBorder="1" applyAlignment="1">
      <x:alignment vertical="top" wrapText="1"/>
    </x:xf>
    <x:xf numFmtId="3" fontId="5" fillId="25" borderId="11" xfId="0" applyNumberFormat="1" applyFont="1" applyFill="1" applyBorder="1" applyAlignment="1">
      <x:alignment vertical="top" wrapText="1"/>
    </x:xf>
    <x:xf numFmtId="49" fontId="5" fillId="25" borderId="22" xfId="0" applyNumberFormat="1" applyFont="1" applyFill="1" applyBorder="1" applyAlignment="1">
      <x:alignment vertical="top" wrapText="1"/>
    </x:xf>
    <x:xf numFmtId="0" fontId="5" fillId="25" borderId="17" xfId="0" applyNumberFormat="1" applyFont="1" applyFill="1" applyBorder="1" applyAlignment="1">
      <x:alignment vertical="top" wrapText="1"/>
    </x:xf>
    <x:xf numFmtId="49" fontId="5" fillId="25" borderId="17" xfId="0" applyNumberFormat="1" applyFont="1" applyFill="1" applyBorder="1" applyAlignment="1">
      <x:alignment vertical="top" wrapText="1"/>
    </x:xf>
    <x:xf numFmtId="3" fontId="5" fillId="25" borderId="17" xfId="0" applyNumberFormat="1" applyFont="1" applyFill="1" applyBorder="1" applyAlignment="1">
      <x:alignment vertical="top" wrapText="1"/>
    </x:xf>
    <x:xf numFmtId="49" fontId="5" fillId="25" borderId="23" xfId="0" applyNumberFormat="1" applyFont="1" applyFill="1" applyBorder="1" applyAlignment="1">
      <x:alignment vertical="top" wrapText="1"/>
    </x:xf>
    <x:xf numFmtId="0" fontId="5" fillId="25" borderId="13" xfId="0" applyNumberFormat="1" applyFont="1" applyFill="1" applyBorder="1" applyAlignment="1">
      <x:alignment vertical="top" wrapText="1"/>
    </x:xf>
    <x:xf numFmtId="49" fontId="5" fillId="25" borderId="13" xfId="0" applyNumberFormat="1" applyFont="1" applyFill="1" applyBorder="1" applyAlignment="1">
      <x:alignment vertical="top" wrapText="1"/>
    </x:xf>
    <x:xf numFmtId="3" fontId="5" fillId="25" borderId="13" xfId="0" applyNumberFormat="1" applyFont="1" applyFill="1" applyBorder="1" applyAlignment="1">
      <x:alignment vertical="top" wrapText="1"/>
    </x:xf>
    <x:xf numFmtId="49" fontId="5" fillId="25" borderId="24" xfId="0" applyNumberFormat="1" applyFont="1" applyFill="1" applyBorder="1" applyAlignment="1">
      <x:alignment vertical="top" wrapText="1"/>
    </x:xf>
    <x:xf numFmtId="0" fontId="5" fillId="25" borderId="20" xfId="0" applyNumberFormat="1" applyFont="1" applyFill="1" applyBorder="1" applyAlignment="1">
      <x:alignment vertical="top" wrapText="1"/>
    </x:xf>
    <x:xf numFmtId="49" fontId="5" fillId="25" borderId="20" xfId="0" applyNumberFormat="1" applyFont="1" applyFill="1" applyBorder="1" applyAlignment="1">
      <x:alignment vertical="top" wrapText="1"/>
    </x:xf>
    <x:xf numFmtId="3" fontId="5" fillId="25" borderId="20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11" xfId="0" applyNumberFormat="1" applyFont="1" applyFill="1" applyBorder="1" applyAlignment="1">
      <x:alignment vertical="top" wrapText="1"/>
    </x:xf>
    <x:xf numFmtId="0" fontId="5" fillId="22" borderId="17" xfId="0" applyNumberFormat="1" applyFont="1" applyFill="1" applyBorder="1" applyAlignment="1">
      <x:alignment vertical="top" wrapText="1"/>
    </x:xf>
    <x:xf numFmtId="0" fontId="5" fillId="22" borderId="13" xfId="0" applyNumberFormat="1" applyFont="1" applyFill="1" applyBorder="1" applyAlignment="1">
      <x:alignment vertical="top" wrapText="1"/>
    </x:xf>
    <x:xf numFmtId="0" fontId="5" fillId="22" borderId="20" xfId="0" applyNumberFormat="1" applyFont="1" applyFill="1" applyBorder="1" applyAlignment="1">
      <x:alignment vertical="top" wrapText="1"/>
    </x:xf>
    <x:xf numFmtId="3" fontId="5" fillId="22" borderId="6" xfId="0" applyNumberFormat="1" applyFont="1" applyFill="1" applyBorder="1" applyAlignment="1">
      <x:alignment vertical="top" wrapText="1"/>
    </x:xf>
    <x:xf numFmtId="3" fontId="5" fillId="22" borderId="0" xfId="0" applyNumberFormat="1" applyFont="1" applyFill="1" applyBorder="1" applyAlignment="1">
      <x:alignment vertical="top" wrapText="1"/>
    </x:xf>
    <x:xf numFmtId="3" fontId="5" fillId="22" borderId="11" xfId="0" applyNumberFormat="1" applyFont="1" applyFill="1" applyBorder="1" applyAlignment="1">
      <x:alignment vertical="top" wrapText="1"/>
    </x:xf>
    <x:xf numFmtId="3" fontId="5" fillId="22" borderId="17" xfId="0" applyNumberFormat="1" applyFont="1" applyFill="1" applyBorder="1" applyAlignment="1">
      <x:alignment vertical="top" wrapText="1"/>
    </x:xf>
    <x:xf numFmtId="3" fontId="5" fillId="22" borderId="13" xfId="0" applyNumberFormat="1" applyFont="1" applyFill="1" applyBorder="1" applyAlignment="1">
      <x:alignment vertical="top" wrapText="1"/>
    </x:xf>
    <x:xf numFmtId="3" fontId="5" fillId="22" borderId="20" xfId="0" applyNumberFormat="1" applyFont="1" applyFill="1" applyBorder="1" applyAlignment="1">
      <x:alignment vertical="top" wrapText="1"/>
    </x:xf>
    <x:xf numFmtId="164" fontId="5" fillId="25" borderId="6" xfId="0" applyNumberFormat="1" applyFont="1" applyFill="1" applyBorder="1" applyAlignment="1">
      <x:alignment vertical="top" wrapText="1"/>
    </x:xf>
    <x:xf numFmtId="0" fontId="5" fillId="25" borderId="7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164" fontId="5" fillId="25" borderId="0" xfId="0" applyNumberFormat="1" applyFont="1" applyFill="1" applyBorder="1" applyAlignment="1">
      <x:alignment vertical="top" wrapText="1"/>
    </x:xf>
    <x:xf numFmtId="0" fontId="5" fillId="25" borderId="9" xfId="0" applyNumberFormat="1" applyFont="1" applyFill="1" applyBorder="1" applyAlignment="1">
      <x:alignment vertical="top" wrapText="1"/>
    </x:xf>
    <x:xf numFmtId="164" fontId="5" fillId="25" borderId="11" xfId="0" applyNumberFormat="1" applyFont="1" applyFill="1" applyBorder="1" applyAlignment="1">
      <x:alignment vertical="top" wrapText="1"/>
    </x:xf>
    <x:xf numFmtId="0" fontId="5" fillId="25" borderId="12" xfId="0" applyNumberFormat="1" applyFont="1" applyFill="1" applyBorder="1" applyAlignment="1">
      <x:alignment vertical="top" wrapText="1"/>
    </x:xf>
    <x:xf numFmtId="164" fontId="5" fillId="25" borderId="17" xfId="0" applyNumberFormat="1" applyFont="1" applyFill="1" applyBorder="1" applyAlignment="1">
      <x:alignment vertical="top" wrapText="1"/>
    </x:xf>
    <x:xf numFmtId="0" fontId="5" fillId="25" borderId="18" xfId="0" applyNumberFormat="1" applyFont="1" applyFill="1" applyBorder="1" applyAlignment="1">
      <x:alignment vertical="top" wrapText="1"/>
    </x:xf>
    <x:xf numFmtId="0" fontId="7" fillId="25" borderId="13" xfId="0" applyNumberFormat="1" applyFont="1" applyFill="1" applyBorder="1" applyAlignment="1">
      <x:alignment vertical="top" wrapText="1"/>
    </x:xf>
    <x:xf numFmtId="164" fontId="5" fillId="25" borderId="13" xfId="0" applyNumberFormat="1" applyFont="1" applyFill="1" applyBorder="1" applyAlignment="1">
      <x:alignment vertical="top" wrapText="1"/>
    </x:xf>
    <x:xf numFmtId="0" fontId="5" fillId="25" borderId="19" xfId="0" applyNumberFormat="1" applyFont="1" applyFill="1" applyBorder="1" applyAlignment="1">
      <x:alignment vertical="top" wrapText="1"/>
    </x:xf>
    <x:xf numFmtId="164" fontId="5" fillId="25" borderId="20" xfId="0" applyNumberFormat="1" applyFont="1" applyFill="1" applyBorder="1" applyAlignment="1">
      <x:alignment vertical="top" wrapText="1"/>
    </x:xf>
    <x:xf numFmtId="0" fontId="5" fillId="25" borderId="21" xfId="0" applyNumberFormat="1" applyFont="1" applyFill="1" applyBorder="1" applyAlignment="1">
      <x:alignment vertical="top" wrapText="1"/>
    </x:xf>
    <x:xf numFmtId="200" fontId="5" fillId="22" borderId="6" xfId="0" applyNumberFormat="1" applyFont="1" applyFill="1" applyBorder="1" applyAlignment="1">
      <x:alignment vertical="top" wrapText="1"/>
    </x:xf>
    <x:xf numFmtId="200" fontId="5" fillId="22" borderId="0" xfId="0" applyNumberFormat="1" applyFont="1" applyFill="1" applyBorder="1" applyAlignment="1">
      <x:alignment vertical="top" wrapText="1"/>
    </x:xf>
    <x:xf numFmtId="200" fontId="5" fillId="22" borderId="11" xfId="0" applyNumberFormat="1" applyFont="1" applyFill="1" applyBorder="1" applyAlignment="1">
      <x:alignment vertical="top" wrapText="1"/>
    </x:xf>
    <x:xf numFmtId="200" fontId="5" fillId="22" borderId="17" xfId="0" applyNumberFormat="1" applyFont="1" applyFill="1" applyBorder="1" applyAlignment="1">
      <x:alignment vertical="top" wrapText="1"/>
    </x:xf>
    <x:xf numFmtId="200" fontId="5" fillId="22" borderId="13" xfId="0" applyNumberFormat="1" applyFont="1" applyFill="1" applyBorder="1" applyAlignment="1">
      <x:alignment vertical="top" wrapText="1"/>
    </x:xf>
    <x:xf numFmtId="200" fontId="5" fillId="22" borderId="20" xfId="0" applyNumberFormat="1" applyFont="1" applyFill="1" applyBorder="1" applyAlignment="1">
      <x:alignment vertical="top" wrapText="1"/>
    </x:xf>
    <x:xf numFmtId="200" fontId="5" fillId="25" borderId="6" xfId="0" applyNumberFormat="1" applyFont="1" applyFill="1" applyBorder="1" applyAlignment="1">
      <x:alignment vertical="top" wrapText="1"/>
    </x:xf>
    <x:xf numFmtId="200" fontId="5" fillId="25" borderId="0" xfId="0" applyNumberFormat="1" applyFont="1" applyFill="1" applyBorder="1" applyAlignment="1">
      <x:alignment vertical="top" wrapText="1"/>
    </x:xf>
    <x:xf numFmtId="200" fontId="5" fillId="25" borderId="11" xfId="0" applyNumberFormat="1" applyFont="1" applyFill="1" applyBorder="1" applyAlignment="1">
      <x:alignment vertical="top" wrapText="1"/>
    </x:xf>
    <x:xf numFmtId="200" fontId="5" fillId="25" borderId="17" xfId="0" applyNumberFormat="1" applyFont="1" applyFill="1" applyBorder="1" applyAlignment="1">
      <x:alignment vertical="top" wrapText="1"/>
    </x:xf>
    <x:xf numFmtId="200" fontId="5" fillId="25" borderId="13" xfId="0" applyNumberFormat="1" applyFont="1" applyFill="1" applyBorder="1" applyAlignment="1">
      <x:alignment vertical="top" wrapText="1"/>
    </x:xf>
    <x:xf numFmtId="200" fontId="5" fillId="25" borderId="20" xfId="0" applyNumberFormat="1" applyFont="1" applyFill="1" applyBorder="1" applyAlignment="1">
      <x:alignment vertical="top" wrapText="1"/>
    </x:xf>
    <x:xf numFmtId="164" fontId="5" fillId="25" borderId="7" xfId="0" applyNumberFormat="1" applyFont="1" applyFill="1" applyBorder="1" applyAlignment="1">
      <x:alignment vertical="top" wrapText="1"/>
    </x:xf>
    <x:xf numFmtId="164" fontId="5" fillId="25" borderId="9" xfId="0" applyNumberFormat="1" applyFont="1" applyFill="1" applyBorder="1" applyAlignment="1">
      <x:alignment vertical="top" wrapText="1"/>
    </x:xf>
    <x:xf numFmtId="164" fontId="5" fillId="25" borderId="12" xfId="0" applyNumberFormat="1" applyFont="1" applyFill="1" applyBorder="1" applyAlignment="1">
      <x:alignment vertical="top" wrapText="1"/>
    </x:xf>
    <x:xf numFmtId="164" fontId="5" fillId="25" borderId="18" xfId="0" applyNumberFormat="1" applyFont="1" applyFill="1" applyBorder="1" applyAlignment="1">
      <x:alignment vertical="top" wrapText="1"/>
    </x:xf>
    <x:xf numFmtId="164" fontId="5" fillId="25" borderId="19" xfId="0" applyNumberFormat="1" applyFont="1" applyFill="1" applyBorder="1" applyAlignment="1">
      <x:alignment vertical="top" wrapText="1"/>
    </x:xf>
    <x:xf numFmtId="164" fontId="5" fillId="25" borderId="21" xfId="0" applyNumberFormat="1" applyFont="1" applyFill="1" applyBorder="1" applyAlignment="1">
      <x:alignment vertical="top" wrapText="1"/>
    </x:xf>
    <x:xf numFmtId="200" fontId="7" fillId="25" borderId="0" xfId="0" applyNumberFormat="1" applyFont="1" applyFill="1" applyBorder="1" applyAlignment="1">
      <x:alignment vertical="top" wrapText="1"/>
    </x:xf>
    <x:xf numFmtId="200" fontId="7" fillId="25" borderId="13" xfId="0" applyNumberFormat="1" applyFont="1" applyFill="1" applyBorder="1" applyAlignment="1">
      <x:alignment vertical="top" wrapText="1"/>
    </x:xf>
    <x:xf numFmtId="164" fontId="7" fillId="2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9" fontId="7" fillId="8" borderId="6" xfId="0" applyNumberFormat="1" applyFont="1" applyFill="1" applyBorder="1" applyAlignment="1">
      <x:alignment wrapText="1"/>
    </x:xf>
    <x:xf numFmtId="9" fontId="7" fillId="8" borderId="0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9" fontId="7" fillId="8" borderId="7" xfId="0" applyNumberFormat="1" applyFont="1" applyFill="1" applyBorder="1" applyAlignment="1">
      <x:alignment wrapText="1"/>
    </x:xf>
    <x:xf numFmtId="9" fontId="7" fillId="8" borderId="9" xfId="0" applyNumberFormat="1" applyFont="1" applyFill="1" applyBorder="1" applyAlignment="1">
      <x:alignment wrapText="1"/>
    </x:xf>
    <x:xf numFmtId="9" fontId="7" fillId="8" borderId="12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12" borderId="0" xfId="0" applyNumberFormat="1" applyFont="1" applyFill="1" applyBorder="1"/>
    <x:xf numFmtId="0" fontId="8" fillId="8" borderId="0" xfId="0" applyNumberFormat="1" applyFont="1" applyFill="1" applyBorder="1"/>
    <x:xf numFmtId="0" fontId="8" fillId="0" borderId="0" xfId="0" applyNumberFormat="1" applyFont="1" applyFill="1" applyBorder="1"/>
    <x:xf numFmtId="49" fontId="8" fillId="7" borderId="0" xfId="0" applyNumberFormat="1" applyFont="1" applyFill="1" applyBorder="1" applyAlignment="1">
      <x:alignment vertical="center"/>
    </x:xf>
    <x:xf numFmtId="49" fontId="8" fillId="7" borderId="0" xfId="0" applyNumberFormat="1" applyFont="1" applyFill="1" applyBorder="1"/>
    <x:xf numFmtId="0" fontId="5" fillId="8" borderId="6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1" fontId="5" fillId="19" borderId="0" xfId="0" applyNumberFormat="1" applyFont="1" applyFill="1" applyBorder="1" applyAlignment="1">
      <x:alignment horizontal="center" vertical="center" wrapText="1"/>
    </x:xf>
    <x:xf numFmtId="166" fontId="5" fillId="19" borderId="0" xfId="0" applyNumberFormat="1" applyFont="1" applyFill="1" applyBorder="1" applyAlignment="1">
      <x:alignment vertical="center" wrapText="1"/>
    </x:xf>
    <x:xf numFmtId="166" fontId="5" fillId="20" borderId="0" xfId="0" applyNumberFormat="1" applyFont="1" applyFill="1" applyBorder="1" applyAlignment="1">
      <x:alignment horizontal="center" vertical="center" wrapText="1"/>
    </x:xf>
    <x:xf numFmtId="10" fontId="5" fillId="20" borderId="0" xfId="0" applyNumberFormat="1" applyFont="1" applyFill="1" applyBorder="1" applyAlignment="1">
      <x:alignment horizontal="center" vertical="center" wrapText="1"/>
    </x:xf>
    <x:xf numFmtId="164" fontId="5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9" fillId="15" borderId="0" xfId="0" applyNumberFormat="1" applyFont="1" applyFill="1" applyBorder="1" applyAlignment="1">
      <x:alignment horizontal="left" vertical="center" wrapText="1"/>
    </x:xf>
    <x:xf numFmtId="0" fontId="9" fillId="15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horizontal="left"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1" fillId="17" borderId="1" xfId="0" applyNumberFormat="1" applyFont="1" applyFill="1" applyBorder="1" applyAlignment="1">
      <x:alignment horizontal="left"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left"/>
    </x:xf>
    <x:xf numFmtId="0" fontId="1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left" wrapText="1"/>
    </x:xf>
    <x:xf numFmtId="0" fontId="1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3" fontId="5" fillId="3" borderId="6" xfId="0" applyNumberFormat="1" applyFont="1" applyFill="1" applyBorder="1" applyAlignment="1">
      <x:alignment vertical="top" wrapText="1"/>
    </x:xf>
    <x:xf numFmtId="3" fontId="5" fillId="3" borderId="0" xfId="0" applyNumberFormat="1" applyFont="1" applyFill="1" applyBorder="1" applyAlignment="1">
      <x:alignment vertical="top" wrapText="1"/>
    </x:xf>
    <x:xf numFmtId="3" fontId="5" fillId="3" borderId="11" xfId="0" applyNumberFormat="1" applyFont="1" applyFill="1" applyBorder="1" applyAlignment="1">
      <x:alignment vertical="top" wrapText="1"/>
    </x:xf>
    <x:xf numFmtId="200" fontId="5" fillId="3" borderId="6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0" fontId="5" fillId="3" borderId="11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horizontal="left" vertical="center"/>
    </x:xf>
    <x:xf numFmtId="0" fontId="13" fillId="26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0" xfId="0" applyNumberFormat="1" applyFont="1" applyFill="1" applyBorder="1" applyAlignment="1">
      <x:alignment horizontal="left"/>
    </x:xf>
    <x:xf numFmtId="0" fontId="2" fillId="27" borderId="0" xfId="0" applyNumberFormat="1" applyFont="1" applyFill="1" applyBorder="1" applyAlignment="1">
      <x:alignment horizontal="left" vertical="center" wrapText="1"/>
    </x:xf>
    <x:xf numFmtId="0" fontId="14" fillId="27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0" fontId="14" fillId="27" borderId="0" xfId="0" applyNumberFormat="1" applyFont="1" applyFill="1" applyBorder="1" applyAlignment="1">
      <x:alignment horizontal="left" wrapText="1"/>
    </x:xf>
    <x:xf numFmtId="0" fontId="3" fillId="28" borderId="1" xfId="0" applyNumberFormat="1" applyFont="1" applyFill="1" applyBorder="1" applyAlignment="1">
      <x:alignment horizontal="left" vertical="center" wrapText="1"/>
    </x:xf>
    <x:xf numFmtId="0" fontId="15" fillId="28" borderId="1" xfId="0" applyNumberFormat="1" applyFont="1" applyFill="1" applyBorder="1" applyAlignment="1">
      <x:alignment horizontal="left" vertical="center" wrapText="1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5" fillId="28" borderId="1" xfId="0" applyNumberFormat="1" applyFont="1" applyFill="1" applyBorder="1"/>
    <x:xf numFmtId="0" fontId="15" fillId="28" borderId="1" xfId="0" applyNumberFormat="1" applyFont="1" applyFill="1" applyBorder="1" applyAlignment="1">
      <x:alignment wrapText="1"/>
    </x:xf>
    <x:xf numFmtId="0" fontId="15" fillId="28" borderId="1" xfId="0" applyNumberFormat="1" applyFont="1" applyFill="1" applyBorder="1" applyAlignment="1">
      <x:alignment horizontal="left" wrapText="1"/>
    </x:xf>
    <x:xf numFmtId="0" fontId="4" fillId="29" borderId="2" xfId="0" applyNumberFormat="1" applyFont="1" applyFill="1" applyBorder="1" applyAlignment="1">
      <x:alignment horizontal="center" vertical="center" wrapText="1"/>
    </x:xf>
    <x:xf numFmtId="0" fontId="4" fillId="29" borderId="3" xfId="0" applyNumberFormat="1" applyFont="1" applyFill="1" applyBorder="1" applyAlignment="1">
      <x:alignment horizontal="center" vertical="center" wrapText="1"/>
    </x:xf>
    <x:xf numFmtId="0" fontId="4" fillId="29" borderId="4" xfId="0" applyNumberFormat="1" applyFont="1" applyFill="1" applyBorder="1" applyAlignment="1">
      <x:alignment horizontal="center" vertical="center" wrapText="1"/>
    </x:xf>
    <x:xf numFmtId="0" fontId="6" fillId="29" borderId="3" xfId="0" applyNumberFormat="1" applyFont="1" applyFill="1" applyBorder="1" applyAlignment="1">
      <x:alignment horizontal="center" vertical="center" wrapText="1"/>
    </x:xf>
    <x:xf numFmtId="0" fontId="6" fillId="29" borderId="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3" xfId="0" applyNumberFormat="1" applyFont="1" applyFill="1" applyBorder="1"/>
    <x:xf numFmtId="0" fontId="6" fillId="29" borderId="4" xfId="0" applyNumberFormat="1" applyFont="1" applyFill="1" applyBorder="1"/>
    <x:xf numFmtId="0" fontId="6" fillId="29" borderId="3" xfId="0" applyNumberFormat="1" applyFont="1" applyFill="1" applyBorder="1" applyAlignment="1">
      <x:alignment wrapText="1"/>
    </x:xf>
    <x:xf numFmtId="0" fontId="6" fillId="29" borderId="4" xfId="0" applyNumberFormat="1" applyFont="1" applyFill="1" applyBorder="1" applyAlignment="1">
      <x:alignment wrapText="1"/>
    </x:xf>
    <x:xf numFmtId="0" fontId="6" fillId="29" borderId="3" xfId="0" applyNumberFormat="1" applyFont="1" applyFill="1" applyBorder="1" applyAlignment="1">
      <x:alignment horizontal="center" wrapText="1"/>
    </x:xf>
    <x:xf numFmtId="0" fontId="6" fillId="29" borderId="4" xfId="0" applyNumberFormat="1" applyFont="1" applyFill="1" applyBorder="1" applyAlignment="1">
      <x:alignment horizontal="center" wrapText="1"/>
    </x:xf>
    <x:xf numFmtId="49" fontId="5" fillId="30" borderId="5" xfId="0" applyNumberFormat="1" applyFont="1" applyFill="1" applyBorder="1" applyAlignment="1">
      <x:alignment vertical="top" wrapText="1"/>
    </x:xf>
    <x:xf numFmtId="0" fontId="5" fillId="30" borderId="6" xfId="0" applyNumberFormat="1" applyFont="1" applyFill="1" applyBorder="1" applyAlignment="1">
      <x:alignment vertical="top" wrapText="1"/>
    </x:xf>
    <x:xf numFmtId="49" fontId="5" fillId="30" borderId="6" xfId="0" applyNumberFormat="1" applyFont="1" applyFill="1" applyBorder="1" applyAlignment="1">
      <x:alignment vertical="top" wrapText="1"/>
    </x:xf>
    <x:xf numFmtId="3" fontId="5" fillId="30" borderId="6" xfId="0" applyNumberFormat="1" applyFont="1" applyFill="1" applyBorder="1" applyAlignment="1">
      <x:alignment vertical="top" wrapText="1"/>
    </x:xf>
    <x:xf numFmtId="49" fontId="5" fillId="30" borderId="8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49" fontId="5" fillId="30" borderId="0" xfId="0" applyNumberFormat="1" applyFont="1" applyFill="1" applyBorder="1" applyAlignment="1">
      <x:alignment vertical="top" wrapText="1"/>
    </x:xf>
    <x:xf numFmtId="3" fontId="5" fillId="30" borderId="0" xfId="0" applyNumberFormat="1" applyFont="1" applyFill="1" applyBorder="1" applyAlignment="1">
      <x:alignment vertical="top" wrapText="1"/>
    </x:xf>
    <x:xf numFmtId="49" fontId="5" fillId="30" borderId="10" xfId="0" applyNumberFormat="1" applyFont="1" applyFill="1" applyBorder="1" applyAlignment="1">
      <x:alignment vertical="top" wrapText="1"/>
    </x:xf>
    <x:xf numFmtId="0" fontId="5" fillId="30" borderId="11" xfId="0" applyNumberFormat="1" applyFont="1" applyFill="1" applyBorder="1" applyAlignment="1">
      <x:alignment vertical="top" wrapText="1"/>
    </x:xf>
    <x:xf numFmtId="49" fontId="5" fillId="30" borderId="11" xfId="0" applyNumberFormat="1" applyFont="1" applyFill="1" applyBorder="1" applyAlignment="1">
      <x:alignment vertical="top" wrapText="1"/>
    </x:xf>
    <x:xf numFmtId="3" fontId="5" fillId="30" borderId="11" xfId="0" applyNumberFormat="1" applyFont="1" applyFill="1" applyBorder="1" applyAlignment="1">
      <x:alignment vertical="top" wrapText="1"/>
    </x:xf>
    <x:xf numFmtId="0" fontId="5" fillId="27" borderId="6" xfId="0" applyNumberFormat="1" applyFont="1" applyFill="1" applyBorder="1" applyAlignment="1">
      <x:alignment vertical="top" wrapText="1"/>
    </x:xf>
    <x:xf numFmtId="200" fontId="5" fillId="27" borderId="6" xfId="0" applyNumberFormat="1" applyFont="1" applyFill="1" applyBorder="1" applyAlignment="1">
      <x:alignment vertical="top" wrapText="1"/>
    </x:xf>
    <x:xf numFmtId="49" fontId="5" fillId="27" borderId="6" xfId="0" applyNumberFormat="1" applyFont="1" applyFill="1" applyBorder="1" applyAlignment="1">
      <x:alignment vertical="top" wrapText="1"/>
    </x:xf>
    <x:xf numFmtId="164" fontId="5" fillId="27" borderId="6" xfId="0" applyNumberFormat="1" applyFont="1" applyFill="1" applyBorder="1" applyAlignment="1">
      <x:alignment vertical="top" wrapText="1"/>
    </x:xf>
    <x:xf numFmtId="0" fontId="5" fillId="27" borderId="0" xfId="0" applyNumberFormat="1" applyFont="1" applyFill="1" applyBorder="1" applyAlignment="1">
      <x:alignment vertical="top" wrapText="1"/>
    </x:xf>
    <x:xf numFmtId="200" fontId="5" fillId="27" borderId="0" xfId="0" applyNumberFormat="1" applyFont="1" applyFill="1" applyBorder="1" applyAlignment="1">
      <x:alignment vertical="top" wrapText="1"/>
    </x:xf>
    <x:xf numFmtId="49" fontId="5" fillId="27" borderId="0" xfId="0" applyNumberFormat="1" applyFont="1" applyFill="1" applyBorder="1" applyAlignment="1">
      <x:alignment vertical="top" wrapText="1"/>
    </x:xf>
    <x:xf numFmtId="164" fontId="5" fillId="27" borderId="0" xfId="0" applyNumberFormat="1" applyFont="1" applyFill="1" applyBorder="1" applyAlignment="1">
      <x:alignment vertical="top" wrapText="1"/>
    </x:xf>
    <x:xf numFmtId="0" fontId="5" fillId="27" borderId="11" xfId="0" applyNumberFormat="1" applyFont="1" applyFill="1" applyBorder="1" applyAlignment="1">
      <x:alignment vertical="top" wrapText="1"/>
    </x:xf>
    <x:xf numFmtId="200" fontId="5" fillId="27" borderId="11" xfId="0" applyNumberFormat="1" applyFont="1" applyFill="1" applyBorder="1" applyAlignment="1">
      <x:alignment vertical="top" wrapText="1"/>
    </x:xf>
    <x:xf numFmtId="49" fontId="5" fillId="27" borderId="11" xfId="0" applyNumberFormat="1" applyFont="1" applyFill="1" applyBorder="1" applyAlignment="1">
      <x:alignment vertical="top" wrapText="1"/>
    </x:xf>
    <x:xf numFmtId="164" fontId="5" fillId="27" borderId="11" xfId="0" applyNumberFormat="1" applyFont="1" applyFill="1" applyBorder="1" applyAlignment="1">
      <x:alignment vertical="top" wrapText="1"/>
    </x:xf>
    <x:xf numFmtId="200" fontId="5" fillId="30" borderId="6" xfId="0" applyNumberFormat="1" applyFont="1" applyFill="1" applyBorder="1" applyAlignment="1">
      <x:alignment vertical="top" wrapText="1"/>
    </x:xf>
    <x:xf numFmtId="164" fontId="5" fillId="30" borderId="6" xfId="0" applyNumberFormat="1" applyFont="1" applyFill="1" applyBorder="1" applyAlignment="1">
      <x:alignment vertical="top" wrapText="1"/>
    </x:xf>
    <x:xf numFmtId="164" fontId="5" fillId="30" borderId="7" xfId="0" applyNumberFormat="1" applyFont="1" applyFill="1" applyBorder="1" applyAlignment="1">
      <x:alignment vertical="top" wrapText="1"/>
    </x:xf>
    <x:xf numFmtId="200" fontId="7" fillId="30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164" fontId="7" fillId="30" borderId="0" xfId="0" applyNumberFormat="1" applyFont="1" applyFill="1" applyBorder="1" applyAlignment="1">
      <x:alignment vertical="top" wrapText="1"/>
    </x:xf>
    <x:xf numFmtId="200" fontId="5" fillId="30" borderId="0" xfId="0" applyNumberFormat="1" applyFont="1" applyFill="1" applyBorder="1" applyAlignment="1">
      <x:alignment vertical="top" wrapText="1"/>
    </x:xf>
    <x:xf numFmtId="164" fontId="5" fillId="30" borderId="0" xfId="0" applyNumberFormat="1" applyFont="1" applyFill="1" applyBorder="1" applyAlignment="1">
      <x:alignment vertical="top" wrapText="1"/>
    </x:xf>
    <x:xf numFmtId="164" fontId="5" fillId="30" borderId="9" xfId="0" applyNumberFormat="1" applyFont="1" applyFill="1" applyBorder="1" applyAlignment="1">
      <x:alignment vertical="top" wrapText="1"/>
    </x:xf>
    <x:xf numFmtId="200" fontId="5" fillId="30" borderId="11" xfId="0" applyNumberFormat="1" applyFont="1" applyFill="1" applyBorder="1" applyAlignment="1">
      <x:alignment vertical="top" wrapText="1"/>
    </x:xf>
    <x:xf numFmtId="164" fontId="5" fillId="30" borderId="11" xfId="0" applyNumberFormat="1" applyFont="1" applyFill="1" applyBorder="1" applyAlignment="1">
      <x:alignment vertical="top" wrapText="1"/>
    </x:xf>
    <x:xf numFmtId="164" fontId="5" fillId="30" borderId="12" xfId="0" applyNumberFormat="1" applyFont="1" applyFill="1" applyBorder="1" applyAlignment="1">
      <x:alignment vertical="top" wrapText="1"/>
    </x:xf>
    <x:xf numFmtId="0" fontId="6" fillId="29" borderId="2" xfId="0" applyNumberFormat="1" applyFont="1" applyFill="1" applyBorder="1"/>
    <x:xf numFmtId="0" fontId="6" fillId="29" borderId="2" xfId="0" applyNumberFormat="1" applyFont="1" applyFill="1" applyBorder="1" applyAlignment="1">
      <x:alignment wrapText="1"/>
    </x:xf>
    <x:xf numFmtId="0" fontId="6" fillId="29" borderId="2" xfId="0" applyNumberFormat="1" applyFont="1" applyFill="1" applyBorder="1" applyAlignment="1">
      <x:alignment horizontal="center" wrapText="1"/>
    </x:xf>
    <x:xf numFmtId="0" fontId="6" fillId="29" borderId="2" xfId="0" applyNumberFormat="1" applyFont="1" applyFill="1" applyBorder="1" applyAlignment="1">
      <x:alignment horizontal="center" vertical="center" wrapText="1"/>
    </x:xf>
    <x:xf numFmtId="0" fontId="6" fillId="29" borderId="2" xfId="0" applyNumberFormat="1" applyFont="1" applyFill="1" applyBorder="1" applyAlignment="1">
      <x:alignment horizontal="center" vertical="top" wrapText="1"/>
    </x:xf>
    <x:xf numFmtId="0" fontId="6" fillId="29" borderId="4" xfId="0" applyNumberFormat="1" applyFont="1" applyFill="1" applyBorder="1" applyAlignment="1">
      <x:alignment horizontal="center" vertical="top" wrapText="1"/>
    </x:xf>
    <x:xf numFmtId="0" fontId="0" fillId="31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 applyAlignment="1">
      <x:alignment vertical="top" wrapText="1"/>
    </x:xf>
    <x:xf numFmtId="49" fontId="5" fillId="3" borderId="6" xfId="0" applyNumberFormat="1" applyFont="1" applyFill="1" applyBorder="1" applyAlignment="1">
      <x:alignment vertical="top" wrapText="1"/>
    </x:xf>
    <x:xf numFmtId="164" fontId="5" fillId="3" borderId="6" xfId="0" applyNumberFormat="1" applyFont="1" applyFill="1" applyBorder="1" applyAlignment="1">
      <x:alignment vertical="top" wrapText="1"/>
    </x:xf>
    <x:xf numFmtId="49" fontId="5" fillId="3" borderId="0" xfId="0" applyNumberFormat="1" applyFont="1" applyFill="1" applyBorder="1" applyAlignment="1">
      <x:alignment vertical="top" wrapText="1"/>
    </x:xf>
    <x:xf numFmtId="164" fontId="5" fillId="3" borderId="0" xfId="0" applyNumberFormat="1" applyFont="1" applyFill="1" applyBorder="1" applyAlignment="1">
      <x:alignment vertical="top" wrapText="1"/>
    </x:xf>
    <x:xf numFmtId="49" fontId="5" fillId="3" borderId="11" xfId="0" applyNumberFormat="1" applyFont="1" applyFill="1" applyBorder="1" applyAlignment="1">
      <x:alignment vertical="top" wrapText="1"/>
    </x:xf>
    <x:xf numFmtId="164" fontId="5" fillId="3" borderId="1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13" fillId="32" borderId="0" xfId="0" applyNumberFormat="1" applyFont="1" applyFill="1" applyBorder="1"/>
    <x:xf numFmtId="0" fontId="13" fillId="32" borderId="0" xfId="0" applyNumberFormat="1" applyFont="1" applyFill="1" applyBorder="1" applyAlignment="1">
      <x:alignment horizontal="left"/>
    </x:xf>
    <x:xf numFmtId="0" fontId="13" fillId="32" borderId="0" xfId="0" applyNumberFormat="1" applyFont="1" applyFill="1" applyBorder="1" applyAlignment="1">
      <x:alignment horizontal="left" vertical="center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14" fillId="33" borderId="0" xfId="0" applyNumberFormat="1" applyFont="1" applyFill="1" applyBorder="1" applyAlignment="1">
      <x:alignment horizontal="left" wrapText="1"/>
    </x:xf>
    <x:xf numFmtId="0" fontId="14" fillId="33" borderId="0" xfId="0" applyNumberFormat="1" applyFont="1" applyFill="1" applyBorder="1" applyAlignment="1">
      <x:alignment horizontal="left" vertical="center" wrapText="1"/>
    </x:xf>
    <x:xf numFmtId="0" fontId="0" fillId="34" borderId="0" xfId="0" applyNumberFormat="1" applyFont="1" applyFill="1" applyBorder="1"/>
    <x:xf numFmtId="0" fontId="6" fillId="34" borderId="0" xfId="0" applyNumberFormat="1" applyFont="1" applyFill="1" applyBorder="1"/>
    <x:xf numFmtId="0" fontId="6" fillId="34" borderId="2" xfId="0" applyNumberFormat="1" applyFont="1" applyFill="1" applyBorder="1"/>
    <x:xf numFmtId="0" fontId="6" fillId="34" borderId="4" xfId="0" applyNumberFormat="1" applyFont="1" applyFill="1" applyBorder="1"/>
    <x:xf numFmtId="0" fontId="6" fillId="34" borderId="2" xfId="0" applyNumberFormat="1" applyFont="1" applyFill="1" applyBorder="1" applyAlignment="1">
      <x:alignment wrapText="1"/>
    </x:xf>
    <x:xf numFmtId="0" fontId="6" fillId="34" borderId="4" xfId="0" applyNumberFormat="1" applyFont="1" applyFill="1" applyBorder="1" applyAlignment="1">
      <x:alignment wrapText="1"/>
    </x:xf>
    <x:xf numFmtId="0" fontId="6" fillId="34" borderId="2" xfId="0" applyNumberFormat="1" applyFont="1" applyFill="1" applyBorder="1" applyAlignment="1">
      <x:alignment horizontal="center" wrapText="1"/>
    </x:xf>
    <x:xf numFmtId="0" fontId="6" fillId="34" borderId="4" xfId="0" applyNumberFormat="1" applyFont="1" applyFill="1" applyBorder="1" applyAlignment="1">
      <x:alignment horizontal="center" wrapText="1"/>
    </x:xf>
    <x:xf numFmtId="0" fontId="6" fillId="34" borderId="2" xfId="0" applyNumberFormat="1" applyFont="1" applyFill="1" applyBorder="1" applyAlignment="1">
      <x:alignment horizontal="center" vertical="center" wrapText="1"/>
    </x:xf>
    <x:xf numFmtId="0" fontId="6" fillId="34" borderId="4" xfId="0" applyNumberFormat="1" applyFont="1" applyFill="1" applyBorder="1" applyAlignment="1">
      <x:alignment horizontal="center" vertical="center" wrapText="1"/>
    </x:xf>
    <x:xf numFmtId="0" fontId="6" fillId="34" borderId="2" xfId="0" applyNumberFormat="1" applyFont="1" applyFill="1" applyBorder="1" applyAlignment="1">
      <x:alignment horizontal="center" vertical="top" wrapText="1"/>
    </x:xf>
    <x:xf numFmtId="0" fontId="6" fillId="34" borderId="4" xfId="0" applyNumberFormat="1" applyFont="1" applyFill="1" applyBorder="1" applyAlignment="1">
      <x:alignment horizontal="center"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vertical="top" wrapText="1"/>
    </x:xf>
    <x:xf numFmtId="0" fontId="6" fillId="33" borderId="2" xfId="0" applyNumberFormat="1" applyFont="1" applyFill="1" applyBorder="1" applyAlignment="1">
      <x:alignment horizontal="center" vertical="top" wrapText="1"/>
    </x:xf>
    <x:xf numFmtId="0" fontId="6" fillId="33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9">
    <x:dxf/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eda5e60454bec" /><Relationship Type="http://schemas.openxmlformats.org/officeDocument/2006/relationships/theme" Target="/xl/theme/theme1.xml" Id="Rc5d14e73dd854570" /><Relationship Type="http://schemas.openxmlformats.org/officeDocument/2006/relationships/sharedStrings" Target="/xl/sharedStrings.xml" Id="Rc7fc12eba466419b" /><Relationship Type="http://schemas.openxmlformats.org/officeDocument/2006/relationships/worksheet" Target="/xl/worksheets/sheet1.xml" Id="R56bedea691974fdb" /><Relationship Type="http://schemas.openxmlformats.org/officeDocument/2006/relationships/worksheet" Target="/xl/worksheets/sheet2.xml" Id="Re7b4d4c2865f485a" /><Relationship Type="http://schemas.openxmlformats.org/officeDocument/2006/relationships/worksheet" Target="/xl/worksheets/sheet3.xml" Id="Ra39cb64d234c40e3" /><Relationship Type="http://schemas.openxmlformats.org/officeDocument/2006/relationships/worksheet" Target="/xl/worksheets/sheet4.xml" Id="Rfa408df7e19544e3" /><Relationship Type="http://schemas.openxmlformats.org/officeDocument/2006/relationships/worksheet" Target="/xl/worksheets/sheet5.xml" Id="Rb2581a164bdf4f3b" /><Relationship Type="http://schemas.openxmlformats.org/officeDocument/2006/relationships/worksheet" Target="/xl/worksheets/sheet6.xml" Id="Rea2bc91fa94a4aca" /><Relationship Type="http://schemas.openxmlformats.org/officeDocument/2006/relationships/worksheet" Target="/xl/worksheets/sheet7.xml" Id="R1965b2865e414494" /></Relationships>
</file>

<file path=xl/tables/table1.xml><?xml version="1.0" encoding="utf-8"?>
<x:table xmlns:x="http://schemas.openxmlformats.org/spreadsheetml/2006/main" id="8" name="TblPerumahan" displayName="TblPerumahan" ref="A5:AD351">
  <x:tableColumns count="30">
    <x:tableColumn id="1" name="ID_PERUMAHAN*"/>
    <x:tableColumn id="2" name="NAMA_PERUMAHAN*"/>
    <x:tableColumn id="3" name="KATEGORI"/>
    <x:tableColumn id="4" name="KECAMATAN*"/>
    <x:tableColumn id="5" name="KELURAHAN*"/>
    <x:tableColumn id="6" name="ALAMAT"/>
    <x:tableColumn id="7" name="PENGEMBANG"/>
    <x:tableColumn id="8" name="DIREKTUR/PELAKSANA"/>
    <x:tableColumn id="9" name="ASOSIASI"/>
    <x:tableColumn id="10" name="TAHUN_SITEPLAN"/>
    <x:tableColumn id="11" name="JUMLAH_SITEPLAN"/>
    <x:tableColumn id="12" name="JUMLAH_TERBANGUN"/>
    <x:tableColumn id="13" name="JUMLAH_TERHUNI"/>
    <x:tableColumn id="14" name="STATUS_PSU*"/>
    <x:tableColumn id="15" name="TAHUN_SERAH_TERIMA_PSU"/>
    <x:tableColumn id="16" name="LUAS_RTH_M2"/>
    <x:tableColumn id="17" name="STATUS_RTH"/>
    <x:tableColumn id="18" name="STATUS_JALAN"/>
    <x:tableColumn id="19" name="STATUS_PENGEMBANG"/>
    <x:tableColumn id="20" name="STATUS_RAWAN_BANJIR"/>
    <x:tableColumn id="21" name="CATATAN"/>
    <x:tableColumn id="22" name="LATITUDE"/>
    <x:tableColumn id="23" name="LONGITUDE"/>
    <x:tableColumn id="24" name="TAHUN_DATA*"/>
    <x:tableColumn id="25" name="SUMBER_DATA*"/>
    <x:tableColumn id="26" name="STATUS_VERIFIKASI*"/>
    <x:tableColumn id="27" name="TANGGAL_UPDATE*"/>
    <x:tableColumn id="28" name="OPERATOR*"/>
    <x:tableColumn id="29" name="PERSEN_TERBANGUN"/>
    <x:tableColumn id="30" name="PERSEN_TERHUNI"/>
  </x:tableColumns>
  <x:tableStyleInfo name="TableStyleMedium2" showRowStripes="1"/>
</x:table>
</file>

<file path=xl/tables/table2.xml><?xml version="1.0" encoding="utf-8"?>
<x:table xmlns:x="http://schemas.openxmlformats.org/spreadsheetml/2006/main" id="2" name="TblBacklog" displayName="TblBacklog" ref="A5:K55">
  <x:tableColumns count="11">
    <x:tableColumn id="1" name="ID_BACKLOG*"/>
    <x:tableColumn id="2" name="TINGKAT_WILAYAH*"/>
    <x:tableColumn id="3" name="KECAMATAN/WILAYAH*"/>
    <x:tableColumn id="4" name="BACKLOG_KEPEMILIKAN"/>
    <x:tableColumn id="5" name="BACKLOG_HUNIAN"/>
    <x:tableColumn id="6" name="TAHUN_DATA*"/>
    <x:tableColumn id="7" name="SUMBER_DATA*"/>
    <x:tableColumn id="8" name="STATUS_VERIFIKASI*"/>
    <x:tableColumn id="9" name="TANGGAL_UPDATE*"/>
    <x:tableColumn id="10" name="OPERATOR*"/>
    <x:tableColumn id="11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TblRTLHRLH" displayName="TblRTLHRLH" ref="A5:K55">
  <x:tableColumns count="11">
    <x:tableColumn id="1" name="ID_REKAP*"/>
    <x:tableColumn id="2" name="KECAMATAN*"/>
    <x:tableColumn id="3" name="JUMLAH_RUMAH*"/>
    <x:tableColumn id="4" name="RTLH*"/>
    <x:tableColumn id="5" name="RLH"/>
    <x:tableColumn id="6" name="PERSENTASE_RTLH"/>
    <x:tableColumn id="7" name="TAHUN_DATA*"/>
    <x:tableColumn id="8" name="SUMBER_DATA*"/>
    <x:tableColumn id="9" name="STATUS_VERIFIKASI*"/>
    <x:tableColumn id="10" name="TANGGAL_UPDATE*"/>
    <x:tableColumn id="11" name="OPERATOR*"/>
  </x:tableColumns>
  <x:tableStyleInfo name="TableStyleMedium2" showRowStripes="1"/>
</x:table>
</file>

<file path=xl/tables/table4.xml><?xml version="1.0" encoding="utf-8"?>
<x:table xmlns:x="http://schemas.openxmlformats.org/spreadsheetml/2006/main" id="10" name="TblRTLHIndividu" displayName="TblRTLHIndividu" ref="A5:AC305" headerRowCount="1">
  <x:tableColumns count="29">
    <x:tableColumn id="1" name="ID_RTLH*"/>
    <x:tableColumn id="2" name="NAMA_KEPALA_KELUARGA*"/>
    <x:tableColumn id="3" name="NIK"/>
    <x:tableColumn id="4" name="NO_KK"/>
    <x:tableColumn id="5" name="ALAMAT*"/>
    <x:tableColumn id="6" name="KELURAHAN*"/>
    <x:tableColumn id="7" name="KECAMATAN*"/>
    <x:tableColumn id="8" name="JENIS_USULAN*"/>
    <x:tableColumn id="9" name="CATATAN_VERIFIKASI*"/>
    <x:tableColumn id="10" name="TIPE_KONSTRUKSI_RUMAH*"/>
    <x:tableColumn id="11" name="MATERIAL_ATAP"/>
    <x:tableColumn id="12" name="KONDISI_ATAP"/>
    <x:tableColumn id="13" name="MATERIAL_DINDING"/>
    <x:tableColumn id="14" name="KONDISI_DINDING"/>
    <x:tableColumn id="15" name="MATERIAL_LANTAI"/>
    <x:tableColumn id="16" name="KONDISI_LANTAI"/>
    <x:tableColumn id="17" name="STATUS_ADMINISTRASI*"/>
    <x:tableColumn id="18" name="SKOR_PRIORITAS"/>
    <x:tableColumn id="19" name="STATUS_VERIFIKASI*"/>
    <x:tableColumn id="20" name="STATUS_PENANGANAN*"/>
    <x:tableColumn id="21" name="SUMBER_DANA"/>
    <x:tableColumn id="22" name="TAHUN_PENANGANAN"/>
    <x:tableColumn id="23" name="STATUS_KEPEMILIKAN_TANAH"/>
    <x:tableColumn id="24" name="NOMOR_HP"/>
    <x:tableColumn id="25" name="TANGGAL_SURVEI"/>
    <x:tableColumn id="26" name="TAHUN_DATA*"/>
    <x:tableColumn id="27" name="SUMBER_DATA*"/>
    <x:tableColumn id="28" name="TANGGAL_UPDATE*"/>
    <x:tableColumn id="29" name="OPERATOR*"/>
  </x:tableColumns>
  <x:tableStyleInfo name="TableStyleMedium2" showRowStripes="1"/>
</x:table>
</file>

<file path=xl/tables/table5.xml><?xml version="1.0" encoding="utf-8"?>
<x:table xmlns:x="http://schemas.openxmlformats.org/spreadsheetml/2006/main" id="5" name="TblRusunawaUnit" displayName="TblRusunawaUnit" ref="A5:N205">
  <x:tableColumns count="14">
    <x:tableColumn id="1" name="ID_UNIT*"/>
    <x:tableColumn id="2" name="NAMA_RUSUNAWA*"/>
    <x:tableColumn id="3" name="BLOK*"/>
    <x:tableColumn id="4" name="LANTAI*"/>
    <x:tableColumn id="5" name="NOMOR_UNIT*"/>
    <x:tableColumn id="6" name="TIPE_UNIT"/>
    <x:tableColumn id="7" name="STATUS_UNIT*"/>
    <x:tableColumn id="8" name="KONDISI_UNIT*"/>
    <x:tableColumn id="9" name="KETERANGAN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ables/table6.xml><?xml version="1.0" encoding="utf-8"?>
<x:table xmlns:x="http://schemas.openxmlformats.org/spreadsheetml/2006/main" id="9" name="TblRusunawaRetribusi2" displayName="TblRusunawaRetribusi2" ref="A5:M105">
  <x:tableColumns count="13">
    <x:tableColumn id="1" name="ID_RETRIBUSI*"/>
    <x:tableColumn id="2" name="NAMA_RUSUNAWA*"/>
    <x:tableColumn id="3" name="TAHUN*"/>
    <x:tableColumn id="4" name="BULAN*"/>
    <x:tableColumn id="5" name="TARGET_TAHUNAN*"/>
    <x:tableColumn id="6" name="REALISASI*"/>
    <x:tableColumn id="7" name="REALISASI_KUMULATIF"/>
    <x:tableColumn id="8" name="CAPAIAN_PERSEN"/>
    <x:tableColumn id="9" name="STATUS_VERIFIKASI*"/>
    <x:tableColumn id="10" name="SUMBER_DATA*"/>
    <x:tableColumn id="11" name="TANGGAL_UPDATE*"/>
    <x:tableColumn id="12" name="OPERATOR*"/>
    <x:tableColumn id="13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TblRusunawaSarpras" displayName="TblRusunawaSarpras" ref="A5:N155">
  <x:tableColumns count="14">
    <x:tableColumn id="1" name="ID_SARPRAS*"/>
    <x:tableColumn id="2" name="NAMA_RUSUNAWA*"/>
    <x:tableColumn id="3" name="KOMPONEN*"/>
    <x:tableColumn id="4" name="LOKASI"/>
    <x:tableColumn id="5" name="KONDISI*"/>
    <x:tableColumn id="6" name="PRIORITAS*"/>
    <x:tableColumn id="7" name="TINDAK_LANJUT*"/>
    <x:tableColumn id="8" name="STATUS_TINDAK_LANJUT*"/>
    <x:tableColumn id="9" name="TANGGAL_PEMERIKSAAN*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75ff24c4424b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2f95277d5848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4d8c6b2be546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6bbe80199b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101e5fc23d46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9ef3642a7d4b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f821d6ed1b45b5" /></Relationships>
</file>

<file path=xl/worksheets/sheet1.xml><?xml version="1.0" encoding="utf-8"?>
<x:worksheet xmlns:x="http://schemas.openxmlformats.org/spreadsheetml/2006/main">
  <x:sheetFormatPr defaultRowHeight="14"/>
  <x:cols>
    <x:col min="1" max="1" width="7.4140625" customWidth="1"/>
    <x:col min="2" max="2" width="44.08203125" customWidth="1"/>
    <x:col min="3" max="3" width="14" customWidth="1"/>
    <x:col min="4" max="4" width="16" customWidth="1"/>
    <x:col min="5" max="5" width="18" customWidth="1"/>
    <x:col min="6" max="6" width="30" customWidth="1"/>
    <x:col min="7" max="7" width="28" customWidth="1"/>
    <x:col min="8" max="8" width="26" customWidth="1"/>
    <x:col min="9" max="9" width="24" customWidth="1"/>
    <x:col min="10" max="10" width="17" customWidth="1"/>
    <x:col min="11" max="11" width="15" customWidth="1"/>
    <x:col min="12" max="12" width="21" customWidth="1"/>
    <x:col min="13" max="13" width="19" customWidth="1"/>
    <x:col min="14" max="14" width="26.25" customWidth="1"/>
    <x:col min="15" max="15" width="20" customWidth="1"/>
    <x:col min="16" max="16" width="24" customWidth="1"/>
    <x:col min="17" max="17" width="25" customWidth="1"/>
    <x:col min="18" max="18" width="24" customWidth="1"/>
    <x:col min="19" max="19" width="25" customWidth="1"/>
    <x:col min="20" max="20" width="31" customWidth="1"/>
    <x:col min="21" max="21" width="32" customWidth="1"/>
    <x:col min="22" max="22" width="17.25" customWidth="1"/>
    <x:col min="23" max="30" width="18" customWidth="1"/>
  </x:cols>
  <x:sheetData>
    <x:row r="1" ht="13.399999618530273" customHeight="1">
      <x:c r="A1" s="77" t="s">
        <x:v>0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8"/>
      <x:c r="AA1" s="78"/>
      <x:c r="AB1" s="78"/>
      <x:c r="AC1" s="78"/>
      <x:c r="AD1" s="78"/>
    </x:row>
    <x:row r="2" ht="11.649999618530273" customHeight="1">
      <x:c r="A2" s="79" t="s">
        <x:v>1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8"/>
      <x:c r="AA2" s="78"/>
      <x:c r="AB2" s="78"/>
      <x:c r="AC2" s="78"/>
      <x:c r="AD2" s="78"/>
    </x:row>
    <x:row r="3" ht="16.899999618530273" customHeight="1">
      <x:c r="A3" s="80" t="s">
        <x:v>2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1"/>
      <x:c r="AA3" s="81"/>
      <x:c r="AB3" s="81"/>
      <x:c r="AC3" s="81"/>
      <x:c r="AD3" s="81"/>
    </x:row>
    <x:row r="5" ht="16" customHeight="1">
      <x:c r="A5" s="1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  <x:c r="V5" s="2" t="s">
        <x:v>24</x:v>
      </x:c>
      <x:c r="W5" s="2" t="s">
        <x:v>25</x:v>
      </x:c>
      <x:c r="X5" s="2" t="s">
        <x:v>26</x:v>
      </x:c>
      <x:c r="Y5" s="3" t="s">
        <x:v>27</x:v>
      </x:c>
      <x:c r="Z5" s="49" t="s">
        <x:v>28</x:v>
      </x:c>
      <x:c r="AA5" s="49" t="s">
        <x:v>29</x:v>
      </x:c>
      <x:c r="AB5" s="54" t="s">
        <x:v>30</x:v>
      </x:c>
      <x:c r="AC5" t="s">
        <x:v>31</x:v>
      </x:c>
      <x:c r="AD5" t="s">
        <x:v>32</x:v>
      </x:c>
    </x:row>
    <x:row r="6" ht="9.75" customHeight="1">
      <x:c r="A6" s="31">
        <x:v>1</x:v>
      </x:c>
      <x:c r="B6" s="10" t="s">
        <x:v>33</x:v>
      </x:c>
      <x:c r="C6" s="4" t="s">
        <x:v>34</x:v>
      </x:c>
      <x:c r="D6" s="10" t="s">
        <x:v>35</x:v>
      </x:c>
      <x:c r="E6" s="10" t="s">
        <x:v>36</x:v>
      </x:c>
      <x:c r="F6" s="4" t="s">
        <x:v>37</x:v>
      </x:c>
      <x:c r="G6" s="4" t="s">
        <x:v>38</x:v>
      </x:c>
      <x:c r="H6" s="16" t="s">
        <x:v>39</x:v>
      </x:c>
      <x:c r="I6" s="16" t="s">
        <x:v>40</x:v>
      </x:c>
      <x:c r="J6" s="4">
        <x:v>2019</x:v>
      </x:c>
      <x:c r="K6" s="16">
        <x:v>54</x:v>
      </x:c>
      <x:c r="L6" s="10">
        <x:v>54</x:v>
      </x:c>
      <x:c r="M6" s="16">
        <x:v>54</x:v>
      </x:c>
      <x:c r="N6" s="16" t="s">
        <x:v>41</x:v>
      </x:c>
      <x:c r="O6" s="4" t="s">
        <x:v>42</x:v>
      </x:c>
      <x:c r="P6" s="4"/>
      <x:c r="Q6" s="22" t="s">
        <x:v>43</x:v>
      </x:c>
      <x:c r="R6" s="22"/>
      <x:c r="S6" s="19"/>
      <x:c r="T6" s="10" t="s">
        <x:v>44</x:v>
      </x:c>
      <x:c r="U6" s="10"/>
      <x:c r="V6" s="10">
        <x:v>-2.0962670999999999</x:v>
      </x:c>
      <x:c r="W6" s="10">
        <x:v>106.0769433</x:v>
      </x:c>
      <x:c r="X6" s="64">
        <x:v>2025</x:v>
      </x:c>
      <x:c r="Y6" s="28"/>
      <x:c r="Z6" s="50"/>
      <x:c r="AA6" s="52"/>
      <x:c r="AB6" s="55"/>
      <x:c r="AC6" t="n">
        <x:f t="shared" ref="AC6:AC37" si="0">IF(A6="","",IFERROR(L6/K6,0))</x:f>
        <x:v>1</x:v>
      </x:c>
      <x:c r="AD6" t="n">
        <x:f t="shared" ref="AD6:AD37" si="1">IF(A6="","",IFERROR(M6/L6,0))</x:f>
        <x:v>1</x:v>
      </x:c>
    </x:row>
    <x:row r="7" ht="9.75" customHeight="1">
      <x:c r="A7" s="32">
        <x:v>2</x:v>
      </x:c>
      <x:c r="B7" s="11" t="s">
        <x:v>45</x:v>
      </x:c>
      <x:c r="C7" s="6" t="s">
        <x:v>34</x:v>
      </x:c>
      <x:c r="D7" s="11" t="s">
        <x:v>35</x:v>
      </x:c>
      <x:c r="E7" s="11" t="s">
        <x:v>46</x:v>
      </x:c>
      <x:c r="F7" s="6" t="s">
        <x:v>47</x:v>
      </x:c>
      <x:c r="G7" s="6" t="s">
        <x:v>38</x:v>
      </x:c>
      <x:c r="H7" s="17" t="s">
        <x:v>39</x:v>
      </x:c>
      <x:c r="I7" s="17" t="s">
        <x:v>40</x:v>
      </x:c>
      <x:c r="J7" s="6">
        <x:v>2023</x:v>
      </x:c>
      <x:c r="K7" s="17">
        <x:v>46</x:v>
      </x:c>
      <x:c r="L7" s="11">
        <x:v>22</x:v>
      </x:c>
      <x:c r="M7" s="17">
        <x:v>0</x:v>
      </x:c>
      <x:c r="N7" s="17" t="s">
        <x:v>48</x:v>
      </x:c>
      <x:c r="O7" s="6">
        <x:v>2025</x:v>
      </x:c>
      <x:c r="P7" s="6"/>
      <x:c r="Q7" s="23" t="s">
        <x:v>43</x:v>
      </x:c>
      <x:c r="R7" s="23"/>
      <x:c r="S7" s="20"/>
      <x:c r="T7" s="11"/>
      <x:c r="U7" s="11"/>
      <x:c r="V7" s="11">
        <x:v>-2.1163816999999998</x:v>
      </x:c>
      <x:c r="W7" s="11">
        <x:v>106.06782029999999</x:v>
      </x:c>
      <x:c r="X7" s="65"/>
      <x:c r="Y7" s="29"/>
      <x:c r="Z7" s="51"/>
      <x:c r="AA7" s="53"/>
      <x:c r="AB7" s="56"/>
      <x:c r="AC7">
        <x:f t="shared" si="0"/>
        <x:v>0.47826086956521741</x:v>
      </x:c>
      <x:c r="AD7">
        <x:f t="shared" si="1"/>
        <x:v>0</x:v>
      </x:c>
    </x:row>
    <x:row r="8" ht="9.75" customHeight="1">
      <x:c r="A8" s="32">
        <x:v>3</x:v>
      </x:c>
      <x:c r="B8" s="11" t="s">
        <x:v>49</x:v>
      </x:c>
      <x:c r="C8" s="6" t="s">
        <x:v>34</x:v>
      </x:c>
      <x:c r="D8" s="11" t="s">
        <x:v>35</x:v>
      </x:c>
      <x:c r="E8" s="11" t="s">
        <x:v>46</x:v>
      </x:c>
      <x:c r="F8" s="6" t="s">
        <x:v>47</x:v>
      </x:c>
      <x:c r="G8" s="6" t="s">
        <x:v>38</x:v>
      </x:c>
      <x:c r="H8" s="17" t="s">
        <x:v>39</x:v>
      </x:c>
      <x:c r="I8" s="17" t="s">
        <x:v>40</x:v>
      </x:c>
      <x:c r="J8" s="6">
        <x:v>2020</x:v>
      </x:c>
      <x:c r="K8" s="17">
        <x:v>52</x:v>
      </x:c>
      <x:c r="L8" s="11">
        <x:v>52</x:v>
      </x:c>
      <x:c r="M8" s="17">
        <x:v>52</x:v>
      </x:c>
      <x:c r="N8" s="17" t="s">
        <x:v>48</x:v>
      </x:c>
      <x:c r="O8" s="6">
        <x:v>2025</x:v>
      </x:c>
      <x:c r="P8" s="6"/>
      <x:c r="Q8" s="23" t="s">
        <x:v>43</x:v>
      </x:c>
      <x:c r="R8" s="23"/>
      <x:c r="S8" s="20"/>
      <x:c r="T8" s="11"/>
      <x:c r="U8" s="11"/>
      <x:c r="V8" s="11">
        <x:v>-2.1141640000000002</x:v>
      </x:c>
      <x:c r="W8" s="11">
        <x:v>106.065597</x:v>
      </x:c>
      <x:c r="X8" s="65"/>
      <x:c r="Y8" s="29"/>
      <x:c r="Z8" s="51"/>
      <x:c r="AA8" s="53"/>
      <x:c r="AB8" s="56"/>
      <x:c r="AC8">
        <x:f t="shared" si="0"/>
        <x:v>1</x:v>
      </x:c>
      <x:c r="AD8">
        <x:f t="shared" si="1"/>
        <x:v>1</x:v>
      </x:c>
    </x:row>
    <x:row r="9" ht="9.75" customHeight="1">
      <x:c r="A9" s="32">
        <x:v>4</x:v>
      </x:c>
      <x:c r="B9" s="11" t="s">
        <x:v>50</x:v>
      </x:c>
      <x:c r="C9" s="6" t="s">
        <x:v>34</x:v>
      </x:c>
      <x:c r="D9" s="11" t="s">
        <x:v>35</x:v>
      </x:c>
      <x:c r="E9" s="11" t="s">
        <x:v>36</x:v>
      </x:c>
      <x:c r="F9" s="6" t="s">
        <x:v>51</x:v>
      </x:c>
      <x:c r="G9" s="6" t="s">
        <x:v>42</x:v>
      </x:c>
      <x:c r="H9" s="17" t="s">
        <x:v>52</x:v>
      </x:c>
      <x:c r="I9" s="17" t="s">
        <x:v>42</x:v>
      </x:c>
      <x:c r="J9" s="6">
        <x:v>2016</x:v>
      </x:c>
      <x:c r="K9" s="17">
        <x:v>41</x:v>
      </x:c>
      <x:c r="L9" s="11">
        <x:v>41</x:v>
      </x:c>
      <x:c r="M9" s="17">
        <x:v>41</x:v>
      </x:c>
      <x:c r="N9" s="17" t="s">
        <x:v>41</x:v>
      </x:c>
      <x:c r="O9" s="6" t="s">
        <x:v>42</x:v>
      </x:c>
      <x:c r="P9" s="6"/>
      <x:c r="Q9" s="23" t="s">
        <x:v>43</x:v>
      </x:c>
      <x:c r="R9" s="23"/>
      <x:c r="S9" s="20"/>
      <x:c r="T9" s="11"/>
      <x:c r="U9" s="11"/>
      <x:c r="V9" s="11">
        <x:v>-2.1202549999999998</x:v>
      </x:c>
      <x:c r="W9" s="11">
        <x:v>106.07257199999999</x:v>
      </x:c>
      <x:c r="X9" s="65"/>
      <x:c r="Y9" s="29"/>
      <x:c r="Z9" s="51"/>
      <x:c r="AA9" s="53"/>
      <x:c r="AB9" s="56"/>
      <x:c r="AC9">
        <x:f t="shared" si="0"/>
        <x:v>1</x:v>
      </x:c>
      <x:c r="AD9">
        <x:f t="shared" si="1"/>
        <x:v>1</x:v>
      </x:c>
    </x:row>
    <x:row r="10" ht="9.75" customHeight="1">
      <x:c r="A10" s="32">
        <x:v>5</x:v>
      </x:c>
      <x:c r="B10" s="11" t="s">
        <x:v>53</x:v>
      </x:c>
      <x:c r="C10" s="6" t="s">
        <x:v>34</x:v>
      </x:c>
      <x:c r="D10" s="11" t="s">
        <x:v>35</x:v>
      </x:c>
      <x:c r="E10" s="11" t="s">
        <x:v>36</x:v>
      </x:c>
      <x:c r="F10" s="6" t="s">
        <x:v>54</x:v>
      </x:c>
      <x:c r="G10" s="6" t="s">
        <x:v>42</x:v>
      </x:c>
      <x:c r="H10" s="17" t="s">
        <x:v>42</x:v>
      </x:c>
      <x:c r="I10" s="17" t="s">
        <x:v>42</x:v>
      </x:c>
      <x:c r="J10" s="6">
        <x:v>2015</x:v>
      </x:c>
      <x:c r="K10" s="17">
        <x:v>37</x:v>
      </x:c>
      <x:c r="L10" s="11">
        <x:v>37</x:v>
      </x:c>
      <x:c r="M10" s="17">
        <x:v>37</x:v>
      </x:c>
      <x:c r="N10" s="17" t="s">
        <x:v>41</x:v>
      </x:c>
      <x:c r="O10" s="6" t="s">
        <x:v>42</x:v>
      </x:c>
      <x:c r="P10" s="6"/>
      <x:c r="Q10" s="23" t="s">
        <x:v>43</x:v>
      </x:c>
      <x:c r="R10" s="23" t="s">
        <x:v>55</x:v>
      </x:c>
      <x:c r="S10" s="20"/>
      <x:c r="T10" s="11"/>
      <x:c r="U10" s="11"/>
      <x:c r="V10" s="11">
        <x:v>-2.094214</x:v>
      </x:c>
      <x:c r="W10" s="11">
        <x:v>106.0800655</x:v>
      </x:c>
      <x:c r="X10" s="65"/>
      <x:c r="Y10" s="29"/>
      <x:c r="Z10" s="51"/>
      <x:c r="AA10" s="53"/>
      <x:c r="AB10" s="56"/>
      <x:c r="AC10">
        <x:f t="shared" si="0"/>
        <x:v>1</x:v>
      </x:c>
      <x:c r="AD10">
        <x:f t="shared" si="1"/>
        <x:v>1</x:v>
      </x:c>
    </x:row>
    <x:row r="11" ht="9.75" customHeight="1">
      <x:c r="A11" s="32">
        <x:v>6</x:v>
      </x:c>
      <x:c r="B11" s="11" t="s">
        <x:v>56</x:v>
      </x:c>
      <x:c r="C11" s="6" t="s">
        <x:v>34</x:v>
      </x:c>
      <x:c r="D11" s="11" t="s">
        <x:v>35</x:v>
      </x:c>
      <x:c r="E11" s="11" t="s">
        <x:v>46</x:v>
      </x:c>
      <x:c r="F11" s="6" t="s">
        <x:v>47</x:v>
      </x:c>
      <x:c r="G11" s="6" t="s">
        <x:v>57</x:v>
      </x:c>
      <x:c r="H11" s="17" t="s">
        <x:v>58</x:v>
      </x:c>
      <x:c r="I11" s="17" t="s">
        <x:v>40</x:v>
      </x:c>
      <x:c r="J11" s="6">
        <x:v>2023</x:v>
      </x:c>
      <x:c r="K11" s="17">
        <x:v>80</x:v>
      </x:c>
      <x:c r="L11" s="11">
        <x:v>0</x:v>
      </x:c>
      <x:c r="M11" s="17">
        <x:v>0</x:v>
      </x:c>
      <x:c r="N11" s="17" t="s">
        <x:v>41</x:v>
      </x:c>
      <x:c r="O11" s="6" t="s">
        <x:v>42</x:v>
      </x:c>
      <x:c r="P11" s="6"/>
      <x:c r="Q11" s="23" t="s">
        <x:v>43</x:v>
      </x:c>
      <x:c r="R11" s="23"/>
      <x:c r="S11" s="20"/>
      <x:c r="T11" s="11"/>
      <x:c r="U11" s="11"/>
      <x:c r="V11" s="11">
        <x:v>-2.1142946999999999</x:v>
      </x:c>
      <x:c r="W11" s="11">
        <x:v>106.0637443</x:v>
      </x:c>
      <x:c r="X11" s="65"/>
      <x:c r="Y11" s="29"/>
      <x:c r="Z11" s="51"/>
      <x:c r="AA11" s="53"/>
      <x:c r="AB11" s="56"/>
      <x:c r="AC11">
        <x:f t="shared" si="0"/>
        <x:v>0</x:v>
      </x:c>
      <x:c r="AD11">
        <x:f t="shared" si="1"/>
        <x:v>0</x:v>
      </x:c>
    </x:row>
    <x:row r="12" ht="9.75" customHeight="1">
      <x:c r="A12" s="32">
        <x:v>7</x:v>
      </x:c>
      <x:c r="B12" s="11" t="s">
        <x:v>59</x:v>
      </x:c>
      <x:c r="C12" s="6" t="s">
        <x:v>34</x:v>
      </x:c>
      <x:c r="D12" s="11" t="s">
        <x:v>60</x:v>
      </x:c>
      <x:c r="E12" s="11" t="s">
        <x:v>61</x:v>
      </x:c>
      <x:c r="F12" s="6" t="s">
        <x:v>62</x:v>
      </x:c>
      <x:c r="G12" s="6" t="s">
        <x:v>63</x:v>
      </x:c>
      <x:c r="H12" s="17" t="s">
        <x:v>64</x:v>
      </x:c>
      <x:c r="I12" s="17" t="s">
        <x:v>65</x:v>
      </x:c>
      <x:c r="J12" s="6">
        <x:v>2015</x:v>
      </x:c>
      <x:c r="K12" s="17">
        <x:v>36</x:v>
      </x:c>
      <x:c r="L12" s="11">
        <x:v>36</x:v>
      </x:c>
      <x:c r="M12" s="17">
        <x:v>36</x:v>
      </x:c>
      <x:c r="N12" s="17" t="s">
        <x:v>41</x:v>
      </x:c>
      <x:c r="O12" s="6" t="s">
        <x:v>42</x:v>
      </x:c>
      <x:c r="P12" s="6"/>
      <x:c r="Q12" s="23" t="s">
        <x:v>43</x:v>
      </x:c>
      <x:c r="R12" s="23" t="s">
        <x:v>55</x:v>
      </x:c>
      <x:c r="S12" s="20"/>
      <x:c r="T12" s="11"/>
      <x:c r="U12" s="11"/>
      <x:c r="V12" s="11">
        <x:v>-2.1036899</x:v>
      </x:c>
      <x:c r="W12" s="11">
        <x:v>106.0958978</x:v>
      </x:c>
      <x:c r="X12" s="65"/>
      <x:c r="Y12" s="29"/>
      <x:c r="Z12" s="51"/>
      <x:c r="AA12" s="53"/>
      <x:c r="AB12" s="56"/>
      <x:c r="AC12">
        <x:f t="shared" si="0"/>
        <x:v>1</x:v>
      </x:c>
      <x:c r="AD12">
        <x:f t="shared" si="1"/>
        <x:v>1</x:v>
      </x:c>
    </x:row>
    <x:row r="13" ht="9.75" customHeight="1">
      <x:c r="A13" s="32">
        <x:v>8</x:v>
      </x:c>
      <x:c r="B13" s="11" t="s">
        <x:v>66</x:v>
      </x:c>
      <x:c r="C13" s="6" t="s">
        <x:v>34</x:v>
      </x:c>
      <x:c r="D13" s="11" t="s">
        <x:v>60</x:v>
      </x:c>
      <x:c r="E13" s="11" t="s">
        <x:v>67</x:v>
      </x:c>
      <x:c r="F13" s="6" t="s">
        <x:v>68</x:v>
      </x:c>
      <x:c r="G13" s="6" t="s">
        <x:v>63</x:v>
      </x:c>
      <x:c r="H13" s="17" t="s">
        <x:v>64</x:v>
      </x:c>
      <x:c r="I13" s="17" t="s">
        <x:v>65</x:v>
      </x:c>
      <x:c r="J13" s="6">
        <x:v>2018</x:v>
      </x:c>
      <x:c r="K13" s="17">
        <x:v>22</x:v>
      </x:c>
      <x:c r="L13" s="11">
        <x:v>22</x:v>
      </x:c>
      <x:c r="M13" s="17">
        <x:v>22</x:v>
      </x:c>
      <x:c r="N13" s="17" t="s">
        <x:v>41</x:v>
      </x:c>
      <x:c r="O13" s="6" t="s">
        <x:v>42</x:v>
      </x:c>
      <x:c r="P13" s="6"/>
      <x:c r="Q13" s="23" t="s">
        <x:v>43</x:v>
      </x:c>
      <x:c r="R13" s="23"/>
      <x:c r="S13" s="20"/>
      <x:c r="T13" s="11"/>
      <x:c r="U13" s="11"/>
      <x:c r="V13" s="11">
        <x:v>-2.1060007000000001</x:v>
      </x:c>
      <x:c r="W13" s="11">
        <x:v>106.10589899999999</x:v>
      </x:c>
      <x:c r="X13" s="65"/>
      <x:c r="Y13" s="29"/>
      <x:c r="Z13" s="51"/>
      <x:c r="AA13" s="53"/>
      <x:c r="AB13" s="56"/>
      <x:c r="AC13">
        <x:f t="shared" si="0"/>
        <x:v>1</x:v>
      </x:c>
      <x:c r="AD13">
        <x:f t="shared" si="1"/>
        <x:v>1</x:v>
      </x:c>
    </x:row>
    <x:row r="14" ht="9.75" customHeight="1">
      <x:c r="A14" s="32">
        <x:v>9</x:v>
      </x:c>
      <x:c r="B14" s="11" t="s">
        <x:v>69</x:v>
      </x:c>
      <x:c r="C14" s="6" t="s">
        <x:v>34</x:v>
      </x:c>
      <x:c r="D14" s="11" t="s">
        <x:v>60</x:v>
      </x:c>
      <x:c r="E14" s="11" t="s">
        <x:v>70</x:v>
      </x:c>
      <x:c r="F14" s="6" t="s">
        <x:v>71</x:v>
      </x:c>
      <x:c r="G14" s="6" t="s">
        <x:v>63</x:v>
      </x:c>
      <x:c r="H14" s="17" t="s">
        <x:v>64</x:v>
      </x:c>
      <x:c r="I14" s="17" t="s">
        <x:v>65</x:v>
      </x:c>
      <x:c r="J14" s="6">
        <x:v>2019</x:v>
      </x:c>
      <x:c r="K14" s="17">
        <x:v>45</x:v>
      </x:c>
      <x:c r="L14" s="11">
        <x:v>45</x:v>
      </x:c>
      <x:c r="M14" s="17">
        <x:v>45</x:v>
      </x:c>
      <x:c r="N14" s="17" t="s">
        <x:v>48</x:v>
      </x:c>
      <x:c r="O14" s="6">
        <x:v>2020</x:v>
      </x:c>
      <x:c r="P14" s="6"/>
      <x:c r="Q14" s="23" t="s">
        <x:v>72</x:v>
      </x:c>
      <x:c r="R14" s="23"/>
      <x:c r="S14" s="20"/>
      <x:c r="T14" s="11"/>
      <x:c r="U14" s="11"/>
      <x:c r="V14" s="11">
        <x:v>-2.0904376</x:v>
      </x:c>
      <x:c r="W14" s="11">
        <x:v>106.09290710000001</x:v>
      </x:c>
      <x:c r="X14" s="65"/>
      <x:c r="Y14" s="29"/>
      <x:c r="Z14" s="51"/>
      <x:c r="AA14" s="53"/>
      <x:c r="AB14" s="56"/>
      <x:c r="AC14">
        <x:f t="shared" si="0"/>
        <x:v>1</x:v>
      </x:c>
      <x:c r="AD14">
        <x:f t="shared" si="1"/>
        <x:v>1</x:v>
      </x:c>
    </x:row>
    <x:row r="15" ht="9.75" customHeight="1">
      <x:c r="A15" s="32">
        <x:v>10</x:v>
      </x:c>
      <x:c r="B15" s="11" t="s">
        <x:v>73</x:v>
      </x:c>
      <x:c r="C15" s="6" t="s">
        <x:v>34</x:v>
      </x:c>
      <x:c r="D15" s="11" t="s">
        <x:v>35</x:v>
      </x:c>
      <x:c r="E15" s="11" t="s">
        <x:v>36</x:v>
      </x:c>
      <x:c r="F15" s="6" t="s">
        <x:v>74</x:v>
      </x:c>
      <x:c r="G15" s="6" t="s">
        <x:v>63</x:v>
      </x:c>
      <x:c r="H15" s="17" t="s">
        <x:v>64</x:v>
      </x:c>
      <x:c r="I15" s="17" t="s">
        <x:v>65</x:v>
      </x:c>
      <x:c r="J15" s="6">
        <x:v>2020</x:v>
      </x:c>
      <x:c r="K15" s="17">
        <x:v>75</x:v>
      </x:c>
      <x:c r="L15" s="11">
        <x:v>75</x:v>
      </x:c>
      <x:c r="M15" s="17">
        <x:v>75</x:v>
      </x:c>
      <x:c r="N15" s="17" t="s">
        <x:v>41</x:v>
      </x:c>
      <x:c r="O15" s="6" t="s">
        <x:v>42</x:v>
      </x:c>
      <x:c r="P15" s="6"/>
      <x:c r="Q15" s="23" t="s">
        <x:v>75</x:v>
      </x:c>
      <x:c r="R15" s="23" t="s">
        <x:v>55</x:v>
      </x:c>
      <x:c r="S15" s="20"/>
      <x:c r="T15" s="11" t="s">
        <x:v>44</x:v>
      </x:c>
      <x:c r="U15" s="11"/>
      <x:c r="V15" s="11">
        <x:v>-2.100133</x:v>
      </x:c>
      <x:c r="W15" s="11">
        <x:v>106.07501499999999</x:v>
      </x:c>
      <x:c r="X15" s="65"/>
      <x:c r="Y15" s="29"/>
      <x:c r="Z15" s="51"/>
      <x:c r="AA15" s="53"/>
      <x:c r="AB15" s="56"/>
      <x:c r="AC15">
        <x:f t="shared" si="0"/>
        <x:v>1</x:v>
      </x:c>
      <x:c r="AD15">
        <x:f t="shared" si="1"/>
        <x:v>1</x:v>
      </x:c>
    </x:row>
    <x:row r="16" ht="9.75" customHeight="1">
      <x:c r="A16" s="32">
        <x:v>11</x:v>
      </x:c>
      <x:c r="B16" s="11" t="s">
        <x:v>76</x:v>
      </x:c>
      <x:c r="C16" s="6" t="s">
        <x:v>34</x:v>
      </x:c>
      <x:c r="D16" s="11" t="s">
        <x:v>35</x:v>
      </x:c>
      <x:c r="E16" s="11" t="s">
        <x:v>36</x:v>
      </x:c>
      <x:c r="F16" s="6" t="s">
        <x:v>77</x:v>
      </x:c>
      <x:c r="G16" s="6" t="s">
        <x:v>63</x:v>
      </x:c>
      <x:c r="H16" s="17" t="s">
        <x:v>64</x:v>
      </x:c>
      <x:c r="I16" s="17" t="s">
        <x:v>65</x:v>
      </x:c>
      <x:c r="J16" s="6">
        <x:v>2022</x:v>
      </x:c>
      <x:c r="K16" s="17">
        <x:v>51</x:v>
      </x:c>
      <x:c r="L16" s="11">
        <x:v>51</x:v>
      </x:c>
      <x:c r="M16" s="17">
        <x:v>51</x:v>
      </x:c>
      <x:c r="N16" s="17" t="s">
        <x:v>41</x:v>
      </x:c>
      <x:c r="O16" s="6" t="s">
        <x:v>42</x:v>
      </x:c>
      <x:c r="P16" s="6"/>
      <x:c r="Q16" s="23" t="s">
        <x:v>43</x:v>
      </x:c>
      <x:c r="R16" s="23"/>
      <x:c r="S16" s="20"/>
      <x:c r="T16" s="11"/>
      <x:c r="U16" s="11"/>
      <x:c r="V16" s="11">
        <x:v>-2.1091386999999999</x:v>
      </x:c>
      <x:c r="W16" s="11">
        <x:v>106.0656738</x:v>
      </x:c>
      <x:c r="X16" s="65"/>
      <x:c r="Y16" s="29"/>
      <x:c r="Z16" s="51"/>
      <x:c r="AA16" s="53"/>
      <x:c r="AB16" s="56"/>
      <x:c r="AC16">
        <x:f t="shared" si="0"/>
        <x:v>1</x:v>
      </x:c>
      <x:c r="AD16">
        <x:f t="shared" si="1"/>
        <x:v>1</x:v>
      </x:c>
    </x:row>
    <x:row r="17" ht="9.75" customHeight="1">
      <x:c r="A17" s="32">
        <x:v>12</x:v>
      </x:c>
      <x:c r="B17" s="11" t="s">
        <x:v>78</x:v>
      </x:c>
      <x:c r="C17" s="6" t="s">
        <x:v>34</x:v>
      </x:c>
      <x:c r="D17" s="11" t="s">
        <x:v>60</x:v>
      </x:c>
      <x:c r="E17" s="11" t="s">
        <x:v>70</x:v>
      </x:c>
      <x:c r="F17" s="6" t="s">
        <x:v>79</x:v>
      </x:c>
      <x:c r="G17" s="6" t="s">
        <x:v>63</x:v>
      </x:c>
      <x:c r="H17" s="17" t="s">
        <x:v>64</x:v>
      </x:c>
      <x:c r="I17" s="17" t="s">
        <x:v>65</x:v>
      </x:c>
      <x:c r="J17" s="6">
        <x:v>2023</x:v>
      </x:c>
      <x:c r="K17" s="17">
        <x:v>84</x:v>
      </x:c>
      <x:c r="L17" s="11">
        <x:v>51</x:v>
      </x:c>
      <x:c r="M17" s="17">
        <x:v>38</x:v>
      </x:c>
      <x:c r="N17" s="17" t="s">
        <x:v>41</x:v>
      </x:c>
      <x:c r="O17" s="6" t="s">
        <x:v>42</x:v>
      </x:c>
      <x:c r="P17" s="6"/>
      <x:c r="Q17" s="23" t="s">
        <x:v>43</x:v>
      </x:c>
      <x:c r="R17" s="23"/>
      <x:c r="S17" s="20"/>
      <x:c r="T17" s="11" t="s">
        <x:v>44</x:v>
      </x:c>
      <x:c r="U17" s="11"/>
      <x:c r="V17" s="11">
        <x:v>-2.0843104000000001</x:v>
      </x:c>
      <x:c r="W17" s="11">
        <x:v>106.09608110000001</x:v>
      </x:c>
      <x:c r="X17" s="65"/>
      <x:c r="Y17" s="29"/>
      <x:c r="Z17" s="51"/>
      <x:c r="AA17" s="53"/>
      <x:c r="AB17" s="56"/>
      <x:c r="AC17">
        <x:f t="shared" si="0"/>
        <x:v>0.6071428571428571</x:v>
      </x:c>
      <x:c r="AD17">
        <x:f t="shared" si="1"/>
        <x:v>0.74509803921568629</x:v>
      </x:c>
    </x:row>
    <x:row r="18" ht="9.75" customHeight="1">
      <x:c r="A18" s="32">
        <x:v>13</x:v>
      </x:c>
      <x:c r="B18" s="11" t="s">
        <x:v>80</x:v>
      </x:c>
      <x:c r="C18" s="6" t="s">
        <x:v>34</x:v>
      </x:c>
      <x:c r="D18" s="11" t="s">
        <x:v>81</x:v>
      </x:c>
      <x:c r="E18" s="11" t="s">
        <x:v>82</x:v>
      </x:c>
      <x:c r="F18" s="6" t="s">
        <x:v>83</x:v>
      </x:c>
      <x:c r="G18" s="6" t="s">
        <x:v>84</x:v>
      </x:c>
      <x:c r="H18" s="17" t="s">
        <x:v>85</x:v>
      </x:c>
      <x:c r="I18" s="17" t="s">
        <x:v>86</x:v>
      </x:c>
      <x:c r="J18" s="6">
        <x:v>2022</x:v>
      </x:c>
      <x:c r="K18" s="17">
        <x:v>112</x:v>
      </x:c>
      <x:c r="L18" s="11">
        <x:v>98</x:v>
      </x:c>
      <x:c r="M18" s="17">
        <x:v>98</x:v>
      </x:c>
      <x:c r="N18" s="17" t="s">
        <x:v>41</x:v>
      </x:c>
      <x:c r="O18" s="6" t="s">
        <x:v>42</x:v>
      </x:c>
      <x:c r="P18" s="6"/>
      <x:c r="Q18" s="23" t="s">
        <x:v>43</x:v>
      </x:c>
      <x:c r="R18" s="23"/>
      <x:c r="S18" s="20"/>
      <x:c r="T18" s="11" t="s">
        <x:v>44</x:v>
      </x:c>
      <x:c r="U18" s="11"/>
      <x:c r="V18" s="11">
        <x:v>-2.1291820000000001</x:v>
      </x:c>
      <x:c r="W18" s="11">
        <x:v>106.14707799999999</x:v>
      </x:c>
      <x:c r="X18" s="65"/>
      <x:c r="Y18" s="29"/>
      <x:c r="Z18" s="51"/>
      <x:c r="AA18" s="53"/>
      <x:c r="AB18" s="56"/>
      <x:c r="AC18">
        <x:f t="shared" si="0"/>
        <x:v>0.875</x:v>
      </x:c>
      <x:c r="AD18">
        <x:f t="shared" si="1"/>
        <x:v>1</x:v>
      </x:c>
    </x:row>
    <x:row r="19" ht="9.75" customHeight="1">
      <x:c r="A19" s="32">
        <x:v>14</x:v>
      </x:c>
      <x:c r="B19" s="11" t="s">
        <x:v>87</x:v>
      </x:c>
      <x:c r="C19" s="6" t="s">
        <x:v>34</x:v>
      </x:c>
      <x:c r="D19" s="11" t="s">
        <x:v>81</x:v>
      </x:c>
      <x:c r="E19" s="11" t="s">
        <x:v>82</x:v>
      </x:c>
      <x:c r="F19" s="6" t="s">
        <x:v>83</x:v>
      </x:c>
      <x:c r="G19" s="6" t="s">
        <x:v>84</x:v>
      </x:c>
      <x:c r="H19" s="17" t="s">
        <x:v>85</x:v>
      </x:c>
      <x:c r="I19" s="17" t="s">
        <x:v>86</x:v>
      </x:c>
      <x:c r="J19" s="6">
        <x:v>2023</x:v>
      </x:c>
      <x:c r="K19" s="17">
        <x:v>41</x:v>
      </x:c>
      <x:c r="L19" s="11">
        <x:v>37</x:v>
      </x:c>
      <x:c r="M19" s="17">
        <x:v>37</x:v>
      </x:c>
      <x:c r="N19" s="17" t="s">
        <x:v>41</x:v>
      </x:c>
      <x:c r="O19" s="6" t="s">
        <x:v>42</x:v>
      </x:c>
      <x:c r="P19" s="6"/>
      <x:c r="Q19" s="23" t="s">
        <x:v>43</x:v>
      </x:c>
      <x:c r="R19" s="23" t="s">
        <x:v>88</x:v>
      </x:c>
      <x:c r="S19" s="20"/>
      <x:c r="T19" s="11" t="s">
        <x:v>44</x:v>
      </x:c>
      <x:c r="U19" s="11"/>
      <x:c r="V19" s="11">
        <x:v>-2.1291820000000001</x:v>
      </x:c>
      <x:c r="W19" s="11">
        <x:v>106.14707900000001</x:v>
      </x:c>
      <x:c r="X19" s="65"/>
      <x:c r="Y19" s="29"/>
      <x:c r="Z19" s="51"/>
      <x:c r="AA19" s="53"/>
      <x:c r="AB19" s="56"/>
      <x:c r="AC19">
        <x:f t="shared" si="0"/>
        <x:v>0.90243902439024393</x:v>
      </x:c>
      <x:c r="AD19">
        <x:f t="shared" si="1"/>
        <x:v>1</x:v>
      </x:c>
    </x:row>
    <x:row r="20" ht="9.75" customHeight="1">
      <x:c r="A20" s="32">
        <x:v>15</x:v>
      </x:c>
      <x:c r="B20" s="11" t="s">
        <x:v>89</x:v>
      </x:c>
      <x:c r="C20" s="6" t="s">
        <x:v>90</x:v>
      </x:c>
      <x:c r="D20" s="11" t="s">
        <x:v>60</x:v>
      </x:c>
      <x:c r="E20" s="11" t="s">
        <x:v>91</x:v>
      </x:c>
      <x:c r="F20" s="6" t="s">
        <x:v>92</x:v>
      </x:c>
      <x:c r="G20" s="6" t="s">
        <x:v>84</x:v>
      </x:c>
      <x:c r="H20" s="17" t="s">
        <x:v>85</x:v>
      </x:c>
      <x:c r="I20" s="17" t="s">
        <x:v>86</x:v>
      </x:c>
      <x:c r="J20" s="6">
        <x:v>2022</x:v>
      </x:c>
      <x:c r="K20" s="17">
        <x:v>107</x:v>
      </x:c>
      <x:c r="L20" s="11">
        <x:v>90</x:v>
      </x:c>
      <x:c r="M20" s="17">
        <x:v>0</x:v>
      </x:c>
      <x:c r="N20" s="17" t="s">
        <x:v>41</x:v>
      </x:c>
      <x:c r="O20" s="6" t="s">
        <x:v>42</x:v>
      </x:c>
      <x:c r="P20" s="6"/>
      <x:c r="Q20" s="23" t="s">
        <x:v>43</x:v>
      </x:c>
      <x:c r="R20" s="23" t="s">
        <x:v>88</x:v>
      </x:c>
      <x:c r="S20" s="20"/>
      <x:c r="T20" s="11" t="s">
        <x:v>44</x:v>
      </x:c>
      <x:c r="U20" s="11"/>
      <x:c r="V20" s="11">
        <x:v>-2.0851687000000001</x:v>
      </x:c>
      <x:c r="W20" s="11">
        <x:v>106.1168948</x:v>
      </x:c>
      <x:c r="X20" s="65"/>
      <x:c r="Y20" s="29"/>
      <x:c r="Z20" s="51"/>
      <x:c r="AA20" s="53"/>
      <x:c r="AB20" s="56"/>
      <x:c r="AC20">
        <x:f t="shared" si="0"/>
        <x:v>0.84112149532710279</x:v>
      </x:c>
      <x:c r="AD20">
        <x:f t="shared" si="1"/>
        <x:v>0</x:v>
      </x:c>
    </x:row>
    <x:row r="21" ht="9.75" customHeight="1">
      <x:c r="A21" s="32">
        <x:v>16</x:v>
      </x:c>
      <x:c r="B21" s="11" t="s">
        <x:v>93</x:v>
      </x:c>
      <x:c r="C21" s="6" t="s">
        <x:v>34</x:v>
      </x:c>
      <x:c r="D21" s="11" t="s">
        <x:v>60</x:v>
      </x:c>
      <x:c r="E21" s="11" t="s">
        <x:v>91</x:v>
      </x:c>
      <x:c r="F21" s="6" t="s">
        <x:v>92</x:v>
      </x:c>
      <x:c r="G21" s="6" t="s">
        <x:v>84</x:v>
      </x:c>
      <x:c r="H21" s="17" t="s">
        <x:v>85</x:v>
      </x:c>
      <x:c r="I21" s="17" t="s">
        <x:v>86</x:v>
      </x:c>
      <x:c r="J21" s="6">
        <x:v>2023</x:v>
      </x:c>
      <x:c r="K21" s="17">
        <x:v>24</x:v>
      </x:c>
      <x:c r="L21" s="11">
        <x:v>0</x:v>
      </x:c>
      <x:c r="M21" s="17">
        <x:v>0</x:v>
      </x:c>
      <x:c r="N21" s="17" t="s">
        <x:v>41</x:v>
      </x:c>
      <x:c r="O21" s="6" t="s">
        <x:v>42</x:v>
      </x:c>
      <x:c r="P21" s="6"/>
      <x:c r="Q21" s="23" t="s">
        <x:v>43</x:v>
      </x:c>
      <x:c r="R21" s="23" t="s">
        <x:v>88</x:v>
      </x:c>
      <x:c r="S21" s="20"/>
      <x:c r="T21" s="11" t="s">
        <x:v>44</x:v>
      </x:c>
      <x:c r="U21" s="11"/>
      <x:c r="V21" s="11">
        <x:v>-2.0851687000000001</x:v>
      </x:c>
      <x:c r="W21" s="11">
        <x:v>106.11689490000001</x:v>
      </x:c>
      <x:c r="X21" s="65"/>
      <x:c r="Y21" s="29"/>
      <x:c r="Z21" s="51"/>
      <x:c r="AA21" s="53"/>
      <x:c r="AB21" s="56"/>
      <x:c r="AC21">
        <x:f t="shared" si="0"/>
        <x:v>0</x:v>
      </x:c>
      <x:c r="AD21">
        <x:f t="shared" si="1"/>
        <x:v>0</x:v>
      </x:c>
    </x:row>
    <x:row r="22" ht="9.75" customHeight="1">
      <x:c r="A22" s="32">
        <x:v>17</x:v>
      </x:c>
      <x:c r="B22" s="11" t="s">
        <x:v>94</x:v>
      </x:c>
      <x:c r="C22" s="6" t="s">
        <x:v>34</x:v>
      </x:c>
      <x:c r="D22" s="11" t="s">
        <x:v>81</x:v>
      </x:c>
      <x:c r="E22" s="11" t="s">
        <x:v>95</x:v>
      </x:c>
      <x:c r="F22" s="6" t="s">
        <x:v>96</x:v>
      </x:c>
      <x:c r="G22" s="6" t="s">
        <x:v>84</x:v>
      </x:c>
      <x:c r="H22" s="17" t="s">
        <x:v>85</x:v>
      </x:c>
      <x:c r="I22" s="17" t="s">
        <x:v>86</x:v>
      </x:c>
      <x:c r="J22" s="6">
        <x:v>2023</x:v>
      </x:c>
      <x:c r="K22" s="17">
        <x:v>144</x:v>
      </x:c>
      <x:c r="L22" s="11">
        <x:v>8</x:v>
      </x:c>
      <x:c r="M22" s="17">
        <x:v>0</x:v>
      </x:c>
      <x:c r="N22" s="17" t="s">
        <x:v>41</x:v>
      </x:c>
      <x:c r="O22" s="6" t="s">
        <x:v>42</x:v>
      </x:c>
      <x:c r="P22" s="6"/>
      <x:c r="Q22" s="23" t="s">
        <x:v>43</x:v>
      </x:c>
      <x:c r="R22" s="23" t="s">
        <x:v>88</x:v>
      </x:c>
      <x:c r="S22" s="20"/>
      <x:c r="T22" s="11"/>
      <x:c r="U22" s="11"/>
      <x:c r="V22" s="11">
        <x:v>-2.1510370000000001</x:v>
      </x:c>
      <x:c r="W22" s="11">
        <x:v>106.1741657</x:v>
      </x:c>
      <x:c r="X22" s="65"/>
      <x:c r="Y22" s="29"/>
      <x:c r="Z22" s="51"/>
      <x:c r="AA22" s="53"/>
      <x:c r="AB22" s="56"/>
      <x:c r="AC22">
        <x:f t="shared" si="0"/>
        <x:v>5.5555555555555552E-2</x:v>
      </x:c>
      <x:c r="AD22">
        <x:f t="shared" si="1"/>
        <x:v>0</x:v>
      </x:c>
    </x:row>
    <x:row r="23" ht="9.75" customHeight="1">
      <x:c r="A23" s="32">
        <x:v>18</x:v>
      </x:c>
      <x:c r="B23" s="11" t="s">
        <x:v>97</x:v>
      </x:c>
      <x:c r="C23" s="6" t="s">
        <x:v>34</x:v>
      </x:c>
      <x:c r="D23" s="11" t="s">
        <x:v>81</x:v>
      </x:c>
      <x:c r="E23" s="11" t="s">
        <x:v>95</x:v>
      </x:c>
      <x:c r="F23" s="6" t="s">
        <x:v>96</x:v>
      </x:c>
      <x:c r="G23" s="6" t="s">
        <x:v>84</x:v>
      </x:c>
      <x:c r="H23" s="17" t="s">
        <x:v>85</x:v>
      </x:c>
      <x:c r="I23" s="17" t="s">
        <x:v>86</x:v>
      </x:c>
      <x:c r="J23" s="6">
        <x:v>2023</x:v>
      </x:c>
      <x:c r="K23" s="17">
        <x:v>82</x:v>
      </x:c>
      <x:c r="L23" s="11">
        <x:v>0</x:v>
      </x:c>
      <x:c r="M23" s="17">
        <x:v>0</x:v>
      </x:c>
      <x:c r="N23" s="17" t="s">
        <x:v>41</x:v>
      </x:c>
      <x:c r="O23" s="6" t="s">
        <x:v>42</x:v>
      </x:c>
      <x:c r="P23" s="6"/>
      <x:c r="Q23" s="23" t="s">
        <x:v>43</x:v>
      </x:c>
      <x:c r="R23" s="23" t="s">
        <x:v>88</x:v>
      </x:c>
      <x:c r="S23" s="20"/>
      <x:c r="T23" s="11"/>
      <x:c r="U23" s="11"/>
      <x:c r="V23" s="11">
        <x:v>-2.1510370000000001</x:v>
      </x:c>
      <x:c r="W23" s="11">
        <x:v>106.1741657</x:v>
      </x:c>
      <x:c r="X23" s="65"/>
      <x:c r="Y23" s="29"/>
      <x:c r="Z23" s="51"/>
      <x:c r="AA23" s="53"/>
      <x:c r="AB23" s="56"/>
      <x:c r="AC23">
        <x:f t="shared" si="0"/>
        <x:v>0</x:v>
      </x:c>
      <x:c r="AD23">
        <x:f t="shared" si="1"/>
        <x:v>0</x:v>
      </x:c>
    </x:row>
    <x:row r="24" ht="9.75" customHeight="1">
      <x:c r="A24" s="32">
        <x:v>19</x:v>
      </x:c>
      <x:c r="B24" s="11" t="s">
        <x:v>98</x:v>
      </x:c>
      <x:c r="C24" s="6" t="s">
        <x:v>34</x:v>
      </x:c>
      <x:c r="D24" s="11" t="s">
        <x:v>99</x:v>
      </x:c>
      <x:c r="E24" s="11" t="s">
        <x:v>100</x:v>
      </x:c>
      <x:c r="F24" s="6" t="s">
        <x:v>101</x:v>
      </x:c>
      <x:c r="G24" s="6" t="s">
        <x:v>102</x:v>
      </x:c>
      <x:c r="H24" s="17" t="s">
        <x:v>42</x:v>
      </x:c>
      <x:c r="I24" s="17" t="s">
        <x:v>42</x:v>
      </x:c>
      <x:c r="J24" s="6">
        <x:v>2023</x:v>
      </x:c>
      <x:c r="K24" s="17">
        <x:v>34</x:v>
      </x:c>
      <x:c r="L24" s="11">
        <x:v>11</x:v>
      </x:c>
      <x:c r="M24" s="17">
        <x:v>0</x:v>
      </x:c>
      <x:c r="N24" s="17" t="s">
        <x:v>41</x:v>
      </x:c>
      <x:c r="O24" s="6" t="s">
        <x:v>42</x:v>
      </x:c>
      <x:c r="P24" s="6"/>
      <x:c r="Q24" s="23" t="s">
        <x:v>43</x:v>
      </x:c>
      <x:c r="R24" s="23"/>
      <x:c r="S24" s="20"/>
      <x:c r="T24" s="11"/>
      <x:c r="U24" s="11"/>
      <x:c r="V24" s="11">
        <x:v>-2.1040527</x:v>
      </x:c>
      <x:c r="W24" s="11">
        <x:v>106.13135629999999</x:v>
      </x:c>
      <x:c r="X24" s="65"/>
      <x:c r="Y24" s="29"/>
      <x:c r="Z24" s="51"/>
      <x:c r="AA24" s="53"/>
      <x:c r="AB24" s="56"/>
      <x:c r="AC24">
        <x:f t="shared" si="0"/>
        <x:v>0.3235294117647059</x:v>
      </x:c>
      <x:c r="AD24">
        <x:f t="shared" si="1"/>
        <x:v>0</x:v>
      </x:c>
    </x:row>
    <x:row r="25" ht="9.75" customHeight="1">
      <x:c r="A25" s="32">
        <x:v>20</x:v>
      </x:c>
      <x:c r="B25" s="11" t="s">
        <x:v>103</x:v>
      </x:c>
      <x:c r="C25" s="6" t="s">
        <x:v>34</x:v>
      </x:c>
      <x:c r="D25" s="11" t="s">
        <x:v>35</x:v>
      </x:c>
      <x:c r="E25" s="11" t="s">
        <x:v>36</x:v>
      </x:c>
      <x:c r="F25" s="6" t="s">
        <x:v>104</x:v>
      </x:c>
      <x:c r="G25" s="6" t="s">
        <x:v>105</x:v>
      </x:c>
      <x:c r="H25" s="17" t="s">
        <x:v>106</x:v>
      </x:c>
      <x:c r="I25" s="17" t="s">
        <x:v>86</x:v>
      </x:c>
      <x:c r="J25" s="6">
        <x:v>2017</x:v>
      </x:c>
      <x:c r="K25" s="17">
        <x:v>75</x:v>
      </x:c>
      <x:c r="L25" s="11">
        <x:v>75</x:v>
      </x:c>
      <x:c r="M25" s="17">
        <x:v>75</x:v>
      </x:c>
      <x:c r="N25" s="17" t="s">
        <x:v>41</x:v>
      </x:c>
      <x:c r="O25" s="6" t="s">
        <x:v>42</x:v>
      </x:c>
      <x:c r="P25" s="6"/>
      <x:c r="Q25" s="23" t="s">
        <x:v>43</x:v>
      </x:c>
      <x:c r="R25" s="23"/>
      <x:c r="S25" s="20"/>
      <x:c r="T25" s="11"/>
      <x:c r="U25" s="11"/>
      <x:c r="V25" s="11">
        <x:v>-2.1027433000000002</x:v>
      </x:c>
      <x:c r="W25" s="11">
        <x:v>106.0581504</x:v>
      </x:c>
      <x:c r="X25" s="65"/>
      <x:c r="Y25" s="29"/>
      <x:c r="Z25" s="51"/>
      <x:c r="AA25" s="53"/>
      <x:c r="AB25" s="56"/>
      <x:c r="AC25">
        <x:f t="shared" si="0"/>
        <x:v>1</x:v>
      </x:c>
      <x:c r="AD25">
        <x:f t="shared" si="1"/>
        <x:v>1</x:v>
      </x:c>
    </x:row>
    <x:row r="26" ht="9.75" customHeight="1">
      <x:c r="A26" s="32">
        <x:v>21</x:v>
      </x:c>
      <x:c r="B26" s="11" t="s">
        <x:v>107</x:v>
      </x:c>
      <x:c r="C26" s="6" t="s">
        <x:v>34</x:v>
      </x:c>
      <x:c r="D26" s="11" t="s">
        <x:v>35</x:v>
      </x:c>
      <x:c r="E26" s="11" t="s">
        <x:v>36</x:v>
      </x:c>
      <x:c r="F26" s="6" t="s">
        <x:v>104</x:v>
      </x:c>
      <x:c r="G26" s="6" t="s">
        <x:v>105</x:v>
      </x:c>
      <x:c r="H26" s="17" t="s">
        <x:v>106</x:v>
      </x:c>
      <x:c r="I26" s="17" t="s">
        <x:v>86</x:v>
      </x:c>
      <x:c r="J26" s="6">
        <x:v>2018</x:v>
      </x:c>
      <x:c r="K26" s="17">
        <x:v>42</x:v>
      </x:c>
      <x:c r="L26" s="11">
        <x:v>28</x:v>
      </x:c>
      <x:c r="M26" s="17">
        <x:v>28</x:v>
      </x:c>
      <x:c r="N26" s="17" t="s">
        <x:v>41</x:v>
      </x:c>
      <x:c r="O26" s="6" t="s">
        <x:v>42</x:v>
      </x:c>
      <x:c r="P26" s="6"/>
      <x:c r="Q26" s="23" t="s">
        <x:v>43</x:v>
      </x:c>
      <x:c r="R26" s="23"/>
      <x:c r="S26" s="20"/>
      <x:c r="T26" s="11"/>
      <x:c r="U26" s="11"/>
      <x:c r="V26" s="11">
        <x:v>-2.1027433000000002</x:v>
      </x:c>
      <x:c r="W26" s="11">
        <x:v>106.0581504</x:v>
      </x:c>
      <x:c r="X26" s="65"/>
      <x:c r="Y26" s="29"/>
      <x:c r="Z26" s="51"/>
      <x:c r="AA26" s="53"/>
      <x:c r="AB26" s="56"/>
      <x:c r="AC26">
        <x:f t="shared" si="0"/>
        <x:v>0.66666666666666663</x:v>
      </x:c>
      <x:c r="AD26">
        <x:f t="shared" si="1"/>
        <x:v>1</x:v>
      </x:c>
    </x:row>
    <x:row r="27" ht="9.75" customHeight="1">
      <x:c r="A27" s="32">
        <x:v>22</x:v>
      </x:c>
      <x:c r="B27" s="11" t="s">
        <x:v>108</x:v>
      </x:c>
      <x:c r="C27" s="6" t="s">
        <x:v>34</x:v>
      </x:c>
      <x:c r="D27" s="11" t="s">
        <x:v>35</x:v>
      </x:c>
      <x:c r="E27" s="11" t="s">
        <x:v>36</x:v>
      </x:c>
      <x:c r="F27" s="6" t="s">
        <x:v>109</x:v>
      </x:c>
      <x:c r="G27" s="6" t="s">
        <x:v>110</x:v>
      </x:c>
      <x:c r="H27" s="17" t="s">
        <x:v>111</x:v>
      </x:c>
      <x:c r="I27" s="17" t="s">
        <x:v>112</x:v>
      </x:c>
      <x:c r="J27" s="6">
        <x:v>2020</x:v>
      </x:c>
      <x:c r="K27" s="17">
        <x:v>33</x:v>
      </x:c>
      <x:c r="L27" s="11">
        <x:v>33</x:v>
      </x:c>
      <x:c r="M27" s="17">
        <x:v>31</x:v>
      </x:c>
      <x:c r="N27" s="17" t="s">
        <x:v>48</x:v>
      </x:c>
      <x:c r="O27" s="6">
        <x:v>2023</x:v>
      </x:c>
      <x:c r="P27" s="6"/>
      <x:c r="Q27" s="23" t="s">
        <x:v>43</x:v>
      </x:c>
      <x:c r="R27" s="23" t="s">
        <x:v>113</x:v>
      </x:c>
      <x:c r="S27" s="20"/>
      <x:c r="T27" s="11"/>
      <x:c r="U27" s="11"/>
      <x:c r="V27" s="11">
        <x:v>-2.1046360000000002</x:v>
      </x:c>
      <x:c r="W27" s="11">
        <x:v>106.08262999999999</x:v>
      </x:c>
      <x:c r="X27" s="65"/>
      <x:c r="Y27" s="29"/>
      <x:c r="Z27" s="51"/>
      <x:c r="AA27" s="53"/>
      <x:c r="AB27" s="56"/>
      <x:c r="AC27">
        <x:f t="shared" si="0"/>
        <x:v>1</x:v>
      </x:c>
      <x:c r="AD27">
        <x:f t="shared" si="1"/>
        <x:v>0.93939393939393945</x:v>
      </x:c>
    </x:row>
    <x:row r="28" ht="9.75" customHeight="1">
      <x:c r="A28" s="32">
        <x:v>23</x:v>
      </x:c>
      <x:c r="B28" s="11" t="s">
        <x:v>114</x:v>
      </x:c>
      <x:c r="C28" s="6" t="s">
        <x:v>34</x:v>
      </x:c>
      <x:c r="D28" s="11" t="s">
        <x:v>35</x:v>
      </x:c>
      <x:c r="E28" s="11" t="s">
        <x:v>46</x:v>
      </x:c>
      <x:c r="F28" s="6" t="s">
        <x:v>42</x:v>
      </x:c>
      <x:c r="G28" s="6" t="s">
        <x:v>110</x:v>
      </x:c>
      <x:c r="H28" s="17" t="s">
        <x:v>111</x:v>
      </x:c>
      <x:c r="I28" s="17" t="s">
        <x:v>112</x:v>
      </x:c>
      <x:c r="J28" s="6">
        <x:v>2023</x:v>
      </x:c>
      <x:c r="K28" s="17">
        <x:v>46</x:v>
      </x:c>
      <x:c r="L28" s="11">
        <x:v>46</x:v>
      </x:c>
      <x:c r="M28" s="17">
        <x:v>39</x:v>
      </x:c>
      <x:c r="N28" s="17" t="s">
        <x:v>48</x:v>
      </x:c>
      <x:c r="O28" s="6">
        <x:v>2024</x:v>
      </x:c>
      <x:c r="P28" s="6"/>
      <x:c r="Q28" s="23" t="s">
        <x:v>43</x:v>
      </x:c>
      <x:c r="R28" s="23"/>
      <x:c r="S28" s="20"/>
      <x:c r="T28" s="11"/>
      <x:c r="U28" s="11"/>
      <x:c r="V28" s="11">
        <x:v>-2.1201479999999999</x:v>
      </x:c>
      <x:c r="W28" s="11">
        <x:v>106.068039</x:v>
      </x:c>
      <x:c r="X28" s="65"/>
      <x:c r="Y28" s="29"/>
      <x:c r="Z28" s="51"/>
      <x:c r="AA28" s="53"/>
      <x:c r="AB28" s="56"/>
      <x:c r="AC28">
        <x:f t="shared" si="0"/>
        <x:v>1</x:v>
      </x:c>
      <x:c r="AD28">
        <x:f t="shared" si="1"/>
        <x:v>0.84782608695652173</x:v>
      </x:c>
    </x:row>
    <x:row r="29" ht="9.75" customHeight="1">
      <x:c r="A29" s="32">
        <x:v>24</x:v>
      </x:c>
      <x:c r="B29" s="11" t="s">
        <x:v>115</x:v>
      </x:c>
      <x:c r="C29" s="6" t="s">
        <x:v>34</x:v>
      </x:c>
      <x:c r="D29" s="11" t="s">
        <x:v>60</x:v>
      </x:c>
      <x:c r="E29" s="11" t="s">
        <x:v>70</x:v>
      </x:c>
      <x:c r="F29" s="6" t="s">
        <x:v>116</x:v>
      </x:c>
      <x:c r="G29" s="6" t="s">
        <x:v>110</x:v>
      </x:c>
      <x:c r="H29" s="17" t="s">
        <x:v>111</x:v>
      </x:c>
      <x:c r="I29" s="17" t="s">
        <x:v>112</x:v>
      </x:c>
      <x:c r="J29" s="6">
        <x:v>2023</x:v>
      </x:c>
      <x:c r="K29" s="17">
        <x:v>57</x:v>
      </x:c>
      <x:c r="L29" s="11">
        <x:v>5</x:v>
      </x:c>
      <x:c r="M29" s="17">
        <x:v>0</x:v>
      </x:c>
      <x:c r="N29" s="17" t="s">
        <x:v>41</x:v>
      </x:c>
      <x:c r="O29" s="6" t="s">
        <x:v>42</x:v>
      </x:c>
      <x:c r="P29" s="6"/>
      <x:c r="Q29" s="23" t="s">
        <x:v>43</x:v>
      </x:c>
      <x:c r="R29" s="23"/>
      <x:c r="S29" s="20"/>
      <x:c r="T29" s="11"/>
      <x:c r="U29" s="11"/>
      <x:c r="V29" s="11">
        <x:v>-2.0965927</x:v>
      </x:c>
      <x:c r="W29" s="11">
        <x:v>106.0855923</x:v>
      </x:c>
      <x:c r="X29" s="65"/>
      <x:c r="Y29" s="29"/>
      <x:c r="Z29" s="51"/>
      <x:c r="AA29" s="53"/>
      <x:c r="AB29" s="56"/>
      <x:c r="AC29">
        <x:f t="shared" si="0"/>
        <x:v>8.771929824561403E-2</x:v>
      </x:c>
      <x:c r="AD29">
        <x:f t="shared" si="1"/>
        <x:v>0</x:v>
      </x:c>
    </x:row>
    <x:row r="30" ht="9.75" customHeight="1">
      <x:c r="A30" s="32">
        <x:v>25</x:v>
      </x:c>
      <x:c r="B30" s="11" t="s">
        <x:v>117</x:v>
      </x:c>
      <x:c r="C30" s="6" t="s">
        <x:v>34</x:v>
      </x:c>
      <x:c r="D30" s="11" t="s">
        <x:v>60</x:v>
      </x:c>
      <x:c r="E30" s="11" t="s">
        <x:v>61</x:v>
      </x:c>
      <x:c r="F30" s="6" t="s">
        <x:v>118</x:v>
      </x:c>
      <x:c r="G30" s="6" t="s">
        <x:v>110</x:v>
      </x:c>
      <x:c r="H30" s="17" t="s">
        <x:v>111</x:v>
      </x:c>
      <x:c r="I30" s="17" t="s">
        <x:v>112</x:v>
      </x:c>
      <x:c r="J30" s="6">
        <x:v>2024</x:v>
      </x:c>
      <x:c r="K30" s="17">
        <x:v>37</x:v>
      </x:c>
      <x:c r="L30" s="11">
        <x:v>26</x:v>
      </x:c>
      <x:c r="M30" s="17">
        <x:v>13</x:v>
      </x:c>
      <x:c r="N30" s="17" t="s">
        <x:v>41</x:v>
      </x:c>
      <x:c r="O30" s="6" t="s">
        <x:v>42</x:v>
      </x:c>
      <x:c r="P30" s="6"/>
      <x:c r="Q30" s="23" t="s">
        <x:v>43</x:v>
      </x:c>
      <x:c r="R30" s="23"/>
      <x:c r="S30" s="20"/>
      <x:c r="T30" s="11"/>
      <x:c r="U30" s="11"/>
      <x:c r="V30" s="11">
        <x:v>-2.0999433999999999</x:v>
      </x:c>
      <x:c r="W30" s="11">
        <x:v>106.09478319999999</x:v>
      </x:c>
      <x:c r="X30" s="65"/>
      <x:c r="Y30" s="29"/>
      <x:c r="Z30" s="51"/>
      <x:c r="AA30" s="53"/>
      <x:c r="AB30" s="56"/>
      <x:c r="AC30">
        <x:f t="shared" si="0"/>
        <x:v>0.70270270270270274</x:v>
      </x:c>
      <x:c r="AD30">
        <x:f t="shared" si="1"/>
        <x:v>0.5</x:v>
      </x:c>
    </x:row>
    <x:row r="31" ht="9.75" customHeight="1">
      <x:c r="A31" s="32">
        <x:v>26</x:v>
      </x:c>
      <x:c r="B31" s="11" t="s">
        <x:v>119</x:v>
      </x:c>
      <x:c r="C31" s="6" t="s">
        <x:v>34</x:v>
      </x:c>
      <x:c r="D31" s="11" t="s">
        <x:v>35</x:v>
      </x:c>
      <x:c r="E31" s="11" t="s">
        <x:v>36</x:v>
      </x:c>
      <x:c r="F31" s="6" t="s">
        <x:v>120</x:v>
      </x:c>
      <x:c r="G31" s="6" t="s">
        <x:v>110</x:v>
      </x:c>
      <x:c r="H31" s="17" t="s">
        <x:v>111</x:v>
      </x:c>
      <x:c r="I31" s="17" t="s">
        <x:v>112</x:v>
      </x:c>
      <x:c r="J31" s="6">
        <x:v>2025</x:v>
      </x:c>
      <x:c r="K31" s="17">
        <x:v>51</x:v>
      </x:c>
      <x:c r="L31" s="11">
        <x:v>0</x:v>
      </x:c>
      <x:c r="M31" s="17">
        <x:v>0</x:v>
      </x:c>
      <x:c r="N31" s="17" t="s">
        <x:v>41</x:v>
      </x:c>
      <x:c r="O31" s="6" t="s">
        <x:v>42</x:v>
      </x:c>
      <x:c r="P31" s="6"/>
      <x:c r="Q31" s="23" t="s">
        <x:v>43</x:v>
      </x:c>
      <x:c r="R31" s="23"/>
      <x:c r="S31" s="20"/>
      <x:c r="T31" s="11"/>
      <x:c r="U31" s="11"/>
      <x:c r="V31" s="11"/>
      <x:c r="W31" s="11"/>
      <x:c r="X31" s="65"/>
      <x:c r="Y31" s="29"/>
      <x:c r="Z31" s="51"/>
      <x:c r="AA31" s="53"/>
      <x:c r="AB31" s="56"/>
      <x:c r="AC31">
        <x:f t="shared" si="0"/>
        <x:v>0</x:v>
      </x:c>
      <x:c r="AD31">
        <x:f t="shared" si="1"/>
        <x:v>0</x:v>
      </x:c>
    </x:row>
    <x:row r="32" ht="9.75" customHeight="1">
      <x:c r="A32" s="32">
        <x:v>27</x:v>
      </x:c>
      <x:c r="B32" s="11" t="s">
        <x:v>121</x:v>
      </x:c>
      <x:c r="C32" s="6" t="s">
        <x:v>34</x:v>
      </x:c>
      <x:c r="D32" s="11" t="s">
        <x:v>81</x:v>
      </x:c>
      <x:c r="E32" s="11" t="s">
        <x:v>122</x:v>
      </x:c>
      <x:c r="F32" s="6" t="s">
        <x:v>123</x:v>
      </x:c>
      <x:c r="G32" s="6" t="s">
        <x:v>124</x:v>
      </x:c>
      <x:c r="H32" s="17" t="s">
        <x:v>125</x:v>
      </x:c>
      <x:c r="I32" s="17" t="s">
        <x:v>40</x:v>
      </x:c>
      <x:c r="J32" s="6">
        <x:v>2020</x:v>
      </x:c>
      <x:c r="K32" s="17">
        <x:v>71</x:v>
      </x:c>
      <x:c r="L32" s="11">
        <x:v>69</x:v>
      </x:c>
      <x:c r="M32" s="17">
        <x:v>67</x:v>
      </x:c>
      <x:c r="N32" s="17" t="s">
        <x:v>48</x:v>
      </x:c>
      <x:c r="O32" s="6">
        <x:v>2024</x:v>
      </x:c>
      <x:c r="P32" s="6"/>
      <x:c r="Q32" s="23" t="s">
        <x:v>43</x:v>
      </x:c>
      <x:c r="R32" s="23" t="s">
        <x:v>113</x:v>
      </x:c>
      <x:c r="S32" s="20"/>
      <x:c r="T32" s="11"/>
      <x:c r="U32" s="11"/>
      <x:c r="V32" s="11">
        <x:v>-2.1265749999999999</x:v>
      </x:c>
      <x:c r="W32" s="11">
        <x:v>106.16171900000001</x:v>
      </x:c>
      <x:c r="X32" s="65"/>
      <x:c r="Y32" s="29"/>
      <x:c r="Z32" s="51"/>
      <x:c r="AA32" s="53"/>
      <x:c r="AB32" s="56"/>
      <x:c r="AC32">
        <x:f t="shared" si="0"/>
        <x:v>0.971830985915493</x:v>
      </x:c>
      <x:c r="AD32">
        <x:f t="shared" si="1"/>
        <x:v>0.97101449275362317</x:v>
      </x:c>
    </x:row>
    <x:row r="33" ht="9.75" customHeight="1">
      <x:c r="A33" s="32">
        <x:v>28</x:v>
      </x:c>
      <x:c r="B33" s="11" t="s">
        <x:v>126</x:v>
      </x:c>
      <x:c r="C33" s="6" t="s">
        <x:v>34</x:v>
      </x:c>
      <x:c r="D33" s="11" t="s">
        <x:v>81</x:v>
      </x:c>
      <x:c r="E33" s="11" t="s">
        <x:v>122</x:v>
      </x:c>
      <x:c r="F33" s="6" t="s">
        <x:v>127</x:v>
      </x:c>
      <x:c r="G33" s="6" t="s">
        <x:v>124</x:v>
      </x:c>
      <x:c r="H33" s="17" t="s">
        <x:v>125</x:v>
      </x:c>
      <x:c r="I33" s="17" t="s">
        <x:v>40</x:v>
      </x:c>
      <x:c r="J33" s="6">
        <x:v>2022</x:v>
      </x:c>
      <x:c r="K33" s="17">
        <x:v>48</x:v>
      </x:c>
      <x:c r="L33" s="11">
        <x:v>48</x:v>
      </x:c>
      <x:c r="M33" s="17">
        <x:v>44</x:v>
      </x:c>
      <x:c r="N33" s="17" t="s">
        <x:v>48</x:v>
      </x:c>
      <x:c r="O33" s="6">
        <x:v>2024</x:v>
      </x:c>
      <x:c r="P33" s="6"/>
      <x:c r="Q33" s="23" t="s">
        <x:v>43</x:v>
      </x:c>
      <x:c r="R33" s="23" t="s">
        <x:v>113</x:v>
      </x:c>
      <x:c r="S33" s="20"/>
      <x:c r="T33" s="11"/>
      <x:c r="U33" s="11"/>
      <x:c r="V33" s="11">
        <x:v>-2.1265160000000001</x:v>
      </x:c>
      <x:c r="W33" s="11">
        <x:v>106.162347</x:v>
      </x:c>
      <x:c r="X33" s="65"/>
      <x:c r="Y33" s="29"/>
      <x:c r="Z33" s="51"/>
      <x:c r="AA33" s="53"/>
      <x:c r="AB33" s="56"/>
      <x:c r="AC33">
        <x:f t="shared" si="0"/>
        <x:v>1</x:v>
      </x:c>
      <x:c r="AD33">
        <x:f t="shared" si="1"/>
        <x:v>0.91666666666666663</x:v>
      </x:c>
    </x:row>
    <x:row r="34" ht="9.75" customHeight="1">
      <x:c r="A34" s="32">
        <x:v>29</x:v>
      </x:c>
      <x:c r="B34" s="11" t="s">
        <x:v>128</x:v>
      </x:c>
      <x:c r="C34" s="6" t="s">
        <x:v>34</x:v>
      </x:c>
      <x:c r="D34" s="11" t="s">
        <x:v>81</x:v>
      </x:c>
      <x:c r="E34" s="11" t="s">
        <x:v>122</x:v>
      </x:c>
      <x:c r="F34" s="6" t="s">
        <x:v>129</x:v>
      </x:c>
      <x:c r="G34" s="6" t="s">
        <x:v>124</x:v>
      </x:c>
      <x:c r="H34" s="17" t="s">
        <x:v>125</x:v>
      </x:c>
      <x:c r="I34" s="17" t="s">
        <x:v>40</x:v>
      </x:c>
      <x:c r="J34" s="6">
        <x:v>2022</x:v>
      </x:c>
      <x:c r="K34" s="17">
        <x:v>42</x:v>
      </x:c>
      <x:c r="L34" s="11">
        <x:v>42</x:v>
      </x:c>
      <x:c r="M34" s="17">
        <x:v>37</x:v>
      </x:c>
      <x:c r="N34" s="17" t="s">
        <x:v>48</x:v>
      </x:c>
      <x:c r="O34" s="6">
        <x:v>2024</x:v>
      </x:c>
      <x:c r="P34" s="6"/>
      <x:c r="Q34" s="23" t="s">
        <x:v>43</x:v>
      </x:c>
      <x:c r="R34" s="23" t="s">
        <x:v>113</x:v>
      </x:c>
      <x:c r="S34" s="20"/>
      <x:c r="T34" s="11"/>
      <x:c r="U34" s="11"/>
      <x:c r="V34" s="11">
        <x:v>-2.1265869999999998</x:v>
      </x:c>
      <x:c r="W34" s="11">
        <x:v>106.163877</x:v>
      </x:c>
      <x:c r="X34" s="65"/>
      <x:c r="Y34" s="29"/>
      <x:c r="Z34" s="51"/>
      <x:c r="AA34" s="53"/>
      <x:c r="AB34" s="56"/>
      <x:c r="AC34">
        <x:f t="shared" si="0"/>
        <x:v>1</x:v>
      </x:c>
      <x:c r="AD34">
        <x:f t="shared" si="1"/>
        <x:v>0.88095238095238093</x:v>
      </x:c>
    </x:row>
    <x:row r="35" ht="9.75" customHeight="1">
      <x:c r="A35" s="32">
        <x:v>30</x:v>
      </x:c>
      <x:c r="B35" s="11" t="s">
        <x:v>130</x:v>
      </x:c>
      <x:c r="C35" s="6" t="s">
        <x:v>34</x:v>
      </x:c>
      <x:c r="D35" s="11" t="s">
        <x:v>81</x:v>
      </x:c>
      <x:c r="E35" s="11" t="s">
        <x:v>122</x:v>
      </x:c>
      <x:c r="F35" s="6" t="s">
        <x:v>129</x:v>
      </x:c>
      <x:c r="G35" s="6" t="s">
        <x:v>124</x:v>
      </x:c>
      <x:c r="H35" s="17" t="s">
        <x:v>125</x:v>
      </x:c>
      <x:c r="I35" s="17" t="s">
        <x:v>40</x:v>
      </x:c>
      <x:c r="J35" s="6">
        <x:v>2023</x:v>
      </x:c>
      <x:c r="K35" s="17">
        <x:v>118</x:v>
      </x:c>
      <x:c r="L35" s="11">
        <x:v>113</x:v>
      </x:c>
      <x:c r="M35" s="17">
        <x:v>113</x:v>
      </x:c>
      <x:c r="N35" s="17" t="s">
        <x:v>41</x:v>
      </x:c>
      <x:c r="O35" s="6" t="s">
        <x:v>42</x:v>
      </x:c>
      <x:c r="P35" s="6"/>
      <x:c r="Q35" s="23" t="s">
        <x:v>43</x:v>
      </x:c>
      <x:c r="R35" s="23"/>
      <x:c r="S35" s="20"/>
      <x:c r="T35" s="11"/>
      <x:c r="U35" s="11"/>
      <x:c r="V35" s="11">
        <x:v>-2.1284293000000001</x:v>
      </x:c>
      <x:c r="W35" s="11">
        <x:v>106.1647957</x:v>
      </x:c>
      <x:c r="X35" s="65"/>
      <x:c r="Y35" s="29"/>
      <x:c r="Z35" s="51"/>
      <x:c r="AA35" s="53"/>
      <x:c r="AB35" s="56"/>
      <x:c r="AC35">
        <x:f t="shared" si="0"/>
        <x:v>0.9576271186440678</x:v>
      </x:c>
      <x:c r="AD35">
        <x:f t="shared" si="1"/>
        <x:v>1</x:v>
      </x:c>
    </x:row>
    <x:row r="36" ht="9.75" customHeight="1">
      <x:c r="A36" s="32">
        <x:v>31</x:v>
      </x:c>
      <x:c r="B36" s="11" t="s">
        <x:v>131</x:v>
      </x:c>
      <x:c r="C36" s="6" t="s">
        <x:v>34</x:v>
      </x:c>
      <x:c r="D36" s="11" t="s">
        <x:v>35</x:v>
      </x:c>
      <x:c r="E36" s="11" t="s">
        <x:v>36</x:v>
      </x:c>
      <x:c r="F36" s="6" t="s">
        <x:v>132</x:v>
      </x:c>
      <x:c r="G36" s="6" t="s">
        <x:v>133</x:v>
      </x:c>
      <x:c r="H36" s="17" t="s">
        <x:v>134</x:v>
      </x:c>
      <x:c r="I36" s="17" t="s">
        <x:v>86</x:v>
      </x:c>
      <x:c r="J36" s="6">
        <x:v>2021</x:v>
      </x:c>
      <x:c r="K36" s="17">
        <x:v>37</x:v>
      </x:c>
      <x:c r="L36" s="11">
        <x:v>37</x:v>
      </x:c>
      <x:c r="M36" s="17">
        <x:v>37</x:v>
      </x:c>
      <x:c r="N36" s="17" t="s">
        <x:v>41</x:v>
      </x:c>
      <x:c r="O36" s="6" t="s">
        <x:v>42</x:v>
      </x:c>
      <x:c r="P36" s="6"/>
      <x:c r="Q36" s="23" t="s">
        <x:v>43</x:v>
      </x:c>
      <x:c r="R36" s="23"/>
      <x:c r="S36" s="20"/>
      <x:c r="T36" s="11" t="s">
        <x:v>44</x:v>
      </x:c>
      <x:c r="U36" s="11"/>
      <x:c r="V36" s="11">
        <x:v>-2.0998827000000002</x:v>
      </x:c>
      <x:c r="W36" s="11">
        <x:v>106.07701280000001</x:v>
      </x:c>
      <x:c r="X36" s="65"/>
      <x:c r="Y36" s="29"/>
      <x:c r="Z36" s="51"/>
      <x:c r="AA36" s="53"/>
      <x:c r="AB36" s="56"/>
      <x:c r="AC36">
        <x:f t="shared" si="0"/>
        <x:v>1</x:v>
      </x:c>
      <x:c r="AD36">
        <x:f t="shared" si="1"/>
        <x:v>1</x:v>
      </x:c>
    </x:row>
    <x:row r="37" ht="9.75" customHeight="1">
      <x:c r="A37" s="32">
        <x:v>32</x:v>
      </x:c>
      <x:c r="B37" s="11" t="s">
        <x:v>135</x:v>
      </x:c>
      <x:c r="C37" s="6" t="s">
        <x:v>34</x:v>
      </x:c>
      <x:c r="D37" s="11" t="s">
        <x:v>35</x:v>
      </x:c>
      <x:c r="E37" s="11" t="s">
        <x:v>136</x:v>
      </x:c>
      <x:c r="F37" s="6" t="s">
        <x:v>137</x:v>
      </x:c>
      <x:c r="G37" s="6" t="s">
        <x:v>42</x:v>
      </x:c>
      <x:c r="H37" s="17" t="s">
        <x:v>42</x:v>
      </x:c>
      <x:c r="I37" s="17" t="s">
        <x:v>42</x:v>
      </x:c>
      <x:c r="J37" s="6">
        <x:v>2019</x:v>
      </x:c>
      <x:c r="K37" s="17">
        <x:v>7</x:v>
      </x:c>
      <x:c r="L37" s="11">
        <x:v>7</x:v>
      </x:c>
      <x:c r="M37" s="17">
        <x:v>7</x:v>
      </x:c>
      <x:c r="N37" s="17" t="s">
        <x:v>41</x:v>
      </x:c>
      <x:c r="O37" s="6" t="s">
        <x:v>42</x:v>
      </x:c>
      <x:c r="P37" s="6"/>
      <x:c r="Q37" s="23" t="s">
        <x:v>43</x:v>
      </x:c>
      <x:c r="R37" s="23"/>
      <x:c r="S37" s="20"/>
      <x:c r="T37" s="11"/>
      <x:c r="U37" s="11"/>
      <x:c r="V37" s="11">
        <x:v>-2.1064750000000001</x:v>
      </x:c>
      <x:c r="W37" s="11">
        <x:v>106.09184</x:v>
      </x:c>
      <x:c r="X37" s="65"/>
      <x:c r="Y37" s="29"/>
      <x:c r="Z37" s="51"/>
      <x:c r="AA37" s="53"/>
      <x:c r="AB37" s="56"/>
      <x:c r="AC37">
        <x:f t="shared" si="0"/>
        <x:v>1</x:v>
      </x:c>
      <x:c r="AD37">
        <x:f t="shared" si="1"/>
        <x:v>1</x:v>
      </x:c>
    </x:row>
    <x:row r="38" ht="9.75" customHeight="1">
      <x:c r="A38" s="32">
        <x:v>33</x:v>
      </x:c>
      <x:c r="B38" s="11" t="s">
        <x:v>138</x:v>
      </x:c>
      <x:c r="C38" s="6" t="s">
        <x:v>34</x:v>
      </x:c>
      <x:c r="D38" s="11" t="s">
        <x:v>35</x:v>
      </x:c>
      <x:c r="E38" s="11" t="s">
        <x:v>36</x:v>
      </x:c>
      <x:c r="F38" s="6" t="s">
        <x:v>139</x:v>
      </x:c>
      <x:c r="G38" s="6" t="s">
        <x:v>140</x:v>
      </x:c>
      <x:c r="H38" s="17" t="s">
        <x:v>141</x:v>
      </x:c>
      <x:c r="I38" s="17" t="s">
        <x:v>86</x:v>
      </x:c>
      <x:c r="J38" s="6">
        <x:v>2021</x:v>
      </x:c>
      <x:c r="K38" s="17">
        <x:v>81</x:v>
      </x:c>
      <x:c r="L38" s="11">
        <x:v>81</x:v>
      </x:c>
      <x:c r="M38" s="17">
        <x:v>81</x:v>
      </x:c>
      <x:c r="N38" s="17" t="s">
        <x:v>48</x:v>
      </x:c>
      <x:c r="O38" s="6">
        <x:v>2025</x:v>
      </x:c>
      <x:c r="P38" s="6"/>
      <x:c r="Q38" s="23" t="s">
        <x:v>43</x:v>
      </x:c>
      <x:c r="R38" s="23"/>
      <x:c r="S38" s="20"/>
      <x:c r="T38" s="11"/>
      <x:c r="U38" s="11"/>
      <x:c r="V38" s="11">
        <x:v>-2.1070612</x:v>
      </x:c>
      <x:c r="W38" s="11">
        <x:v>106.0869773</x:v>
      </x:c>
      <x:c r="X38" s="65"/>
      <x:c r="Y38" s="29"/>
      <x:c r="Z38" s="51"/>
      <x:c r="AA38" s="53"/>
      <x:c r="AB38" s="56"/>
      <x:c r="AC38" t="n">
        <x:f t="shared" ref="AC38:AC69" si="2">IF(A38="","",IFERROR(L38/K38,0))</x:f>
        <x:v>1</x:v>
      </x:c>
      <x:c r="AD38" t="n">
        <x:f t="shared" ref="AD38:AD69" si="3">IF(A38="","",IFERROR(M38/L38,0))</x:f>
        <x:v>1</x:v>
      </x:c>
    </x:row>
    <x:row r="39" ht="9.75" customHeight="1">
      <x:c r="A39" s="32">
        <x:v>34</x:v>
      </x:c>
      <x:c r="B39" s="11" t="s">
        <x:v>142</x:v>
      </x:c>
      <x:c r="C39" s="6" t="s">
        <x:v>34</x:v>
      </x:c>
      <x:c r="D39" s="11" t="s">
        <x:v>35</x:v>
      </x:c>
      <x:c r="E39" s="11" t="s">
        <x:v>36</x:v>
      </x:c>
      <x:c r="F39" s="6" t="s">
        <x:v>143</x:v>
      </x:c>
      <x:c r="G39" s="6" t="s">
        <x:v>140</x:v>
      </x:c>
      <x:c r="H39" s="17" t="s">
        <x:v>141</x:v>
      </x:c>
      <x:c r="I39" s="17" t="s">
        <x:v>86</x:v>
      </x:c>
      <x:c r="J39" s="6">
        <x:v>2022</x:v>
      </x:c>
      <x:c r="K39" s="17">
        <x:v>102</x:v>
      </x:c>
      <x:c r="L39" s="11">
        <x:v>102</x:v>
      </x:c>
      <x:c r="M39" s="17">
        <x:v>102</x:v>
      </x:c>
      <x:c r="N39" s="17" t="s">
        <x:v>48</x:v>
      </x:c>
      <x:c r="O39" s="6">
        <x:v>2025</x:v>
      </x:c>
      <x:c r="P39" s="6"/>
      <x:c r="Q39" s="23" t="s">
        <x:v>43</x:v>
      </x:c>
      <x:c r="R39" s="23"/>
      <x:c r="S39" s="20"/>
      <x:c r="T39" s="11"/>
      <x:c r="U39" s="11"/>
      <x:c r="V39" s="11">
        <x:v>-2.105553</x:v>
      </x:c>
      <x:c r="W39" s="11">
        <x:v>106.078391</x:v>
      </x:c>
      <x:c r="X39" s="65"/>
      <x:c r="Y39" s="29"/>
      <x:c r="Z39" s="51"/>
      <x:c r="AA39" s="53"/>
      <x:c r="AB39" s="56"/>
      <x:c r="AC39">
        <x:f t="shared" si="2"/>
        <x:v>1</x:v>
      </x:c>
      <x:c r="AD39">
        <x:f t="shared" si="3"/>
        <x:v>1</x:v>
      </x:c>
    </x:row>
    <x:row r="40" ht="9.75" customHeight="1">
      <x:c r="A40" s="32">
        <x:v>35</x:v>
      </x:c>
      <x:c r="B40" s="11" t="s">
        <x:v>144</x:v>
      </x:c>
      <x:c r="C40" s="6" t="s">
        <x:v>34</x:v>
      </x:c>
      <x:c r="D40" s="11" t="s">
        <x:v>35</x:v>
      </x:c>
      <x:c r="E40" s="11" t="s">
        <x:v>36</x:v>
      </x:c>
      <x:c r="F40" s="6" t="s">
        <x:v>145</x:v>
      </x:c>
      <x:c r="G40" s="6" t="s">
        <x:v>140</x:v>
      </x:c>
      <x:c r="H40" s="17" t="s">
        <x:v>141</x:v>
      </x:c>
      <x:c r="I40" s="17" t="s">
        <x:v>86</x:v>
      </x:c>
      <x:c r="J40" s="6">
        <x:v>2025</x:v>
      </x:c>
      <x:c r="K40" s="17">
        <x:v>39</x:v>
      </x:c>
      <x:c r="L40" s="11">
        <x:v>0</x:v>
      </x:c>
      <x:c r="M40" s="17">
        <x:v>0</x:v>
      </x:c>
      <x:c r="N40" s="17" t="s">
        <x:v>41</x:v>
      </x:c>
      <x:c r="O40" s="6" t="s">
        <x:v>42</x:v>
      </x:c>
      <x:c r="P40" s="6"/>
      <x:c r="Q40" s="23" t="s">
        <x:v>43</x:v>
      </x:c>
      <x:c r="R40" s="23"/>
      <x:c r="S40" s="20"/>
      <x:c r="T40" s="11"/>
      <x:c r="U40" s="11"/>
      <x:c r="V40" s="11">
        <x:v>-2.1048140000000002</x:v>
      </x:c>
      <x:c r="W40" s="11">
        <x:v>106.07858899999999</x:v>
      </x:c>
      <x:c r="X40" s="65"/>
      <x:c r="Y40" s="29"/>
      <x:c r="Z40" s="51"/>
      <x:c r="AA40" s="53"/>
      <x:c r="AB40" s="56"/>
      <x:c r="AC40">
        <x:f t="shared" si="2"/>
        <x:v>0</x:v>
      </x:c>
      <x:c r="AD40">
        <x:f t="shared" si="3"/>
        <x:v>0</x:v>
      </x:c>
    </x:row>
    <x:row r="41" ht="9.75" customHeight="1">
      <x:c r="A41" s="32">
        <x:v>36</x:v>
      </x:c>
      <x:c r="B41" s="11" t="s">
        <x:v>146</x:v>
      </x:c>
      <x:c r="C41" s="6" t="s">
        <x:v>34</x:v>
      </x:c>
      <x:c r="D41" s="11" t="s">
        <x:v>35</x:v>
      </x:c>
      <x:c r="E41" s="11" t="s">
        <x:v>36</x:v>
      </x:c>
      <x:c r="F41" s="6" t="s">
        <x:v>147</x:v>
      </x:c>
      <x:c r="G41" s="6" t="s">
        <x:v>148</x:v>
      </x:c>
      <x:c r="H41" s="17" t="s">
        <x:v>149</x:v>
      </x:c>
      <x:c r="I41" s="17" t="s">
        <x:v>86</x:v>
      </x:c>
      <x:c r="J41" s="6">
        <x:v>2021</x:v>
      </x:c>
      <x:c r="K41" s="17">
        <x:v>115</x:v>
      </x:c>
      <x:c r="L41" s="11">
        <x:v>115</x:v>
      </x:c>
      <x:c r="M41" s="17">
        <x:v>115</x:v>
      </x:c>
      <x:c r="N41" s="17" t="s">
        <x:v>41</x:v>
      </x:c>
      <x:c r="O41" s="6" t="s">
        <x:v>42</x:v>
      </x:c>
      <x:c r="P41" s="6"/>
      <x:c r="Q41" s="23" t="s">
        <x:v>43</x:v>
      </x:c>
      <x:c r="R41" s="23"/>
      <x:c r="S41" s="20"/>
      <x:c r="T41" s="11"/>
      <x:c r="U41" s="11"/>
      <x:c r="V41" s="11">
        <x:v>-2.1149461000000001</x:v>
      </x:c>
      <x:c r="W41" s="11">
        <x:v>106.0729504</x:v>
      </x:c>
      <x:c r="X41" s="65"/>
      <x:c r="Y41" s="29"/>
      <x:c r="Z41" s="51"/>
      <x:c r="AA41" s="53"/>
      <x:c r="AB41" s="56"/>
      <x:c r="AC41">
        <x:f t="shared" si="2"/>
        <x:v>1</x:v>
      </x:c>
      <x:c r="AD41">
        <x:f t="shared" si="3"/>
        <x:v>1</x:v>
      </x:c>
    </x:row>
    <x:row r="42" ht="9.75" customHeight="1">
      <x:c r="A42" s="32">
        <x:v>37</x:v>
      </x:c>
      <x:c r="B42" s="11" t="s">
        <x:v>150</x:v>
      </x:c>
      <x:c r="C42" s="6" t="s">
        <x:v>34</x:v>
      </x:c>
      <x:c r="D42" s="11" t="s">
        <x:v>35</x:v>
      </x:c>
      <x:c r="E42" s="11" t="s">
        <x:v>36</x:v>
      </x:c>
      <x:c r="F42" s="6" t="s">
        <x:v>147</x:v>
      </x:c>
      <x:c r="G42" s="6" t="s">
        <x:v>148</x:v>
      </x:c>
      <x:c r="H42" s="17" t="s">
        <x:v>149</x:v>
      </x:c>
      <x:c r="I42" s="17" t="s">
        <x:v>86</x:v>
      </x:c>
      <x:c r="J42" s="6">
        <x:v>2023</x:v>
      </x:c>
      <x:c r="K42" s="17">
        <x:v>36</x:v>
      </x:c>
      <x:c r="L42" s="11">
        <x:v>36</x:v>
      </x:c>
      <x:c r="M42" s="17">
        <x:v>36</x:v>
      </x:c>
      <x:c r="N42" s="17" t="s">
        <x:v>41</x:v>
      </x:c>
      <x:c r="O42" s="6" t="s">
        <x:v>42</x:v>
      </x:c>
      <x:c r="P42" s="6"/>
      <x:c r="Q42" s="23" t="s">
        <x:v>43</x:v>
      </x:c>
      <x:c r="R42" s="23"/>
      <x:c r="S42" s="20"/>
      <x:c r="T42" s="11"/>
      <x:c r="U42" s="11"/>
      <x:c r="V42" s="11">
        <x:v>-2.1140292999999999</x:v>
      </x:c>
      <x:c r="W42" s="11">
        <x:v>106.0734587</x:v>
      </x:c>
      <x:c r="X42" s="65"/>
      <x:c r="Y42" s="29"/>
      <x:c r="Z42" s="51"/>
      <x:c r="AA42" s="53"/>
      <x:c r="AB42" s="56"/>
      <x:c r="AC42">
        <x:f t="shared" si="2"/>
        <x:v>1</x:v>
      </x:c>
      <x:c r="AD42">
        <x:f t="shared" si="3"/>
        <x:v>1</x:v>
      </x:c>
    </x:row>
    <x:row r="43" ht="9.75" customHeight="1">
      <x:c r="A43" s="32">
        <x:v>38</x:v>
      </x:c>
      <x:c r="B43" s="11" t="s">
        <x:v>151</x:v>
      </x:c>
      <x:c r="C43" s="6" t="s">
        <x:v>34</x:v>
      </x:c>
      <x:c r="D43" s="11" t="s">
        <x:v>35</x:v>
      </x:c>
      <x:c r="E43" s="11" t="s">
        <x:v>36</x:v>
      </x:c>
      <x:c r="F43" s="6" t="s">
        <x:v>104</x:v>
      </x:c>
      <x:c r="G43" s="6" t="s">
        <x:v>148</x:v>
      </x:c>
      <x:c r="H43" s="17" t="s">
        <x:v>149</x:v>
      </x:c>
      <x:c r="I43" s="17" t="s">
        <x:v>86</x:v>
      </x:c>
      <x:c r="J43" s="6">
        <x:v>2024</x:v>
      </x:c>
      <x:c r="K43" s="17">
        <x:v>92</x:v>
      </x:c>
      <x:c r="L43" s="11">
        <x:v>0</x:v>
      </x:c>
      <x:c r="M43" s="17">
        <x:v>0</x:v>
      </x:c>
      <x:c r="N43" s="17" t="s">
        <x:v>41</x:v>
      </x:c>
      <x:c r="O43" s="6" t="s">
        <x:v>42</x:v>
      </x:c>
      <x:c r="P43" s="6"/>
      <x:c r="Q43" s="23" t="s">
        <x:v>43</x:v>
      </x:c>
      <x:c r="R43" s="23"/>
      <x:c r="S43" s="20"/>
      <x:c r="T43" s="11"/>
      <x:c r="U43" s="11"/>
      <x:c r="V43" s="11">
        <x:v>-2.1030522999999999</x:v>
      </x:c>
      <x:c r="W43" s="11">
        <x:v>106.0597731</x:v>
      </x:c>
      <x:c r="X43" s="65"/>
      <x:c r="Y43" s="29"/>
      <x:c r="Z43" s="51"/>
      <x:c r="AA43" s="53"/>
      <x:c r="AB43" s="56"/>
      <x:c r="AC43">
        <x:f t="shared" si="2"/>
        <x:v>0</x:v>
      </x:c>
      <x:c r="AD43">
        <x:f t="shared" si="3"/>
        <x:v>0</x:v>
      </x:c>
    </x:row>
    <x:row r="44" ht="9.75" customHeight="1">
      <x:c r="A44" s="32">
        <x:v>39</x:v>
      </x:c>
      <x:c r="B44" s="11" t="s">
        <x:v>152</x:v>
      </x:c>
      <x:c r="C44" s="6" t="s">
        <x:v>34</x:v>
      </x:c>
      <x:c r="D44" s="11" t="s">
        <x:v>35</x:v>
      </x:c>
      <x:c r="E44" s="11" t="s">
        <x:v>36</x:v>
      </x:c>
      <x:c r="F44" s="6" t="s">
        <x:v>104</x:v>
      </x:c>
      <x:c r="G44" s="6" t="s">
        <x:v>148</x:v>
      </x:c>
      <x:c r="H44" s="17" t="s">
        <x:v>149</x:v>
      </x:c>
      <x:c r="I44" s="17" t="s">
        <x:v>86</x:v>
      </x:c>
      <x:c r="J44" s="6">
        <x:v>2024</x:v>
      </x:c>
      <x:c r="K44" s="17">
        <x:v>136</x:v>
      </x:c>
      <x:c r="L44" s="11">
        <x:v>34</x:v>
      </x:c>
      <x:c r="M44" s="17">
        <x:v>10</x:v>
      </x:c>
      <x:c r="N44" s="17" t="s">
        <x:v>41</x:v>
      </x:c>
      <x:c r="O44" s="6" t="s">
        <x:v>42</x:v>
      </x:c>
      <x:c r="P44" s="6"/>
      <x:c r="Q44" s="23" t="s">
        <x:v>43</x:v>
      </x:c>
      <x:c r="R44" s="23"/>
      <x:c r="S44" s="20"/>
      <x:c r="T44" s="11"/>
      <x:c r="U44" s="11"/>
      <x:c r="V44" s="11">
        <x:v>-2.1030522999999999</x:v>
      </x:c>
      <x:c r="W44" s="11">
        <x:v>106.0597731</x:v>
      </x:c>
      <x:c r="X44" s="65"/>
      <x:c r="Y44" s="29"/>
      <x:c r="Z44" s="51"/>
      <x:c r="AA44" s="53"/>
      <x:c r="AB44" s="56"/>
      <x:c r="AC44">
        <x:f t="shared" si="2"/>
        <x:v>0.25</x:v>
      </x:c>
      <x:c r="AD44">
        <x:f t="shared" si="3"/>
        <x:v>0.29411764705882354</x:v>
      </x:c>
    </x:row>
    <x:row r="45" ht="9.75" customHeight="1">
      <x:c r="A45" s="32">
        <x:v>40</x:v>
      </x:c>
      <x:c r="B45" s="11" t="s">
        <x:v>153</x:v>
      </x:c>
      <x:c r="C45" s="6" t="s">
        <x:v>34</x:v>
      </x:c>
      <x:c r="D45" s="11" t="s">
        <x:v>60</x:v>
      </x:c>
      <x:c r="E45" s="11" t="s">
        <x:v>91</x:v>
      </x:c>
      <x:c r="F45" s="6" t="s">
        <x:v>154</x:v>
      </x:c>
      <x:c r="G45" s="6" t="s">
        <x:v>155</x:v>
      </x:c>
      <x:c r="H45" s="17" t="s">
        <x:v>156</x:v>
      </x:c>
      <x:c r="I45" s="17" t="s">
        <x:v>65</x:v>
      </x:c>
      <x:c r="J45" s="6">
        <x:v>2017</x:v>
      </x:c>
      <x:c r="K45" s="17">
        <x:v>138</x:v>
      </x:c>
      <x:c r="L45" s="11">
        <x:v>132</x:v>
      </x:c>
      <x:c r="M45" s="17">
        <x:v>122</x:v>
      </x:c>
      <x:c r="N45" s="17" t="s">
        <x:v>48</x:v>
      </x:c>
      <x:c r="O45" s="6">
        <x:v>2022</x:v>
      </x:c>
      <x:c r="P45" s="6"/>
      <x:c r="Q45" s="23" t="s">
        <x:v>43</x:v>
      </x:c>
      <x:c r="R45" s="23" t="s">
        <x:v>113</x:v>
      </x:c>
      <x:c r="S45" s="20"/>
      <x:c r="T45" s="11"/>
      <x:c r="U45" s="11"/>
      <x:c r="V45" s="11">
        <x:v>-2.0896949999999999</x:v>
      </x:c>
      <x:c r="W45" s="11">
        <x:v>106.10564100000001</x:v>
      </x:c>
      <x:c r="X45" s="65"/>
      <x:c r="Y45" s="29"/>
      <x:c r="Z45" s="51"/>
      <x:c r="AA45" s="53"/>
      <x:c r="AB45" s="56"/>
      <x:c r="AC45">
        <x:f t="shared" si="2"/>
        <x:v>0.95652173913043481</x:v>
      </x:c>
      <x:c r="AD45">
        <x:f t="shared" si="3"/>
        <x:v>0.9242424242424242</x:v>
      </x:c>
    </x:row>
    <x:row r="46" ht="9.75" customHeight="1">
      <x:c r="A46" s="32">
        <x:v>41</x:v>
      </x:c>
      <x:c r="B46" s="11" t="s">
        <x:v>157</x:v>
      </x:c>
      <x:c r="C46" s="6" t="s">
        <x:v>34</x:v>
      </x:c>
      <x:c r="D46" s="11" t="s">
        <x:v>60</x:v>
      </x:c>
      <x:c r="E46" s="11" t="s">
        <x:v>70</x:v>
      </x:c>
      <x:c r="F46" s="6" t="s">
        <x:v>79</x:v>
      </x:c>
      <x:c r="G46" s="6" t="s">
        <x:v>42</x:v>
      </x:c>
      <x:c r="H46" s="17" t="s">
        <x:v>42</x:v>
      </x:c>
      <x:c r="I46" s="17" t="s">
        <x:v>42</x:v>
      </x:c>
      <x:c r="J46" s="6">
        <x:v>2017</x:v>
      </x:c>
      <x:c r="K46" s="17">
        <x:v>50</x:v>
      </x:c>
      <x:c r="L46" s="11">
        <x:v>50</x:v>
      </x:c>
      <x:c r="M46" s="17">
        <x:v>50</x:v>
      </x:c>
      <x:c r="N46" s="17" t="s">
        <x:v>41</x:v>
      </x:c>
      <x:c r="O46" s="6" t="s">
        <x:v>42</x:v>
      </x:c>
      <x:c r="P46" s="6"/>
      <x:c r="Q46" s="23" t="s">
        <x:v>43</x:v>
      </x:c>
      <x:c r="R46" s="23"/>
      <x:c r="S46" s="20"/>
      <x:c r="T46" s="11"/>
      <x:c r="U46" s="11"/>
      <x:c r="V46" s="11">
        <x:v>-2.084692</x:v>
      </x:c>
      <x:c r="W46" s="11">
        <x:v>106.09772599999999</x:v>
      </x:c>
      <x:c r="X46" s="65"/>
      <x:c r="Y46" s="29"/>
      <x:c r="Z46" s="51"/>
      <x:c r="AA46" s="53"/>
      <x:c r="AB46" s="56"/>
      <x:c r="AC46">
        <x:f t="shared" si="2"/>
        <x:v>1</x:v>
      </x:c>
      <x:c r="AD46">
        <x:f t="shared" si="3"/>
        <x:v>1</x:v>
      </x:c>
    </x:row>
    <x:row r="47" ht="9.75" customHeight="1">
      <x:c r="A47" s="32">
        <x:v>42</x:v>
      </x:c>
      <x:c r="B47" s="11" t="s">
        <x:v>158</x:v>
      </x:c>
      <x:c r="C47" s="6" t="s">
        <x:v>34</x:v>
      </x:c>
      <x:c r="D47" s="11" t="s">
        <x:v>81</x:v>
      </x:c>
      <x:c r="E47" s="11" t="s">
        <x:v>95</x:v>
      </x:c>
      <x:c r="F47" s="6" t="s">
        <x:v>159</x:v>
      </x:c>
      <x:c r="G47" s="6" t="s">
        <x:v>160</x:v>
      </x:c>
      <x:c r="H47" s="17" t="s">
        <x:v>161</x:v>
      </x:c>
      <x:c r="I47" s="17" t="s">
        <x:v>86</x:v>
      </x:c>
      <x:c r="J47" s="6">
        <x:v>2019</x:v>
      </x:c>
      <x:c r="K47" s="17">
        <x:v>228</x:v>
      </x:c>
      <x:c r="L47" s="11">
        <x:v>140</x:v>
      </x:c>
      <x:c r="M47" s="17">
        <x:v>140</x:v>
      </x:c>
      <x:c r="N47" s="17" t="s">
        <x:v>41</x:v>
      </x:c>
      <x:c r="O47" s="6" t="s">
        <x:v>42</x:v>
      </x:c>
      <x:c r="P47" s="6"/>
      <x:c r="Q47" s="23" t="s">
        <x:v>43</x:v>
      </x:c>
      <x:c r="R47" s="23"/>
      <x:c r="S47" s="20"/>
      <x:c r="T47" s="11"/>
      <x:c r="U47" s="11"/>
      <x:c r="V47" s="11">
        <x:v>-2.1513855</x:v>
      </x:c>
      <x:c r="W47" s="11">
        <x:v>106.1672731</x:v>
      </x:c>
      <x:c r="X47" s="65"/>
      <x:c r="Y47" s="29"/>
      <x:c r="Z47" s="51"/>
      <x:c r="AA47" s="53"/>
      <x:c r="AB47" s="56"/>
      <x:c r="AC47">
        <x:f t="shared" si="2"/>
        <x:v>0.61403508771929827</x:v>
      </x:c>
      <x:c r="AD47">
        <x:f t="shared" si="3"/>
        <x:v>1</x:v>
      </x:c>
    </x:row>
    <x:row r="48" ht="9.75" customHeight="1">
      <x:c r="A48" s="32">
        <x:v>43</x:v>
      </x:c>
      <x:c r="B48" s="11" t="s">
        <x:v>162</x:v>
      </x:c>
      <x:c r="C48" s="6" t="s">
        <x:v>34</x:v>
      </x:c>
      <x:c r="D48" s="11" t="s">
        <x:v>81</x:v>
      </x:c>
      <x:c r="E48" s="11" t="s">
        <x:v>95</x:v>
      </x:c>
      <x:c r="F48" s="6" t="s">
        <x:v>163</x:v>
      </x:c>
      <x:c r="G48" s="6" t="s">
        <x:v>164</x:v>
      </x:c>
      <x:c r="H48" s="17" t="s">
        <x:v>165</x:v>
      </x:c>
      <x:c r="I48" s="17" t="s">
        <x:v>166</x:v>
      </x:c>
      <x:c r="J48" s="6">
        <x:v>2021</x:v>
      </x:c>
      <x:c r="K48" s="17">
        <x:v>46</x:v>
      </x:c>
      <x:c r="L48" s="11">
        <x:v>46</x:v>
      </x:c>
      <x:c r="M48" s="17">
        <x:v>46</x:v>
      </x:c>
      <x:c r="N48" s="17" t="s">
        <x:v>48</x:v>
      </x:c>
      <x:c r="O48" s="6">
        <x:v>2025</x:v>
      </x:c>
      <x:c r="P48" s="6"/>
      <x:c r="Q48" s="23" t="s">
        <x:v>43</x:v>
      </x:c>
      <x:c r="R48" s="23"/>
      <x:c r="S48" s="20"/>
      <x:c r="T48" s="11"/>
      <x:c r="U48" s="11"/>
      <x:c r="V48" s="11">
        <x:v>-2.1406580000000002</x:v>
      </x:c>
      <x:c r="W48" s="11">
        <x:v>106.167591</x:v>
      </x:c>
      <x:c r="X48" s="65"/>
      <x:c r="Y48" s="29"/>
      <x:c r="Z48" s="51"/>
      <x:c r="AA48" s="53"/>
      <x:c r="AB48" s="56"/>
      <x:c r="AC48">
        <x:f t="shared" si="2"/>
        <x:v>1</x:v>
      </x:c>
      <x:c r="AD48">
        <x:f t="shared" si="3"/>
        <x:v>1</x:v>
      </x:c>
    </x:row>
    <x:row r="49" ht="9.75" customHeight="1">
      <x:c r="A49" s="32">
        <x:v>44</x:v>
      </x:c>
      <x:c r="B49" s="11" t="s">
        <x:v>167</x:v>
      </x:c>
      <x:c r="C49" s="6" t="s">
        <x:v>34</x:v>
      </x:c>
      <x:c r="D49" s="11" t="s">
        <x:v>60</x:v>
      </x:c>
      <x:c r="E49" s="11" t="s">
        <x:v>70</x:v>
      </x:c>
      <x:c r="F49" s="6" t="s">
        <x:v>168</x:v>
      </x:c>
      <x:c r="G49" s="6" t="s">
        <x:v>164</x:v>
      </x:c>
      <x:c r="H49" s="17" t="s">
        <x:v>165</x:v>
      </x:c>
      <x:c r="I49" s="17" t="s">
        <x:v>166</x:v>
      </x:c>
      <x:c r="J49" s="6">
        <x:v>2025</x:v>
      </x:c>
      <x:c r="K49" s="17">
        <x:v>42</x:v>
      </x:c>
      <x:c r="L49" s="11">
        <x:v>0</x:v>
      </x:c>
      <x:c r="M49" s="17">
        <x:v>0</x:v>
      </x:c>
      <x:c r="N49" s="17" t="s">
        <x:v>41</x:v>
      </x:c>
      <x:c r="O49" s="6" t="s">
        <x:v>42</x:v>
      </x:c>
      <x:c r="P49" s="6"/>
      <x:c r="Q49" s="23" t="s">
        <x:v>43</x:v>
      </x:c>
      <x:c r="R49" s="23"/>
      <x:c r="S49" s="20"/>
      <x:c r="T49" s="11"/>
      <x:c r="U49" s="11"/>
      <x:c r="V49" s="11"/>
      <x:c r="W49" s="11"/>
      <x:c r="X49" s="65"/>
      <x:c r="Y49" s="29"/>
      <x:c r="Z49" s="51"/>
      <x:c r="AA49" s="53"/>
      <x:c r="AB49" s="56"/>
      <x:c r="AC49">
        <x:f t="shared" si="2"/>
        <x:v>0</x:v>
      </x:c>
      <x:c r="AD49">
        <x:f t="shared" si="3"/>
        <x:v>0</x:v>
      </x:c>
    </x:row>
    <x:row r="50" ht="9.75" customHeight="1">
      <x:c r="A50" s="32">
        <x:v>45</x:v>
      </x:c>
      <x:c r="B50" s="11" t="s">
        <x:v>169</x:v>
      </x:c>
      <x:c r="C50" s="6" t="s">
        <x:v>170</x:v>
      </x:c>
      <x:c r="D50" s="11" t="s">
        <x:v>35</x:v>
      </x:c>
      <x:c r="E50" s="11" t="s">
        <x:v>36</x:v>
      </x:c>
      <x:c r="F50" s="6" t="s">
        <x:v>171</x:v>
      </x:c>
      <x:c r="G50" s="6" t="s">
        <x:v>42</x:v>
      </x:c>
      <x:c r="H50" s="17" t="s">
        <x:v>42</x:v>
      </x:c>
      <x:c r="I50" s="17" t="s">
        <x:v>42</x:v>
      </x:c>
      <x:c r="J50" s="6">
        <x:v>2015</x:v>
      </x:c>
      <x:c r="K50" s="17">
        <x:v>34</x:v>
      </x:c>
      <x:c r="L50" s="11">
        <x:v>4</x:v>
      </x:c>
      <x:c r="M50" s="17">
        <x:v>4</x:v>
      </x:c>
      <x:c r="N50" s="17" t="s">
        <x:v>41</x:v>
      </x:c>
      <x:c r="O50" s="6" t="s">
        <x:v>42</x:v>
      </x:c>
      <x:c r="P50" s="6"/>
      <x:c r="Q50" s="23" t="s">
        <x:v>72</x:v>
      </x:c>
      <x:c r="R50" s="23"/>
      <x:c r="S50" s="20"/>
      <x:c r="T50" s="11"/>
      <x:c r="U50" s="11"/>
      <x:c r="V50" s="11">
        <x:v>-2.1156009</x:v>
      </x:c>
      <x:c r="W50" s="11">
        <x:v>106.0769555</x:v>
      </x:c>
      <x:c r="X50" s="65"/>
      <x:c r="Y50" s="29"/>
      <x:c r="Z50" s="51"/>
      <x:c r="AA50" s="53"/>
      <x:c r="AB50" s="56"/>
      <x:c r="AC50">
        <x:f t="shared" si="2"/>
        <x:v>0.11764705882352941</x:v>
      </x:c>
      <x:c r="AD50">
        <x:f t="shared" si="3"/>
        <x:v>1</x:v>
      </x:c>
    </x:row>
    <x:row r="51" ht="9.75" customHeight="1">
      <x:c r="A51" s="32">
        <x:v>46</x:v>
      </x:c>
      <x:c r="B51" s="11" t="s">
        <x:v>172</x:v>
      </x:c>
      <x:c r="C51" s="6" t="s">
        <x:v>34</x:v>
      </x:c>
      <x:c r="D51" s="11" t="s">
        <x:v>60</x:v>
      </x:c>
      <x:c r="E51" s="11" t="s">
        <x:v>91</x:v>
      </x:c>
      <x:c r="F51" s="6" t="s">
        <x:v>154</x:v>
      </x:c>
      <x:c r="G51" s="6" t="s">
        <x:v>173</x:v>
      </x:c>
      <x:c r="H51" s="17" t="s">
        <x:v>174</x:v>
      </x:c>
      <x:c r="I51" s="17" t="s">
        <x:v>166</x:v>
      </x:c>
      <x:c r="J51" s="6">
        <x:v>2019</x:v>
      </x:c>
      <x:c r="K51" s="17">
        <x:v>71</x:v>
      </x:c>
      <x:c r="L51" s="11">
        <x:v>12</x:v>
      </x:c>
      <x:c r="M51" s="17">
        <x:v>7</x:v>
      </x:c>
      <x:c r="N51" s="17" t="s">
        <x:v>41</x:v>
      </x:c>
      <x:c r="O51" s="6" t="s">
        <x:v>42</x:v>
      </x:c>
      <x:c r="P51" s="6"/>
      <x:c r="Q51" s="23" t="s">
        <x:v>43</x:v>
      </x:c>
      <x:c r="R51" s="23"/>
      <x:c r="S51" s="20"/>
      <x:c r="T51" s="11"/>
      <x:c r="U51" s="11"/>
      <x:c r="V51" s="11">
        <x:v>-2.0902853000000001</x:v>
      </x:c>
      <x:c r="W51" s="11">
        <x:v>106.1002032</x:v>
      </x:c>
      <x:c r="X51" s="65"/>
      <x:c r="Y51" s="29"/>
      <x:c r="Z51" s="51"/>
      <x:c r="AA51" s="53"/>
      <x:c r="AB51" s="56"/>
      <x:c r="AC51">
        <x:f t="shared" si="2"/>
        <x:v>0.16901408450704225</x:v>
      </x:c>
      <x:c r="AD51">
        <x:f t="shared" si="3"/>
        <x:v>0.58333333333333337</x:v>
      </x:c>
    </x:row>
    <x:row r="52" ht="9.75" customHeight="1">
      <x:c r="A52" s="32">
        <x:v>47</x:v>
      </x:c>
      <x:c r="B52" s="11" t="s">
        <x:v>175</x:v>
      </x:c>
      <x:c r="C52" s="6" t="s">
        <x:v>170</x:v>
      </x:c>
      <x:c r="D52" s="11" t="s">
        <x:v>35</x:v>
      </x:c>
      <x:c r="E52" s="11" t="s">
        <x:v>136</x:v>
      </x:c>
      <x:c r="F52" s="6" t="s">
        <x:v>176</x:v>
      </x:c>
      <x:c r="G52" s="6" t="s">
        <x:v>155</x:v>
      </x:c>
      <x:c r="H52" s="17" t="s">
        <x:v>177</x:v>
      </x:c>
      <x:c r="I52" s="17" t="s">
        <x:v>65</x:v>
      </x:c>
      <x:c r="J52" s="6">
        <x:v>2014</x:v>
      </x:c>
      <x:c r="K52" s="17">
        <x:v>43</x:v>
      </x:c>
      <x:c r="L52" s="11">
        <x:v>43</x:v>
      </x:c>
      <x:c r="M52" s="17">
        <x:v>43</x:v>
      </x:c>
      <x:c r="N52" s="17" t="s">
        <x:v>41</x:v>
      </x:c>
      <x:c r="O52" s="6" t="s">
        <x:v>42</x:v>
      </x:c>
      <x:c r="P52" s="6"/>
      <x:c r="Q52" s="23" t="s">
        <x:v>43</x:v>
      </x:c>
      <x:c r="R52" s="23"/>
      <x:c r="S52" s="20" t="s">
        <x:v>178</x:v>
      </x:c>
      <x:c r="T52" s="11"/>
      <x:c r="U52" s="11"/>
      <x:c r="V52" s="11">
        <x:v>-2.1102129999999999</x:v>
      </x:c>
      <x:c r="W52" s="11">
        <x:v>106.09541299999999</x:v>
      </x:c>
      <x:c r="X52" s="65"/>
      <x:c r="Y52" s="29"/>
      <x:c r="Z52" s="51"/>
      <x:c r="AA52" s="53"/>
      <x:c r="AB52" s="56"/>
      <x:c r="AC52">
        <x:f t="shared" si="2"/>
        <x:v>1</x:v>
      </x:c>
      <x:c r="AD52">
        <x:f t="shared" si="3"/>
        <x:v>1</x:v>
      </x:c>
    </x:row>
    <x:row r="53" ht="9.75" customHeight="1">
      <x:c r="A53" s="32">
        <x:v>48</x:v>
      </x:c>
      <x:c r="B53" s="11" t="s">
        <x:v>179</x:v>
      </x:c>
      <x:c r="C53" s="6" t="s">
        <x:v>170</x:v>
      </x:c>
      <x:c r="D53" s="11" t="s">
        <x:v>35</x:v>
      </x:c>
      <x:c r="E53" s="11" t="s">
        <x:v>136</x:v>
      </x:c>
      <x:c r="F53" s="6" t="s">
        <x:v>180</x:v>
      </x:c>
      <x:c r="G53" s="6" t="s">
        <x:v>155</x:v>
      </x:c>
      <x:c r="H53" s="17" t="s">
        <x:v>177</x:v>
      </x:c>
      <x:c r="I53" s="17" t="s">
        <x:v>65</x:v>
      </x:c>
      <x:c r="J53" s="6">
        <x:v>2015</x:v>
      </x:c>
      <x:c r="K53" s="17">
        <x:v>15</x:v>
      </x:c>
      <x:c r="L53" s="11">
        <x:v>15</x:v>
      </x:c>
      <x:c r="M53" s="17">
        <x:v>9</x:v>
      </x:c>
      <x:c r="N53" s="17" t="s">
        <x:v>41</x:v>
      </x:c>
      <x:c r="O53" s="6" t="s">
        <x:v>42</x:v>
      </x:c>
      <x:c r="P53" s="6"/>
      <x:c r="Q53" s="23" t="s">
        <x:v>43</x:v>
      </x:c>
      <x:c r="R53" s="23"/>
      <x:c r="S53" s="20" t="s">
        <x:v>178</x:v>
      </x:c>
      <x:c r="T53" s="11"/>
      <x:c r="U53" s="11"/>
      <x:c r="V53" s="11">
        <x:v>-2.1096020000000002</x:v>
      </x:c>
      <x:c r="W53" s="11">
        <x:v>106.09485599999999</x:v>
      </x:c>
      <x:c r="X53" s="65"/>
      <x:c r="Y53" s="29"/>
      <x:c r="Z53" s="51"/>
      <x:c r="AA53" s="53"/>
      <x:c r="AB53" s="56"/>
      <x:c r="AC53">
        <x:f t="shared" si="2"/>
        <x:v>1</x:v>
      </x:c>
      <x:c r="AD53">
        <x:f t="shared" si="3"/>
        <x:v>0.6</x:v>
      </x:c>
    </x:row>
    <x:row r="54" ht="9.75" customHeight="1">
      <x:c r="A54" s="32">
        <x:v>49</x:v>
      </x:c>
      <x:c r="B54" s="11" t="s">
        <x:v>181</x:v>
      </x:c>
      <x:c r="C54" s="6" t="s">
        <x:v>34</x:v>
      </x:c>
      <x:c r="D54" s="11" t="s">
        <x:v>35</x:v>
      </x:c>
      <x:c r="E54" s="11" t="s">
        <x:v>136</x:v>
      </x:c>
      <x:c r="F54" s="6" t="s">
        <x:v>182</x:v>
      </x:c>
      <x:c r="G54" s="6" t="s">
        <x:v>155</x:v>
      </x:c>
      <x:c r="H54" s="17" t="s">
        <x:v>177</x:v>
      </x:c>
      <x:c r="I54" s="17" t="s">
        <x:v>65</x:v>
      </x:c>
      <x:c r="J54" s="6">
        <x:v>2016</x:v>
      </x:c>
      <x:c r="K54" s="17">
        <x:v>86</x:v>
      </x:c>
      <x:c r="L54" s="11">
        <x:v>86</x:v>
      </x:c>
      <x:c r="M54" s="17">
        <x:v>86</x:v>
      </x:c>
      <x:c r="N54" s="17" t="s">
        <x:v>41</x:v>
      </x:c>
      <x:c r="O54" s="6" t="s">
        <x:v>42</x:v>
      </x:c>
      <x:c r="P54" s="6"/>
      <x:c r="Q54" s="23" t="s">
        <x:v>43</x:v>
      </x:c>
      <x:c r="R54" s="23"/>
      <x:c r="S54" s="20" t="s">
        <x:v>178</x:v>
      </x:c>
      <x:c r="T54" s="11"/>
      <x:c r="U54" s="11"/>
      <x:c r="V54" s="11">
        <x:v>-2.107672</x:v>
      </x:c>
      <x:c r="W54" s="11">
        <x:v>106.092901</x:v>
      </x:c>
      <x:c r="X54" s="65"/>
      <x:c r="Y54" s="29"/>
      <x:c r="Z54" s="51"/>
      <x:c r="AA54" s="53"/>
      <x:c r="AB54" s="56"/>
      <x:c r="AC54">
        <x:f t="shared" si="2"/>
        <x:v>1</x:v>
      </x:c>
      <x:c r="AD54">
        <x:f t="shared" si="3"/>
        <x:v>1</x:v>
      </x:c>
    </x:row>
    <x:row r="55" ht="9.75" customHeight="1">
      <x:c r="A55" s="32">
        <x:v>50</x:v>
      </x:c>
      <x:c r="B55" s="11" t="s">
        <x:v>183</x:v>
      </x:c>
      <x:c r="C55" s="6" t="s">
        <x:v>34</x:v>
      </x:c>
      <x:c r="D55" s="11" t="s">
        <x:v>35</x:v>
      </x:c>
      <x:c r="E55" s="11" t="s">
        <x:v>184</x:v>
      </x:c>
      <x:c r="F55" s="6" t="s">
        <x:v>185</x:v>
      </x:c>
      <x:c r="G55" s="6" t="s">
        <x:v>155</x:v>
      </x:c>
      <x:c r="H55" s="17" t="s">
        <x:v>177</x:v>
      </x:c>
      <x:c r="I55" s="17" t="s">
        <x:v>65</x:v>
      </x:c>
      <x:c r="J55" s="6">
        <x:v>2017</x:v>
      </x:c>
      <x:c r="K55" s="17">
        <x:v>95</x:v>
      </x:c>
      <x:c r="L55" s="11">
        <x:v>95</x:v>
      </x:c>
      <x:c r="M55" s="17">
        <x:v>95</x:v>
      </x:c>
      <x:c r="N55" s="17" t="s">
        <x:v>41</x:v>
      </x:c>
      <x:c r="O55" s="6" t="s">
        <x:v>42</x:v>
      </x:c>
      <x:c r="P55" s="6"/>
      <x:c r="Q55" s="23" t="s">
        <x:v>43</x:v>
      </x:c>
      <x:c r="R55" s="23"/>
      <x:c r="S55" s="20" t="s">
        <x:v>178</x:v>
      </x:c>
      <x:c r="T55" s="11"/>
      <x:c r="U55" s="11"/>
      <x:c r="V55" s="11">
        <x:v>-2.1058629999999998</x:v>
      </x:c>
      <x:c r="W55" s="11">
        <x:v>106.089313</x:v>
      </x:c>
      <x:c r="X55" s="65"/>
      <x:c r="Y55" s="29"/>
      <x:c r="Z55" s="51"/>
      <x:c r="AA55" s="53"/>
      <x:c r="AB55" s="56"/>
      <x:c r="AC55">
        <x:f t="shared" si="2"/>
        <x:v>1</x:v>
      </x:c>
      <x:c r="AD55">
        <x:f t="shared" si="3"/>
        <x:v>1</x:v>
      </x:c>
    </x:row>
    <x:row r="56" ht="9.75" customHeight="1">
      <x:c r="A56" s="32">
        <x:v>51</x:v>
      </x:c>
      <x:c r="B56" s="11" t="s">
        <x:v>186</x:v>
      </x:c>
      <x:c r="C56" s="6" t="s">
        <x:v>170</x:v>
      </x:c>
      <x:c r="D56" s="11" t="s">
        <x:v>81</x:v>
      </x:c>
      <x:c r="E56" s="11" t="s">
        <x:v>82</x:v>
      </x:c>
      <x:c r="F56" s="6" t="s">
        <x:v>187</x:v>
      </x:c>
      <x:c r="G56" s="6" t="s">
        <x:v>42</x:v>
      </x:c>
      <x:c r="H56" s="17" t="s">
        <x:v>42</x:v>
      </x:c>
      <x:c r="I56" s="17" t="s">
        <x:v>42</x:v>
      </x:c>
      <x:c r="J56" s="6" t="s">
        <x:v>42</x:v>
      </x:c>
      <x:c r="K56" s="17">
        <x:v>0</x:v>
      </x:c>
      <x:c r="L56" s="11">
        <x:v>0</x:v>
      </x:c>
      <x:c r="M56" s="17">
        <x:v>0</x:v>
      </x:c>
      <x:c r="N56" s="17" t="s">
        <x:v>41</x:v>
      </x:c>
      <x:c r="O56" s="6" t="s">
        <x:v>42</x:v>
      </x:c>
      <x:c r="P56" s="6"/>
      <x:c r="Q56" s="23" t="s">
        <x:v>72</x:v>
      </x:c>
      <x:c r="R56" s="23"/>
      <x:c r="S56" s="20"/>
      <x:c r="T56" s="11"/>
      <x:c r="U56" s="11"/>
      <x:c r="V56" s="11">
        <x:v>-2.1422300000000001</x:v>
      </x:c>
      <x:c r="W56" s="11">
        <x:v>106.135379</x:v>
      </x:c>
      <x:c r="X56" s="65"/>
      <x:c r="Y56" s="29"/>
      <x:c r="Z56" s="51"/>
      <x:c r="AA56" s="53"/>
      <x:c r="AB56" s="56"/>
      <x:c r="AC56">
        <x:f t="shared" si="2"/>
        <x:v>0</x:v>
      </x:c>
      <x:c r="AD56">
        <x:f t="shared" si="3"/>
        <x:v>0</x:v>
      </x:c>
    </x:row>
    <x:row r="57" ht="9.75" customHeight="1">
      <x:c r="A57" s="32">
        <x:v>52</x:v>
      </x:c>
      <x:c r="B57" s="11" t="s">
        <x:v>188</x:v>
      </x:c>
      <x:c r="C57" s="6" t="s">
        <x:v>34</x:v>
      </x:c>
      <x:c r="D57" s="11" t="s">
        <x:v>35</x:v>
      </x:c>
      <x:c r="E57" s="11" t="s">
        <x:v>184</x:v>
      </x:c>
      <x:c r="F57" s="6" t="s">
        <x:v>62</x:v>
      </x:c>
      <x:c r="G57" s="6" t="s">
        <x:v>42</x:v>
      </x:c>
      <x:c r="H57" s="17" t="s">
        <x:v>189</x:v>
      </x:c>
      <x:c r="I57" s="17" t="s">
        <x:v>42</x:v>
      </x:c>
      <x:c r="J57" s="6">
        <x:v>2017</x:v>
      </x:c>
      <x:c r="K57" s="17">
        <x:v>10</x:v>
      </x:c>
      <x:c r="L57" s="11">
        <x:v>6</x:v>
      </x:c>
      <x:c r="M57" s="17">
        <x:v>6</x:v>
      </x:c>
      <x:c r="N57" s="17" t="s">
        <x:v>41</x:v>
      </x:c>
      <x:c r="O57" s="6" t="s">
        <x:v>42</x:v>
      </x:c>
      <x:c r="P57" s="6"/>
      <x:c r="Q57" s="23" t="s">
        <x:v>43</x:v>
      </x:c>
      <x:c r="R57" s="23"/>
      <x:c r="S57" s="20"/>
      <x:c r="T57" s="11"/>
      <x:c r="U57" s="11"/>
      <x:c r="V57" s="11">
        <x:v>-2.1050179999999998</x:v>
      </x:c>
      <x:c r="W57" s="11">
        <x:v>106.089422</x:v>
      </x:c>
      <x:c r="X57" s="65"/>
      <x:c r="Y57" s="29"/>
      <x:c r="Z57" s="51"/>
      <x:c r="AA57" s="53"/>
      <x:c r="AB57" s="56"/>
      <x:c r="AC57">
        <x:f t="shared" si="2"/>
        <x:v>0.6</x:v>
      </x:c>
      <x:c r="AD57">
        <x:f t="shared" si="3"/>
        <x:v>1</x:v>
      </x:c>
    </x:row>
    <x:row r="58" ht="9.75" customHeight="1">
      <x:c r="A58" s="32">
        <x:v>53</x:v>
      </x:c>
      <x:c r="B58" s="11" t="s">
        <x:v>190</x:v>
      </x:c>
      <x:c r="C58" s="6" t="s">
        <x:v>170</x:v>
      </x:c>
      <x:c r="D58" s="11" t="s">
        <x:v>35</x:v>
      </x:c>
      <x:c r="E58" s="11" t="s">
        <x:v>184</x:v>
      </x:c>
      <x:c r="F58" s="6" t="s">
        <x:v>191</x:v>
      </x:c>
      <x:c r="G58" s="6" t="s">
        <x:v>42</x:v>
      </x:c>
      <x:c r="H58" s="17" t="s">
        <x:v>42</x:v>
      </x:c>
      <x:c r="I58" s="17" t="s">
        <x:v>42</x:v>
      </x:c>
      <x:c r="J58" s="6" t="s">
        <x:v>42</x:v>
      </x:c>
      <x:c r="K58" s="17">
        <x:v>0</x:v>
      </x:c>
      <x:c r="L58" s="11">
        <x:v>0</x:v>
      </x:c>
      <x:c r="M58" s="17">
        <x:v>0</x:v>
      </x:c>
      <x:c r="N58" s="17" t="s">
        <x:v>41</x:v>
      </x:c>
      <x:c r="O58" s="6" t="s">
        <x:v>42</x:v>
      </x:c>
      <x:c r="P58" s="6"/>
      <x:c r="Q58" s="23" t="s">
        <x:v>43</x:v>
      </x:c>
      <x:c r="R58" s="23"/>
      <x:c r="S58" s="20"/>
      <x:c r="T58" s="11"/>
      <x:c r="U58" s="11"/>
      <x:c r="V58" s="11">
        <x:v>-2.1097991</x:v>
      </x:c>
      <x:c r="W58" s="11">
        <x:v>106.0891817</x:v>
      </x:c>
      <x:c r="X58" s="65"/>
      <x:c r="Y58" s="29"/>
      <x:c r="Z58" s="51"/>
      <x:c r="AA58" s="53"/>
      <x:c r="AB58" s="56"/>
      <x:c r="AC58">
        <x:f t="shared" si="2"/>
        <x:v>0</x:v>
      </x:c>
      <x:c r="AD58">
        <x:f t="shared" si="3"/>
        <x:v>0</x:v>
      </x:c>
    </x:row>
    <x:row r="59" ht="9.75" customHeight="1">
      <x:c r="A59" s="32">
        <x:v>54</x:v>
      </x:c>
      <x:c r="B59" s="11" t="s">
        <x:v>192</x:v>
      </x:c>
      <x:c r="C59" s="6" t="s">
        <x:v>34</x:v>
      </x:c>
      <x:c r="D59" s="11" t="s">
        <x:v>35</x:v>
      </x:c>
      <x:c r="E59" s="11" t="s">
        <x:v>184</x:v>
      </x:c>
      <x:c r="F59" s="6" t="s">
        <x:v>193</x:v>
      </x:c>
      <x:c r="G59" s="6" t="s">
        <x:v>194</x:v>
      </x:c>
      <x:c r="H59" s="17" t="s">
        <x:v>195</x:v>
      </x:c>
      <x:c r="I59" s="17" t="s">
        <x:v>196</x:v>
      </x:c>
      <x:c r="J59" s="6">
        <x:v>2017</x:v>
      </x:c>
      <x:c r="K59" s="17">
        <x:v>77</x:v>
      </x:c>
      <x:c r="L59" s="11">
        <x:v>65</x:v>
      </x:c>
      <x:c r="M59" s="17">
        <x:v>61</x:v>
      </x:c>
      <x:c r="N59" s="17" t="s">
        <x:v>48</x:v>
      </x:c>
      <x:c r="O59" s="6">
        <x:v>2020</x:v>
      </x:c>
      <x:c r="P59" s="6"/>
      <x:c r="Q59" s="23" t="s">
        <x:v>43</x:v>
      </x:c>
      <x:c r="R59" s="23"/>
      <x:c r="S59" s="20"/>
      <x:c r="T59" s="11"/>
      <x:c r="U59" s="11"/>
      <x:c r="V59" s="11">
        <x:v>-2.11145</x:v>
      </x:c>
      <x:c r="W59" s="11">
        <x:v>106.088959</x:v>
      </x:c>
      <x:c r="X59" s="65"/>
      <x:c r="Y59" s="29"/>
      <x:c r="Z59" s="51"/>
      <x:c r="AA59" s="53"/>
      <x:c r="AB59" s="56"/>
      <x:c r="AC59">
        <x:f t="shared" si="2"/>
        <x:v>0.8441558441558441</x:v>
      </x:c>
      <x:c r="AD59">
        <x:f t="shared" si="3"/>
        <x:v>0.93846153846153846</x:v>
      </x:c>
    </x:row>
    <x:row r="60" ht="9.75" customHeight="1">
      <x:c r="A60" s="32">
        <x:v>55</x:v>
      </x:c>
      <x:c r="B60" s="11" t="s">
        <x:v>197</x:v>
      </x:c>
      <x:c r="C60" s="6" t="s">
        <x:v>34</x:v>
      </x:c>
      <x:c r="D60" s="11" t="s">
        <x:v>35</x:v>
      </x:c>
      <x:c r="E60" s="11" t="s">
        <x:v>36</x:v>
      </x:c>
      <x:c r="F60" s="6" t="s">
        <x:v>104</x:v>
      </x:c>
      <x:c r="G60" s="6" t="s">
        <x:v>198</x:v>
      </x:c>
      <x:c r="H60" s="17" t="s">
        <x:v>199</x:v>
      </x:c>
      <x:c r="I60" s="17" t="s">
        <x:v>86</x:v>
      </x:c>
      <x:c r="J60" s="6">
        <x:v>2018</x:v>
      </x:c>
      <x:c r="K60" s="17">
        <x:v>119</x:v>
      </x:c>
      <x:c r="L60" s="11">
        <x:v>44</x:v>
      </x:c>
      <x:c r="M60" s="17">
        <x:v>44</x:v>
      </x:c>
      <x:c r="N60" s="17" t="s">
        <x:v>41</x:v>
      </x:c>
      <x:c r="O60" s="6" t="s">
        <x:v>42</x:v>
      </x:c>
      <x:c r="P60" s="6"/>
      <x:c r="Q60" s="23" t="s">
        <x:v>72</x:v>
      </x:c>
      <x:c r="R60" s="23"/>
      <x:c r="S60" s="20"/>
      <x:c r="T60" s="11"/>
      <x:c r="U60" s="11"/>
      <x:c r="V60" s="11">
        <x:v>-2.1020436</x:v>
      </x:c>
      <x:c r="W60" s="11">
        <x:v>106.04731630000001</x:v>
      </x:c>
      <x:c r="X60" s="65"/>
      <x:c r="Y60" s="29"/>
      <x:c r="Z60" s="51"/>
      <x:c r="AA60" s="53"/>
      <x:c r="AB60" s="56"/>
      <x:c r="AC60">
        <x:f t="shared" si="2"/>
        <x:v>0.36974789915966388</x:v>
      </x:c>
      <x:c r="AD60">
        <x:f t="shared" si="3"/>
        <x:v>1</x:v>
      </x:c>
    </x:row>
    <x:row r="61" ht="9.75" customHeight="1">
      <x:c r="A61" s="32">
        <x:v>56</x:v>
      </x:c>
      <x:c r="B61" s="11" t="s">
        <x:v>200</x:v>
      </x:c>
      <x:c r="C61" s="6" t="s">
        <x:v>34</x:v>
      </x:c>
      <x:c r="D61" s="11" t="s">
        <x:v>35</x:v>
      </x:c>
      <x:c r="E61" s="11" t="s">
        <x:v>36</x:v>
      </x:c>
      <x:c r="F61" s="6" t="s">
        <x:v>104</x:v>
      </x:c>
      <x:c r="G61" s="6" t="s">
        <x:v>198</x:v>
      </x:c>
      <x:c r="H61" s="17" t="s">
        <x:v>199</x:v>
      </x:c>
      <x:c r="I61" s="17" t="s">
        <x:v>86</x:v>
      </x:c>
      <x:c r="J61" s="6">
        <x:v>2018</x:v>
      </x:c>
      <x:c r="K61" s="17">
        <x:v>131</x:v>
      </x:c>
      <x:c r="L61" s="11">
        <x:v>37</x:v>
      </x:c>
      <x:c r="M61" s="17">
        <x:v>37</x:v>
      </x:c>
      <x:c r="N61" s="17" t="s">
        <x:v>41</x:v>
      </x:c>
      <x:c r="O61" s="6" t="s">
        <x:v>42</x:v>
      </x:c>
      <x:c r="P61" s="6"/>
      <x:c r="Q61" s="23" t="s">
        <x:v>43</x:v>
      </x:c>
      <x:c r="R61" s="23"/>
      <x:c r="S61" s="20"/>
      <x:c r="T61" s="11"/>
      <x:c r="U61" s="11"/>
      <x:c r="V61" s="11">
        <x:v>-2.1020436</x:v>
      </x:c>
      <x:c r="W61" s="11">
        <x:v>106.0473164</x:v>
      </x:c>
      <x:c r="X61" s="65"/>
      <x:c r="Y61" s="29"/>
      <x:c r="Z61" s="51"/>
      <x:c r="AA61" s="53"/>
      <x:c r="AB61" s="56"/>
      <x:c r="AC61">
        <x:f t="shared" si="2"/>
        <x:v>0.28244274809160308</x:v>
      </x:c>
      <x:c r="AD61">
        <x:f t="shared" si="3"/>
        <x:v>1</x:v>
      </x:c>
    </x:row>
    <x:row r="62" ht="9.75" customHeight="1">
      <x:c r="A62" s="32">
        <x:v>57</x:v>
      </x:c>
      <x:c r="B62" s="11" t="s">
        <x:v>201</x:v>
      </x:c>
      <x:c r="C62" s="6" t="s">
        <x:v>34</x:v>
      </x:c>
      <x:c r="D62" s="11" t="s">
        <x:v>81</x:v>
      </x:c>
      <x:c r="E62" s="11" t="s">
        <x:v>202</x:v>
      </x:c>
      <x:c r="F62" s="6" t="s">
        <x:v>42</x:v>
      </x:c>
      <x:c r="G62" s="6" t="s">
        <x:v>203</x:v>
      </x:c>
      <x:c r="H62" s="17" t="s">
        <x:v>204</x:v>
      </x:c>
      <x:c r="I62" s="17" t="s">
        <x:v>42</x:v>
      </x:c>
      <x:c r="J62" s="6">
        <x:v>2018</x:v>
      </x:c>
      <x:c r="K62" s="17">
        <x:v>70</x:v>
      </x:c>
      <x:c r="L62" s="11">
        <x:v>0</x:v>
      </x:c>
      <x:c r="M62" s="17">
        <x:v>0</x:v>
      </x:c>
      <x:c r="N62" s="17" t="s">
        <x:v>41</x:v>
      </x:c>
      <x:c r="O62" s="6" t="s">
        <x:v>42</x:v>
      </x:c>
      <x:c r="P62" s="6"/>
      <x:c r="Q62" s="23" t="s">
        <x:v>43</x:v>
      </x:c>
      <x:c r="R62" s="23"/>
      <x:c r="S62" s="20"/>
      <x:c r="T62" s="11"/>
      <x:c r="U62" s="11"/>
      <x:c r="V62" s="11"/>
      <x:c r="W62" s="11"/>
      <x:c r="X62" s="65"/>
      <x:c r="Y62" s="29"/>
      <x:c r="Z62" s="51"/>
      <x:c r="AA62" s="53"/>
      <x:c r="AB62" s="56"/>
      <x:c r="AC62">
        <x:f t="shared" si="2"/>
        <x:v>0</x:v>
      </x:c>
      <x:c r="AD62">
        <x:f t="shared" si="3"/>
        <x:v>0</x:v>
      </x:c>
    </x:row>
    <x:row r="63" ht="9.75" customHeight="1">
      <x:c r="A63" s="32">
        <x:v>58</x:v>
      </x:c>
      <x:c r="B63" s="11" t="s">
        <x:v>205</x:v>
      </x:c>
      <x:c r="C63" s="6" t="s">
        <x:v>34</x:v>
      </x:c>
      <x:c r="D63" s="11" t="s">
        <x:v>35</x:v>
      </x:c>
      <x:c r="E63" s="11" t="s">
        <x:v>36</x:v>
      </x:c>
      <x:c r="F63" s="6" t="s">
        <x:v>143</x:v>
      </x:c>
      <x:c r="G63" s="6" t="s">
        <x:v>206</x:v>
      </x:c>
      <x:c r="H63" s="17" t="s">
        <x:v>207</x:v>
      </x:c>
      <x:c r="I63" s="17" t="s">
        <x:v>86</x:v>
      </x:c>
      <x:c r="J63" s="6">
        <x:v>2019</x:v>
      </x:c>
      <x:c r="K63" s="17">
        <x:v>199</x:v>
      </x:c>
      <x:c r="L63" s="11">
        <x:v>150</x:v>
      </x:c>
      <x:c r="M63" s="17">
        <x:v>140</x:v>
      </x:c>
      <x:c r="N63" s="17" t="s">
        <x:v>41</x:v>
      </x:c>
      <x:c r="O63" s="6" t="s">
        <x:v>42</x:v>
      </x:c>
      <x:c r="P63" s="6"/>
      <x:c r="Q63" s="23" t="s">
        <x:v>43</x:v>
      </x:c>
      <x:c r="R63" s="23"/>
      <x:c r="S63" s="20"/>
      <x:c r="T63" s="11" t="s">
        <x:v>44</x:v>
      </x:c>
      <x:c r="U63" s="11"/>
      <x:c r="V63" s="11">
        <x:v>-2.1043018</x:v>
      </x:c>
      <x:c r="W63" s="11">
        <x:v>106.0806498</x:v>
      </x:c>
      <x:c r="X63" s="65"/>
      <x:c r="Y63" s="29"/>
      <x:c r="Z63" s="51"/>
      <x:c r="AA63" s="53"/>
      <x:c r="AB63" s="56"/>
      <x:c r="AC63">
        <x:f t="shared" si="2"/>
        <x:v>0.75376884422110557</x:v>
      </x:c>
      <x:c r="AD63">
        <x:f t="shared" si="3"/>
        <x:v>0.93333333333333335</x:v>
      </x:c>
    </x:row>
    <x:row r="64" ht="9.75" customHeight="1">
      <x:c r="A64" s="32">
        <x:v>59</x:v>
      </x:c>
      <x:c r="B64" s="11" t="s">
        <x:v>208</x:v>
      </x:c>
      <x:c r="C64" s="6" t="s">
        <x:v>34</x:v>
      </x:c>
      <x:c r="D64" s="11" t="s">
        <x:v>60</x:v>
      </x:c>
      <x:c r="E64" s="11" t="s">
        <x:v>91</x:v>
      </x:c>
      <x:c r="F64" s="6" t="s">
        <x:v>209</x:v>
      </x:c>
      <x:c r="G64" s="6" t="s">
        <x:v>210</x:v>
      </x:c>
      <x:c r="H64" s="17" t="s">
        <x:v>211</x:v>
      </x:c>
      <x:c r="I64" s="17" t="s">
        <x:v>112</x:v>
      </x:c>
      <x:c r="J64" s="6">
        <x:v>2017</x:v>
      </x:c>
      <x:c r="K64" s="17">
        <x:v>150</x:v>
      </x:c>
      <x:c r="L64" s="11">
        <x:v>42</x:v>
      </x:c>
      <x:c r="M64" s="17">
        <x:v>42</x:v>
      </x:c>
      <x:c r="N64" s="17" t="s">
        <x:v>41</x:v>
      </x:c>
      <x:c r="O64" s="6" t="s">
        <x:v>42</x:v>
      </x:c>
      <x:c r="P64" s="6"/>
      <x:c r="Q64" s="23" t="s">
        <x:v>43</x:v>
      </x:c>
      <x:c r="R64" s="23"/>
      <x:c r="S64" s="20"/>
      <x:c r="T64" s="11"/>
      <x:c r="U64" s="11"/>
      <x:c r="V64" s="11">
        <x:v>-2.0780973399999998</x:v>
      </x:c>
      <x:c r="W64" s="11">
        <x:v>106.1239751</x:v>
      </x:c>
      <x:c r="X64" s="65"/>
      <x:c r="Y64" s="29"/>
      <x:c r="Z64" s="51"/>
      <x:c r="AA64" s="53"/>
      <x:c r="AB64" s="56"/>
      <x:c r="AC64">
        <x:f t="shared" si="2"/>
        <x:v>0.28000000000000003</x:v>
      </x:c>
      <x:c r="AD64">
        <x:f t="shared" si="3"/>
        <x:v>1</x:v>
      </x:c>
    </x:row>
    <x:row r="65" ht="9.75" customHeight="1">
      <x:c r="A65" s="32">
        <x:v>60</x:v>
      </x:c>
      <x:c r="B65" s="11" t="s">
        <x:v>212</x:v>
      </x:c>
      <x:c r="C65" s="6" t="s">
        <x:v>34</x:v>
      </x:c>
      <x:c r="D65" s="11" t="s">
        <x:v>99</x:v>
      </x:c>
      <x:c r="E65" s="11" t="s">
        <x:v>213</x:v>
      </x:c>
      <x:c r="F65" s="6" t="s">
        <x:v>214</x:v>
      </x:c>
      <x:c r="G65" s="6" t="s">
        <x:v>215</x:v>
      </x:c>
      <x:c r="H65" s="17" t="s">
        <x:v>216</x:v>
      </x:c>
      <x:c r="I65" s="17" t="s">
        <x:v>112</x:v>
      </x:c>
      <x:c r="J65" s="6">
        <x:v>2024</x:v>
      </x:c>
      <x:c r="K65" s="17">
        <x:v>39</x:v>
      </x:c>
      <x:c r="L65" s="11">
        <x:v>34</x:v>
      </x:c>
      <x:c r="M65" s="17">
        <x:v>29</x:v>
      </x:c>
      <x:c r="N65" s="17" t="s">
        <x:v>41</x:v>
      </x:c>
      <x:c r="O65" s="6" t="s">
        <x:v>42</x:v>
      </x:c>
      <x:c r="P65" s="6"/>
      <x:c r="Q65" s="23" t="s">
        <x:v>43</x:v>
      </x:c>
      <x:c r="R65" s="23"/>
      <x:c r="S65" s="20"/>
      <x:c r="T65" s="11"/>
      <x:c r="U65" s="11"/>
      <x:c r="V65" s="11">
        <x:v>-2.0876017</x:v>
      </x:c>
      <x:c r="W65" s="11">
        <x:v>106.12235029999999</x:v>
      </x:c>
      <x:c r="X65" s="65"/>
      <x:c r="Y65" s="29"/>
      <x:c r="Z65" s="51"/>
      <x:c r="AA65" s="53"/>
      <x:c r="AB65" s="56"/>
      <x:c r="AC65">
        <x:f t="shared" si="2"/>
        <x:v>0.87179487179487181</x:v>
      </x:c>
      <x:c r="AD65">
        <x:f t="shared" si="3"/>
        <x:v>0.8529411764705882</x:v>
      </x:c>
    </x:row>
    <x:row r="66" ht="9.75" customHeight="1">
      <x:c r="A66" s="32">
        <x:v>61</x:v>
      </x:c>
      <x:c r="B66" s="11" t="s">
        <x:v>217</x:v>
      </x:c>
      <x:c r="C66" s="6" t="s">
        <x:v>34</x:v>
      </x:c>
      <x:c r="D66" s="11" t="s">
        <x:v>81</x:v>
      </x:c>
      <x:c r="E66" s="11" t="s">
        <x:v>95</x:v>
      </x:c>
      <x:c r="F66" s="6" t="s">
        <x:v>96</x:v>
      </x:c>
      <x:c r="G66" s="6" t="s">
        <x:v>215</x:v>
      </x:c>
      <x:c r="H66" s="17" t="s">
        <x:v>216</x:v>
      </x:c>
      <x:c r="I66" s="17" t="s">
        <x:v>112</x:v>
      </x:c>
      <x:c r="J66" s="6">
        <x:v>2020</x:v>
      </x:c>
      <x:c r="K66" s="17">
        <x:v>70</x:v>
      </x:c>
      <x:c r="L66" s="11">
        <x:v>70</x:v>
      </x:c>
      <x:c r="M66" s="17">
        <x:v>70</x:v>
      </x:c>
      <x:c r="N66" s="17" t="s">
        <x:v>41</x:v>
      </x:c>
      <x:c r="O66" s="6" t="s">
        <x:v>42</x:v>
      </x:c>
      <x:c r="P66" s="6"/>
      <x:c r="Q66" s="23" t="s">
        <x:v>43</x:v>
      </x:c>
      <x:c r="R66" s="23"/>
      <x:c r="S66" s="20"/>
      <x:c r="T66" s="11"/>
      <x:c r="U66" s="11"/>
      <x:c r="V66" s="11">
        <x:v>-2.1467825</x:v>
      </x:c>
      <x:c r="W66" s="11">
        <x:v>106.16664129999999</x:v>
      </x:c>
      <x:c r="X66" s="65"/>
      <x:c r="Y66" s="29"/>
      <x:c r="Z66" s="51"/>
      <x:c r="AA66" s="53"/>
      <x:c r="AB66" s="56"/>
      <x:c r="AC66">
        <x:f t="shared" si="2"/>
        <x:v>1</x:v>
      </x:c>
      <x:c r="AD66">
        <x:f t="shared" si="3"/>
        <x:v>1</x:v>
      </x:c>
    </x:row>
    <x:row r="67" ht="9.75" customHeight="1">
      <x:c r="A67" s="32">
        <x:v>62</x:v>
      </x:c>
      <x:c r="B67" s="11" t="s">
        <x:v>218</x:v>
      </x:c>
      <x:c r="C67" s="6" t="s">
        <x:v>34</x:v>
      </x:c>
      <x:c r="D67" s="11" t="s">
        <x:v>35</x:v>
      </x:c>
      <x:c r="E67" s="11" t="s">
        <x:v>36</x:v>
      </x:c>
      <x:c r="F67" s="6" t="s">
        <x:v>143</x:v>
      </x:c>
      <x:c r="G67" s="6" t="s">
        <x:v>215</x:v>
      </x:c>
      <x:c r="H67" s="17" t="s">
        <x:v>216</x:v>
      </x:c>
      <x:c r="I67" s="17" t="s">
        <x:v>112</x:v>
      </x:c>
      <x:c r="J67" s="6">
        <x:v>2016</x:v>
      </x:c>
      <x:c r="K67" s="17">
        <x:v>22</x:v>
      </x:c>
      <x:c r="L67" s="11">
        <x:v>22</x:v>
      </x:c>
      <x:c r="M67" s="17">
        <x:v>22</x:v>
      </x:c>
      <x:c r="N67" s="17" t="s">
        <x:v>41</x:v>
      </x:c>
      <x:c r="O67" s="6" t="s">
        <x:v>42</x:v>
      </x:c>
      <x:c r="P67" s="6"/>
      <x:c r="Q67" s="23" t="s">
        <x:v>43</x:v>
      </x:c>
      <x:c r="R67" s="23" t="s">
        <x:v>88</x:v>
      </x:c>
      <x:c r="S67" s="20"/>
      <x:c r="T67" s="11"/>
      <x:c r="U67" s="11"/>
      <x:c r="V67" s="11">
        <x:v>-2.107863</x:v>
      </x:c>
      <x:c r="W67" s="11">
        <x:v>106.084007</x:v>
      </x:c>
      <x:c r="X67" s="65"/>
      <x:c r="Y67" s="29"/>
      <x:c r="Z67" s="51"/>
      <x:c r="AA67" s="53"/>
      <x:c r="AB67" s="56"/>
      <x:c r="AC67">
        <x:f t="shared" si="2"/>
        <x:v>1</x:v>
      </x:c>
      <x:c r="AD67">
        <x:f t="shared" si="3"/>
        <x:v>1</x:v>
      </x:c>
    </x:row>
    <x:row r="68" ht="9.75" customHeight="1">
      <x:c r="A68" s="32">
        <x:v>63</x:v>
      </x:c>
      <x:c r="B68" s="11" t="s">
        <x:v>219</x:v>
      </x:c>
      <x:c r="C68" s="6" t="s">
        <x:v>34</x:v>
      </x:c>
      <x:c r="D68" s="11" t="s">
        <x:v>35</x:v>
      </x:c>
      <x:c r="E68" s="11" t="s">
        <x:v>36</x:v>
      </x:c>
      <x:c r="F68" s="6" t="s">
        <x:v>54</x:v>
      </x:c>
      <x:c r="G68" s="6" t="s">
        <x:v>215</x:v>
      </x:c>
      <x:c r="H68" s="17" t="s">
        <x:v>216</x:v>
      </x:c>
      <x:c r="I68" s="17" t="s">
        <x:v>112</x:v>
      </x:c>
      <x:c r="J68" s="6">
        <x:v>2016</x:v>
      </x:c>
      <x:c r="K68" s="17">
        <x:v>35</x:v>
      </x:c>
      <x:c r="L68" s="11">
        <x:v>35</x:v>
      </x:c>
      <x:c r="M68" s="17">
        <x:v>35</x:v>
      </x:c>
      <x:c r="N68" s="17" t="s">
        <x:v>41</x:v>
      </x:c>
      <x:c r="O68" s="6" t="s">
        <x:v>42</x:v>
      </x:c>
      <x:c r="P68" s="6"/>
      <x:c r="Q68" s="23" t="s">
        <x:v>43</x:v>
      </x:c>
      <x:c r="R68" s="23" t="s">
        <x:v>88</x:v>
      </x:c>
      <x:c r="S68" s="20"/>
      <x:c r="T68" s="11"/>
      <x:c r="U68" s="11"/>
      <x:c r="V68" s="11">
        <x:v>-2.0983489999999998</x:v>
      </x:c>
      <x:c r="W68" s="11">
        <x:v>106.080001</x:v>
      </x:c>
      <x:c r="X68" s="65"/>
      <x:c r="Y68" s="29"/>
      <x:c r="Z68" s="51"/>
      <x:c r="AA68" s="53"/>
      <x:c r="AB68" s="56"/>
      <x:c r="AC68">
        <x:f t="shared" si="2"/>
        <x:v>1</x:v>
      </x:c>
      <x:c r="AD68">
        <x:f t="shared" si="3"/>
        <x:v>1</x:v>
      </x:c>
    </x:row>
    <x:row r="69" ht="9.75" customHeight="1">
      <x:c r="A69" s="32">
        <x:v>64</x:v>
      </x:c>
      <x:c r="B69" s="11" t="s">
        <x:v>220</x:v>
      </x:c>
      <x:c r="C69" s="6" t="s">
        <x:v>34</x:v>
      </x:c>
      <x:c r="D69" s="11" t="s">
        <x:v>35</x:v>
      </x:c>
      <x:c r="E69" s="11" t="s">
        <x:v>36</x:v>
      </x:c>
      <x:c r="F69" s="6" t="s">
        <x:v>54</x:v>
      </x:c>
      <x:c r="G69" s="6" t="s">
        <x:v>215</x:v>
      </x:c>
      <x:c r="H69" s="17" t="s">
        <x:v>216</x:v>
      </x:c>
      <x:c r="I69" s="17" t="s">
        <x:v>112</x:v>
      </x:c>
      <x:c r="J69" s="6">
        <x:v>2016</x:v>
      </x:c>
      <x:c r="K69" s="17">
        <x:v>32</x:v>
      </x:c>
      <x:c r="L69" s="11">
        <x:v>32</x:v>
      </x:c>
      <x:c r="M69" s="17">
        <x:v>32</x:v>
      </x:c>
      <x:c r="N69" s="17" t="s">
        <x:v>41</x:v>
      </x:c>
      <x:c r="O69" s="6" t="s">
        <x:v>42</x:v>
      </x:c>
      <x:c r="P69" s="6"/>
      <x:c r="Q69" s="23" t="s">
        <x:v>43</x:v>
      </x:c>
      <x:c r="R69" s="23" t="s">
        <x:v>88</x:v>
      </x:c>
      <x:c r="S69" s="20"/>
      <x:c r="T69" s="11"/>
      <x:c r="U69" s="11"/>
      <x:c r="V69" s="11">
        <x:v>-2.0990563</x:v>
      </x:c>
      <x:c r="W69" s="11">
        <x:v>106.0800362</x:v>
      </x:c>
      <x:c r="X69" s="65"/>
      <x:c r="Y69" s="29"/>
      <x:c r="Z69" s="51"/>
      <x:c r="AA69" s="53"/>
      <x:c r="AB69" s="56"/>
      <x:c r="AC69">
        <x:f t="shared" si="2"/>
        <x:v>1</x:v>
      </x:c>
      <x:c r="AD69">
        <x:f t="shared" si="3"/>
        <x:v>1</x:v>
      </x:c>
    </x:row>
    <x:row r="70" ht="9.75" customHeight="1">
      <x:c r="A70" s="32">
        <x:v>65</x:v>
      </x:c>
      <x:c r="B70" s="11" t="s">
        <x:v>221</x:v>
      </x:c>
      <x:c r="C70" s="6" t="s">
        <x:v>34</x:v>
      </x:c>
      <x:c r="D70" s="11" t="s">
        <x:v>35</x:v>
      </x:c>
      <x:c r="E70" s="11" t="s">
        <x:v>36</x:v>
      </x:c>
      <x:c r="F70" s="6" t="s">
        <x:v>54</x:v>
      </x:c>
      <x:c r="G70" s="6" t="s">
        <x:v>215</x:v>
      </x:c>
      <x:c r="H70" s="17" t="s">
        <x:v>216</x:v>
      </x:c>
      <x:c r="I70" s="17" t="s">
        <x:v>112</x:v>
      </x:c>
      <x:c r="J70" s="6">
        <x:v>2017</x:v>
      </x:c>
      <x:c r="K70" s="17">
        <x:v>21</x:v>
      </x:c>
      <x:c r="L70" s="11">
        <x:v>21</x:v>
      </x:c>
      <x:c r="M70" s="17">
        <x:v>21</x:v>
      </x:c>
      <x:c r="N70" s="17" t="s">
        <x:v>41</x:v>
      </x:c>
      <x:c r="O70" s="6" t="s">
        <x:v>42</x:v>
      </x:c>
      <x:c r="P70" s="6"/>
      <x:c r="Q70" s="23" t="s">
        <x:v>43</x:v>
      </x:c>
      <x:c r="R70" s="23" t="s">
        <x:v>88</x:v>
      </x:c>
      <x:c r="S70" s="20"/>
      <x:c r="T70" s="11"/>
      <x:c r="U70" s="11"/>
      <x:c r="V70" s="11">
        <x:v>-2.099672</x:v>
      </x:c>
      <x:c r="W70" s="11">
        <x:v>106.080805</x:v>
      </x:c>
      <x:c r="X70" s="65"/>
      <x:c r="Y70" s="29"/>
      <x:c r="Z70" s="51"/>
      <x:c r="AA70" s="53"/>
      <x:c r="AB70" s="56"/>
      <x:c r="AC70" t="n">
        <x:f t="shared" ref="AC70:AC101" si="4">IF(A70="","",IFERROR(L70/K70,0))</x:f>
        <x:v>1</x:v>
      </x:c>
      <x:c r="AD70" t="n">
        <x:f t="shared" ref="AD70:AD101" si="5">IF(A70="","",IFERROR(M70/L70,0))</x:f>
        <x:v>1</x:v>
      </x:c>
    </x:row>
    <x:row r="71" ht="9.75" customHeight="1">
      <x:c r="A71" s="32">
        <x:v>66</x:v>
      </x:c>
      <x:c r="B71" s="11" t="s">
        <x:v>222</x:v>
      </x:c>
      <x:c r="C71" s="6" t="s">
        <x:v>34</x:v>
      </x:c>
      <x:c r="D71" s="11" t="s">
        <x:v>35</x:v>
      </x:c>
      <x:c r="E71" s="11" t="s">
        <x:v>184</x:v>
      </x:c>
      <x:c r="F71" s="6" t="s">
        <x:v>185</x:v>
      </x:c>
      <x:c r="G71" s="6" t="s">
        <x:v>223</x:v>
      </x:c>
      <x:c r="H71" s="17" t="s">
        <x:v>224</x:v>
      </x:c>
      <x:c r="I71" s="17" t="s">
        <x:v>112</x:v>
      </x:c>
      <x:c r="J71" s="6">
        <x:v>2018</x:v>
      </x:c>
      <x:c r="K71" s="17">
        <x:v>85</x:v>
      </x:c>
      <x:c r="L71" s="11">
        <x:v>85</x:v>
      </x:c>
      <x:c r="M71" s="17">
        <x:v>85</x:v>
      </x:c>
      <x:c r="N71" s="17" t="s">
        <x:v>41</x:v>
      </x:c>
      <x:c r="O71" s="6" t="s">
        <x:v>42</x:v>
      </x:c>
      <x:c r="P71" s="6"/>
      <x:c r="Q71" s="23" t="s">
        <x:v>72</x:v>
      </x:c>
      <x:c r="R71" s="23" t="s">
        <x:v>88</x:v>
      </x:c>
      <x:c r="S71" s="20"/>
      <x:c r="T71" s="11"/>
      <x:c r="U71" s="11"/>
      <x:c r="V71" s="11">
        <x:v>-2.1105010000000002</x:v>
      </x:c>
      <x:c r="W71" s="11">
        <x:v>106.088167</x:v>
      </x:c>
      <x:c r="X71" s="65"/>
      <x:c r="Y71" s="29"/>
      <x:c r="Z71" s="51"/>
      <x:c r="AA71" s="53"/>
      <x:c r="AB71" s="56"/>
      <x:c r="AC71">
        <x:f t="shared" si="4"/>
        <x:v>1</x:v>
      </x:c>
      <x:c r="AD71">
        <x:f t="shared" si="5"/>
        <x:v>1</x:v>
      </x:c>
    </x:row>
    <x:row r="72" ht="9.75" customHeight="1">
      <x:c r="A72" s="32">
        <x:v>67</x:v>
      </x:c>
      <x:c r="B72" s="11" t="s">
        <x:v>225</x:v>
      </x:c>
      <x:c r="C72" s="6" t="s">
        <x:v>34</x:v>
      </x:c>
      <x:c r="D72" s="11" t="s">
        <x:v>35</x:v>
      </x:c>
      <x:c r="E72" s="11" t="s">
        <x:v>184</x:v>
      </x:c>
      <x:c r="F72" s="6" t="s">
        <x:v>185</x:v>
      </x:c>
      <x:c r="G72" s="6" t="s">
        <x:v>223</x:v>
      </x:c>
      <x:c r="H72" s="17" t="s">
        <x:v>224</x:v>
      </x:c>
      <x:c r="I72" s="17" t="s">
        <x:v>112</x:v>
      </x:c>
      <x:c r="J72" s="6">
        <x:v>2018</x:v>
      </x:c>
      <x:c r="K72" s="17">
        <x:v>80</x:v>
      </x:c>
      <x:c r="L72" s="11">
        <x:v>80</x:v>
      </x:c>
      <x:c r="M72" s="17">
        <x:v>80</x:v>
      </x:c>
      <x:c r="N72" s="17" t="s">
        <x:v>41</x:v>
      </x:c>
      <x:c r="O72" s="6" t="s">
        <x:v>42</x:v>
      </x:c>
      <x:c r="P72" s="6"/>
      <x:c r="Q72" s="23" t="s">
        <x:v>43</x:v>
      </x:c>
      <x:c r="R72" s="23" t="s">
        <x:v>88</x:v>
      </x:c>
      <x:c r="S72" s="20"/>
      <x:c r="T72" s="11"/>
      <x:c r="U72" s="11"/>
      <x:c r="V72" s="11">
        <x:v>-2.1059435</x:v>
      </x:c>
      <x:c r="W72" s="11">
        <x:v>106.0873139</x:v>
      </x:c>
      <x:c r="X72" s="65"/>
      <x:c r="Y72" s="29"/>
      <x:c r="Z72" s="51"/>
      <x:c r="AA72" s="53"/>
      <x:c r="AB72" s="56"/>
      <x:c r="AC72">
        <x:f t="shared" si="4"/>
        <x:v>1</x:v>
      </x:c>
      <x:c r="AD72">
        <x:f t="shared" si="5"/>
        <x:v>1</x:v>
      </x:c>
    </x:row>
    <x:row r="73" ht="9.75" customHeight="1">
      <x:c r="A73" s="32">
        <x:v>68</x:v>
      </x:c>
      <x:c r="B73" s="11" t="s">
        <x:v>226</x:v>
      </x:c>
      <x:c r="C73" s="6" t="s">
        <x:v>34</x:v>
      </x:c>
      <x:c r="D73" s="11" t="s">
        <x:v>35</x:v>
      </x:c>
      <x:c r="E73" s="11" t="s">
        <x:v>136</x:v>
      </x:c>
      <x:c r="F73" s="6" t="s">
        <x:v>227</x:v>
      </x:c>
      <x:c r="G73" s="6" t="s">
        <x:v>215</x:v>
      </x:c>
      <x:c r="H73" s="17" t="s">
        <x:v>216</x:v>
      </x:c>
      <x:c r="I73" s="17" t="s">
        <x:v>112</x:v>
      </x:c>
      <x:c r="J73" s="6">
        <x:v>2018</x:v>
      </x:c>
      <x:c r="K73" s="17">
        <x:v>18</x:v>
      </x:c>
      <x:c r="L73" s="11">
        <x:v>18</x:v>
      </x:c>
      <x:c r="M73" s="17">
        <x:v>18</x:v>
      </x:c>
      <x:c r="N73" s="17" t="s">
        <x:v>41</x:v>
      </x:c>
      <x:c r="O73" s="6" t="s">
        <x:v>42</x:v>
      </x:c>
      <x:c r="P73" s="6"/>
      <x:c r="Q73" s="23" t="s">
        <x:v>43</x:v>
      </x:c>
      <x:c r="R73" s="23" t="s">
        <x:v>88</x:v>
      </x:c>
      <x:c r="S73" s="20"/>
      <x:c r="T73" s="11"/>
      <x:c r="U73" s="11"/>
      <x:c r="V73" s="11">
        <x:v>-2.1110685</x:v>
      </x:c>
      <x:c r="W73" s="11">
        <x:v>106.0932651</x:v>
      </x:c>
      <x:c r="X73" s="65"/>
      <x:c r="Y73" s="29"/>
      <x:c r="Z73" s="51"/>
      <x:c r="AA73" s="53"/>
      <x:c r="AB73" s="56"/>
      <x:c r="AC73">
        <x:f t="shared" si="4"/>
        <x:v>1</x:v>
      </x:c>
      <x:c r="AD73">
        <x:f t="shared" si="5"/>
        <x:v>1</x:v>
      </x:c>
    </x:row>
    <x:row r="74" ht="9.75" customHeight="1">
      <x:c r="A74" s="32">
        <x:v>69</x:v>
      </x:c>
      <x:c r="B74" s="11" t="s">
        <x:v>228</x:v>
      </x:c>
      <x:c r="C74" s="6" t="s">
        <x:v>34</x:v>
      </x:c>
      <x:c r="D74" s="11" t="s">
        <x:v>60</x:v>
      </x:c>
      <x:c r="E74" s="11" t="s">
        <x:v>91</x:v>
      </x:c>
      <x:c r="F74" s="6" t="s">
        <x:v>229</x:v>
      </x:c>
      <x:c r="G74" s="6" t="s">
        <x:v>215</x:v>
      </x:c>
      <x:c r="H74" s="17" t="s">
        <x:v>216</x:v>
      </x:c>
      <x:c r="I74" s="17" t="s">
        <x:v>112</x:v>
      </x:c>
      <x:c r="J74" s="6">
        <x:v>2018</x:v>
      </x:c>
      <x:c r="K74" s="17">
        <x:v>32</x:v>
      </x:c>
      <x:c r="L74" s="11">
        <x:v>32</x:v>
      </x:c>
      <x:c r="M74" s="17">
        <x:v>32</x:v>
      </x:c>
      <x:c r="N74" s="17" t="s">
        <x:v>41</x:v>
      </x:c>
      <x:c r="O74" s="6" t="s">
        <x:v>42</x:v>
      </x:c>
      <x:c r="P74" s="6"/>
      <x:c r="Q74" s="23" t="s">
        <x:v>43</x:v>
      </x:c>
      <x:c r="R74" s="23"/>
      <x:c r="S74" s="20"/>
      <x:c r="T74" s="11"/>
      <x:c r="U74" s="11"/>
      <x:c r="V74" s="11">
        <x:v>-2.094849</x:v>
      </x:c>
      <x:c r="W74" s="11">
        <x:v>106.098916</x:v>
      </x:c>
      <x:c r="X74" s="65"/>
      <x:c r="Y74" s="29"/>
      <x:c r="Z74" s="51"/>
      <x:c r="AA74" s="53"/>
      <x:c r="AB74" s="56"/>
      <x:c r="AC74">
        <x:f t="shared" si="4"/>
        <x:v>1</x:v>
      </x:c>
      <x:c r="AD74">
        <x:f t="shared" si="5"/>
        <x:v>1</x:v>
      </x:c>
    </x:row>
    <x:row r="75" ht="9.75" customHeight="1">
      <x:c r="A75" s="32">
        <x:v>70</x:v>
      </x:c>
      <x:c r="B75" s="11" t="s">
        <x:v>230</x:v>
      </x:c>
      <x:c r="C75" s="6" t="s">
        <x:v>34</x:v>
      </x:c>
      <x:c r="D75" s="11" t="s">
        <x:v>60</x:v>
      </x:c>
      <x:c r="E75" s="11" t="s">
        <x:v>70</x:v>
      </x:c>
      <x:c r="F75" s="6" t="s">
        <x:v>168</x:v>
      </x:c>
      <x:c r="G75" s="6" t="s">
        <x:v>215</x:v>
      </x:c>
      <x:c r="H75" s="17" t="s">
        <x:v>216</x:v>
      </x:c>
      <x:c r="I75" s="17" t="s">
        <x:v>112</x:v>
      </x:c>
      <x:c r="J75" s="6">
        <x:v>2018</x:v>
      </x:c>
      <x:c r="K75" s="17">
        <x:v>72</x:v>
      </x:c>
      <x:c r="L75" s="11">
        <x:v>72</x:v>
      </x:c>
      <x:c r="M75" s="17">
        <x:v>72</x:v>
      </x:c>
      <x:c r="N75" s="17" t="s">
        <x:v>41</x:v>
      </x:c>
      <x:c r="O75" s="6" t="s">
        <x:v>42</x:v>
      </x:c>
      <x:c r="P75" s="6"/>
      <x:c r="Q75" s="23" t="s">
        <x:v>43</x:v>
      </x:c>
      <x:c r="R75" s="23"/>
      <x:c r="S75" s="20"/>
      <x:c r="T75" s="11"/>
      <x:c r="U75" s="11"/>
      <x:c r="V75" s="11">
        <x:v>-2.1015929999999998</x:v>
      </x:c>
      <x:c r="W75" s="11">
        <x:v>106.096616</x:v>
      </x:c>
      <x:c r="X75" s="65"/>
      <x:c r="Y75" s="29"/>
      <x:c r="Z75" s="51"/>
      <x:c r="AA75" s="53"/>
      <x:c r="AB75" s="56"/>
      <x:c r="AC75">
        <x:f t="shared" si="4"/>
        <x:v>1</x:v>
      </x:c>
      <x:c r="AD75">
        <x:f t="shared" si="5"/>
        <x:v>1</x:v>
      </x:c>
    </x:row>
    <x:row r="76" ht="9.75" customHeight="1">
      <x:c r="A76" s="32">
        <x:v>71</x:v>
      </x:c>
      <x:c r="B76" s="11" t="s">
        <x:v>231</x:v>
      </x:c>
      <x:c r="C76" s="6" t="s">
        <x:v>34</x:v>
      </x:c>
      <x:c r="D76" s="11" t="s">
        <x:v>35</x:v>
      </x:c>
      <x:c r="E76" s="11" t="s">
        <x:v>36</x:v>
      </x:c>
      <x:c r="F76" s="6" t="s">
        <x:v>232</x:v>
      </x:c>
      <x:c r="G76" s="6" t="s">
        <x:v>215</x:v>
      </x:c>
      <x:c r="H76" s="17" t="s">
        <x:v>216</x:v>
      </x:c>
      <x:c r="I76" s="17" t="s">
        <x:v>112</x:v>
      </x:c>
      <x:c r="J76" s="6">
        <x:v>2018</x:v>
      </x:c>
      <x:c r="K76" s="17">
        <x:v>83</x:v>
      </x:c>
      <x:c r="L76" s="11">
        <x:v>83</x:v>
      </x:c>
      <x:c r="M76" s="17">
        <x:v>0</x:v>
      </x:c>
      <x:c r="N76" s="17" t="s">
        <x:v>41</x:v>
      </x:c>
      <x:c r="O76" s="6" t="s">
        <x:v>42</x:v>
      </x:c>
      <x:c r="P76" s="6"/>
      <x:c r="Q76" s="23" t="s">
        <x:v>43</x:v>
      </x:c>
      <x:c r="R76" s="23"/>
      <x:c r="S76" s="20"/>
      <x:c r="T76" s="11"/>
      <x:c r="U76" s="11"/>
      <x:c r="V76" s="11">
        <x:v>-2.1018757099999998</x:v>
      </x:c>
      <x:c r="W76" s="11">
        <x:v>106.0948856</x:v>
      </x:c>
      <x:c r="X76" s="65"/>
      <x:c r="Y76" s="29"/>
      <x:c r="Z76" s="51"/>
      <x:c r="AA76" s="53"/>
      <x:c r="AB76" s="56"/>
      <x:c r="AC76">
        <x:f t="shared" si="4"/>
        <x:v>1</x:v>
      </x:c>
      <x:c r="AD76">
        <x:f t="shared" si="5"/>
        <x:v>0</x:v>
      </x:c>
    </x:row>
    <x:row r="77" ht="9.75" customHeight="1">
      <x:c r="A77" s="32">
        <x:v>72</x:v>
      </x:c>
      <x:c r="B77" s="11" t="s">
        <x:v>233</x:v>
      </x:c>
      <x:c r="C77" s="6" t="s">
        <x:v>34</x:v>
      </x:c>
      <x:c r="D77" s="11" t="s">
        <x:v>35</x:v>
      </x:c>
      <x:c r="E77" s="11" t="s">
        <x:v>36</x:v>
      </x:c>
      <x:c r="F77" s="6" t="s">
        <x:v>234</x:v>
      </x:c>
      <x:c r="G77" s="6" t="s">
        <x:v>215</x:v>
      </x:c>
      <x:c r="H77" s="17" t="s">
        <x:v>216</x:v>
      </x:c>
      <x:c r="I77" s="17" t="s">
        <x:v>112</x:v>
      </x:c>
      <x:c r="J77" s="6">
        <x:v>2018</x:v>
      </x:c>
      <x:c r="K77" s="17">
        <x:v>16</x:v>
      </x:c>
      <x:c r="L77" s="11">
        <x:v>16</x:v>
      </x:c>
      <x:c r="M77" s="17">
        <x:v>16</x:v>
      </x:c>
      <x:c r="N77" s="17" t="s">
        <x:v>41</x:v>
      </x:c>
      <x:c r="O77" s="6" t="s">
        <x:v>42</x:v>
      </x:c>
      <x:c r="P77" s="6"/>
      <x:c r="Q77" s="23" t="s">
        <x:v>43</x:v>
      </x:c>
      <x:c r="R77" s="23"/>
      <x:c r="S77" s="20"/>
      <x:c r="T77" s="11"/>
      <x:c r="U77" s="11"/>
      <x:c r="V77" s="11">
        <x:v>-2.1027453999999999</x:v>
      </x:c>
      <x:c r="W77" s="11">
        <x:v>106.08195600000001</x:v>
      </x:c>
      <x:c r="X77" s="65"/>
      <x:c r="Y77" s="29"/>
      <x:c r="Z77" s="51"/>
      <x:c r="AA77" s="53"/>
      <x:c r="AB77" s="56"/>
      <x:c r="AC77">
        <x:f t="shared" si="4"/>
        <x:v>1</x:v>
      </x:c>
      <x:c r="AD77">
        <x:f t="shared" si="5"/>
        <x:v>1</x:v>
      </x:c>
    </x:row>
    <x:row r="78" ht="9.75" customHeight="1">
      <x:c r="A78" s="32">
        <x:v>73</x:v>
      </x:c>
      <x:c r="B78" s="11" t="s">
        <x:v>235</x:v>
      </x:c>
      <x:c r="C78" s="6" t="s">
        <x:v>34</x:v>
      </x:c>
      <x:c r="D78" s="11" t="s">
        <x:v>60</x:v>
      </x:c>
      <x:c r="E78" s="11" t="s">
        <x:v>70</x:v>
      </x:c>
      <x:c r="F78" s="6" t="s">
        <x:v>236</x:v>
      </x:c>
      <x:c r="G78" s="6" t="s">
        <x:v>237</x:v>
      </x:c>
      <x:c r="H78" s="17" t="s">
        <x:v>216</x:v>
      </x:c>
      <x:c r="I78" s="17" t="s">
        <x:v>112</x:v>
      </x:c>
      <x:c r="J78" s="6">
        <x:v>2021</x:v>
      </x:c>
      <x:c r="K78" s="17">
        <x:v>48</x:v>
      </x:c>
      <x:c r="L78" s="11">
        <x:v>48</x:v>
      </x:c>
      <x:c r="M78" s="17">
        <x:v>48</x:v>
      </x:c>
      <x:c r="N78" s="17" t="s">
        <x:v>41</x:v>
      </x:c>
      <x:c r="O78" s="6" t="s">
        <x:v>42</x:v>
      </x:c>
      <x:c r="P78" s="6"/>
      <x:c r="Q78" s="23" t="s">
        <x:v>43</x:v>
      </x:c>
      <x:c r="R78" s="23"/>
      <x:c r="S78" s="20"/>
      <x:c r="T78" s="11"/>
      <x:c r="U78" s="11"/>
      <x:c r="V78" s="11">
        <x:v>-2.0908709999999999</x:v>
      </x:c>
      <x:c r="W78" s="11">
        <x:v>106.095277</x:v>
      </x:c>
      <x:c r="X78" s="65"/>
      <x:c r="Y78" s="29"/>
      <x:c r="Z78" s="51"/>
      <x:c r="AA78" s="53"/>
      <x:c r="AB78" s="56"/>
      <x:c r="AC78">
        <x:f t="shared" si="4"/>
        <x:v>1</x:v>
      </x:c>
      <x:c r="AD78">
        <x:f t="shared" si="5"/>
        <x:v>1</x:v>
      </x:c>
    </x:row>
    <x:row r="79" ht="9.75" customHeight="1">
      <x:c r="A79" s="32">
        <x:v>74</x:v>
      </x:c>
      <x:c r="B79" s="11" t="s">
        <x:v>238</x:v>
      </x:c>
      <x:c r="C79" s="6" t="s">
        <x:v>34</x:v>
      </x:c>
      <x:c r="D79" s="11" t="s">
        <x:v>60</x:v>
      </x:c>
      <x:c r="E79" s="11" t="s">
        <x:v>70</x:v>
      </x:c>
      <x:c r="F79" s="6" t="s">
        <x:v>229</x:v>
      </x:c>
      <x:c r="G79" s="6" t="s">
        <x:v>237</x:v>
      </x:c>
      <x:c r="H79" s="17" t="s">
        <x:v>216</x:v>
      </x:c>
      <x:c r="I79" s="17" t="s">
        <x:v>112</x:v>
      </x:c>
      <x:c r="J79" s="6">
        <x:v>2019</x:v>
      </x:c>
      <x:c r="K79" s="17">
        <x:v>66</x:v>
      </x:c>
      <x:c r="L79" s="11">
        <x:v>66</x:v>
      </x:c>
      <x:c r="M79" s="17">
        <x:v>66</x:v>
      </x:c>
      <x:c r="N79" s="17" t="s">
        <x:v>41</x:v>
      </x:c>
      <x:c r="O79" s="6" t="s">
        <x:v>42</x:v>
      </x:c>
      <x:c r="P79" s="6"/>
      <x:c r="Q79" s="23" t="s">
        <x:v>43</x:v>
      </x:c>
      <x:c r="R79" s="23"/>
      <x:c r="S79" s="20"/>
      <x:c r="T79" s="11"/>
      <x:c r="U79" s="11"/>
      <x:c r="V79" s="11">
        <x:v>-2.091539</x:v>
      </x:c>
      <x:c r="W79" s="11">
        <x:v>106.094336</x:v>
      </x:c>
      <x:c r="X79" s="65"/>
      <x:c r="Y79" s="29"/>
      <x:c r="Z79" s="51"/>
      <x:c r="AA79" s="53"/>
      <x:c r="AB79" s="56"/>
      <x:c r="AC79">
        <x:f t="shared" si="4"/>
        <x:v>1</x:v>
      </x:c>
      <x:c r="AD79">
        <x:f t="shared" si="5"/>
        <x:v>1</x:v>
      </x:c>
    </x:row>
    <x:row r="80" ht="9.75" customHeight="1">
      <x:c r="A80" s="32">
        <x:v>75</x:v>
      </x:c>
      <x:c r="B80" s="11" t="s">
        <x:v>239</x:v>
      </x:c>
      <x:c r="C80" s="6" t="s">
        <x:v>34</x:v>
      </x:c>
      <x:c r="D80" s="11" t="s">
        <x:v>35</x:v>
      </x:c>
      <x:c r="E80" s="11" t="s">
        <x:v>36</x:v>
      </x:c>
      <x:c r="F80" s="6" t="s">
        <x:v>42</x:v>
      </x:c>
      <x:c r="G80" s="6" t="s">
        <x:v>215</x:v>
      </x:c>
      <x:c r="H80" s="17" t="s">
        <x:v>216</x:v>
      </x:c>
      <x:c r="I80" s="17" t="s">
        <x:v>112</x:v>
      </x:c>
      <x:c r="J80" s="6">
        <x:v>2022</x:v>
      </x:c>
      <x:c r="K80" s="17">
        <x:v>49</x:v>
      </x:c>
      <x:c r="L80" s="11">
        <x:v>49</x:v>
      </x:c>
      <x:c r="M80" s="17">
        <x:v>49</x:v>
      </x:c>
      <x:c r="N80" s="17" t="s">
        <x:v>41</x:v>
      </x:c>
      <x:c r="O80" s="6" t="s">
        <x:v>42</x:v>
      </x:c>
      <x:c r="P80" s="6"/>
      <x:c r="Q80" s="23" t="s">
        <x:v>43</x:v>
      </x:c>
      <x:c r="R80" s="23"/>
      <x:c r="S80" s="20"/>
      <x:c r="T80" s="11"/>
      <x:c r="U80" s="11"/>
      <x:c r="V80" s="11">
        <x:v>-2.1189081000000001</x:v>
      </x:c>
      <x:c r="W80" s="11">
        <x:v>106.08377350000001</x:v>
      </x:c>
      <x:c r="X80" s="65"/>
      <x:c r="Y80" s="29"/>
      <x:c r="Z80" s="51"/>
      <x:c r="AA80" s="53"/>
      <x:c r="AB80" s="56"/>
      <x:c r="AC80">
        <x:f t="shared" si="4"/>
        <x:v>1</x:v>
      </x:c>
      <x:c r="AD80">
        <x:f t="shared" si="5"/>
        <x:v>1</x:v>
      </x:c>
    </x:row>
    <x:row r="81" ht="9.75" customHeight="1">
      <x:c r="A81" s="32">
        <x:v>76</x:v>
      </x:c>
      <x:c r="B81" s="11" t="s">
        <x:v>240</x:v>
      </x:c>
      <x:c r="C81" s="6" t="s">
        <x:v>34</x:v>
      </x:c>
      <x:c r="D81" s="11" t="s">
        <x:v>35</x:v>
      </x:c>
      <x:c r="E81" s="11" t="s">
        <x:v>36</x:v>
      </x:c>
      <x:c r="F81" s="6" t="s">
        <x:v>241</x:v>
      </x:c>
      <x:c r="G81" s="6" t="s">
        <x:v>215</x:v>
      </x:c>
      <x:c r="H81" s="17" t="s">
        <x:v>216</x:v>
      </x:c>
      <x:c r="I81" s="17" t="s">
        <x:v>112</x:v>
      </x:c>
      <x:c r="J81" s="6">
        <x:v>2022</x:v>
      </x:c>
      <x:c r="K81" s="17">
        <x:v>132</x:v>
      </x:c>
      <x:c r="L81" s="11">
        <x:v>132</x:v>
      </x:c>
      <x:c r="M81" s="17">
        <x:v>132</x:v>
      </x:c>
      <x:c r="N81" s="17" t="s">
        <x:v>41</x:v>
      </x:c>
      <x:c r="O81" s="6" t="s">
        <x:v>42</x:v>
      </x:c>
      <x:c r="P81" s="6"/>
      <x:c r="Q81" s="23" t="s">
        <x:v>43</x:v>
      </x:c>
      <x:c r="R81" s="23"/>
      <x:c r="S81" s="20"/>
      <x:c r="T81" s="11"/>
      <x:c r="U81" s="11"/>
      <x:c r="V81" s="11">
        <x:v>-2.1064370000000001</x:v>
      </x:c>
      <x:c r="W81" s="11">
        <x:v>106.083372</x:v>
      </x:c>
      <x:c r="X81" s="65"/>
      <x:c r="Y81" s="29"/>
      <x:c r="Z81" s="51"/>
      <x:c r="AA81" s="53"/>
      <x:c r="AB81" s="56"/>
      <x:c r="AC81">
        <x:f t="shared" si="4"/>
        <x:v>1</x:v>
      </x:c>
      <x:c r="AD81">
        <x:f t="shared" si="5"/>
        <x:v>1</x:v>
      </x:c>
    </x:row>
    <x:row r="82" ht="9.75" customHeight="1">
      <x:c r="A82" s="32">
        <x:v>77</x:v>
      </x:c>
      <x:c r="B82" s="11" t="s">
        <x:v>242</x:v>
      </x:c>
      <x:c r="C82" s="6" t="s">
        <x:v>34</x:v>
      </x:c>
      <x:c r="D82" s="11" t="s">
        <x:v>60</x:v>
      </x:c>
      <x:c r="E82" s="11" t="s">
        <x:v>70</x:v>
      </x:c>
      <x:c r="F82" s="6" t="s">
        <x:v>243</x:v>
      </x:c>
      <x:c r="G82" s="6" t="s">
        <x:v>215</x:v>
      </x:c>
      <x:c r="H82" s="17" t="s">
        <x:v>216</x:v>
      </x:c>
      <x:c r="I82" s="17" t="s">
        <x:v>112</x:v>
      </x:c>
      <x:c r="J82" s="6">
        <x:v>2023</x:v>
      </x:c>
      <x:c r="K82" s="17">
        <x:v>38</x:v>
      </x:c>
      <x:c r="L82" s="11">
        <x:v>38</x:v>
      </x:c>
      <x:c r="M82" s="17">
        <x:v>38</x:v>
      </x:c>
      <x:c r="N82" s="17" t="s">
        <x:v>41</x:v>
      </x:c>
      <x:c r="O82" s="6" t="s">
        <x:v>42</x:v>
      </x:c>
      <x:c r="P82" s="6"/>
      <x:c r="Q82" s="23" t="s">
        <x:v>43</x:v>
      </x:c>
      <x:c r="R82" s="23"/>
      <x:c r="S82" s="20"/>
      <x:c r="T82" s="11"/>
      <x:c r="U82" s="11"/>
      <x:c r="V82" s="11">
        <x:v>-2.0986220000000002</x:v>
      </x:c>
      <x:c r="W82" s="11">
        <x:v>106.08407010000001</x:v>
      </x:c>
      <x:c r="X82" s="65"/>
      <x:c r="Y82" s="29"/>
      <x:c r="Z82" s="51"/>
      <x:c r="AA82" s="53"/>
      <x:c r="AB82" s="56"/>
      <x:c r="AC82">
        <x:f t="shared" si="4"/>
        <x:v>1</x:v>
      </x:c>
      <x:c r="AD82">
        <x:f t="shared" si="5"/>
        <x:v>1</x:v>
      </x:c>
    </x:row>
    <x:row r="83" ht="9.75" customHeight="1">
      <x:c r="A83" s="32">
        <x:v>78</x:v>
      </x:c>
      <x:c r="B83" s="11" t="s">
        <x:v>244</x:v>
      </x:c>
      <x:c r="C83" s="6" t="s">
        <x:v>34</x:v>
      </x:c>
      <x:c r="D83" s="11" t="s">
        <x:v>35</x:v>
      </x:c>
      <x:c r="E83" s="11" t="s">
        <x:v>36</x:v>
      </x:c>
      <x:c r="F83" s="6" t="s">
        <x:v>116</x:v>
      </x:c>
      <x:c r="G83" s="6" t="s">
        <x:v>245</x:v>
      </x:c>
      <x:c r="H83" s="17" t="s">
        <x:v>246</x:v>
      </x:c>
      <x:c r="I83" s="17" t="s">
        <x:v>86</x:v>
      </x:c>
      <x:c r="J83" s="6">
        <x:v>2019</x:v>
      </x:c>
      <x:c r="K83" s="17">
        <x:v>83</x:v>
      </x:c>
      <x:c r="L83" s="11">
        <x:v>83</x:v>
      </x:c>
      <x:c r="M83" s="17">
        <x:v>79</x:v>
      </x:c>
      <x:c r="N83" s="17" t="s">
        <x:v>48</x:v>
      </x:c>
      <x:c r="O83" s="6">
        <x:v>2022</x:v>
      </x:c>
      <x:c r="P83" s="6"/>
      <x:c r="Q83" s="23" t="s">
        <x:v>43</x:v>
      </x:c>
      <x:c r="R83" s="23" t="s">
        <x:v>247</x:v>
      </x:c>
      <x:c r="S83" s="20"/>
      <x:c r="T83" s="11"/>
      <x:c r="U83" s="11"/>
      <x:c r="V83" s="11">
        <x:v>-2.0963539999999998</x:v>
      </x:c>
      <x:c r="W83" s="11">
        <x:v>106.08517500000001</x:v>
      </x:c>
      <x:c r="X83" s="65"/>
      <x:c r="Y83" s="29"/>
      <x:c r="Z83" s="51"/>
      <x:c r="AA83" s="53"/>
      <x:c r="AB83" s="56"/>
      <x:c r="AC83">
        <x:f t="shared" si="4"/>
        <x:v>1</x:v>
      </x:c>
      <x:c r="AD83">
        <x:f t="shared" si="5"/>
        <x:v>0.95180722891566261</x:v>
      </x:c>
    </x:row>
    <x:row r="84" ht="9.75" customHeight="1">
      <x:c r="A84" s="32">
        <x:v>79</x:v>
      </x:c>
      <x:c r="B84" s="11" t="s">
        <x:v>248</x:v>
      </x:c>
      <x:c r="C84" s="6" t="s">
        <x:v>34</x:v>
      </x:c>
      <x:c r="D84" s="11" t="s">
        <x:v>35</x:v>
      </x:c>
      <x:c r="E84" s="11" t="s">
        <x:v>46</x:v>
      </x:c>
      <x:c r="F84" s="6" t="s">
        <x:v>249</x:v>
      </x:c>
      <x:c r="G84" s="6" t="s">
        <x:v>245</x:v>
      </x:c>
      <x:c r="H84" s="17" t="s">
        <x:v>246</x:v>
      </x:c>
      <x:c r="I84" s="17" t="s">
        <x:v>86</x:v>
      </x:c>
      <x:c r="J84" s="6">
        <x:v>2022</x:v>
      </x:c>
      <x:c r="K84" s="17">
        <x:v>97</x:v>
      </x:c>
      <x:c r="L84" s="11">
        <x:v>97</x:v>
      </x:c>
      <x:c r="M84" s="17">
        <x:v>97</x:v>
      </x:c>
      <x:c r="N84" s="17" t="s">
        <x:v>41</x:v>
      </x:c>
      <x:c r="O84" s="6" t="s">
        <x:v>42</x:v>
      </x:c>
      <x:c r="P84" s="6"/>
      <x:c r="Q84" s="23" t="s">
        <x:v>75</x:v>
      </x:c>
      <x:c r="R84" s="23"/>
      <x:c r="S84" s="20"/>
      <x:c r="T84" s="11"/>
      <x:c r="U84" s="11"/>
      <x:c r="V84" s="11">
        <x:v>-2.1202122999999999</x:v>
      </x:c>
      <x:c r="W84" s="11">
        <x:v>106.0750427</x:v>
      </x:c>
      <x:c r="X84" s="65"/>
      <x:c r="Y84" s="29"/>
      <x:c r="Z84" s="51"/>
      <x:c r="AA84" s="53"/>
      <x:c r="AB84" s="56"/>
      <x:c r="AC84">
        <x:f t="shared" si="4"/>
        <x:v>1</x:v>
      </x:c>
      <x:c r="AD84">
        <x:f t="shared" si="5"/>
        <x:v>1</x:v>
      </x:c>
    </x:row>
    <x:row r="85" ht="9.75" customHeight="1">
      <x:c r="A85" s="32">
        <x:v>80</x:v>
      </x:c>
      <x:c r="B85" s="11" t="s">
        <x:v>250</x:v>
      </x:c>
      <x:c r="C85" s="6" t="s">
        <x:v>34</x:v>
      </x:c>
      <x:c r="D85" s="11" t="s">
        <x:v>60</x:v>
      </x:c>
      <x:c r="E85" s="11" t="s">
        <x:v>70</x:v>
      </x:c>
      <x:c r="F85" s="6" t="s">
        <x:v>236</x:v>
      </x:c>
      <x:c r="G85" s="6" t="s">
        <x:v>245</x:v>
      </x:c>
      <x:c r="H85" s="17" t="s">
        <x:v>246</x:v>
      </x:c>
      <x:c r="I85" s="17" t="s">
        <x:v>86</x:v>
      </x:c>
      <x:c r="J85" s="6">
        <x:v>2023</x:v>
      </x:c>
      <x:c r="K85" s="17">
        <x:v>97</x:v>
      </x:c>
      <x:c r="L85" s="11">
        <x:v>97</x:v>
      </x:c>
      <x:c r="M85" s="17">
        <x:v>97</x:v>
      </x:c>
      <x:c r="N85" s="17" t="s">
        <x:v>48</x:v>
      </x:c>
      <x:c r="O85" s="6">
        <x:v>2025</x:v>
      </x:c>
      <x:c r="P85" s="6"/>
      <x:c r="Q85" s="23" t="s">
        <x:v>43</x:v>
      </x:c>
      <x:c r="R85" s="23"/>
      <x:c r="S85" s="20"/>
      <x:c r="T85" s="11"/>
      <x:c r="U85" s="11"/>
      <x:c r="V85" s="11">
        <x:v>-2.0932569999999999</x:v>
      </x:c>
      <x:c r="W85" s="11">
        <x:v>106.09328499999999</x:v>
      </x:c>
      <x:c r="X85" s="65"/>
      <x:c r="Y85" s="29"/>
      <x:c r="Z85" s="51"/>
      <x:c r="AA85" s="53"/>
      <x:c r="AB85" s="56"/>
      <x:c r="AC85">
        <x:f t="shared" si="4"/>
        <x:v>1</x:v>
      </x:c>
      <x:c r="AD85">
        <x:f t="shared" si="5"/>
        <x:v>1</x:v>
      </x:c>
    </x:row>
    <x:row r="86" ht="9.75" customHeight="1">
      <x:c r="A86" s="32">
        <x:v>81</x:v>
      </x:c>
      <x:c r="B86" s="11" t="s">
        <x:v>251</x:v>
      </x:c>
      <x:c r="C86" s="6" t="s">
        <x:v>34</x:v>
      </x:c>
      <x:c r="D86" s="11" t="s">
        <x:v>60</x:v>
      </x:c>
      <x:c r="E86" s="11" t="s">
        <x:v>70</x:v>
      </x:c>
      <x:c r="F86" s="6" t="s">
        <x:v>236</x:v>
      </x:c>
      <x:c r="G86" s="6" t="s">
        <x:v>245</x:v>
      </x:c>
      <x:c r="H86" s="17" t="s">
        <x:v>246</x:v>
      </x:c>
      <x:c r="I86" s="17" t="s">
        <x:v>86</x:v>
      </x:c>
      <x:c r="J86" s="6">
        <x:v>2024</x:v>
      </x:c>
      <x:c r="K86" s="17">
        <x:v>128</x:v>
      </x:c>
      <x:c r="L86" s="11">
        <x:v>76</x:v>
      </x:c>
      <x:c r="M86" s="17">
        <x:v>76</x:v>
      </x:c>
      <x:c r="N86" s="17" t="s">
        <x:v>41</x:v>
      </x:c>
      <x:c r="O86" s="6" t="s">
        <x:v>42</x:v>
      </x:c>
      <x:c r="P86" s="6"/>
      <x:c r="Q86" s="23" t="s">
        <x:v>43</x:v>
      </x:c>
      <x:c r="R86" s="23" t="s">
        <x:v>88</x:v>
      </x:c>
      <x:c r="S86" s="20"/>
      <x:c r="T86" s="11"/>
      <x:c r="U86" s="11"/>
      <x:c r="V86" s="11">
        <x:v>-2.0918890000000001</x:v>
      </x:c>
      <x:c r="W86" s="11">
        <x:v>106.09471600000001</x:v>
      </x:c>
      <x:c r="X86" s="65"/>
      <x:c r="Y86" s="29"/>
      <x:c r="Z86" s="51"/>
      <x:c r="AA86" s="53"/>
      <x:c r="AB86" s="56"/>
      <x:c r="AC86">
        <x:f t="shared" si="4"/>
        <x:v>0.59375</x:v>
      </x:c>
      <x:c r="AD86">
        <x:f t="shared" si="5"/>
        <x:v>1</x:v>
      </x:c>
    </x:row>
    <x:row r="87" ht="9.75" customHeight="1">
      <x:c r="A87" s="32">
        <x:v>82</x:v>
      </x:c>
      <x:c r="B87" s="11" t="s">
        <x:v>252</x:v>
      </x:c>
      <x:c r="C87" s="6" t="s">
        <x:v>34</x:v>
      </x:c>
      <x:c r="D87" s="11" t="s">
        <x:v>81</x:v>
      </x:c>
      <x:c r="E87" s="11" t="s">
        <x:v>202</x:v>
      </x:c>
      <x:c r="F87" s="6" t="s">
        <x:v>253</x:v>
      </x:c>
      <x:c r="G87" s="6" t="s">
        <x:v>254</x:v>
      </x:c>
      <x:c r="H87" s="17" t="s">
        <x:v>255</x:v>
      </x:c>
      <x:c r="I87" s="17" t="s">
        <x:v>42</x:v>
      </x:c>
      <x:c r="J87" s="6">
        <x:v>2017</x:v>
      </x:c>
      <x:c r="K87" s="17">
        <x:v>48</x:v>
      </x:c>
      <x:c r="L87" s="11">
        <x:v>48</x:v>
      </x:c>
      <x:c r="M87" s="17">
        <x:v>48</x:v>
      </x:c>
      <x:c r="N87" s="17" t="s">
        <x:v>41</x:v>
      </x:c>
      <x:c r="O87" s="6" t="s">
        <x:v>42</x:v>
      </x:c>
      <x:c r="P87" s="6"/>
      <x:c r="Q87" s="23" t="s">
        <x:v>43</x:v>
      </x:c>
      <x:c r="R87" s="23"/>
      <x:c r="S87" s="20"/>
      <x:c r="T87" s="11"/>
      <x:c r="U87" s="11"/>
      <x:c r="V87" s="11"/>
      <x:c r="W87" s="11"/>
      <x:c r="X87" s="65"/>
      <x:c r="Y87" s="29"/>
      <x:c r="Z87" s="51"/>
      <x:c r="AA87" s="53"/>
      <x:c r="AB87" s="56"/>
      <x:c r="AC87">
        <x:f t="shared" si="4"/>
        <x:v>1</x:v>
      </x:c>
      <x:c r="AD87">
        <x:f t="shared" si="5"/>
        <x:v>1</x:v>
      </x:c>
    </x:row>
    <x:row r="88" ht="9.75" customHeight="1">
      <x:c r="A88" s="32">
        <x:v>83</x:v>
      </x:c>
      <x:c r="B88" s="11" t="s">
        <x:v>256</x:v>
      </x:c>
      <x:c r="C88" s="6" t="s">
        <x:v>34</x:v>
      </x:c>
      <x:c r="D88" s="11" t="s">
        <x:v>35</x:v>
      </x:c>
      <x:c r="E88" s="11" t="s">
        <x:v>136</x:v>
      </x:c>
      <x:c r="F88" s="6" t="s">
        <x:v>137</x:v>
      </x:c>
      <x:c r="G88" s="6" t="s">
        <x:v>42</x:v>
      </x:c>
      <x:c r="H88" s="17" t="s">
        <x:v>42</x:v>
      </x:c>
      <x:c r="I88" s="17" t="s">
        <x:v>42</x:v>
      </x:c>
      <x:c r="J88" s="6" t="s">
        <x:v>42</x:v>
      </x:c>
      <x:c r="K88" s="17">
        <x:v>12</x:v>
      </x:c>
      <x:c r="L88" s="11">
        <x:v>12</x:v>
      </x:c>
      <x:c r="M88" s="17">
        <x:v>12</x:v>
      </x:c>
      <x:c r="N88" s="17" t="s">
        <x:v>41</x:v>
      </x:c>
      <x:c r="O88" s="6" t="s">
        <x:v>42</x:v>
      </x:c>
      <x:c r="P88" s="6"/>
      <x:c r="Q88" s="23" t="s">
        <x:v>43</x:v>
      </x:c>
      <x:c r="R88" s="23"/>
      <x:c r="S88" s="20"/>
      <x:c r="T88" s="11"/>
      <x:c r="U88" s="11"/>
      <x:c r="V88" s="11">
        <x:v>-2.106166</x:v>
      </x:c>
      <x:c r="W88" s="11">
        <x:v>106.092079</x:v>
      </x:c>
      <x:c r="X88" s="65"/>
      <x:c r="Y88" s="29"/>
      <x:c r="Z88" s="51"/>
      <x:c r="AA88" s="53"/>
      <x:c r="AB88" s="56"/>
      <x:c r="AC88">
        <x:f t="shared" si="4"/>
        <x:v>1</x:v>
      </x:c>
      <x:c r="AD88">
        <x:f t="shared" si="5"/>
        <x:v>1</x:v>
      </x:c>
    </x:row>
    <x:row r="89" ht="9.75" customHeight="1">
      <x:c r="A89" s="32">
        <x:v>84</x:v>
      </x:c>
      <x:c r="B89" s="11" t="s">
        <x:v>257</x:v>
      </x:c>
      <x:c r="C89" s="6" t="s">
        <x:v>170</x:v>
      </x:c>
      <x:c r="D89" s="11" t="s">
        <x:v>81</x:v>
      </x:c>
      <x:c r="E89" s="11" t="s">
        <x:v>202</x:v>
      </x:c>
      <x:c r="F89" s="6" t="s">
        <x:v>258</x:v>
      </x:c>
      <x:c r="G89" s="6" t="s">
        <x:v>259</x:v>
      </x:c>
      <x:c r="H89" s="17" t="s">
        <x:v>42</x:v>
      </x:c>
      <x:c r="I89" s="17" t="s">
        <x:v>42</x:v>
      </x:c>
      <x:c r="J89" s="6">
        <x:v>2019</x:v>
      </x:c>
      <x:c r="K89" s="17">
        <x:v>0</x:v>
      </x:c>
      <x:c r="L89" s="11">
        <x:v>339</x:v>
      </x:c>
      <x:c r="M89" s="17">
        <x:v>134</x:v>
      </x:c>
      <x:c r="N89" s="17" t="s">
        <x:v>41</x:v>
      </x:c>
      <x:c r="O89" s="6" t="s">
        <x:v>42</x:v>
      </x:c>
      <x:c r="P89" s="6"/>
      <x:c r="Q89" s="23" t="s">
        <x:v>72</x:v>
      </x:c>
      <x:c r="R89" s="23"/>
      <x:c r="S89" s="20"/>
      <x:c r="T89" s="11"/>
      <x:c r="U89" s="11"/>
      <x:c r="V89" s="11">
        <x:v>-2.1276793999999999</x:v>
      </x:c>
      <x:c r="W89" s="11">
        <x:v>106.1520824</x:v>
      </x:c>
      <x:c r="X89" s="65"/>
      <x:c r="Y89" s="29"/>
      <x:c r="Z89" s="51"/>
      <x:c r="AA89" s="53"/>
      <x:c r="AB89" s="56"/>
      <x:c r="AC89">
        <x:f t="shared" si="4"/>
        <x:v>0</x:v>
      </x:c>
      <x:c r="AD89">
        <x:f t="shared" si="5"/>
        <x:v>0.39528023598820061</x:v>
      </x:c>
    </x:row>
    <x:row r="90" ht="9.75" customHeight="1">
      <x:c r="A90" s="32">
        <x:v>85</x:v>
      </x:c>
      <x:c r="B90" s="11" t="s">
        <x:v>260</x:v>
      </x:c>
      <x:c r="C90" s="6" t="s">
        <x:v>170</x:v>
      </x:c>
      <x:c r="D90" s="11" t="s">
        <x:v>35</x:v>
      </x:c>
      <x:c r="E90" s="11" t="s">
        <x:v>36</x:v>
      </x:c>
      <x:c r="F90" s="6" t="s">
        <x:v>42</x:v>
      </x:c>
      <x:c r="G90" s="6" t="s">
        <x:v>42</x:v>
      </x:c>
      <x:c r="H90" s="17" t="s">
        <x:v>42</x:v>
      </x:c>
      <x:c r="I90" s="17" t="s">
        <x:v>42</x:v>
      </x:c>
      <x:c r="J90" s="6">
        <x:v>2021</x:v>
      </x:c>
      <x:c r="K90" s="17">
        <x:v>0</x:v>
      </x:c>
      <x:c r="L90" s="11">
        <x:v>0</x:v>
      </x:c>
      <x:c r="M90" s="17">
        <x:v>0</x:v>
      </x:c>
      <x:c r="N90" s="17" t="s">
        <x:v>41</x:v>
      </x:c>
      <x:c r="O90" s="6" t="s">
        <x:v>42</x:v>
      </x:c>
      <x:c r="P90" s="6"/>
      <x:c r="Q90" s="23" t="s">
        <x:v>43</x:v>
      </x:c>
      <x:c r="R90" s="23"/>
      <x:c r="S90" s="20"/>
      <x:c r="T90" s="11"/>
      <x:c r="U90" s="11"/>
      <x:c r="V90" s="11">
        <x:v>-2.1150597000000002</x:v>
      </x:c>
      <x:c r="W90" s="11">
        <x:v>106.08923830000001</x:v>
      </x:c>
      <x:c r="X90" s="65"/>
      <x:c r="Y90" s="29"/>
      <x:c r="Z90" s="51"/>
      <x:c r="AA90" s="53"/>
      <x:c r="AB90" s="56"/>
      <x:c r="AC90">
        <x:f t="shared" si="4"/>
        <x:v>0</x:v>
      </x:c>
      <x:c r="AD90">
        <x:f t="shared" si="5"/>
        <x:v>0</x:v>
      </x:c>
    </x:row>
    <x:row r="91" ht="9.75" customHeight="1">
      <x:c r="A91" s="32">
        <x:v>86</x:v>
      </x:c>
      <x:c r="B91" s="11" t="s">
        <x:v>261</x:v>
      </x:c>
      <x:c r="C91" s="6" t="s">
        <x:v>90</x:v>
      </x:c>
      <x:c r="D91" s="11" t="s">
        <x:v>81</x:v>
      </x:c>
      <x:c r="E91" s="11" t="s">
        <x:v>82</x:v>
      </x:c>
      <x:c r="F91" s="6" t="s">
        <x:v>262</x:v>
      </x:c>
      <x:c r="G91" s="6" t="s">
        <x:v>263</x:v>
      </x:c>
      <x:c r="H91" s="17" t="s">
        <x:v>85</x:v>
      </x:c>
      <x:c r="I91" s="17" t="s">
        <x:v>86</x:v>
      </x:c>
      <x:c r="J91" s="6">
        <x:v>2018</x:v>
      </x:c>
      <x:c r="K91" s="17">
        <x:v>168</x:v>
      </x:c>
      <x:c r="L91" s="11">
        <x:v>168</x:v>
      </x:c>
      <x:c r="M91" s="17">
        <x:v>157</x:v>
      </x:c>
      <x:c r="N91" s="17" t="s">
        <x:v>48</x:v>
      </x:c>
      <x:c r="O91" s="6">
        <x:v>2020</x:v>
      </x:c>
      <x:c r="P91" s="6"/>
      <x:c r="Q91" s="23" t="s">
        <x:v>72</x:v>
      </x:c>
      <x:c r="R91" s="23"/>
      <x:c r="S91" s="20"/>
      <x:c r="T91" s="11"/>
      <x:c r="U91" s="11"/>
      <x:c r="V91" s="11">
        <x:v>-2.1409722000000002</x:v>
      </x:c>
      <x:c r="W91" s="11">
        <x:v>106.1375556</x:v>
      </x:c>
      <x:c r="X91" s="65"/>
      <x:c r="Y91" s="29"/>
      <x:c r="Z91" s="51"/>
      <x:c r="AA91" s="53"/>
      <x:c r="AB91" s="56"/>
      <x:c r="AC91">
        <x:f t="shared" si="4"/>
        <x:v>1</x:v>
      </x:c>
      <x:c r="AD91">
        <x:f t="shared" si="5"/>
        <x:v>0.93452380952380953</x:v>
      </x:c>
    </x:row>
    <x:row r="92">
      <x:c r="A92" s="32">
        <x:v>87</x:v>
      </x:c>
      <x:c r="B92" s="11" t="s">
        <x:v>264</x:v>
      </x:c>
      <x:c r="C92" s="6" t="s">
        <x:v>34</x:v>
      </x:c>
      <x:c r="D92" s="11" t="s">
        <x:v>81</x:v>
      </x:c>
      <x:c r="E92" s="11" t="s">
        <x:v>122</x:v>
      </x:c>
      <x:c r="F92" s="6" t="s">
        <x:v>163</x:v>
      </x:c>
      <x:c r="G92" s="6" t="s">
        <x:v>263</x:v>
      </x:c>
      <x:c r="H92" s="17" t="s">
        <x:v>85</x:v>
      </x:c>
      <x:c r="I92" s="17" t="s">
        <x:v>86</x:v>
      </x:c>
      <x:c r="J92" s="6">
        <x:v>2016</x:v>
      </x:c>
      <x:c r="K92" s="17">
        <x:v>147</x:v>
      </x:c>
      <x:c r="L92" s="11">
        <x:v>147</x:v>
      </x:c>
      <x:c r="M92" s="17">
        <x:v>147</x:v>
      </x:c>
      <x:c r="N92" s="17" t="s">
        <x:v>48</x:v>
      </x:c>
      <x:c r="O92" s="6">
        <x:v>2020</x:v>
      </x:c>
      <x:c r="P92" s="6"/>
      <x:c r="Q92" s="23" t="s">
        <x:v>72</x:v>
      </x:c>
      <x:c r="R92" s="23" t="s">
        <x:v>55</x:v>
      </x:c>
      <x:c r="S92" s="20"/>
      <x:c r="T92" s="11"/>
      <x:c r="U92" s="11"/>
      <x:c r="V92" s="11">
        <x:v>-2.1399853000000002</x:v>
      </x:c>
      <x:c r="W92" s="11">
        <x:v>106.165569</x:v>
      </x:c>
      <x:c r="X92" s="65"/>
      <x:c r="Y92" s="29"/>
      <x:c r="Z92" s="51"/>
      <x:c r="AA92" s="53"/>
      <x:c r="AB92" s="56"/>
      <x:c r="AC92">
        <x:f t="shared" si="4"/>
        <x:v>1</x:v>
      </x:c>
      <x:c r="AD92">
        <x:f t="shared" si="5"/>
        <x:v>1</x:v>
      </x:c>
    </x:row>
    <x:row r="93">
      <x:c r="A93" s="32">
        <x:v>88</x:v>
      </x:c>
      <x:c r="B93" s="11" t="s">
        <x:v>265</x:v>
      </x:c>
      <x:c r="C93" s="6" t="s">
        <x:v>34</x:v>
      </x:c>
      <x:c r="D93" s="11" t="s">
        <x:v>81</x:v>
      </x:c>
      <x:c r="E93" s="11" t="s">
        <x:v>122</x:v>
      </x:c>
      <x:c r="F93" s="6" t="s">
        <x:v>163</x:v>
      </x:c>
      <x:c r="G93" s="6" t="s">
        <x:v>263</x:v>
      </x:c>
      <x:c r="H93" s="17" t="s">
        <x:v>85</x:v>
      </x:c>
      <x:c r="I93" s="17" t="s">
        <x:v>86</x:v>
      </x:c>
      <x:c r="J93" s="6">
        <x:v>2020</x:v>
      </x:c>
      <x:c r="K93" s="17">
        <x:v>43</x:v>
      </x:c>
      <x:c r="L93" s="11">
        <x:v>43</x:v>
      </x:c>
      <x:c r="M93" s="17">
        <x:v>36</x:v>
      </x:c>
      <x:c r="N93" s="17" t="s">
        <x:v>48</x:v>
      </x:c>
      <x:c r="O93" s="6">
        <x:v>2021</x:v>
      </x:c>
      <x:c r="P93" s="6"/>
      <x:c r="Q93" s="23" t="s">
        <x:v>72</x:v>
      </x:c>
      <x:c r="R93" s="23" t="s">
        <x:v>55</x:v>
      </x:c>
      <x:c r="S93" s="20"/>
      <x:c r="T93" s="11" t="s">
        <x:v>44</x:v>
      </x:c>
      <x:c r="U93" s="11"/>
      <x:c r="V93" s="11">
        <x:v>-2.1399853000000002</x:v>
      </x:c>
      <x:c r="W93" s="11">
        <x:v>106.1655691</x:v>
      </x:c>
      <x:c r="X93" s="65"/>
      <x:c r="Y93" s="29"/>
      <x:c r="Z93" s="51"/>
      <x:c r="AA93" s="53"/>
      <x:c r="AB93" s="56"/>
      <x:c r="AC93">
        <x:f t="shared" si="4"/>
        <x:v>1</x:v>
      </x:c>
      <x:c r="AD93">
        <x:f t="shared" si="5"/>
        <x:v>0.83720930232558144</x:v>
      </x:c>
    </x:row>
    <x:row r="94">
      <x:c r="A94" s="32">
        <x:v>89</x:v>
      </x:c>
      <x:c r="B94" s="11" t="s">
        <x:v>266</x:v>
      </x:c>
      <x:c r="C94" s="6" t="s">
        <x:v>34</x:v>
      </x:c>
      <x:c r="D94" s="11" t="s">
        <x:v>60</x:v>
      </x:c>
      <x:c r="E94" s="11" t="s">
        <x:v>267</x:v>
      </x:c>
      <x:c r="F94" s="6" t="s">
        <x:v>268</x:v>
      </x:c>
      <x:c r="G94" s="6" t="s">
        <x:v>269</x:v>
      </x:c>
      <x:c r="H94" s="17" t="s">
        <x:v>85</x:v>
      </x:c>
      <x:c r="I94" s="17" t="s">
        <x:v>86</x:v>
      </x:c>
      <x:c r="J94" s="6">
        <x:v>2021</x:v>
      </x:c>
      <x:c r="K94" s="17">
        <x:v>92</x:v>
      </x:c>
      <x:c r="L94" s="11">
        <x:v>92</x:v>
      </x:c>
      <x:c r="M94" s="17">
        <x:v>92</x:v>
      </x:c>
      <x:c r="N94" s="17" t="s">
        <x:v>41</x:v>
      </x:c>
      <x:c r="O94" s="6" t="s">
        <x:v>42</x:v>
      </x:c>
      <x:c r="P94" s="6"/>
      <x:c r="Q94" s="23" t="s">
        <x:v>43</x:v>
      </x:c>
      <x:c r="R94" s="23"/>
      <x:c r="S94" s="20"/>
      <x:c r="T94" s="11" t="s">
        <x:v>44</x:v>
      </x:c>
      <x:c r="U94" s="11"/>
      <x:c r="V94" s="11">
        <x:v>-2.0881560000000001</x:v>
      </x:c>
      <x:c r="W94" s="11">
        <x:v>106.11421300000001</x:v>
      </x:c>
      <x:c r="X94" s="65"/>
      <x:c r="Y94" s="29"/>
      <x:c r="Z94" s="51"/>
      <x:c r="AA94" s="53"/>
      <x:c r="AB94" s="56"/>
      <x:c r="AC94">
        <x:f t="shared" si="4"/>
        <x:v>1</x:v>
      </x:c>
      <x:c r="AD94">
        <x:f t="shared" si="5"/>
        <x:v>1</x:v>
      </x:c>
    </x:row>
    <x:row r="95" ht="9.75" customHeight="1">
      <x:c r="A95" s="32">
        <x:v>90</x:v>
      </x:c>
      <x:c r="B95" s="11" t="s">
        <x:v>270</x:v>
      </x:c>
      <x:c r="C95" s="6" t="s">
        <x:v>34</x:v>
      </x:c>
      <x:c r="D95" s="11" t="s">
        <x:v>60</x:v>
      </x:c>
      <x:c r="E95" s="11" t="s">
        <x:v>267</x:v>
      </x:c>
      <x:c r="F95" s="6" t="s">
        <x:v>268</x:v>
      </x:c>
      <x:c r="G95" s="6" t="s">
        <x:v>269</x:v>
      </x:c>
      <x:c r="H95" s="17" t="s">
        <x:v>85</x:v>
      </x:c>
      <x:c r="I95" s="17" t="s">
        <x:v>86</x:v>
      </x:c>
      <x:c r="J95" s="6">
        <x:v>2024</x:v>
      </x:c>
      <x:c r="K95" s="17">
        <x:v>69</x:v>
      </x:c>
      <x:c r="L95" s="11">
        <x:v>0</x:v>
      </x:c>
      <x:c r="M95" s="17">
        <x:v>0</x:v>
      </x:c>
      <x:c r="N95" s="17" t="s">
        <x:v>41</x:v>
      </x:c>
      <x:c r="O95" s="6" t="s">
        <x:v>42</x:v>
      </x:c>
      <x:c r="P95" s="6"/>
      <x:c r="Q95" s="23" t="s">
        <x:v>43</x:v>
      </x:c>
      <x:c r="R95" s="23"/>
      <x:c r="S95" s="20"/>
      <x:c r="T95" s="11"/>
      <x:c r="U95" s="11"/>
      <x:c r="V95" s="11">
        <x:v>-2.0873370000000002</x:v>
      </x:c>
      <x:c r="W95" s="11">
        <x:v>106.115123</x:v>
      </x:c>
      <x:c r="X95" s="65"/>
      <x:c r="Y95" s="29"/>
      <x:c r="Z95" s="51"/>
      <x:c r="AA95" s="53"/>
      <x:c r="AB95" s="56"/>
      <x:c r="AC95">
        <x:f t="shared" si="4"/>
        <x:v>0</x:v>
      </x:c>
      <x:c r="AD95">
        <x:f t="shared" si="5"/>
        <x:v>0</x:v>
      </x:c>
    </x:row>
    <x:row r="96">
      <x:c r="A96" s="32">
        <x:v>91</x:v>
      </x:c>
      <x:c r="B96" s="11" t="s">
        <x:v>271</x:v>
      </x:c>
      <x:c r="C96" s="6" t="s">
        <x:v>34</x:v>
      </x:c>
      <x:c r="D96" s="11" t="s">
        <x:v>81</x:v>
      </x:c>
      <x:c r="E96" s="11" t="s">
        <x:v>122</x:v>
      </x:c>
      <x:c r="F96" s="6" t="s">
        <x:v>129</x:v>
      </x:c>
      <x:c r="G96" s="6" t="s">
        <x:v>263</x:v>
      </x:c>
      <x:c r="H96" s="17" t="s">
        <x:v>85</x:v>
      </x:c>
      <x:c r="I96" s="17" t="s">
        <x:v>86</x:v>
      </x:c>
      <x:c r="J96" s="6">
        <x:v>2019</x:v>
      </x:c>
      <x:c r="K96" s="17">
        <x:v>98</x:v>
      </x:c>
      <x:c r="L96" s="11">
        <x:v>90</x:v>
      </x:c>
      <x:c r="M96" s="17">
        <x:v>84</x:v>
      </x:c>
      <x:c r="N96" s="17" t="s">
        <x:v>48</x:v>
      </x:c>
      <x:c r="O96" s="6">
        <x:v>2021</x:v>
      </x:c>
      <x:c r="P96" s="6"/>
      <x:c r="Q96" s="23" t="s">
        <x:v>43</x:v>
      </x:c>
      <x:c r="R96" s="23"/>
      <x:c r="S96" s="20"/>
      <x:c r="T96" s="11"/>
      <x:c r="U96" s="11"/>
      <x:c r="V96" s="11">
        <x:v>-2.1327805999999998</x:v>
      </x:c>
      <x:c r="W96" s="11">
        <x:v>106.16383949999999</x:v>
      </x:c>
      <x:c r="X96" s="65"/>
      <x:c r="Y96" s="29"/>
      <x:c r="Z96" s="51"/>
      <x:c r="AA96" s="53"/>
      <x:c r="AB96" s="56"/>
      <x:c r="AC96">
        <x:f t="shared" si="4"/>
        <x:v>0.91836734693877553</x:v>
      </x:c>
      <x:c r="AD96">
        <x:f t="shared" si="5"/>
        <x:v>0.93333333333333335</x:v>
      </x:c>
    </x:row>
    <x:row r="97">
      <x:c r="A97" s="32">
        <x:v>92</x:v>
      </x:c>
      <x:c r="B97" s="11" t="s">
        <x:v>272</x:v>
      </x:c>
      <x:c r="C97" s="6" t="s">
        <x:v>34</x:v>
      </x:c>
      <x:c r="D97" s="11" t="s">
        <x:v>81</x:v>
      </x:c>
      <x:c r="E97" s="11" t="s">
        <x:v>122</x:v>
      </x:c>
      <x:c r="F97" s="6" t="s">
        <x:v>129</x:v>
      </x:c>
      <x:c r="G97" s="6" t="s">
        <x:v>263</x:v>
      </x:c>
      <x:c r="H97" s="17" t="s">
        <x:v>85</x:v>
      </x:c>
      <x:c r="I97" s="17" t="s">
        <x:v>86</x:v>
      </x:c>
      <x:c r="J97" s="6">
        <x:v>2019</x:v>
      </x:c>
      <x:c r="K97" s="17">
        <x:v>139</x:v>
      </x:c>
      <x:c r="L97" s="11">
        <x:v>139</x:v>
      </x:c>
      <x:c r="M97" s="17">
        <x:v>136</x:v>
      </x:c>
      <x:c r="N97" s="17" t="s">
        <x:v>48</x:v>
      </x:c>
      <x:c r="O97" s="6">
        <x:v>2023</x:v>
      </x:c>
      <x:c r="P97" s="6"/>
      <x:c r="Q97" s="23" t="s">
        <x:v>43</x:v>
      </x:c>
      <x:c r="R97" s="23"/>
      <x:c r="S97" s="20"/>
      <x:c r="T97" s="11"/>
      <x:c r="U97" s="11"/>
      <x:c r="V97" s="11">
        <x:v>-2.1327805999999998</x:v>
      </x:c>
      <x:c r="W97" s="11">
        <x:v>106.1638396</x:v>
      </x:c>
      <x:c r="X97" s="65"/>
      <x:c r="Y97" s="29"/>
      <x:c r="Z97" s="51"/>
      <x:c r="AA97" s="53"/>
      <x:c r="AB97" s="56"/>
      <x:c r="AC97">
        <x:f t="shared" si="4"/>
        <x:v>1</x:v>
      </x:c>
      <x:c r="AD97">
        <x:f t="shared" si="5"/>
        <x:v>0.97841726618705038</x:v>
      </x:c>
    </x:row>
    <x:row r="98" ht="9.75" customHeight="1">
      <x:c r="A98" s="32">
        <x:v>93</x:v>
      </x:c>
      <x:c r="B98" s="11" t="s">
        <x:v>273</x:v>
      </x:c>
      <x:c r="C98" s="6" t="s">
        <x:v>34</x:v>
      </x:c>
      <x:c r="D98" s="11" t="s">
        <x:v>35</x:v>
      </x:c>
      <x:c r="E98" s="11" t="s">
        <x:v>36</x:v>
      </x:c>
      <x:c r="F98" s="6" t="s">
        <x:v>54</x:v>
      </x:c>
      <x:c r="G98" s="6" t="s">
        <x:v>263</x:v>
      </x:c>
      <x:c r="H98" s="17" t="s">
        <x:v>85</x:v>
      </x:c>
      <x:c r="I98" s="17" t="s">
        <x:v>86</x:v>
      </x:c>
      <x:c r="J98" s="6">
        <x:v>2021</x:v>
      </x:c>
      <x:c r="K98" s="17">
        <x:v>112</x:v>
      </x:c>
      <x:c r="L98" s="11">
        <x:v>90</x:v>
      </x:c>
      <x:c r="M98" s="17">
        <x:v>90</x:v>
      </x:c>
      <x:c r="N98" s="17" t="s">
        <x:v>41</x:v>
      </x:c>
      <x:c r="O98" s="6" t="s">
        <x:v>42</x:v>
      </x:c>
      <x:c r="P98" s="6"/>
      <x:c r="Q98" s="23" t="s">
        <x:v>43</x:v>
      </x:c>
      <x:c r="R98" s="23" t="s">
        <x:v>88</x:v>
      </x:c>
      <x:c r="S98" s="20"/>
      <x:c r="T98" s="11" t="s">
        <x:v>44</x:v>
      </x:c>
      <x:c r="U98" s="11"/>
      <x:c r="V98" s="11">
        <x:v>-2.099383</x:v>
      </x:c>
      <x:c r="W98" s="11">
        <x:v>106.0753648</x:v>
      </x:c>
      <x:c r="X98" s="65"/>
      <x:c r="Y98" s="29"/>
      <x:c r="Z98" s="51"/>
      <x:c r="AA98" s="53"/>
      <x:c r="AB98" s="56"/>
      <x:c r="AC98">
        <x:f t="shared" si="4"/>
        <x:v>0.8035714285714286</x:v>
      </x:c>
      <x:c r="AD98">
        <x:f t="shared" si="5"/>
        <x:v>1</x:v>
      </x:c>
    </x:row>
    <x:row r="99">
      <x:c r="A99" s="32">
        <x:v>94</x:v>
      </x:c>
      <x:c r="B99" s="11" t="s">
        <x:v>274</x:v>
      </x:c>
      <x:c r="C99" s="6" t="s">
        <x:v>34</x:v>
      </x:c>
      <x:c r="D99" s="11" t="s">
        <x:v>35</x:v>
      </x:c>
      <x:c r="E99" s="11" t="s">
        <x:v>36</x:v>
      </x:c>
      <x:c r="F99" s="6" t="s">
        <x:v>275</x:v>
      </x:c>
      <x:c r="G99" s="6" t="s">
        <x:v>263</x:v>
      </x:c>
      <x:c r="H99" s="17" t="s">
        <x:v>85</x:v>
      </x:c>
      <x:c r="I99" s="17" t="s">
        <x:v>86</x:v>
      </x:c>
      <x:c r="J99" s="6">
        <x:v>2024</x:v>
      </x:c>
      <x:c r="K99" s="17">
        <x:v>71</x:v>
      </x:c>
      <x:c r="L99" s="11">
        <x:v>12</x:v>
      </x:c>
      <x:c r="M99" s="17">
        <x:v>0</x:v>
      </x:c>
      <x:c r="N99" s="17" t="s">
        <x:v>41</x:v>
      </x:c>
      <x:c r="O99" s="6" t="s">
        <x:v>42</x:v>
      </x:c>
      <x:c r="P99" s="6"/>
      <x:c r="Q99" s="23" t="s">
        <x:v>43</x:v>
      </x:c>
      <x:c r="R99" s="23" t="s">
        <x:v>88</x:v>
      </x:c>
      <x:c r="S99" s="20"/>
      <x:c r="T99" s="11" t="s">
        <x:v>44</x:v>
      </x:c>
      <x:c r="U99" s="11"/>
      <x:c r="V99" s="11">
        <x:v>-2.0993406999999999</x:v>
      </x:c>
      <x:c r="W99" s="11">
        <x:v>106.07502890000001</x:v>
      </x:c>
      <x:c r="X99" s="65"/>
      <x:c r="Y99" s="29"/>
      <x:c r="Z99" s="51"/>
      <x:c r="AA99" s="53"/>
      <x:c r="AB99" s="56"/>
      <x:c r="AC99">
        <x:f t="shared" si="4"/>
        <x:v>0.16901408450704225</x:v>
      </x:c>
      <x:c r="AD99">
        <x:f t="shared" si="5"/>
        <x:v>0</x:v>
      </x:c>
    </x:row>
    <x:row r="100">
      <x:c r="A100" s="32">
        <x:v>95</x:v>
      </x:c>
      <x:c r="B100" s="11" t="s">
        <x:v>276</x:v>
      </x:c>
      <x:c r="C100" s="6" t="s">
        <x:v>34</x:v>
      </x:c>
      <x:c r="D100" s="11" t="s">
        <x:v>81</x:v>
      </x:c>
      <x:c r="E100" s="11" t="s">
        <x:v>122</x:v>
      </x:c>
      <x:c r="F100" s="6" t="s">
        <x:v>277</x:v>
      </x:c>
      <x:c r="G100" s="6" t="s">
        <x:v>269</x:v>
      </x:c>
      <x:c r="H100" s="17" t="s">
        <x:v>85</x:v>
      </x:c>
      <x:c r="I100" s="17" t="s">
        <x:v>86</x:v>
      </x:c>
      <x:c r="J100" s="6">
        <x:v>2023</x:v>
      </x:c>
      <x:c r="K100" s="17">
        <x:v>133</x:v>
      </x:c>
      <x:c r="L100" s="11">
        <x:v>78</x:v>
      </x:c>
      <x:c r="M100" s="17">
        <x:v>33</x:v>
      </x:c>
      <x:c r="N100" s="17" t="s">
        <x:v>41</x:v>
      </x:c>
      <x:c r="O100" s="6" t="s">
        <x:v>42</x:v>
      </x:c>
      <x:c r="P100" s="6"/>
      <x:c r="Q100" s="23" t="s">
        <x:v>43</x:v>
      </x:c>
      <x:c r="R100" s="23" t="s">
        <x:v>88</x:v>
      </x:c>
      <x:c r="S100" s="20"/>
      <x:c r="T100" s="11"/>
      <x:c r="U100" s="11"/>
      <x:c r="V100" s="11">
        <x:v>-2.1267033</x:v>
      </x:c>
      <x:c r="W100" s="11">
        <x:v>106.1668955</x:v>
      </x:c>
      <x:c r="X100" s="65"/>
      <x:c r="Y100" s="29"/>
      <x:c r="Z100" s="51"/>
      <x:c r="AA100" s="53"/>
      <x:c r="AB100" s="56"/>
      <x:c r="AC100">
        <x:f t="shared" si="4"/>
        <x:v>0.5864661654135338</x:v>
      </x:c>
      <x:c r="AD100">
        <x:f t="shared" si="5"/>
        <x:v>0.42307692307692307</x:v>
      </x:c>
    </x:row>
    <x:row r="101">
      <x:c r="A101" s="32">
        <x:v>96</x:v>
      </x:c>
      <x:c r="B101" s="11" t="s">
        <x:v>278</x:v>
      </x:c>
      <x:c r="C101" s="6" t="s">
        <x:v>34</x:v>
      </x:c>
      <x:c r="D101" s="11" t="s">
        <x:v>81</x:v>
      </x:c>
      <x:c r="E101" s="11" t="s">
        <x:v>122</x:v>
      </x:c>
      <x:c r="F101" s="6" t="s">
        <x:v>277</x:v>
      </x:c>
      <x:c r="G101" s="6" t="s">
        <x:v>269</x:v>
      </x:c>
      <x:c r="H101" s="17" t="s">
        <x:v>85</x:v>
      </x:c>
      <x:c r="I101" s="17" t="s">
        <x:v>86</x:v>
      </x:c>
      <x:c r="J101" s="6">
        <x:v>2023</x:v>
      </x:c>
      <x:c r="K101" s="17">
        <x:v>130</x:v>
      </x:c>
      <x:c r="L101" s="11">
        <x:v>46</x:v>
      </x:c>
      <x:c r="M101" s="17">
        <x:v>18</x:v>
      </x:c>
      <x:c r="N101" s="17" t="s">
        <x:v>41</x:v>
      </x:c>
      <x:c r="O101" s="6" t="s">
        <x:v>42</x:v>
      </x:c>
      <x:c r="P101" s="6"/>
      <x:c r="Q101" s="23" t="s">
        <x:v>43</x:v>
      </x:c>
      <x:c r="R101" s="23" t="s">
        <x:v>88</x:v>
      </x:c>
      <x:c r="S101" s="20"/>
      <x:c r="T101" s="11"/>
      <x:c r="U101" s="11"/>
      <x:c r="V101" s="11">
        <x:v>-2.1267033</x:v>
      </x:c>
      <x:c r="W101" s="11">
        <x:v>106.1668955</x:v>
      </x:c>
      <x:c r="X101" s="65"/>
      <x:c r="Y101" s="29"/>
      <x:c r="Z101" s="51"/>
      <x:c r="AA101" s="53"/>
      <x:c r="AB101" s="56"/>
      <x:c r="AC101">
        <x:f t="shared" si="4"/>
        <x:v>0.35384615384615387</x:v>
      </x:c>
      <x:c r="AD101">
        <x:f t="shared" si="5"/>
        <x:v>0.39130434782608697</x:v>
      </x:c>
    </x:row>
    <x:row r="102" ht="9.75" customHeight="1">
      <x:c r="A102" s="32">
        <x:v>97</x:v>
      </x:c>
      <x:c r="B102" s="11" t="s">
        <x:v>279</x:v>
      </x:c>
      <x:c r="C102" s="6" t="s">
        <x:v>34</x:v>
      </x:c>
      <x:c r="D102" s="11" t="s">
        <x:v>35</x:v>
      </x:c>
      <x:c r="E102" s="11" t="s">
        <x:v>46</x:v>
      </x:c>
      <x:c r="F102" s="6" t="s">
        <x:v>51</x:v>
      </x:c>
      <x:c r="G102" s="6" t="s">
        <x:v>38</x:v>
      </x:c>
      <x:c r="H102" s="17" t="s">
        <x:v>39</x:v>
      </x:c>
      <x:c r="I102" s="17" t="s">
        <x:v>40</x:v>
      </x:c>
      <x:c r="J102" s="6">
        <x:v>2016</x:v>
      </x:c>
      <x:c r="K102" s="17">
        <x:v>31</x:v>
      </x:c>
      <x:c r="L102" s="11">
        <x:v>31</x:v>
      </x:c>
      <x:c r="M102" s="17">
        <x:v>31</x:v>
      </x:c>
      <x:c r="N102" s="17" t="s">
        <x:v>41</x:v>
      </x:c>
      <x:c r="O102" s="6" t="s">
        <x:v>42</x:v>
      </x:c>
      <x:c r="P102" s="6"/>
      <x:c r="Q102" s="23" t="s">
        <x:v>43</x:v>
      </x:c>
      <x:c r="R102" s="23"/>
      <x:c r="S102" s="20"/>
      <x:c r="T102" s="11"/>
      <x:c r="U102" s="11"/>
      <x:c r="V102" s="11">
        <x:v>-2.1219239000000001</x:v>
      </x:c>
      <x:c r="W102" s="11">
        <x:v>106.07392950000001</x:v>
      </x:c>
      <x:c r="X102" s="65"/>
      <x:c r="Y102" s="29"/>
      <x:c r="Z102" s="51"/>
      <x:c r="AA102" s="53"/>
      <x:c r="AB102" s="56"/>
      <x:c r="AC102" t="n">
        <x:f t="shared" ref="AC102:AC133" si="6">IF(A102="","",IFERROR(L102/K102,0))</x:f>
        <x:v>1</x:v>
      </x:c>
      <x:c r="AD102" t="n">
        <x:f t="shared" ref="AD102:AD133" si="7">IF(A102="","",IFERROR(M102/L102,0))</x:f>
        <x:v>1</x:v>
      </x:c>
    </x:row>
    <x:row r="103" ht="9.75" customHeight="1">
      <x:c r="A103" s="32">
        <x:v>98</x:v>
      </x:c>
      <x:c r="B103" s="11" t="s">
        <x:v>280</x:v>
      </x:c>
      <x:c r="C103" s="6" t="s">
        <x:v>34</x:v>
      </x:c>
      <x:c r="D103" s="11" t="s">
        <x:v>35</x:v>
      </x:c>
      <x:c r="E103" s="11" t="s">
        <x:v>46</x:v>
      </x:c>
      <x:c r="F103" s="6" t="s">
        <x:v>281</x:v>
      </x:c>
      <x:c r="G103" s="6" t="s">
        <x:v>282</x:v>
      </x:c>
      <x:c r="H103" s="17" t="s">
        <x:v>283</x:v>
      </x:c>
      <x:c r="I103" s="17" t="s">
        <x:v>86</x:v>
      </x:c>
      <x:c r="J103" s="6">
        <x:v>2017</x:v>
      </x:c>
      <x:c r="K103" s="17">
        <x:v>316</x:v>
      </x:c>
      <x:c r="L103" s="11">
        <x:v>316</x:v>
      </x:c>
      <x:c r="M103" s="17">
        <x:v>306</x:v>
      </x:c>
      <x:c r="N103" s="17" t="s">
        <x:v>48</x:v>
      </x:c>
      <x:c r="O103" s="6">
        <x:v>2020</x:v>
      </x:c>
      <x:c r="P103" s="6"/>
      <x:c r="Q103" s="23" t="s">
        <x:v>72</x:v>
      </x:c>
      <x:c r="R103" s="23"/>
      <x:c r="S103" s="20"/>
      <x:c r="T103" s="11"/>
      <x:c r="U103" s="11"/>
      <x:c r="V103" s="11">
        <x:v>-2.1249530000000001</x:v>
      </x:c>
      <x:c r="W103" s="11">
        <x:v>106.07577000000001</x:v>
      </x:c>
      <x:c r="X103" s="65"/>
      <x:c r="Y103" s="29"/>
      <x:c r="Z103" s="51"/>
      <x:c r="AA103" s="53"/>
      <x:c r="AB103" s="56"/>
      <x:c r="AC103">
        <x:f t="shared" si="6"/>
        <x:v>1</x:v>
      </x:c>
      <x:c r="AD103">
        <x:f t="shared" si="7"/>
        <x:v>0.96835443037974689</x:v>
      </x:c>
    </x:row>
    <x:row r="104" ht="9.75" customHeight="1">
      <x:c r="A104" s="32">
        <x:v>99</x:v>
      </x:c>
      <x:c r="B104" s="11" t="s">
        <x:v>284</x:v>
      </x:c>
      <x:c r="C104" s="6" t="s">
        <x:v>34</x:v>
      </x:c>
      <x:c r="D104" s="11" t="s">
        <x:v>35</x:v>
      </x:c>
      <x:c r="E104" s="11" t="s">
        <x:v>46</x:v>
      </x:c>
      <x:c r="F104" s="6" t="s">
        <x:v>285</x:v>
      </x:c>
      <x:c r="G104" s="6" t="s">
        <x:v>282</x:v>
      </x:c>
      <x:c r="H104" s="17" t="s">
        <x:v>283</x:v>
      </x:c>
      <x:c r="I104" s="17" t="s">
        <x:v>86</x:v>
      </x:c>
      <x:c r="J104" s="6">
        <x:v>2020</x:v>
      </x:c>
      <x:c r="K104" s="17">
        <x:v>271</x:v>
      </x:c>
      <x:c r="L104" s="11">
        <x:v>271</x:v>
      </x:c>
      <x:c r="M104" s="17">
        <x:v>271</x:v>
      </x:c>
      <x:c r="N104" s="17" t="s">
        <x:v>41</x:v>
      </x:c>
      <x:c r="O104" s="6" t="s">
        <x:v>42</x:v>
      </x:c>
      <x:c r="P104" s="6"/>
      <x:c r="Q104" s="23" t="s">
        <x:v>43</x:v>
      </x:c>
      <x:c r="R104" s="23"/>
      <x:c r="S104" s="20"/>
      <x:c r="T104" s="11"/>
      <x:c r="U104" s="11"/>
      <x:c r="V104" s="11">
        <x:v>-2.1245880000000001</x:v>
      </x:c>
      <x:c r="W104" s="11">
        <x:v>106.07570800000001</x:v>
      </x:c>
      <x:c r="X104" s="65"/>
      <x:c r="Y104" s="29"/>
      <x:c r="Z104" s="51"/>
      <x:c r="AA104" s="53"/>
      <x:c r="AB104" s="56"/>
      <x:c r="AC104">
        <x:f t="shared" si="6"/>
        <x:v>1</x:v>
      </x:c>
      <x:c r="AD104">
        <x:f t="shared" si="7"/>
        <x:v>1</x:v>
      </x:c>
    </x:row>
    <x:row r="105" ht="9.75" customHeight="1">
      <x:c r="A105" s="32">
        <x:v>100</x:v>
      </x:c>
      <x:c r="B105" s="11" t="s">
        <x:v>286</x:v>
      </x:c>
      <x:c r="C105" s="6" t="s">
        <x:v>34</x:v>
      </x:c>
      <x:c r="D105" s="11" t="s">
        <x:v>60</x:v>
      </x:c>
      <x:c r="E105" s="11" t="s">
        <x:v>70</x:v>
      </x:c>
      <x:c r="F105" s="6" t="s">
        <x:v>287</x:v>
      </x:c>
      <x:c r="G105" s="6" t="s">
        <x:v>288</x:v>
      </x:c>
      <x:c r="H105" s="17" t="s">
        <x:v>289</x:v>
      </x:c>
      <x:c r="I105" s="17" t="s">
        <x:v>86</x:v>
      </x:c>
      <x:c r="J105" s="6">
        <x:v>2019</x:v>
      </x:c>
      <x:c r="K105" s="17">
        <x:v>50</x:v>
      </x:c>
      <x:c r="L105" s="11">
        <x:v>50</x:v>
      </x:c>
      <x:c r="M105" s="17">
        <x:v>47</x:v>
      </x:c>
      <x:c r="N105" s="17" t="s">
        <x:v>48</x:v>
      </x:c>
      <x:c r="O105" s="6">
        <x:v>2022</x:v>
      </x:c>
      <x:c r="P105" s="6"/>
      <x:c r="Q105" s="23" t="s">
        <x:v>43</x:v>
      </x:c>
      <x:c r="R105" s="23" t="s">
        <x:v>113</x:v>
      </x:c>
      <x:c r="S105" s="20"/>
      <x:c r="T105" s="11"/>
      <x:c r="U105" s="11"/>
      <x:c r="V105" s="11">
        <x:v>-2.101267</x:v>
      </x:c>
      <x:c r="W105" s="11">
        <x:v>106.093493</x:v>
      </x:c>
      <x:c r="X105" s="65"/>
      <x:c r="Y105" s="29"/>
      <x:c r="Z105" s="51"/>
      <x:c r="AA105" s="53"/>
      <x:c r="AB105" s="56"/>
      <x:c r="AC105">
        <x:f t="shared" si="6"/>
        <x:v>1</x:v>
      </x:c>
      <x:c r="AD105">
        <x:f t="shared" si="7"/>
        <x:v>0.94</x:v>
      </x:c>
    </x:row>
    <x:row r="106" ht="9.75" customHeight="1">
      <x:c r="A106" s="32">
        <x:v>101</x:v>
      </x:c>
      <x:c r="B106" s="11" t="s">
        <x:v>290</x:v>
      </x:c>
      <x:c r="C106" s="6" t="s">
        <x:v>34</x:v>
      </x:c>
      <x:c r="D106" s="11" t="s">
        <x:v>81</x:v>
      </x:c>
      <x:c r="E106" s="11" t="s">
        <x:v>291</x:v>
      </x:c>
      <x:c r="F106" s="6" t="s">
        <x:v>292</x:v>
      </x:c>
      <x:c r="G106" s="6" t="s">
        <x:v>288</x:v>
      </x:c>
      <x:c r="H106" s="17" t="s">
        <x:v>289</x:v>
      </x:c>
      <x:c r="I106" s="17" t="s">
        <x:v>86</x:v>
      </x:c>
      <x:c r="J106" s="6">
        <x:v>2022</x:v>
      </x:c>
      <x:c r="K106" s="17">
        <x:v>34</x:v>
      </x:c>
      <x:c r="L106" s="11">
        <x:v>8</x:v>
      </x:c>
      <x:c r="M106" s="17">
        <x:v>4</x:v>
      </x:c>
      <x:c r="N106" s="17" t="s">
        <x:v>41</x:v>
      </x:c>
      <x:c r="O106" s="6" t="s">
        <x:v>42</x:v>
      </x:c>
      <x:c r="P106" s="6"/>
      <x:c r="Q106" s="23" t="s">
        <x:v>43</x:v>
      </x:c>
      <x:c r="R106" s="23" t="s">
        <x:v>88</x:v>
      </x:c>
      <x:c r="S106" s="20"/>
      <x:c r="T106" s="11"/>
      <x:c r="U106" s="11"/>
      <x:c r="V106" s="11">
        <x:v>-2.1226183000000001</x:v>
      </x:c>
      <x:c r="W106" s="11">
        <x:v>106.1419678</x:v>
      </x:c>
      <x:c r="X106" s="65"/>
      <x:c r="Y106" s="29"/>
      <x:c r="Z106" s="51"/>
      <x:c r="AA106" s="53"/>
      <x:c r="AB106" s="56"/>
      <x:c r="AC106">
        <x:f t="shared" si="6"/>
        <x:v>0.23529411764705882</x:v>
      </x:c>
      <x:c r="AD106">
        <x:f t="shared" si="7"/>
        <x:v>0.5</x:v>
      </x:c>
    </x:row>
    <x:row r="107" ht="9.75" customHeight="1">
      <x:c r="A107" s="32">
        <x:v>102</x:v>
      </x:c>
      <x:c r="B107" s="11" t="s">
        <x:v>293</x:v>
      </x:c>
      <x:c r="C107" s="6" t="s">
        <x:v>34</x:v>
      </x:c>
      <x:c r="D107" s="11" t="s">
        <x:v>81</x:v>
      </x:c>
      <x:c r="E107" s="11" t="s">
        <x:v>202</x:v>
      </x:c>
      <x:c r="F107" s="6" t="s">
        <x:v>294</x:v>
      </x:c>
      <x:c r="G107" s="6" t="s">
        <x:v>282</x:v>
      </x:c>
      <x:c r="H107" s="17" t="s">
        <x:v>283</x:v>
      </x:c>
      <x:c r="I107" s="17" t="s">
        <x:v>86</x:v>
      </x:c>
      <x:c r="J107" s="6">
        <x:v>2018</x:v>
      </x:c>
      <x:c r="K107" s="17">
        <x:v>46</x:v>
      </x:c>
      <x:c r="L107" s="11">
        <x:v>46</x:v>
      </x:c>
      <x:c r="M107" s="17">
        <x:v>46</x:v>
      </x:c>
      <x:c r="N107" s="17" t="s">
        <x:v>41</x:v>
      </x:c>
      <x:c r="O107" s="6" t="s">
        <x:v>42</x:v>
      </x:c>
      <x:c r="P107" s="6"/>
      <x:c r="Q107" s="23" t="s">
        <x:v>43</x:v>
      </x:c>
      <x:c r="R107" s="23"/>
      <x:c r="S107" s="20"/>
      <x:c r="T107" s="11"/>
      <x:c r="U107" s="11"/>
      <x:c r="V107" s="11">
        <x:v>-2.1398174999999999</x:v>
      </x:c>
      <x:c r="W107" s="11">
        <x:v>106.1503439</x:v>
      </x:c>
      <x:c r="X107" s="65"/>
      <x:c r="Y107" s="29"/>
      <x:c r="Z107" s="51"/>
      <x:c r="AA107" s="53"/>
      <x:c r="AB107" s="56"/>
      <x:c r="AC107">
        <x:f t="shared" si="6"/>
        <x:v>1</x:v>
      </x:c>
      <x:c r="AD107">
        <x:f t="shared" si="7"/>
        <x:v>1</x:v>
      </x:c>
    </x:row>
    <x:row r="108" ht="9.75" customHeight="1">
      <x:c r="A108" s="32">
        <x:v>103</x:v>
      </x:c>
      <x:c r="B108" s="11" t="s">
        <x:v>295</x:v>
      </x:c>
      <x:c r="C108" s="6" t="s">
        <x:v>34</x:v>
      </x:c>
      <x:c r="D108" s="11" t="s">
        <x:v>60</x:v>
      </x:c>
      <x:c r="E108" s="11" t="s">
        <x:v>91</x:v>
      </x:c>
      <x:c r="F108" s="6" t="s">
        <x:v>154</x:v>
      </x:c>
      <x:c r="G108" s="6" t="s">
        <x:v>296</x:v>
      </x:c>
      <x:c r="H108" s="17" t="s">
        <x:v>297</x:v>
      </x:c>
      <x:c r="I108" s="17" t="s">
        <x:v>42</x:v>
      </x:c>
      <x:c r="J108" s="6">
        <x:v>2017</x:v>
      </x:c>
      <x:c r="K108" s="17">
        <x:v>72</x:v>
      </x:c>
      <x:c r="L108" s="11">
        <x:v>12</x:v>
      </x:c>
      <x:c r="M108" s="17">
        <x:v>12</x:v>
      </x:c>
      <x:c r="N108" s="17" t="s">
        <x:v>41</x:v>
      </x:c>
      <x:c r="O108" s="6" t="s">
        <x:v>42</x:v>
      </x:c>
      <x:c r="P108" s="6"/>
      <x:c r="Q108" s="23" t="s">
        <x:v>43</x:v>
      </x:c>
      <x:c r="R108" s="23"/>
      <x:c r="S108" s="20"/>
      <x:c r="T108" s="11"/>
      <x:c r="U108" s="11"/>
      <x:c r="V108" s="11">
        <x:v>-2.0840390000000002</x:v>
      </x:c>
      <x:c r="W108" s="11">
        <x:v>106.09747900000001</x:v>
      </x:c>
      <x:c r="X108" s="65"/>
      <x:c r="Y108" s="29"/>
      <x:c r="Z108" s="51"/>
      <x:c r="AA108" s="53"/>
      <x:c r="AB108" s="56"/>
      <x:c r="AC108">
        <x:f t="shared" si="6"/>
        <x:v>0.16666666666666666</x:v>
      </x:c>
      <x:c r="AD108">
        <x:f t="shared" si="7"/>
        <x:v>1</x:v>
      </x:c>
    </x:row>
    <x:row r="109" ht="9.75" customHeight="1">
      <x:c r="A109" s="32">
        <x:v>104</x:v>
      </x:c>
      <x:c r="B109" s="11" t="s">
        <x:v>298</x:v>
      </x:c>
      <x:c r="C109" s="6" t="s">
        <x:v>34</x:v>
      </x:c>
      <x:c r="D109" s="11" t="s">
        <x:v>35</x:v>
      </x:c>
      <x:c r="E109" s="11" t="s">
        <x:v>46</x:v>
      </x:c>
      <x:c r="F109" s="6" t="s">
        <x:v>171</x:v>
      </x:c>
      <x:c r="G109" s="6" t="s">
        <x:v>299</x:v>
      </x:c>
      <x:c r="H109" s="17" t="s">
        <x:v>300</x:v>
      </x:c>
      <x:c r="I109" s="17" t="s">
        <x:v>112</x:v>
      </x:c>
      <x:c r="J109" s="6">
        <x:v>2017</x:v>
      </x:c>
      <x:c r="K109" s="17">
        <x:v>48</x:v>
      </x:c>
      <x:c r="L109" s="11">
        <x:v>46</x:v>
      </x:c>
      <x:c r="M109" s="17">
        <x:v>46</x:v>
      </x:c>
      <x:c r="N109" s="17" t="s">
        <x:v>41</x:v>
      </x:c>
      <x:c r="O109" s="6" t="s">
        <x:v>42</x:v>
      </x:c>
      <x:c r="P109" s="6"/>
      <x:c r="Q109" s="23" t="s">
        <x:v>43</x:v>
      </x:c>
      <x:c r="R109" s="23"/>
      <x:c r="S109" s="20"/>
      <x:c r="T109" s="11"/>
      <x:c r="U109" s="11"/>
      <x:c r="V109" s="11">
        <x:v>-2.113772</x:v>
      </x:c>
      <x:c r="W109" s="11">
        <x:v>106.083653</x:v>
      </x:c>
      <x:c r="X109" s="65"/>
      <x:c r="Y109" s="29"/>
      <x:c r="Z109" s="51"/>
      <x:c r="AA109" s="53"/>
      <x:c r="AB109" s="56"/>
      <x:c r="AC109">
        <x:f t="shared" si="6"/>
        <x:v>0.95833333333333337</x:v>
      </x:c>
      <x:c r="AD109">
        <x:f t="shared" si="7"/>
        <x:v>1</x:v>
      </x:c>
    </x:row>
    <x:row r="110" ht="9.75" customHeight="1">
      <x:c r="A110" s="32">
        <x:v>105</x:v>
      </x:c>
      <x:c r="B110" s="11" t="s">
        <x:v>301</x:v>
      </x:c>
      <x:c r="C110" s="6" t="s">
        <x:v>34</x:v>
      </x:c>
      <x:c r="D110" s="11" t="s">
        <x:v>35</x:v>
      </x:c>
      <x:c r="E110" s="11" t="s">
        <x:v>302</x:v>
      </x:c>
      <x:c r="F110" s="6" t="s">
        <x:v>303</x:v>
      </x:c>
      <x:c r="G110" s="6" t="s">
        <x:v>304</x:v>
      </x:c>
      <x:c r="H110" s="17" t="s">
        <x:v>300</x:v>
      </x:c>
      <x:c r="I110" s="17" t="s">
        <x:v>112</x:v>
      </x:c>
      <x:c r="J110" s="6">
        <x:v>2019</x:v>
      </x:c>
      <x:c r="K110" s="17">
        <x:v>46</x:v>
      </x:c>
      <x:c r="L110" s="11">
        <x:v>40</x:v>
      </x:c>
      <x:c r="M110" s="17">
        <x:v>40</x:v>
      </x:c>
      <x:c r="N110" s="17" t="s">
        <x:v>41</x:v>
      </x:c>
      <x:c r="O110" s="6" t="s">
        <x:v>42</x:v>
      </x:c>
      <x:c r="P110" s="6"/>
      <x:c r="Q110" s="23" t="s">
        <x:v>43</x:v>
      </x:c>
      <x:c r="R110" s="23"/>
      <x:c r="S110" s="20"/>
      <x:c r="T110" s="11"/>
      <x:c r="U110" s="11"/>
      <x:c r="V110" s="11">
        <x:v>-2.1185415999999999</x:v>
      </x:c>
      <x:c r="W110" s="11">
        <x:v>106.0965628</x:v>
      </x:c>
      <x:c r="X110" s="65"/>
      <x:c r="Y110" s="29"/>
      <x:c r="Z110" s="51"/>
      <x:c r="AA110" s="53"/>
      <x:c r="AB110" s="56"/>
      <x:c r="AC110">
        <x:f t="shared" si="6"/>
        <x:v>0.86956521739130432</x:v>
      </x:c>
      <x:c r="AD110">
        <x:f t="shared" si="7"/>
        <x:v>1</x:v>
      </x:c>
    </x:row>
    <x:row r="111" ht="9.75" customHeight="1">
      <x:c r="A111" s="32">
        <x:v>106</x:v>
      </x:c>
      <x:c r="B111" s="11" t="s">
        <x:v>305</x:v>
      </x:c>
      <x:c r="C111" s="6" t="s">
        <x:v>34</x:v>
      </x:c>
      <x:c r="D111" s="11" t="s">
        <x:v>306</x:v>
      </x:c>
      <x:c r="E111" s="11" t="s">
        <x:v>307</x:v>
      </x:c>
      <x:c r="F111" s="6" t="s">
        <x:v>308</x:v>
      </x:c>
      <x:c r="G111" s="6" t="s">
        <x:v>42</x:v>
      </x:c>
      <x:c r="H111" s="17" t="s">
        <x:v>42</x:v>
      </x:c>
      <x:c r="I111" s="17" t="s">
        <x:v>42</x:v>
      </x:c>
      <x:c r="J111" s="6">
        <x:v>2019</x:v>
      </x:c>
      <x:c r="K111" s="17">
        <x:v>0</x:v>
      </x:c>
      <x:c r="L111" s="11">
        <x:v>0</x:v>
      </x:c>
      <x:c r="M111" s="17">
        <x:v>0</x:v>
      </x:c>
      <x:c r="N111" s="17" t="s">
        <x:v>41</x:v>
      </x:c>
      <x:c r="O111" s="6" t="s">
        <x:v>42</x:v>
      </x:c>
      <x:c r="P111" s="6"/>
      <x:c r="Q111" s="23" t="s">
        <x:v>43</x:v>
      </x:c>
      <x:c r="R111" s="23" t="s">
        <x:v>88</x:v>
      </x:c>
      <x:c r="S111" s="20"/>
      <x:c r="T111" s="11"/>
      <x:c r="U111" s="11"/>
      <x:c r="V111" s="11">
        <x:v>-2.151332</x:v>
      </x:c>
      <x:c r="W111" s="11">
        <x:v>106.10645599999999</x:v>
      </x:c>
      <x:c r="X111" s="65"/>
      <x:c r="Y111" s="29"/>
      <x:c r="Z111" s="51"/>
      <x:c r="AA111" s="53"/>
      <x:c r="AB111" s="56"/>
      <x:c r="AC111">
        <x:f t="shared" si="6"/>
        <x:v>0</x:v>
      </x:c>
      <x:c r="AD111">
        <x:f t="shared" si="7"/>
        <x:v>0</x:v>
      </x:c>
    </x:row>
    <x:row r="112" ht="9.75" customHeight="1">
      <x:c r="A112" s="32">
        <x:v>107</x:v>
      </x:c>
      <x:c r="B112" s="11" t="s">
        <x:v>309</x:v>
      </x:c>
      <x:c r="C112" s="6" t="s">
        <x:v>34</x:v>
      </x:c>
      <x:c r="D112" s="11" t="s">
        <x:v>60</x:v>
      </x:c>
      <x:c r="E112" s="11" t="s">
        <x:v>70</x:v>
      </x:c>
      <x:c r="F112" s="6" t="s">
        <x:v>310</x:v>
      </x:c>
      <x:c r="G112" s="6" t="s">
        <x:v>311</x:v>
      </x:c>
      <x:c r="H112" s="17" t="s">
        <x:v>312</x:v>
      </x:c>
      <x:c r="I112" s="17" t="s">
        <x:v>86</x:v>
      </x:c>
      <x:c r="J112" s="6">
        <x:v>2023</x:v>
      </x:c>
      <x:c r="K112" s="17">
        <x:v>59</x:v>
      </x:c>
      <x:c r="L112" s="11">
        <x:v>53</x:v>
      </x:c>
      <x:c r="M112" s="17">
        <x:v>53</x:v>
      </x:c>
      <x:c r="N112" s="17" t="s">
        <x:v>41</x:v>
      </x:c>
      <x:c r="O112" s="6" t="s">
        <x:v>42</x:v>
      </x:c>
      <x:c r="P112" s="6"/>
      <x:c r="Q112" s="23" t="s">
        <x:v>43</x:v>
      </x:c>
      <x:c r="R112" s="23"/>
      <x:c r="S112" s="20"/>
      <x:c r="T112" s="11"/>
      <x:c r="U112" s="11"/>
      <x:c r="V112" s="11">
        <x:v>-2.0939874000000001</x:v>
      </x:c>
      <x:c r="W112" s="11">
        <x:v>106.08669140000001</x:v>
      </x:c>
      <x:c r="X112" s="65"/>
      <x:c r="Y112" s="29"/>
      <x:c r="Z112" s="51"/>
      <x:c r="AA112" s="53"/>
      <x:c r="AB112" s="56"/>
      <x:c r="AC112">
        <x:f t="shared" si="6"/>
        <x:v>0.89830508474576276</x:v>
      </x:c>
      <x:c r="AD112">
        <x:f t="shared" si="7"/>
        <x:v>1</x:v>
      </x:c>
    </x:row>
    <x:row r="113" ht="9.75" customHeight="1">
      <x:c r="A113" s="32">
        <x:v>108</x:v>
      </x:c>
      <x:c r="B113" s="11" t="s">
        <x:v>313</x:v>
      </x:c>
      <x:c r="C113" s="6" t="s">
        <x:v>170</x:v>
      </x:c>
      <x:c r="D113" s="11" t="s">
        <x:v>99</x:v>
      </x:c>
      <x:c r="E113" s="11" t="s">
        <x:v>213</x:v>
      </x:c>
      <x:c r="F113" s="6" t="s">
        <x:v>314</x:v>
      </x:c>
      <x:c r="G113" s="6" t="s">
        <x:v>315</x:v>
      </x:c>
      <x:c r="H113" s="17" t="s">
        <x:v>316</x:v>
      </x:c>
      <x:c r="I113" s="17" t="s">
        <x:v>40</x:v>
      </x:c>
      <x:c r="J113" s="6">
        <x:v>2015</x:v>
      </x:c>
      <x:c r="K113" s="17">
        <x:v>45</x:v>
      </x:c>
      <x:c r="L113" s="11">
        <x:v>21</x:v>
      </x:c>
      <x:c r="M113" s="17">
        <x:v>21</x:v>
      </x:c>
      <x:c r="N113" s="17" t="s">
        <x:v>41</x:v>
      </x:c>
      <x:c r="O113" s="6" t="s">
        <x:v>42</x:v>
      </x:c>
      <x:c r="P113" s="6"/>
      <x:c r="Q113" s="23" t="s">
        <x:v>43</x:v>
      </x:c>
      <x:c r="R113" s="23" t="s">
        <x:v>88</x:v>
      </x:c>
      <x:c r="S113" s="20"/>
      <x:c r="T113" s="11"/>
      <x:c r="U113" s="11"/>
      <x:c r="V113" s="11">
        <x:v>-2.0956190000000001</x:v>
      </x:c>
      <x:c r="W113" s="11">
        <x:v>106.118709</x:v>
      </x:c>
      <x:c r="X113" s="65"/>
      <x:c r="Y113" s="29"/>
      <x:c r="Z113" s="51"/>
      <x:c r="AA113" s="53"/>
      <x:c r="AB113" s="56"/>
      <x:c r="AC113">
        <x:f t="shared" si="6"/>
        <x:v>0.46666666666666667</x:v>
      </x:c>
      <x:c r="AD113">
        <x:f t="shared" si="7"/>
        <x:v>1</x:v>
      </x:c>
    </x:row>
    <x:row r="114" ht="9.75" customHeight="1">
      <x:c r="A114" s="32">
        <x:v>109</x:v>
      </x:c>
      <x:c r="B114" s="11" t="s">
        <x:v>313</x:v>
      </x:c>
      <x:c r="C114" s="6" t="s">
        <x:v>34</x:v>
      </x:c>
      <x:c r="D114" s="11" t="s">
        <x:v>99</x:v>
      </x:c>
      <x:c r="E114" s="11" t="s">
        <x:v>213</x:v>
      </x:c>
      <x:c r="F114" s="6" t="s">
        <x:v>314</x:v>
      </x:c>
      <x:c r="G114" s="6" t="s">
        <x:v>315</x:v>
      </x:c>
      <x:c r="H114" s="17" t="s">
        <x:v>316</x:v>
      </x:c>
      <x:c r="I114" s="17" t="s">
        <x:v>40</x:v>
      </x:c>
      <x:c r="J114" s="6">
        <x:v>2021</x:v>
      </x:c>
      <x:c r="K114" s="17">
        <x:v>18</x:v>
      </x:c>
      <x:c r="L114" s="11">
        <x:v>2</x:v>
      </x:c>
      <x:c r="M114" s="17">
        <x:v>2</x:v>
      </x:c>
      <x:c r="N114" s="17" t="s">
        <x:v>41</x:v>
      </x:c>
      <x:c r="O114" s="6" t="s">
        <x:v>42</x:v>
      </x:c>
      <x:c r="P114" s="6"/>
      <x:c r="Q114" s="23" t="s">
        <x:v>43</x:v>
      </x:c>
      <x:c r="R114" s="23" t="s">
        <x:v>88</x:v>
      </x:c>
      <x:c r="S114" s="20"/>
      <x:c r="T114" s="11"/>
      <x:c r="U114" s="11"/>
      <x:c r="V114" s="11">
        <x:v>-2.0956190000000001</x:v>
      </x:c>
      <x:c r="W114" s="11">
        <x:v>106.118709</x:v>
      </x:c>
      <x:c r="X114" s="65"/>
      <x:c r="Y114" s="29"/>
      <x:c r="Z114" s="51"/>
      <x:c r="AA114" s="53"/>
      <x:c r="AB114" s="56"/>
      <x:c r="AC114">
        <x:f t="shared" si="6"/>
        <x:v>0.1111111111111111</x:v>
      </x:c>
      <x:c r="AD114">
        <x:f t="shared" si="7"/>
        <x:v>1</x:v>
      </x:c>
    </x:row>
    <x:row r="115" ht="9.75" customHeight="1">
      <x:c r="A115" s="32">
        <x:v>110</x:v>
      </x:c>
      <x:c r="B115" s="11" t="s">
        <x:v>317</x:v>
      </x:c>
      <x:c r="C115" s="6" t="s">
        <x:v>34</x:v>
      </x:c>
      <x:c r="D115" s="11" t="s">
        <x:v>35</x:v>
      </x:c>
      <x:c r="E115" s="11" t="s">
        <x:v>46</x:v>
      </x:c>
      <x:c r="F115" s="6" t="s">
        <x:v>318</x:v>
      </x:c>
      <x:c r="G115" s="6" t="s">
        <x:v>140</x:v>
      </x:c>
      <x:c r="H115" s="17" t="s">
        <x:v>141</x:v>
      </x:c>
      <x:c r="I115" s="17" t="s">
        <x:v>86</x:v>
      </x:c>
      <x:c r="J115" s="6">
        <x:v>2024</x:v>
      </x:c>
      <x:c r="K115" s="17">
        <x:v>62</x:v>
      </x:c>
      <x:c r="L115" s="11">
        <x:v>62</x:v>
      </x:c>
      <x:c r="M115" s="17">
        <x:v>62</x:v>
      </x:c>
      <x:c r="N115" s="17" t="s">
        <x:v>48</x:v>
      </x:c>
      <x:c r="O115" s="6">
        <x:v>2025</x:v>
      </x:c>
      <x:c r="P115" s="6"/>
      <x:c r="Q115" s="23" t="s">
        <x:v>43</x:v>
      </x:c>
      <x:c r="R115" s="23"/>
      <x:c r="S115" s="20"/>
      <x:c r="T115" s="11"/>
      <x:c r="U115" s="11"/>
      <x:c r="V115" s="11">
        <x:v>-2.1175193999999999</x:v>
      </x:c>
      <x:c r="W115" s="11">
        <x:v>106.0815047</x:v>
      </x:c>
      <x:c r="X115" s="65"/>
      <x:c r="Y115" s="29"/>
      <x:c r="Z115" s="51"/>
      <x:c r="AA115" s="53"/>
      <x:c r="AB115" s="56"/>
      <x:c r="AC115">
        <x:f t="shared" si="6"/>
        <x:v>1</x:v>
      </x:c>
      <x:c r="AD115">
        <x:f t="shared" si="7"/>
        <x:v>1</x:v>
      </x:c>
    </x:row>
    <x:row r="116" ht="9.75" customHeight="1">
      <x:c r="A116" s="32">
        <x:v>111</x:v>
      </x:c>
      <x:c r="B116" s="11" t="s">
        <x:v>319</x:v>
      </x:c>
      <x:c r="C116" s="6" t="s">
        <x:v>34</x:v>
      </x:c>
      <x:c r="D116" s="11" t="s">
        <x:v>35</x:v>
      </x:c>
      <x:c r="E116" s="11" t="s">
        <x:v>36</x:v>
      </x:c>
      <x:c r="F116" s="6" t="s">
        <x:v>320</x:v>
      </x:c>
      <x:c r="G116" s="6" t="s">
        <x:v>321</x:v>
      </x:c>
      <x:c r="H116" s="17" t="s">
        <x:v>42</x:v>
      </x:c>
      <x:c r="I116" s="17" t="s">
        <x:v>196</x:v>
      </x:c>
      <x:c r="J116" s="6">
        <x:v>2018</x:v>
      </x:c>
      <x:c r="K116" s="17">
        <x:v>40</x:v>
      </x:c>
      <x:c r="L116" s="11">
        <x:v>22</x:v>
      </x:c>
      <x:c r="M116" s="17">
        <x:v>22</x:v>
      </x:c>
      <x:c r="N116" s="17" t="s">
        <x:v>41</x:v>
      </x:c>
      <x:c r="O116" s="6" t="s">
        <x:v>42</x:v>
      </x:c>
      <x:c r="P116" s="6"/>
      <x:c r="Q116" s="23" t="s">
        <x:v>43</x:v>
      </x:c>
      <x:c r="R116" s="23"/>
      <x:c r="S116" s="20"/>
      <x:c r="T116" s="11"/>
      <x:c r="U116" s="11"/>
      <x:c r="V116" s="11">
        <x:v>-2.1119620000000001</x:v>
      </x:c>
      <x:c r="W116" s="11">
        <x:v>106.0839</x:v>
      </x:c>
      <x:c r="X116" s="65"/>
      <x:c r="Y116" s="29"/>
      <x:c r="Z116" s="51"/>
      <x:c r="AA116" s="53"/>
      <x:c r="AB116" s="56"/>
      <x:c r="AC116">
        <x:f t="shared" si="6"/>
        <x:v>0.55000000000000004</x:v>
      </x:c>
      <x:c r="AD116">
        <x:f t="shared" si="7"/>
        <x:v>1</x:v>
      </x:c>
    </x:row>
    <x:row r="117" ht="9.75" customHeight="1">
      <x:c r="A117" s="32">
        <x:v>112</x:v>
      </x:c>
      <x:c r="B117" s="11" t="s">
        <x:v>322</x:v>
      </x:c>
      <x:c r="C117" s="6" t="s">
        <x:v>34</x:v>
      </x:c>
      <x:c r="D117" s="11" t="s">
        <x:v>81</x:v>
      </x:c>
      <x:c r="E117" s="11" t="s">
        <x:v>202</x:v>
      </x:c>
      <x:c r="F117" s="6" t="s">
        <x:v>323</x:v>
      </x:c>
      <x:c r="G117" s="6" t="s">
        <x:v>324</x:v>
      </x:c>
      <x:c r="H117" s="17" t="s">
        <x:v>325</x:v>
      </x:c>
      <x:c r="I117" s="17" t="s">
        <x:v>112</x:v>
      </x:c>
      <x:c r="J117" s="6">
        <x:v>2020</x:v>
      </x:c>
      <x:c r="K117" s="17">
        <x:v>34</x:v>
      </x:c>
      <x:c r="L117" s="11">
        <x:v>29</x:v>
      </x:c>
      <x:c r="M117" s="17">
        <x:v>29</x:v>
      </x:c>
      <x:c r="N117" s="17" t="s">
        <x:v>41</x:v>
      </x:c>
      <x:c r="O117" s="6" t="s">
        <x:v>42</x:v>
      </x:c>
      <x:c r="P117" s="6"/>
      <x:c r="Q117" s="23" t="s">
        <x:v>43</x:v>
      </x:c>
      <x:c r="R117" s="23"/>
      <x:c r="S117" s="20"/>
      <x:c r="T117" s="11"/>
      <x:c r="U117" s="11"/>
      <x:c r="V117" s="11">
        <x:v>-2.1443800999999998</x:v>
      </x:c>
      <x:c r="W117" s="11">
        <x:v>106.1543704</x:v>
      </x:c>
      <x:c r="X117" s="65"/>
      <x:c r="Y117" s="29"/>
      <x:c r="Z117" s="51"/>
      <x:c r="AA117" s="53"/>
      <x:c r="AB117" s="56"/>
      <x:c r="AC117">
        <x:f t="shared" si="6"/>
        <x:v>0.8529411764705882</x:v>
      </x:c>
      <x:c r="AD117">
        <x:f t="shared" si="7"/>
        <x:v>1</x:v>
      </x:c>
    </x:row>
    <x:row r="118" ht="9.75" customHeight="1">
      <x:c r="A118" s="32">
        <x:v>113</x:v>
      </x:c>
      <x:c r="B118" s="11" t="s">
        <x:v>326</x:v>
      </x:c>
      <x:c r="C118" s="6" t="s">
        <x:v>34</x:v>
      </x:c>
      <x:c r="D118" s="11" t="s">
        <x:v>81</x:v>
      </x:c>
      <x:c r="E118" s="11" t="s">
        <x:v>202</x:v>
      </x:c>
      <x:c r="F118" s="6" t="s">
        <x:v>327</x:v>
      </x:c>
      <x:c r="G118" s="6" t="s">
        <x:v>324</x:v>
      </x:c>
      <x:c r="H118" s="17" t="s">
        <x:v>325</x:v>
      </x:c>
      <x:c r="I118" s="17" t="s">
        <x:v>112</x:v>
      </x:c>
      <x:c r="J118" s="6">
        <x:v>2021</x:v>
      </x:c>
      <x:c r="K118" s="17">
        <x:v>45</x:v>
      </x:c>
      <x:c r="L118" s="11">
        <x:v>45</x:v>
      </x:c>
      <x:c r="M118" s="17">
        <x:v>45</x:v>
      </x:c>
      <x:c r="N118" s="17" t="s">
        <x:v>41</x:v>
      </x:c>
      <x:c r="O118" s="6" t="s">
        <x:v>42</x:v>
      </x:c>
      <x:c r="P118" s="6"/>
      <x:c r="Q118" s="23" t="s">
        <x:v>43</x:v>
      </x:c>
      <x:c r="R118" s="23"/>
      <x:c r="S118" s="20"/>
      <x:c r="T118" s="11"/>
      <x:c r="U118" s="11"/>
      <x:c r="V118" s="11">
        <x:v>-2.1311974</x:v>
      </x:c>
      <x:c r="W118" s="11">
        <x:v>106.1576383</x:v>
      </x:c>
      <x:c r="X118" s="65"/>
      <x:c r="Y118" s="29"/>
      <x:c r="Z118" s="51"/>
      <x:c r="AA118" s="53"/>
      <x:c r="AB118" s="56"/>
      <x:c r="AC118">
        <x:f t="shared" si="6"/>
        <x:v>1</x:v>
      </x:c>
      <x:c r="AD118">
        <x:f t="shared" si="7"/>
        <x:v>1</x:v>
      </x:c>
    </x:row>
    <x:row r="119" ht="9.75" customHeight="1">
      <x:c r="A119" s="32">
        <x:v>114</x:v>
      </x:c>
      <x:c r="B119" s="11" t="s">
        <x:v>328</x:v>
      </x:c>
      <x:c r="C119" s="6" t="s">
        <x:v>34</x:v>
      </x:c>
      <x:c r="D119" s="11" t="s">
        <x:v>35</x:v>
      </x:c>
      <x:c r="E119" s="11" t="s">
        <x:v>36</x:v>
      </x:c>
      <x:c r="F119" s="6" t="s">
        <x:v>62</x:v>
      </x:c>
      <x:c r="G119" s="6" t="s">
        <x:v>329</x:v>
      </x:c>
      <x:c r="H119" s="17" t="s">
        <x:v>330</x:v>
      </x:c>
      <x:c r="I119" s="17" t="s">
        <x:v>112</x:v>
      </x:c>
      <x:c r="J119" s="6">
        <x:v>2018</x:v>
      </x:c>
      <x:c r="K119" s="17">
        <x:v>43</x:v>
      </x:c>
      <x:c r="L119" s="11">
        <x:v>43</x:v>
      </x:c>
      <x:c r="M119" s="17">
        <x:v>42</x:v>
      </x:c>
      <x:c r="N119" s="17" t="s">
        <x:v>41</x:v>
      </x:c>
      <x:c r="O119" s="6" t="s">
        <x:v>42</x:v>
      </x:c>
      <x:c r="P119" s="6"/>
      <x:c r="Q119" s="23" t="s">
        <x:v>43</x:v>
      </x:c>
      <x:c r="R119" s="23"/>
      <x:c r="S119" s="20"/>
      <x:c r="T119" s="11"/>
      <x:c r="U119" s="11"/>
      <x:c r="V119" s="11">
        <x:v>-2.1098919999999999</x:v>
      </x:c>
      <x:c r="W119" s="11">
        <x:v>106.085612</x:v>
      </x:c>
      <x:c r="X119" s="65"/>
      <x:c r="Y119" s="29"/>
      <x:c r="Z119" s="51"/>
      <x:c r="AA119" s="53"/>
      <x:c r="AB119" s="56"/>
      <x:c r="AC119">
        <x:f t="shared" si="6"/>
        <x:v>1</x:v>
      </x:c>
      <x:c r="AD119">
        <x:f t="shared" si="7"/>
        <x:v>0.97674418604651159</x:v>
      </x:c>
    </x:row>
    <x:row r="120" ht="9.75" customHeight="1">
      <x:c r="A120" s="32">
        <x:v>115</x:v>
      </x:c>
      <x:c r="B120" s="11" t="s">
        <x:v>331</x:v>
      </x:c>
      <x:c r="C120" s="6" t="s">
        <x:v>34</x:v>
      </x:c>
      <x:c r="D120" s="11" t="s">
        <x:v>35</x:v>
      </x:c>
      <x:c r="E120" s="11" t="s">
        <x:v>46</x:v>
      </x:c>
      <x:c r="F120" s="6" t="s">
        <x:v>332</x:v>
      </x:c>
      <x:c r="G120" s="6" t="s">
        <x:v>329</x:v>
      </x:c>
      <x:c r="H120" s="17" t="s">
        <x:v>330</x:v>
      </x:c>
      <x:c r="I120" s="17" t="s">
        <x:v>112</x:v>
      </x:c>
      <x:c r="J120" s="6">
        <x:v>2018</x:v>
      </x:c>
      <x:c r="K120" s="17">
        <x:v>68</x:v>
      </x:c>
      <x:c r="L120" s="11">
        <x:v>63</x:v>
      </x:c>
      <x:c r="M120" s="17">
        <x:v>63</x:v>
      </x:c>
      <x:c r="N120" s="17" t="s">
        <x:v>41</x:v>
      </x:c>
      <x:c r="O120" s="6" t="s">
        <x:v>42</x:v>
      </x:c>
      <x:c r="P120" s="6"/>
      <x:c r="Q120" s="23" t="s">
        <x:v>43</x:v>
      </x:c>
      <x:c r="R120" s="23"/>
      <x:c r="S120" s="20"/>
      <x:c r="T120" s="11"/>
      <x:c r="U120" s="11"/>
      <x:c r="V120" s="11">
        <x:v>-2.1166429999999998</x:v>
      </x:c>
      <x:c r="W120" s="11">
        <x:v>106.080567</x:v>
      </x:c>
      <x:c r="X120" s="65"/>
      <x:c r="Y120" s="29"/>
      <x:c r="Z120" s="51"/>
      <x:c r="AA120" s="53"/>
      <x:c r="AB120" s="56"/>
      <x:c r="AC120">
        <x:f t="shared" si="6"/>
        <x:v>0.92647058823529416</x:v>
      </x:c>
      <x:c r="AD120">
        <x:f t="shared" si="7"/>
        <x:v>1</x:v>
      </x:c>
    </x:row>
    <x:row r="121" ht="9.75" customHeight="1">
      <x:c r="A121" s="32">
        <x:v>116</x:v>
      </x:c>
      <x:c r="B121" s="11" t="s">
        <x:v>333</x:v>
      </x:c>
      <x:c r="C121" s="6" t="s">
        <x:v>34</x:v>
      </x:c>
      <x:c r="D121" s="11" t="s">
        <x:v>35</x:v>
      </x:c>
      <x:c r="E121" s="11" t="s">
        <x:v>184</x:v>
      </x:c>
      <x:c r="F121" s="6" t="s">
        <x:v>334</x:v>
      </x:c>
      <x:c r="G121" s="6" t="s">
        <x:v>329</x:v>
      </x:c>
      <x:c r="H121" s="17" t="s">
        <x:v>330</x:v>
      </x:c>
      <x:c r="I121" s="17" t="s">
        <x:v>112</x:v>
      </x:c>
      <x:c r="J121" s="6">
        <x:v>2017</x:v>
      </x:c>
      <x:c r="K121" s="17">
        <x:v>32</x:v>
      </x:c>
      <x:c r="L121" s="11">
        <x:v>15</x:v>
      </x:c>
      <x:c r="M121" s="17">
        <x:v>15</x:v>
      </x:c>
      <x:c r="N121" s="17" t="s">
        <x:v>41</x:v>
      </x:c>
      <x:c r="O121" s="6" t="s">
        <x:v>42</x:v>
      </x:c>
      <x:c r="P121" s="6"/>
      <x:c r="Q121" s="23" t="s">
        <x:v>43</x:v>
      </x:c>
      <x:c r="R121" s="23" t="s">
        <x:v>88</x:v>
      </x:c>
      <x:c r="S121" s="20"/>
      <x:c r="T121" s="11"/>
      <x:c r="U121" s="11"/>
      <x:c r="V121" s="11">
        <x:v>-2.1169730000000002</x:v>
      </x:c>
      <x:c r="W121" s="11">
        <x:v>106.090628</x:v>
      </x:c>
      <x:c r="X121" s="65"/>
      <x:c r="Y121" s="29"/>
      <x:c r="Z121" s="51"/>
      <x:c r="AA121" s="53"/>
      <x:c r="AB121" s="56"/>
      <x:c r="AC121">
        <x:f t="shared" si="6"/>
        <x:v>0.46875</x:v>
      </x:c>
      <x:c r="AD121">
        <x:f t="shared" si="7"/>
        <x:v>1</x:v>
      </x:c>
    </x:row>
    <x:row r="122" ht="9.75" customHeight="1">
      <x:c r="A122" s="32">
        <x:v>117</x:v>
      </x:c>
      <x:c r="B122" s="11" t="s">
        <x:v>335</x:v>
      </x:c>
      <x:c r="C122" s="6" t="s">
        <x:v>34</x:v>
      </x:c>
      <x:c r="D122" s="11" t="s">
        <x:v>35</x:v>
      </x:c>
      <x:c r="E122" s="11" t="s">
        <x:v>36</x:v>
      </x:c>
      <x:c r="F122" s="6" t="s">
        <x:v>336</x:v>
      </x:c>
      <x:c r="G122" s="6" t="s">
        <x:v>337</x:v>
      </x:c>
      <x:c r="H122" s="17" t="s">
        <x:v>338</x:v>
      </x:c>
      <x:c r="I122" s="17" t="s">
        <x:v>112</x:v>
      </x:c>
      <x:c r="J122" s="6">
        <x:v>2017</x:v>
      </x:c>
      <x:c r="K122" s="17">
        <x:v>35</x:v>
      </x:c>
      <x:c r="L122" s="11">
        <x:v>35</x:v>
      </x:c>
      <x:c r="M122" s="17">
        <x:v>35</x:v>
      </x:c>
      <x:c r="N122" s="17" t="s">
        <x:v>41</x:v>
      </x:c>
      <x:c r="O122" s="6" t="s">
        <x:v>42</x:v>
      </x:c>
      <x:c r="P122" s="6"/>
      <x:c r="Q122" s="23" t="s">
        <x:v>75</x:v>
      </x:c>
      <x:c r="R122" s="23"/>
      <x:c r="S122" s="20" t="s">
        <x:v>178</x:v>
      </x:c>
      <x:c r="T122" s="11"/>
      <x:c r="U122" s="11"/>
      <x:c r="V122" s="11">
        <x:v>-2.1247167</x:v>
      </x:c>
      <x:c r="W122" s="11">
        <x:v>106.07904379999999</x:v>
      </x:c>
      <x:c r="X122" s="65"/>
      <x:c r="Y122" s="29"/>
      <x:c r="Z122" s="51"/>
      <x:c r="AA122" s="53"/>
      <x:c r="AB122" s="56"/>
      <x:c r="AC122">
        <x:f t="shared" si="6"/>
        <x:v>1</x:v>
      </x:c>
      <x:c r="AD122">
        <x:f t="shared" si="7"/>
        <x:v>1</x:v>
      </x:c>
    </x:row>
    <x:row r="123" ht="9.75" customHeight="1">
      <x:c r="A123" s="32">
        <x:v>118</x:v>
      </x:c>
      <x:c r="B123" s="11" t="s">
        <x:v>339</x:v>
      </x:c>
      <x:c r="C123" s="6" t="s">
        <x:v>34</x:v>
      </x:c>
      <x:c r="D123" s="11" t="s">
        <x:v>35</x:v>
      </x:c>
      <x:c r="E123" s="11" t="s">
        <x:v>36</x:v>
      </x:c>
      <x:c r="F123" s="6" t="s">
        <x:v>340</x:v>
      </x:c>
      <x:c r="G123" s="6" t="s">
        <x:v>341</x:v>
      </x:c>
      <x:c r="H123" s="17" t="s">
        <x:v>338</x:v>
      </x:c>
      <x:c r="I123" s="17" t="s">
        <x:v>112</x:v>
      </x:c>
      <x:c r="J123" s="6">
        <x:v>2018</x:v>
      </x:c>
      <x:c r="K123" s="17">
        <x:v>51</x:v>
      </x:c>
      <x:c r="L123" s="11">
        <x:v>51</x:v>
      </x:c>
      <x:c r="M123" s="17">
        <x:v>51</x:v>
      </x:c>
      <x:c r="N123" s="17" t="s">
        <x:v>41</x:v>
      </x:c>
      <x:c r="O123" s="6" t="s">
        <x:v>42</x:v>
      </x:c>
      <x:c r="P123" s="6"/>
      <x:c r="Q123" s="23" t="s">
        <x:v>75</x:v>
      </x:c>
      <x:c r="R123" s="23"/>
      <x:c r="S123" s="20" t="s">
        <x:v>178</x:v>
      </x:c>
      <x:c r="T123" s="11"/>
      <x:c r="U123" s="11"/>
      <x:c r="V123" s="11">
        <x:v>-2.0988720000000001</x:v>
      </x:c>
      <x:c r="W123" s="11">
        <x:v>106.086156</x:v>
      </x:c>
      <x:c r="X123" s="65"/>
      <x:c r="Y123" s="29"/>
      <x:c r="Z123" s="51"/>
      <x:c r="AA123" s="53"/>
      <x:c r="AB123" s="56"/>
      <x:c r="AC123">
        <x:f t="shared" si="6"/>
        <x:v>1</x:v>
      </x:c>
      <x:c r="AD123">
        <x:f t="shared" si="7"/>
        <x:v>1</x:v>
      </x:c>
    </x:row>
    <x:row r="124" ht="9.75" customHeight="1">
      <x:c r="A124" s="32">
        <x:v>119</x:v>
      </x:c>
      <x:c r="B124" s="11" t="s">
        <x:v>342</x:v>
      </x:c>
      <x:c r="C124" s="6" t="s">
        <x:v>34</x:v>
      </x:c>
      <x:c r="D124" s="11" t="s">
        <x:v>35</x:v>
      </x:c>
      <x:c r="E124" s="11" t="s">
        <x:v>46</x:v>
      </x:c>
      <x:c r="F124" s="6" t="s">
        <x:v>343</x:v>
      </x:c>
      <x:c r="G124" s="6" t="s">
        <x:v>341</x:v>
      </x:c>
      <x:c r="H124" s="17" t="s">
        <x:v>338</x:v>
      </x:c>
      <x:c r="I124" s="17" t="s">
        <x:v>112</x:v>
      </x:c>
      <x:c r="J124" s="6">
        <x:v>2019</x:v>
      </x:c>
      <x:c r="K124" s="17">
        <x:v>29</x:v>
      </x:c>
      <x:c r="L124" s="11">
        <x:v>29</x:v>
      </x:c>
      <x:c r="M124" s="17">
        <x:v>29</x:v>
      </x:c>
      <x:c r="N124" s="17" t="s">
        <x:v>41</x:v>
      </x:c>
      <x:c r="O124" s="6" t="s">
        <x:v>42</x:v>
      </x:c>
      <x:c r="P124" s="6"/>
      <x:c r="Q124" s="23" t="s">
        <x:v>75</x:v>
      </x:c>
      <x:c r="R124" s="23"/>
      <x:c r="S124" s="20" t="s">
        <x:v>178</x:v>
      </x:c>
      <x:c r="T124" s="11"/>
      <x:c r="U124" s="11"/>
      <x:c r="V124" s="11">
        <x:v>-2.1160036999999998</x:v>
      </x:c>
      <x:c r="W124" s="11">
        <x:v>106.0764578</x:v>
      </x:c>
      <x:c r="X124" s="65"/>
      <x:c r="Y124" s="29"/>
      <x:c r="Z124" s="51"/>
      <x:c r="AA124" s="53"/>
      <x:c r="AB124" s="56"/>
      <x:c r="AC124">
        <x:f t="shared" si="6"/>
        <x:v>1</x:v>
      </x:c>
      <x:c r="AD124">
        <x:f t="shared" si="7"/>
        <x:v>1</x:v>
      </x:c>
    </x:row>
    <x:row r="125" ht="9.75" customHeight="1">
      <x:c r="A125" s="32">
        <x:v>120</x:v>
      </x:c>
      <x:c r="B125" s="11" t="s">
        <x:v>344</x:v>
      </x:c>
      <x:c r="C125" s="6" t="s">
        <x:v>34</x:v>
      </x:c>
      <x:c r="D125" s="11" t="s">
        <x:v>306</x:v>
      </x:c>
      <x:c r="E125" s="11" t="s">
        <x:v>345</x:v>
      </x:c>
      <x:c r="F125" s="6" t="s">
        <x:v>346</x:v>
      </x:c>
      <x:c r="G125" s="6" t="s">
        <x:v>347</x:v>
      </x:c>
      <x:c r="H125" s="17" t="s">
        <x:v>348</x:v>
      </x:c>
      <x:c r="I125" s="17" t="s">
        <x:v>42</x:v>
      </x:c>
      <x:c r="J125" s="6">
        <x:v>2018</x:v>
      </x:c>
      <x:c r="K125" s="17">
        <x:v>42</x:v>
      </x:c>
      <x:c r="L125" s="11">
        <x:v>10</x:v>
      </x:c>
      <x:c r="M125" s="17">
        <x:v>0</x:v>
      </x:c>
      <x:c r="N125" s="17" t="s">
        <x:v>41</x:v>
      </x:c>
      <x:c r="O125" s="6" t="s">
        <x:v>42</x:v>
      </x:c>
      <x:c r="P125" s="6"/>
      <x:c r="Q125" s="23" t="s">
        <x:v>43</x:v>
      </x:c>
      <x:c r="R125" s="23"/>
      <x:c r="S125" s="20"/>
      <x:c r="T125" s="11"/>
      <x:c r="U125" s="11"/>
      <x:c r="V125" s="11"/>
      <x:c r="W125" s="11"/>
      <x:c r="X125" s="65"/>
      <x:c r="Y125" s="29"/>
      <x:c r="Z125" s="51"/>
      <x:c r="AA125" s="53"/>
      <x:c r="AB125" s="56"/>
      <x:c r="AC125">
        <x:f t="shared" si="6"/>
        <x:v>0.23809523809523808</x:v>
      </x:c>
      <x:c r="AD125">
        <x:f t="shared" si="7"/>
        <x:v>0</x:v>
      </x:c>
    </x:row>
    <x:row r="126" ht="9.75" customHeight="1">
      <x:c r="A126" s="32">
        <x:v>121</x:v>
      </x:c>
      <x:c r="B126" s="11" t="s">
        <x:v>349</x:v>
      </x:c>
      <x:c r="C126" s="6" t="s">
        <x:v>34</x:v>
      </x:c>
      <x:c r="D126" s="11" t="s">
        <x:v>35</x:v>
      </x:c>
      <x:c r="E126" s="11" t="s">
        <x:v>36</x:v>
      </x:c>
      <x:c r="F126" s="6" t="s">
        <x:v>350</x:v>
      </x:c>
      <x:c r="G126" s="6" t="s">
        <x:v>351</x:v>
      </x:c>
      <x:c r="H126" s="17" t="s">
        <x:v>352</x:v>
      </x:c>
      <x:c r="I126" s="17" t="s">
        <x:v>42</x:v>
      </x:c>
      <x:c r="J126" s="6">
        <x:v>2023</x:v>
      </x:c>
      <x:c r="K126" s="17">
        <x:v>111</x:v>
      </x:c>
      <x:c r="L126" s="11">
        <x:v>51</x:v>
      </x:c>
      <x:c r="M126" s="17">
        <x:v>0</x:v>
      </x:c>
      <x:c r="N126" s="17" t="s">
        <x:v>41</x:v>
      </x:c>
      <x:c r="O126" s="6" t="s">
        <x:v>42</x:v>
      </x:c>
      <x:c r="P126" s="6"/>
      <x:c r="Q126" s="23" t="s">
        <x:v>43</x:v>
      </x:c>
      <x:c r="R126" s="23"/>
      <x:c r="S126" s="20"/>
      <x:c r="T126" s="11"/>
      <x:c r="U126" s="11"/>
      <x:c r="V126" s="11">
        <x:v>-2.1040464000000001</x:v>
      </x:c>
      <x:c r="W126" s="11">
        <x:v>106.0873765</x:v>
      </x:c>
      <x:c r="X126" s="65"/>
      <x:c r="Y126" s="29"/>
      <x:c r="Z126" s="51"/>
      <x:c r="AA126" s="53"/>
      <x:c r="AB126" s="56"/>
      <x:c r="AC126">
        <x:f t="shared" si="6"/>
        <x:v>0.45945945945945948</x:v>
      </x:c>
      <x:c r="AD126">
        <x:f t="shared" si="7"/>
        <x:v>0</x:v>
      </x:c>
    </x:row>
    <x:row r="127" ht="9.75" customHeight="1">
      <x:c r="A127" s="32">
        <x:v>122</x:v>
      </x:c>
      <x:c r="B127" s="11" t="s">
        <x:v>353</x:v>
      </x:c>
      <x:c r="C127" s="6" t="s">
        <x:v>34</x:v>
      </x:c>
      <x:c r="D127" s="11" t="s">
        <x:v>35</x:v>
      </x:c>
      <x:c r="E127" s="11" t="s">
        <x:v>46</x:v>
      </x:c>
      <x:c r="F127" s="6" t="s">
        <x:v>354</x:v>
      </x:c>
      <x:c r="G127" s="6" t="s">
        <x:v>155</x:v>
      </x:c>
      <x:c r="H127" s="17" t="s">
        <x:v>156</x:v>
      </x:c>
      <x:c r="I127" s="17" t="s">
        <x:v>65</x:v>
      </x:c>
      <x:c r="J127" s="6">
        <x:v>2015</x:v>
      </x:c>
      <x:c r="K127" s="17">
        <x:v>86</x:v>
      </x:c>
      <x:c r="L127" s="11">
        <x:v>86</x:v>
      </x:c>
      <x:c r="M127" s="17">
        <x:v>86</x:v>
      </x:c>
      <x:c r="N127" s="17" t="s">
        <x:v>41</x:v>
      </x:c>
      <x:c r="O127" s="6" t="s">
        <x:v>42</x:v>
      </x:c>
      <x:c r="P127" s="6"/>
      <x:c r="Q127" s="23" t="s">
        <x:v>43</x:v>
      </x:c>
      <x:c r="R127" s="23"/>
      <x:c r="S127" s="20"/>
      <x:c r="T127" s="11"/>
      <x:c r="U127" s="11"/>
      <x:c r="V127" s="11">
        <x:v>-2.1243243999999999</x:v>
      </x:c>
      <x:c r="W127" s="11">
        <x:v>106.07832500000001</x:v>
      </x:c>
      <x:c r="X127" s="65"/>
      <x:c r="Y127" s="29"/>
      <x:c r="Z127" s="51"/>
      <x:c r="AA127" s="53"/>
      <x:c r="AB127" s="56"/>
      <x:c r="AC127">
        <x:f t="shared" si="6"/>
        <x:v>1</x:v>
      </x:c>
      <x:c r="AD127">
        <x:f t="shared" si="7"/>
        <x:v>1</x:v>
      </x:c>
    </x:row>
    <x:row r="128" ht="9.75" customHeight="1">
      <x:c r="A128" s="32">
        <x:v>123</x:v>
      </x:c>
      <x:c r="B128" s="11" t="s">
        <x:v>355</x:v>
      </x:c>
      <x:c r="C128" s="6" t="s">
        <x:v>34</x:v>
      </x:c>
      <x:c r="D128" s="11" t="s">
        <x:v>35</x:v>
      </x:c>
      <x:c r="E128" s="11" t="s">
        <x:v>46</x:v>
      </x:c>
      <x:c r="F128" s="6" t="s">
        <x:v>171</x:v>
      </x:c>
      <x:c r="G128" s="6" t="s">
        <x:v>356</x:v>
      </x:c>
      <x:c r="H128" s="17" t="s">
        <x:v>357</x:v>
      </x:c>
      <x:c r="I128" s="17" t="s">
        <x:v>112</x:v>
      </x:c>
      <x:c r="J128" s="6">
        <x:v>2019</x:v>
      </x:c>
      <x:c r="K128" s="17">
        <x:v>52</x:v>
      </x:c>
      <x:c r="L128" s="11">
        <x:v>52</x:v>
      </x:c>
      <x:c r="M128" s="17">
        <x:v>52</x:v>
      </x:c>
      <x:c r="N128" s="17" t="s">
        <x:v>48</x:v>
      </x:c>
      <x:c r="O128" s="6">
        <x:v>2023</x:v>
      </x:c>
      <x:c r="P128" s="6"/>
      <x:c r="Q128" s="23" t="s">
        <x:v>43</x:v>
      </x:c>
      <x:c r="R128" s="23" t="s">
        <x:v>113</x:v>
      </x:c>
      <x:c r="S128" s="20"/>
      <x:c r="T128" s="11"/>
      <x:c r="U128" s="11"/>
      <x:c r="V128" s="11">
        <x:v>-2.1169406</x:v>
      </x:c>
      <x:c r="W128" s="11">
        <x:v>106.0747703</x:v>
      </x:c>
      <x:c r="X128" s="65"/>
      <x:c r="Y128" s="29"/>
      <x:c r="Z128" s="51"/>
      <x:c r="AA128" s="53"/>
      <x:c r="AB128" s="56"/>
      <x:c r="AC128">
        <x:f t="shared" si="6"/>
        <x:v>1</x:v>
      </x:c>
      <x:c r="AD128">
        <x:f t="shared" si="7"/>
        <x:v>1</x:v>
      </x:c>
    </x:row>
    <x:row r="129" ht="9.75" customHeight="1">
      <x:c r="A129" s="32">
        <x:v>124</x:v>
      </x:c>
      <x:c r="B129" s="11" t="s">
        <x:v>358</x:v>
      </x:c>
      <x:c r="C129" s="6" t="s">
        <x:v>34</x:v>
      </x:c>
      <x:c r="D129" s="11" t="s">
        <x:v>60</x:v>
      </x:c>
      <x:c r="E129" s="11" t="s">
        <x:v>70</x:v>
      </x:c>
      <x:c r="F129" s="6" t="s">
        <x:v>229</x:v>
      </x:c>
      <x:c r="G129" s="6" t="s">
        <x:v>38</x:v>
      </x:c>
      <x:c r="H129" s="17" t="s">
        <x:v>39</x:v>
      </x:c>
      <x:c r="I129" s="17" t="s">
        <x:v>40</x:v>
      </x:c>
      <x:c r="J129" s="6">
        <x:v>2025</x:v>
      </x:c>
      <x:c r="K129" s="17">
        <x:v>43</x:v>
      </x:c>
      <x:c r="L129" s="11">
        <x:v>0</x:v>
      </x:c>
      <x:c r="M129" s="17">
        <x:v>0</x:v>
      </x:c>
      <x:c r="N129" s="17" t="s">
        <x:v>41</x:v>
      </x:c>
      <x:c r="O129" s="6" t="s">
        <x:v>42</x:v>
      </x:c>
      <x:c r="P129" s="6"/>
      <x:c r="Q129" s="23" t="s">
        <x:v>43</x:v>
      </x:c>
      <x:c r="R129" s="23"/>
      <x:c r="S129" s="20"/>
      <x:c r="T129" s="11"/>
      <x:c r="U129" s="11"/>
      <x:c r="V129" s="11">
        <x:v>-2.0889850000000001</x:v>
      </x:c>
      <x:c r="W129" s="11">
        <x:v>106.096946</x:v>
      </x:c>
      <x:c r="X129" s="65"/>
      <x:c r="Y129" s="29"/>
      <x:c r="Z129" s="51"/>
      <x:c r="AA129" s="53"/>
      <x:c r="AB129" s="56"/>
      <x:c r="AC129">
        <x:f t="shared" si="6"/>
        <x:v>0</x:v>
      </x:c>
      <x:c r="AD129">
        <x:f t="shared" si="7"/>
        <x:v>0</x:v>
      </x:c>
    </x:row>
    <x:row r="130" ht="9.75" customHeight="1">
      <x:c r="A130" s="32">
        <x:v>125</x:v>
      </x:c>
      <x:c r="B130" s="11" t="s">
        <x:v>359</x:v>
      </x:c>
      <x:c r="C130" s="6" t="s">
        <x:v>34</x:v>
      </x:c>
      <x:c r="D130" s="11" t="s">
        <x:v>35</x:v>
      </x:c>
      <x:c r="E130" s="11" t="s">
        <x:v>46</x:v>
      </x:c>
      <x:c r="F130" s="6" t="s">
        <x:v>51</x:v>
      </x:c>
      <x:c r="G130" s="6" t="s">
        <x:v>360</x:v>
      </x:c>
      <x:c r="H130" s="17" t="s">
        <x:v>361</x:v>
      </x:c>
      <x:c r="I130" s="17" t="s">
        <x:v>112</x:v>
      </x:c>
      <x:c r="J130" s="6">
        <x:v>2017</x:v>
      </x:c>
      <x:c r="K130" s="17">
        <x:v>18</x:v>
      </x:c>
      <x:c r="L130" s="11">
        <x:v>18</x:v>
      </x:c>
      <x:c r="M130" s="17">
        <x:v>18</x:v>
      </x:c>
      <x:c r="N130" s="17" t="s">
        <x:v>41</x:v>
      </x:c>
      <x:c r="O130" s="6" t="s">
        <x:v>42</x:v>
      </x:c>
      <x:c r="P130" s="6"/>
      <x:c r="Q130" s="23" t="s">
        <x:v>43</x:v>
      </x:c>
      <x:c r="R130" s="23"/>
      <x:c r="S130" s="20"/>
      <x:c r="T130" s="11"/>
      <x:c r="U130" s="11"/>
      <x:c r="V130" s="11">
        <x:v>-2.1208572000000001</x:v>
      </x:c>
      <x:c r="W130" s="11">
        <x:v>106.0729011</x:v>
      </x:c>
      <x:c r="X130" s="65"/>
      <x:c r="Y130" s="29"/>
      <x:c r="Z130" s="51"/>
      <x:c r="AA130" s="53"/>
      <x:c r="AB130" s="56"/>
      <x:c r="AC130">
        <x:f t="shared" si="6"/>
        <x:v>1</x:v>
      </x:c>
      <x:c r="AD130">
        <x:f t="shared" si="7"/>
        <x:v>1</x:v>
      </x:c>
    </x:row>
    <x:row r="131" ht="9.75" customHeight="1">
      <x:c r="A131" s="32">
        <x:v>126</x:v>
      </x:c>
      <x:c r="B131" s="11" t="s">
        <x:v>362</x:v>
      </x:c>
      <x:c r="C131" s="6" t="s">
        <x:v>34</x:v>
      </x:c>
      <x:c r="D131" s="11" t="s">
        <x:v>35</x:v>
      </x:c>
      <x:c r="E131" s="11" t="s">
        <x:v>46</x:v>
      </x:c>
      <x:c r="F131" s="6" t="s">
        <x:v>51</x:v>
      </x:c>
      <x:c r="G131" s="6" t="s">
        <x:v>360</x:v>
      </x:c>
      <x:c r="H131" s="17" t="s">
        <x:v>361</x:v>
      </x:c>
      <x:c r="I131" s="17" t="s">
        <x:v>112</x:v>
      </x:c>
      <x:c r="J131" s="6">
        <x:v>2017</x:v>
      </x:c>
      <x:c r="K131" s="17">
        <x:v>137</x:v>
      </x:c>
      <x:c r="L131" s="11">
        <x:v>57</x:v>
      </x:c>
      <x:c r="M131" s="17">
        <x:v>30</x:v>
      </x:c>
      <x:c r="N131" s="17" t="s">
        <x:v>41</x:v>
      </x:c>
      <x:c r="O131" s="6" t="s">
        <x:v>42</x:v>
      </x:c>
      <x:c r="P131" s="6"/>
      <x:c r="Q131" s="23" t="s">
        <x:v>43</x:v>
      </x:c>
      <x:c r="R131" s="23"/>
      <x:c r="S131" s="20"/>
      <x:c r="T131" s="11"/>
      <x:c r="U131" s="11"/>
      <x:c r="V131" s="11">
        <x:v>-2.1191513</x:v>
      </x:c>
      <x:c r="W131" s="11">
        <x:v>106.0727887</x:v>
      </x:c>
      <x:c r="X131" s="65"/>
      <x:c r="Y131" s="29"/>
      <x:c r="Z131" s="51"/>
      <x:c r="AA131" s="53"/>
      <x:c r="AB131" s="56"/>
      <x:c r="AC131">
        <x:f t="shared" si="6"/>
        <x:v>0.41605839416058393</x:v>
      </x:c>
      <x:c r="AD131">
        <x:f t="shared" si="7"/>
        <x:v>0.52631578947368418</x:v>
      </x:c>
    </x:row>
    <x:row r="132" ht="9.75" customHeight="1">
      <x:c r="A132" s="32">
        <x:v>127</x:v>
      </x:c>
      <x:c r="B132" s="11" t="s">
        <x:v>363</x:v>
      </x:c>
      <x:c r="C132" s="6" t="s">
        <x:v>34</x:v>
      </x:c>
      <x:c r="D132" s="11" t="s">
        <x:v>35</x:v>
      </x:c>
      <x:c r="E132" s="11" t="s">
        <x:v>46</x:v>
      </x:c>
      <x:c r="F132" s="6" t="s">
        <x:v>364</x:v>
      </x:c>
      <x:c r="G132" s="6" t="s">
        <x:v>360</x:v>
      </x:c>
      <x:c r="H132" s="17" t="s">
        <x:v>361</x:v>
      </x:c>
      <x:c r="I132" s="17" t="s">
        <x:v>112</x:v>
      </x:c>
      <x:c r="J132" s="6">
        <x:v>2018</x:v>
      </x:c>
      <x:c r="K132" s="17">
        <x:v>35</x:v>
      </x:c>
      <x:c r="L132" s="11">
        <x:v>35</x:v>
      </x:c>
      <x:c r="M132" s="17">
        <x:v>35</x:v>
      </x:c>
      <x:c r="N132" s="17" t="s">
        <x:v>41</x:v>
      </x:c>
      <x:c r="O132" s="6" t="s">
        <x:v>42</x:v>
      </x:c>
      <x:c r="P132" s="6"/>
      <x:c r="Q132" s="23" t="s">
        <x:v>72</x:v>
      </x:c>
      <x:c r="R132" s="23" t="s">
        <x:v>88</x:v>
      </x:c>
      <x:c r="S132" s="20"/>
      <x:c r="T132" s="11"/>
      <x:c r="U132" s="11"/>
      <x:c r="V132" s="11"/>
      <x:c r="W132" s="11"/>
      <x:c r="X132" s="65"/>
      <x:c r="Y132" s="29"/>
      <x:c r="Z132" s="51"/>
      <x:c r="AA132" s="53"/>
      <x:c r="AB132" s="56"/>
      <x:c r="AC132">
        <x:f t="shared" si="6"/>
        <x:v>1</x:v>
      </x:c>
      <x:c r="AD132">
        <x:f t="shared" si="7"/>
        <x:v>1</x:v>
      </x:c>
    </x:row>
    <x:row r="133" ht="9.75" customHeight="1">
      <x:c r="A133" s="32">
        <x:v>128</x:v>
      </x:c>
      <x:c r="B133" s="11" t="s">
        <x:v>365</x:v>
      </x:c>
      <x:c r="C133" s="6" t="s">
        <x:v>34</x:v>
      </x:c>
      <x:c r="D133" s="11" t="s">
        <x:v>60</x:v>
      </x:c>
      <x:c r="E133" s="11" t="s">
        <x:v>67</x:v>
      </x:c>
      <x:c r="F133" s="6" t="s">
        <x:v>366</x:v>
      </x:c>
      <x:c r="G133" s="6" t="s">
        <x:v>367</x:v>
      </x:c>
      <x:c r="H133" s="17" t="s">
        <x:v>368</x:v>
      </x:c>
      <x:c r="I133" s="17" t="s">
        <x:v>65</x:v>
      </x:c>
      <x:c r="J133" s="6">
        <x:v>2017</x:v>
      </x:c>
      <x:c r="K133" s="17">
        <x:v>44</x:v>
      </x:c>
      <x:c r="L133" s="11">
        <x:v>34</x:v>
      </x:c>
      <x:c r="M133" s="17">
        <x:v>34</x:v>
      </x:c>
      <x:c r="N133" s="17" t="s">
        <x:v>41</x:v>
      </x:c>
      <x:c r="O133" s="6" t="s">
        <x:v>42</x:v>
      </x:c>
      <x:c r="P133" s="6"/>
      <x:c r="Q133" s="23" t="s">
        <x:v>43</x:v>
      </x:c>
      <x:c r="R133" s="23"/>
      <x:c r="S133" s="20"/>
      <x:c r="T133" s="11" t="s">
        <x:v>44</x:v>
      </x:c>
      <x:c r="U133" s="11"/>
      <x:c r="V133" s="11">
        <x:v>-2.098071</x:v>
      </x:c>
      <x:c r="W133" s="11">
        <x:v>106.116671</x:v>
      </x:c>
      <x:c r="X133" s="65"/>
      <x:c r="Y133" s="29"/>
      <x:c r="Z133" s="51"/>
      <x:c r="AA133" s="53"/>
      <x:c r="AB133" s="56"/>
      <x:c r="AC133">
        <x:f t="shared" si="6"/>
        <x:v>0.77272727272727271</x:v>
      </x:c>
      <x:c r="AD133">
        <x:f t="shared" si="7"/>
        <x:v>1</x:v>
      </x:c>
    </x:row>
    <x:row r="134" ht="9.75" customHeight="1">
      <x:c r="A134" s="32">
        <x:v>129</x:v>
      </x:c>
      <x:c r="B134" s="11" t="s">
        <x:v>369</x:v>
      </x:c>
      <x:c r="C134" s="6" t="s">
        <x:v>34</x:v>
      </x:c>
      <x:c r="D134" s="11" t="s">
        <x:v>60</x:v>
      </x:c>
      <x:c r="E134" s="11" t="s">
        <x:v>370</x:v>
      </x:c>
      <x:c r="F134" s="6" t="s">
        <x:v>371</x:v>
      </x:c>
      <x:c r="G134" s="6" t="s">
        <x:v>367</x:v>
      </x:c>
      <x:c r="H134" s="17" t="s">
        <x:v>368</x:v>
      </x:c>
      <x:c r="I134" s="17" t="s">
        <x:v>65</x:v>
      </x:c>
      <x:c r="J134" s="6">
        <x:v>2019</x:v>
      </x:c>
      <x:c r="K134" s="17">
        <x:v>103</x:v>
      </x:c>
      <x:c r="L134" s="11">
        <x:v>93</x:v>
      </x:c>
      <x:c r="M134" s="17">
        <x:v>93</x:v>
      </x:c>
      <x:c r="N134" s="17" t="s">
        <x:v>41</x:v>
      </x:c>
      <x:c r="O134" s="6" t="s">
        <x:v>42</x:v>
      </x:c>
      <x:c r="P134" s="6"/>
      <x:c r="Q134" s="23" t="s">
        <x:v>43</x:v>
      </x:c>
      <x:c r="R134" s="23"/>
      <x:c r="S134" s="20"/>
      <x:c r="T134" s="11" t="s">
        <x:v>44</x:v>
      </x:c>
      <x:c r="U134" s="11"/>
      <x:c r="V134" s="11">
        <x:v>-2.101518</x:v>
      </x:c>
      <x:c r="W134" s="11">
        <x:v>106.11780299999999</x:v>
      </x:c>
      <x:c r="X134" s="65"/>
      <x:c r="Y134" s="29"/>
      <x:c r="Z134" s="51"/>
      <x:c r="AA134" s="53"/>
      <x:c r="AB134" s="56"/>
      <x:c r="AC134" t="n">
        <x:f t="shared" ref="AC134:AC165" si="8">IF(A134="","",IFERROR(L134/K134,0))</x:f>
        <x:v>0.9029126213592233</x:v>
      </x:c>
      <x:c r="AD134" t="n">
        <x:f t="shared" ref="AD134:AD165" si="9">IF(A134="","",IFERROR(M134/L134,0))</x:f>
        <x:v>1</x:v>
      </x:c>
    </x:row>
    <x:row r="135" ht="9.75" customHeight="1">
      <x:c r="A135" s="32">
        <x:v>130</x:v>
      </x:c>
      <x:c r="B135" s="11" t="s">
        <x:v>372</x:v>
      </x:c>
      <x:c r="C135" s="6" t="s">
        <x:v>34</x:v>
      </x:c>
      <x:c r="D135" s="11" t="s">
        <x:v>35</x:v>
      </x:c>
      <x:c r="E135" s="11" t="s">
        <x:v>36</x:v>
      </x:c>
      <x:c r="F135" s="6" t="s">
        <x:v>373</x:v>
      </x:c>
      <x:c r="G135" s="6" t="s">
        <x:v>374</x:v>
      </x:c>
      <x:c r="H135" s="17" t="s">
        <x:v>375</x:v>
      </x:c>
      <x:c r="I135" s="17" t="s">
        <x:v>42</x:v>
      </x:c>
      <x:c r="J135" s="6">
        <x:v>2024</x:v>
      </x:c>
      <x:c r="K135" s="17">
        <x:v>79</x:v>
      </x:c>
      <x:c r="L135" s="11">
        <x:v>18</x:v>
      </x:c>
      <x:c r="M135" s="17">
        <x:v>7</x:v>
      </x:c>
      <x:c r="N135" s="17" t="s">
        <x:v>41</x:v>
      </x:c>
      <x:c r="O135" s="6" t="s">
        <x:v>42</x:v>
      </x:c>
      <x:c r="P135" s="6"/>
      <x:c r="Q135" s="23" t="s">
        <x:v>43</x:v>
      </x:c>
      <x:c r="R135" s="23" t="s">
        <x:v>88</x:v>
      </x:c>
      <x:c r="S135" s="20"/>
      <x:c r="T135" s="11" t="s">
        <x:v>44</x:v>
      </x:c>
      <x:c r="U135" s="11"/>
      <x:c r="V135" s="11">
        <x:v>-2.0988720000000001</x:v>
      </x:c>
      <x:c r="W135" s="11">
        <x:v>106.0761523</x:v>
      </x:c>
      <x:c r="X135" s="65"/>
      <x:c r="Y135" s="29"/>
      <x:c r="Z135" s="51"/>
      <x:c r="AA135" s="53"/>
      <x:c r="AB135" s="56"/>
      <x:c r="AC135">
        <x:f t="shared" si="8"/>
        <x:v>0.22784810126582278</x:v>
      </x:c>
      <x:c r="AD135">
        <x:f t="shared" si="9"/>
        <x:v>0.3888888888888889</x:v>
      </x:c>
    </x:row>
    <x:row r="136" ht="9.75" customHeight="1">
      <x:c r="A136" s="32">
        <x:v>131</x:v>
      </x:c>
      <x:c r="B136" s="11" t="s">
        <x:v>376</x:v>
      </x:c>
      <x:c r="C136" s="6" t="s">
        <x:v>34</x:v>
      </x:c>
      <x:c r="D136" s="11" t="s">
        <x:v>35</x:v>
      </x:c>
      <x:c r="E136" s="11" t="s">
        <x:v>36</x:v>
      </x:c>
      <x:c r="F136" s="6" t="s">
        <x:v>373</x:v>
      </x:c>
      <x:c r="G136" s="6" t="s">
        <x:v>374</x:v>
      </x:c>
      <x:c r="H136" s="17" t="s">
        <x:v>375</x:v>
      </x:c>
      <x:c r="I136" s="17" t="s">
        <x:v>42</x:v>
      </x:c>
      <x:c r="J136" s="6">
        <x:v>2024</x:v>
      </x:c>
      <x:c r="K136" s="17">
        <x:v>87</x:v>
      </x:c>
      <x:c r="L136" s="11">
        <x:v>15</x:v>
      </x:c>
      <x:c r="M136" s="17">
        <x:v>2</x:v>
      </x:c>
      <x:c r="N136" s="17" t="s">
        <x:v>41</x:v>
      </x:c>
      <x:c r="O136" s="6" t="s">
        <x:v>42</x:v>
      </x:c>
      <x:c r="P136" s="6"/>
      <x:c r="Q136" s="23" t="s">
        <x:v>43</x:v>
      </x:c>
      <x:c r="R136" s="23" t="s">
        <x:v>88</x:v>
      </x:c>
      <x:c r="S136" s="20"/>
      <x:c r="T136" s="11" t="s">
        <x:v>44</x:v>
      </x:c>
      <x:c r="U136" s="11"/>
      <x:c r="V136" s="11">
        <x:v>-2.0975619999999999</x:v>
      </x:c>
      <x:c r="W136" s="11">
        <x:v>106.07432350000001</x:v>
      </x:c>
      <x:c r="X136" s="65"/>
      <x:c r="Y136" s="29"/>
      <x:c r="Z136" s="51"/>
      <x:c r="AA136" s="53"/>
      <x:c r="AB136" s="56"/>
      <x:c r="AC136">
        <x:f t="shared" si="8"/>
        <x:v>0.17241379310344829</x:v>
      </x:c>
      <x:c r="AD136">
        <x:f t="shared" si="9"/>
        <x:v>0.13333333333333333</x:v>
      </x:c>
    </x:row>
    <x:row r="137" ht="9.75" customHeight="1">
      <x:c r="A137" s="32">
        <x:v>132</x:v>
      </x:c>
      <x:c r="B137" s="11" t="s">
        <x:v>377</x:v>
      </x:c>
      <x:c r="C137" s="6" t="s">
        <x:v>34</x:v>
      </x:c>
      <x:c r="D137" s="11" t="s">
        <x:v>35</x:v>
      </x:c>
      <x:c r="E137" s="11" t="s">
        <x:v>36</x:v>
      </x:c>
      <x:c r="F137" s="6" t="s">
        <x:v>62</x:v>
      </x:c>
      <x:c r="G137" s="6" t="s">
        <x:v>378</x:v>
      </x:c>
      <x:c r="H137" s="17" t="s">
        <x:v>42</x:v>
      </x:c>
      <x:c r="I137" s="17" t="s">
        <x:v>86</x:v>
      </x:c>
      <x:c r="J137" s="6">
        <x:v>2020</x:v>
      </x:c>
      <x:c r="K137" s="17">
        <x:v>348</x:v>
      </x:c>
      <x:c r="L137" s="11">
        <x:v>312</x:v>
      </x:c>
      <x:c r="M137" s="17">
        <x:v>312</x:v>
      </x:c>
      <x:c r="N137" s="17" t="s">
        <x:v>41</x:v>
      </x:c>
      <x:c r="O137" s="6" t="s">
        <x:v>42</x:v>
      </x:c>
      <x:c r="P137" s="6"/>
      <x:c r="Q137" s="23" t="s">
        <x:v>43</x:v>
      </x:c>
      <x:c r="R137" s="23"/>
      <x:c r="S137" s="20"/>
      <x:c r="T137" s="11" t="s">
        <x:v>44</x:v>
      </x:c>
      <x:c r="U137" s="11"/>
      <x:c r="V137" s="11">
        <x:v>-2.097502</x:v>
      </x:c>
      <x:c r="W137" s="11">
        <x:v>106.092822</x:v>
      </x:c>
      <x:c r="X137" s="65"/>
      <x:c r="Y137" s="29"/>
      <x:c r="Z137" s="51"/>
      <x:c r="AA137" s="53"/>
      <x:c r="AB137" s="56"/>
      <x:c r="AC137">
        <x:f t="shared" si="8"/>
        <x:v>0.89655172413793105</x:v>
      </x:c>
      <x:c r="AD137">
        <x:f t="shared" si="9"/>
        <x:v>1</x:v>
      </x:c>
    </x:row>
    <x:row r="138" ht="9.75" customHeight="1">
      <x:c r="A138" s="32">
        <x:v>133</x:v>
      </x:c>
      <x:c r="B138" s="11" t="s">
        <x:v>379</x:v>
      </x:c>
      <x:c r="C138" s="6" t="s">
        <x:v>170</x:v>
      </x:c>
      <x:c r="D138" s="11" t="s">
        <x:v>81</x:v>
      </x:c>
      <x:c r="E138" s="11" t="s">
        <x:v>122</x:v>
      </x:c>
      <x:c r="F138" s="6" t="s">
        <x:v>380</x:v>
      </x:c>
      <x:c r="G138" s="6" t="s">
        <x:v>381</x:v>
      </x:c>
      <x:c r="H138" s="17" t="s">
        <x:v>382</x:v>
      </x:c>
      <x:c r="I138" s="17" t="s">
        <x:v>42</x:v>
      </x:c>
      <x:c r="J138" s="6">
        <x:v>2022</x:v>
      </x:c>
      <x:c r="K138" s="17">
        <x:v>105</x:v>
      </x:c>
      <x:c r="L138" s="11">
        <x:v>62</x:v>
      </x:c>
      <x:c r="M138" s="17">
        <x:v>0</x:v>
      </x:c>
      <x:c r="N138" s="17" t="s">
        <x:v>41</x:v>
      </x:c>
      <x:c r="O138" s="6" t="s">
        <x:v>42</x:v>
      </x:c>
      <x:c r="P138" s="6"/>
      <x:c r="Q138" s="23" t="s">
        <x:v>43</x:v>
      </x:c>
      <x:c r="R138" s="23"/>
      <x:c r="S138" s="20"/>
      <x:c r="T138" s="11"/>
      <x:c r="U138" s="11"/>
      <x:c r="V138" s="11">
        <x:v>-2.1229969999999998</x:v>
      </x:c>
      <x:c r="W138" s="11">
        <x:v>106.159896</x:v>
      </x:c>
      <x:c r="X138" s="65"/>
      <x:c r="Y138" s="29"/>
      <x:c r="Z138" s="51"/>
      <x:c r="AA138" s="53"/>
      <x:c r="AB138" s="56"/>
      <x:c r="AC138">
        <x:f t="shared" si="8"/>
        <x:v>0.59047619047619049</x:v>
      </x:c>
      <x:c r="AD138">
        <x:f t="shared" si="9"/>
        <x:v>0</x:v>
      </x:c>
    </x:row>
    <x:row r="139" ht="9.75" customHeight="1">
      <x:c r="A139" s="32">
        <x:v>134</x:v>
      </x:c>
      <x:c r="B139" s="11" t="s">
        <x:v>383</x:v>
      </x:c>
      <x:c r="C139" s="6" t="s">
        <x:v>170</x:v>
      </x:c>
      <x:c r="D139" s="11" t="s">
        <x:v>81</x:v>
      </x:c>
      <x:c r="E139" s="11" t="s">
        <x:v>122</x:v>
      </x:c>
      <x:c r="F139" s="6" t="s">
        <x:v>380</x:v>
      </x:c>
      <x:c r="G139" s="6" t="s">
        <x:v>381</x:v>
      </x:c>
      <x:c r="H139" s="17" t="s">
        <x:v>382</x:v>
      </x:c>
      <x:c r="I139" s="17" t="s">
        <x:v>42</x:v>
      </x:c>
      <x:c r="J139" s="6">
        <x:v>2023</x:v>
      </x:c>
      <x:c r="K139" s="17">
        <x:v>212</x:v>
      </x:c>
      <x:c r="L139" s="11">
        <x:v>10</x:v>
      </x:c>
      <x:c r="M139" s="17">
        <x:v>0</x:v>
      </x:c>
      <x:c r="N139" s="17" t="s">
        <x:v>41</x:v>
      </x:c>
      <x:c r="O139" s="6" t="s">
        <x:v>42</x:v>
      </x:c>
      <x:c r="P139" s="6"/>
      <x:c r="Q139" s="23" t="s">
        <x:v>43</x:v>
      </x:c>
      <x:c r="R139" s="23"/>
      <x:c r="S139" s="20"/>
      <x:c r="T139" s="11"/>
      <x:c r="U139" s="11"/>
      <x:c r="V139" s="11">
        <x:v>-2.1229969999999998</x:v>
      </x:c>
      <x:c r="W139" s="11">
        <x:v>106.159896</x:v>
      </x:c>
      <x:c r="X139" s="65"/>
      <x:c r="Y139" s="29"/>
      <x:c r="Z139" s="51"/>
      <x:c r="AA139" s="53"/>
      <x:c r="AB139" s="56"/>
      <x:c r="AC139">
        <x:f t="shared" si="8"/>
        <x:v>4.716981132075472E-2</x:v>
      </x:c>
      <x:c r="AD139">
        <x:f t="shared" si="9"/>
        <x:v>0</x:v>
      </x:c>
    </x:row>
    <x:row r="140" ht="9.75" customHeight="1">
      <x:c r="A140" s="32">
        <x:v>135</x:v>
      </x:c>
      <x:c r="B140" s="11" t="s">
        <x:v>384</x:v>
      </x:c>
      <x:c r="C140" s="6" t="s">
        <x:v>34</x:v>
      </x:c>
      <x:c r="D140" s="11" t="s">
        <x:v>81</x:v>
      </x:c>
      <x:c r="E140" s="11" t="s">
        <x:v>202</x:v>
      </x:c>
      <x:c r="F140" s="6" t="s">
        <x:v>385</x:v>
      </x:c>
      <x:c r="G140" s="6" t="s">
        <x:v>386</x:v>
      </x:c>
      <x:c r="H140" s="17" t="s">
        <x:v>387</x:v>
      </x:c>
      <x:c r="I140" s="17" t="s">
        <x:v>42</x:v>
      </x:c>
      <x:c r="J140" s="6">
        <x:v>2017</x:v>
      </x:c>
      <x:c r="K140" s="17">
        <x:v>109</x:v>
      </x:c>
      <x:c r="L140" s="11">
        <x:v>15</x:v>
      </x:c>
      <x:c r="M140" s="17">
        <x:v>6</x:v>
      </x:c>
      <x:c r="N140" s="17" t="s">
        <x:v>41</x:v>
      </x:c>
      <x:c r="O140" s="6" t="s">
        <x:v>42</x:v>
      </x:c>
      <x:c r="P140" s="6"/>
      <x:c r="Q140" s="23" t="s">
        <x:v>43</x:v>
      </x:c>
      <x:c r="R140" s="23"/>
      <x:c r="S140" s="20"/>
      <x:c r="T140" s="11"/>
      <x:c r="U140" s="11"/>
      <x:c r="V140" s="11">
        <x:v>-2.1278800000000002</x:v>
      </x:c>
      <x:c r="W140" s="11">
        <x:v>106.15365199999999</x:v>
      </x:c>
      <x:c r="X140" s="65"/>
      <x:c r="Y140" s="29"/>
      <x:c r="Z140" s="51"/>
      <x:c r="AA140" s="53"/>
      <x:c r="AB140" s="56"/>
      <x:c r="AC140">
        <x:f t="shared" si="8"/>
        <x:v>0.13761467889908258</x:v>
      </x:c>
      <x:c r="AD140">
        <x:f t="shared" si="9"/>
        <x:v>0.4</x:v>
      </x:c>
    </x:row>
    <x:row r="141" ht="9.75" customHeight="1">
      <x:c r="A141" s="32">
        <x:v>136</x:v>
      </x:c>
      <x:c r="B141" s="11" t="s">
        <x:v>388</x:v>
      </x:c>
      <x:c r="C141" s="6" t="s">
        <x:v>34</x:v>
      </x:c>
      <x:c r="D141" s="11" t="s">
        <x:v>35</x:v>
      </x:c>
      <x:c r="E141" s="11" t="s">
        <x:v>36</x:v>
      </x:c>
      <x:c r="F141" s="6" t="s">
        <x:v>389</x:v>
      </x:c>
      <x:c r="G141" s="6" t="s">
        <x:v>390</x:v>
      </x:c>
      <x:c r="H141" s="17" t="s">
        <x:v>42</x:v>
      </x:c>
      <x:c r="I141" s="17" t="s">
        <x:v>42</x:v>
      </x:c>
      <x:c r="J141" s="6">
        <x:v>2015</x:v>
      </x:c>
      <x:c r="K141" s="17">
        <x:v>0</x:v>
      </x:c>
      <x:c r="L141" s="11">
        <x:v>47</x:v>
      </x:c>
      <x:c r="M141" s="17">
        <x:v>35</x:v>
      </x:c>
      <x:c r="N141" s="17" t="s">
        <x:v>41</x:v>
      </x:c>
      <x:c r="O141" s="6" t="s">
        <x:v>42</x:v>
      </x:c>
      <x:c r="P141" s="6"/>
      <x:c r="Q141" s="23" t="s">
        <x:v>43</x:v>
      </x:c>
      <x:c r="R141" s="23"/>
      <x:c r="S141" s="20"/>
      <x:c r="T141" s="11"/>
      <x:c r="U141" s="11"/>
      <x:c r="V141" s="11">
        <x:v>-2.1073993999999998</x:v>
      </x:c>
      <x:c r="W141" s="11">
        <x:v>106.0614738</x:v>
      </x:c>
      <x:c r="X141" s="65"/>
      <x:c r="Y141" s="29"/>
      <x:c r="Z141" s="51"/>
      <x:c r="AA141" s="53"/>
      <x:c r="AB141" s="56"/>
      <x:c r="AC141">
        <x:f t="shared" si="8"/>
        <x:v>0</x:v>
      </x:c>
      <x:c r="AD141">
        <x:f t="shared" si="9"/>
        <x:v>0.74468085106382975</x:v>
      </x:c>
    </x:row>
    <x:row r="142" ht="9.75" customHeight="1">
      <x:c r="A142" s="32">
        <x:v>137</x:v>
      </x:c>
      <x:c r="B142" s="11" t="s">
        <x:v>391</x:v>
      </x:c>
      <x:c r="C142" s="6" t="s">
        <x:v>170</x:v>
      </x:c>
      <x:c r="D142" s="11" t="s">
        <x:v>60</x:v>
      </x:c>
      <x:c r="E142" s="11" t="s">
        <x:v>91</x:v>
      </x:c>
      <x:c r="F142" s="6" t="s">
        <x:v>392</x:v>
      </x:c>
      <x:c r="G142" s="6" t="s">
        <x:v>393</x:v>
      </x:c>
      <x:c r="H142" s="17" t="s">
        <x:v>394</x:v>
      </x:c>
      <x:c r="I142" s="17" t="s">
        <x:v>86</x:v>
      </x:c>
      <x:c r="J142" s="6">
        <x:v>2017</x:v>
      </x:c>
      <x:c r="K142" s="17">
        <x:v>265</x:v>
      </x:c>
      <x:c r="L142" s="11">
        <x:v>0</x:v>
      </x:c>
      <x:c r="M142" s="17">
        <x:v>0</x:v>
      </x:c>
      <x:c r="N142" s="17" t="s">
        <x:v>41</x:v>
      </x:c>
      <x:c r="O142" s="6" t="s">
        <x:v>42</x:v>
      </x:c>
      <x:c r="P142" s="6"/>
      <x:c r="Q142" s="23" t="s">
        <x:v>72</x:v>
      </x:c>
      <x:c r="R142" s="23"/>
      <x:c r="S142" s="20"/>
      <x:c r="T142" s="11"/>
      <x:c r="U142" s="11"/>
      <x:c r="V142" s="11">
        <x:v>-2.0824609999999999</x:v>
      </x:c>
      <x:c r="W142" s="11">
        <x:v>106.11130199999999</x:v>
      </x:c>
      <x:c r="X142" s="65"/>
      <x:c r="Y142" s="29"/>
      <x:c r="Z142" s="51"/>
      <x:c r="AA142" s="53"/>
      <x:c r="AB142" s="56"/>
      <x:c r="AC142">
        <x:f t="shared" si="8"/>
        <x:v>0</x:v>
      </x:c>
      <x:c r="AD142">
        <x:f t="shared" si="9"/>
        <x:v>0</x:v>
      </x:c>
    </x:row>
    <x:row r="143" ht="9.75" customHeight="1">
      <x:c r="A143" s="32">
        <x:v>138</x:v>
      </x:c>
      <x:c r="B143" s="11" t="s">
        <x:v>395</x:v>
      </x:c>
      <x:c r="C143" s="6" t="s">
        <x:v>34</x:v>
      </x:c>
      <x:c r="D143" s="11" t="s">
        <x:v>35</x:v>
      </x:c>
      <x:c r="E143" s="11" t="s">
        <x:v>36</x:v>
      </x:c>
      <x:c r="F143" s="6" t="s">
        <x:v>396</x:v>
      </x:c>
      <x:c r="G143" s="6" t="s">
        <x:v>42</x:v>
      </x:c>
      <x:c r="H143" s="17" t="s">
        <x:v>42</x:v>
      </x:c>
      <x:c r="I143" s="17" t="s">
        <x:v>42</x:v>
      </x:c>
      <x:c r="J143" s="6">
        <x:v>2017</x:v>
      </x:c>
      <x:c r="K143" s="17">
        <x:v>119</x:v>
      </x:c>
      <x:c r="L143" s="11">
        <x:v>119</x:v>
      </x:c>
      <x:c r="M143" s="17">
        <x:v>0</x:v>
      </x:c>
      <x:c r="N143" s="17" t="s">
        <x:v>41</x:v>
      </x:c>
      <x:c r="O143" s="6" t="s">
        <x:v>42</x:v>
      </x:c>
      <x:c r="P143" s="6"/>
      <x:c r="Q143" s="23" t="s">
        <x:v>43</x:v>
      </x:c>
      <x:c r="R143" s="23" t="s">
        <x:v>88</x:v>
      </x:c>
      <x:c r="S143" s="20"/>
      <x:c r="T143" s="11"/>
      <x:c r="U143" s="11"/>
      <x:c r="V143" s="11"/>
      <x:c r="W143" s="11"/>
      <x:c r="X143" s="65"/>
      <x:c r="Y143" s="29"/>
      <x:c r="Z143" s="51"/>
      <x:c r="AA143" s="53"/>
      <x:c r="AB143" s="56"/>
      <x:c r="AC143">
        <x:f t="shared" si="8"/>
        <x:v>1</x:v>
      </x:c>
      <x:c r="AD143">
        <x:f t="shared" si="9"/>
        <x:v>0</x:v>
      </x:c>
    </x:row>
    <x:row r="144" ht="9.75" customHeight="1">
      <x:c r="A144" s="32">
        <x:v>139</x:v>
      </x:c>
      <x:c r="B144" s="11" t="s">
        <x:v>397</x:v>
      </x:c>
      <x:c r="C144" s="6" t="s">
        <x:v>34</x:v>
      </x:c>
      <x:c r="D144" s="11" t="s">
        <x:v>35</x:v>
      </x:c>
      <x:c r="E144" s="11" t="s">
        <x:v>36</x:v>
      </x:c>
      <x:c r="F144" s="6" t="s">
        <x:v>74</x:v>
      </x:c>
      <x:c r="G144" s="6" t="s">
        <x:v>42</x:v>
      </x:c>
      <x:c r="H144" s="17" t="s">
        <x:v>42</x:v>
      </x:c>
      <x:c r="I144" s="17" t="s">
        <x:v>42</x:v>
      </x:c>
      <x:c r="J144" s="6">
        <x:v>2017</x:v>
      </x:c>
      <x:c r="K144" s="17">
        <x:v>0</x:v>
      </x:c>
      <x:c r="L144" s="11">
        <x:v>0</x:v>
      </x:c>
      <x:c r="M144" s="17">
        <x:v>0</x:v>
      </x:c>
      <x:c r="N144" s="17" t="s">
        <x:v>41</x:v>
      </x:c>
      <x:c r="O144" s="6" t="s">
        <x:v>42</x:v>
      </x:c>
      <x:c r="P144" s="6"/>
      <x:c r="Q144" s="23" t="s">
        <x:v>43</x:v>
      </x:c>
      <x:c r="R144" s="23"/>
      <x:c r="S144" s="20"/>
      <x:c r="T144" s="11"/>
      <x:c r="U144" s="11"/>
      <x:c r="V144" s="11">
        <x:v>-2.0997479999999999</x:v>
      </x:c>
      <x:c r="W144" s="11">
        <x:v>106.078397</x:v>
      </x:c>
      <x:c r="X144" s="65"/>
      <x:c r="Y144" s="29"/>
      <x:c r="Z144" s="51"/>
      <x:c r="AA144" s="53"/>
      <x:c r="AB144" s="56"/>
      <x:c r="AC144">
        <x:f t="shared" si="8"/>
        <x:v>0</x:v>
      </x:c>
      <x:c r="AD144">
        <x:f t="shared" si="9"/>
        <x:v>0</x:v>
      </x:c>
    </x:row>
    <x:row r="145" ht="9.75" customHeight="1">
      <x:c r="A145" s="32">
        <x:v>140</x:v>
      </x:c>
      <x:c r="B145" s="11" t="s">
        <x:v>398</x:v>
      </x:c>
      <x:c r="C145" s="6" t="s">
        <x:v>170</x:v>
      </x:c>
      <x:c r="D145" s="11" t="s">
        <x:v>60</x:v>
      </x:c>
      <x:c r="E145" s="11" t="s">
        <x:v>91</x:v>
      </x:c>
      <x:c r="F145" s="6" t="s">
        <x:v>392</x:v>
      </x:c>
      <x:c r="G145" s="6" t="s">
        <x:v>393</x:v>
      </x:c>
      <x:c r="H145" s="17" t="s">
        <x:v>394</x:v>
      </x:c>
      <x:c r="I145" s="17" t="s">
        <x:v>86</x:v>
      </x:c>
      <x:c r="J145" s="6" t="s">
        <x:v>42</x:v>
      </x:c>
      <x:c r="K145" s="17">
        <x:v>500</x:v>
      </x:c>
      <x:c r="L145" s="11">
        <x:v>0</x:v>
      </x:c>
      <x:c r="M145" s="17">
        <x:v>0</x:v>
      </x:c>
      <x:c r="N145" s="17" t="s">
        <x:v>41</x:v>
      </x:c>
      <x:c r="O145" s="6" t="s">
        <x:v>42</x:v>
      </x:c>
      <x:c r="P145" s="6"/>
      <x:c r="Q145" s="23" t="s">
        <x:v>72</x:v>
      </x:c>
      <x:c r="R145" s="23"/>
      <x:c r="S145" s="20"/>
      <x:c r="T145" s="11"/>
      <x:c r="U145" s="11"/>
      <x:c r="V145" s="11">
        <x:v>-2.084654</x:v>
      </x:c>
      <x:c r="W145" s="11">
        <x:v>106.113918</x:v>
      </x:c>
      <x:c r="X145" s="65"/>
      <x:c r="Y145" s="29"/>
      <x:c r="Z145" s="51"/>
      <x:c r="AA145" s="53"/>
      <x:c r="AB145" s="56"/>
      <x:c r="AC145">
        <x:f t="shared" si="8"/>
        <x:v>0</x:v>
      </x:c>
      <x:c r="AD145">
        <x:f t="shared" si="9"/>
        <x:v>0</x:v>
      </x:c>
    </x:row>
    <x:row r="146" ht="9.75" customHeight="1">
      <x:c r="A146" s="32">
        <x:v>141</x:v>
      </x:c>
      <x:c r="B146" s="11" t="s">
        <x:v>399</x:v>
      </x:c>
      <x:c r="C146" s="6" t="s">
        <x:v>170</x:v>
      </x:c>
      <x:c r="D146" s="11" t="s">
        <x:v>81</x:v>
      </x:c>
      <x:c r="E146" s="11" t="s">
        <x:v>400</x:v>
      </x:c>
      <x:c r="F146" s="6" t="s">
        <x:v>401</x:v>
      </x:c>
      <x:c r="G146" s="6" t="s">
        <x:v>402</x:v>
      </x:c>
      <x:c r="H146" s="17" t="s">
        <x:v>403</x:v>
      </x:c>
      <x:c r="I146" s="17" t="s">
        <x:v>42</x:v>
      </x:c>
      <x:c r="J146" s="6">
        <x:v>2024</x:v>
      </x:c>
      <x:c r="K146" s="17">
        <x:v>237</x:v>
      </x:c>
      <x:c r="L146" s="11">
        <x:v>0</x:v>
      </x:c>
      <x:c r="M146" s="17">
        <x:v>0</x:v>
      </x:c>
      <x:c r="N146" s="17" t="s">
        <x:v>41</x:v>
      </x:c>
      <x:c r="O146" s="6" t="s">
        <x:v>42</x:v>
      </x:c>
      <x:c r="P146" s="6"/>
      <x:c r="Q146" s="23" t="s">
        <x:v>43</x:v>
      </x:c>
      <x:c r="R146" s="23"/>
      <x:c r="S146" s="20"/>
      <x:c r="T146" s="11"/>
      <x:c r="U146" s="11"/>
      <x:c r="V146" s="11">
        <x:v>-2.1326553000000001</x:v>
      </x:c>
      <x:c r="W146" s="11">
        <x:v>106.1247745</x:v>
      </x:c>
      <x:c r="X146" s="65"/>
      <x:c r="Y146" s="29"/>
      <x:c r="Z146" s="51"/>
      <x:c r="AA146" s="53"/>
      <x:c r="AB146" s="56"/>
      <x:c r="AC146">
        <x:f t="shared" si="8"/>
        <x:v>0</x:v>
      </x:c>
      <x:c r="AD146">
        <x:f t="shared" si="9"/>
        <x:v>0</x:v>
      </x:c>
    </x:row>
    <x:row r="147" ht="9.75" customHeight="1">
      <x:c r="A147" s="32">
        <x:v>142</x:v>
      </x:c>
      <x:c r="B147" s="11" t="s">
        <x:v>404</x:v>
      </x:c>
      <x:c r="C147" s="6" t="s">
        <x:v>34</x:v>
      </x:c>
      <x:c r="D147" s="11" t="s">
        <x:v>35</x:v>
      </x:c>
      <x:c r="E147" s="11" t="s">
        <x:v>46</x:v>
      </x:c>
      <x:c r="F147" s="6" t="s">
        <x:v>405</x:v>
      </x:c>
      <x:c r="G147" s="6" t="s">
        <x:v>406</x:v>
      </x:c>
      <x:c r="H147" s="17" t="s">
        <x:v>407</x:v>
      </x:c>
      <x:c r="I147" s="17" t="s">
        <x:v>196</x:v>
      </x:c>
      <x:c r="J147" s="6">
        <x:v>2025</x:v>
      </x:c>
      <x:c r="K147" s="17">
        <x:v>72</x:v>
      </x:c>
      <x:c r="L147" s="11">
        <x:v>0</x:v>
      </x:c>
      <x:c r="M147" s="17">
        <x:v>0</x:v>
      </x:c>
      <x:c r="N147" s="17" t="s">
        <x:v>41</x:v>
      </x:c>
      <x:c r="O147" s="6" t="s">
        <x:v>42</x:v>
      </x:c>
      <x:c r="P147" s="6"/>
      <x:c r="Q147" s="23" t="s">
        <x:v>43</x:v>
      </x:c>
      <x:c r="R147" s="23"/>
      <x:c r="S147" s="20"/>
      <x:c r="T147" s="11"/>
      <x:c r="U147" s="11"/>
      <x:c r="V147" s="11"/>
      <x:c r="W147" s="11"/>
      <x:c r="X147" s="65"/>
      <x:c r="Y147" s="29"/>
      <x:c r="Z147" s="51"/>
      <x:c r="AA147" s="53"/>
      <x:c r="AB147" s="56"/>
      <x:c r="AC147">
        <x:f t="shared" si="8"/>
        <x:v>0</x:v>
      </x:c>
      <x:c r="AD147">
        <x:f t="shared" si="9"/>
        <x:v>0</x:v>
      </x:c>
    </x:row>
    <x:row r="148" ht="9.75" customHeight="1">
      <x:c r="A148" s="32">
        <x:v>143</x:v>
      </x:c>
      <x:c r="B148" s="11" t="s">
        <x:v>408</x:v>
      </x:c>
      <x:c r="C148" s="6" t="s">
        <x:v>34</x:v>
      </x:c>
      <x:c r="D148" s="11" t="s">
        <x:v>35</x:v>
      </x:c>
      <x:c r="E148" s="11" t="s">
        <x:v>46</x:v>
      </x:c>
      <x:c r="F148" s="6" t="s">
        <x:v>409</x:v>
      </x:c>
      <x:c r="G148" s="6" t="s">
        <x:v>410</x:v>
      </x:c>
      <x:c r="H148" s="17" t="s">
        <x:v>411</x:v>
      </x:c>
      <x:c r="I148" s="17" t="s">
        <x:v>166</x:v>
      </x:c>
      <x:c r="J148" s="6">
        <x:v>2017</x:v>
      </x:c>
      <x:c r="K148" s="17">
        <x:v>0</x:v>
      </x:c>
      <x:c r="L148" s="11">
        <x:v>80</x:v>
      </x:c>
      <x:c r="M148" s="17">
        <x:v>80</x:v>
      </x:c>
      <x:c r="N148" s="17" t="s">
        <x:v>41</x:v>
      </x:c>
      <x:c r="O148" s="6" t="s">
        <x:v>42</x:v>
      </x:c>
      <x:c r="P148" s="6"/>
      <x:c r="Q148" s="23" t="s">
        <x:v>43</x:v>
      </x:c>
      <x:c r="R148" s="23"/>
      <x:c r="S148" s="20"/>
      <x:c r="T148" s="11"/>
      <x:c r="U148" s="11"/>
      <x:c r="V148" s="11">
        <x:v>-2.1151049999999998</x:v>
      </x:c>
      <x:c r="W148" s="11">
        <x:v>106.081965</x:v>
      </x:c>
      <x:c r="X148" s="65"/>
      <x:c r="Y148" s="29"/>
      <x:c r="Z148" s="51"/>
      <x:c r="AA148" s="53"/>
      <x:c r="AB148" s="56"/>
      <x:c r="AC148">
        <x:f t="shared" si="8"/>
        <x:v>0</x:v>
      </x:c>
      <x:c r="AD148">
        <x:f t="shared" si="9"/>
        <x:v>1</x:v>
      </x:c>
    </x:row>
    <x:row r="149" ht="9.75" customHeight="1">
      <x:c r="A149" s="32">
        <x:v>144</x:v>
      </x:c>
      <x:c r="B149" s="11" t="s">
        <x:v>412</x:v>
      </x:c>
      <x:c r="C149" s="6" t="s">
        <x:v>34</x:v>
      </x:c>
      <x:c r="D149" s="11" t="s">
        <x:v>35</x:v>
      </x:c>
      <x:c r="E149" s="11" t="s">
        <x:v>46</x:v>
      </x:c>
      <x:c r="F149" s="6" t="s">
        <x:v>104</x:v>
      </x:c>
      <x:c r="G149" s="6" t="s">
        <x:v>410</x:v>
      </x:c>
      <x:c r="H149" s="17" t="s">
        <x:v>411</x:v>
      </x:c>
      <x:c r="I149" s="17" t="s">
        <x:v>166</x:v>
      </x:c>
      <x:c r="J149" s="6">
        <x:v>2017</x:v>
      </x:c>
      <x:c r="K149" s="17">
        <x:v>0</x:v>
      </x:c>
      <x:c r="L149" s="11">
        <x:v>32</x:v>
      </x:c>
      <x:c r="M149" s="17">
        <x:v>32</x:v>
      </x:c>
      <x:c r="N149" s="17" t="s">
        <x:v>41</x:v>
      </x:c>
      <x:c r="O149" s="6" t="s">
        <x:v>42</x:v>
      </x:c>
      <x:c r="P149" s="6"/>
      <x:c r="Q149" s="23" t="s">
        <x:v>72</x:v>
      </x:c>
      <x:c r="R149" s="23" t="s">
        <x:v>88</x:v>
      </x:c>
      <x:c r="S149" s="20"/>
      <x:c r="T149" s="11"/>
      <x:c r="U149" s="11"/>
      <x:c r="V149" s="11">
        <x:v>-2.1158537000000002</x:v>
      </x:c>
      <x:c r="W149" s="11">
        <x:v>106.0816123</x:v>
      </x:c>
      <x:c r="X149" s="65"/>
      <x:c r="Y149" s="29"/>
      <x:c r="Z149" s="51"/>
      <x:c r="AA149" s="53"/>
      <x:c r="AB149" s="56"/>
      <x:c r="AC149">
        <x:f t="shared" si="8"/>
        <x:v>0</x:v>
      </x:c>
      <x:c r="AD149">
        <x:f t="shared" si="9"/>
        <x:v>1</x:v>
      </x:c>
    </x:row>
    <x:row r="150" ht="9.75" customHeight="1">
      <x:c r="A150" s="32">
        <x:v>145</x:v>
      </x:c>
      <x:c r="B150" s="11" t="s">
        <x:v>413</x:v>
      </x:c>
      <x:c r="C150" s="6" t="s">
        <x:v>34</x:v>
      </x:c>
      <x:c r="D150" s="11" t="s">
        <x:v>35</x:v>
      </x:c>
      <x:c r="E150" s="11" t="s">
        <x:v>46</x:v>
      </x:c>
      <x:c r="F150" s="6" t="s">
        <x:v>104</x:v>
      </x:c>
      <x:c r="G150" s="6" t="s">
        <x:v>410</x:v>
      </x:c>
      <x:c r="H150" s="17" t="s">
        <x:v>411</x:v>
      </x:c>
      <x:c r="I150" s="17" t="s">
        <x:v>166</x:v>
      </x:c>
      <x:c r="J150" s="6">
        <x:v>2018</x:v>
      </x:c>
      <x:c r="K150" s="17">
        <x:v>80</x:v>
      </x:c>
      <x:c r="L150" s="11">
        <x:v>58</x:v>
      </x:c>
      <x:c r="M150" s="17">
        <x:v>35</x:v>
      </x:c>
      <x:c r="N150" s="17" t="s">
        <x:v>41</x:v>
      </x:c>
      <x:c r="O150" s="6" t="s">
        <x:v>42</x:v>
      </x:c>
      <x:c r="P150" s="6"/>
      <x:c r="Q150" s="23" t="s">
        <x:v>43</x:v>
      </x:c>
      <x:c r="R150" s="23"/>
      <x:c r="S150" s="20"/>
      <x:c r="T150" s="11"/>
      <x:c r="U150" s="11"/>
      <x:c r="V150" s="11">
        <x:v>-2.1149426999999998</x:v>
      </x:c>
      <x:c r="W150" s="11">
        <x:v>106.08137979999999</x:v>
      </x:c>
      <x:c r="X150" s="65"/>
      <x:c r="Y150" s="29"/>
      <x:c r="Z150" s="51"/>
      <x:c r="AA150" s="53"/>
      <x:c r="AB150" s="56"/>
      <x:c r="AC150">
        <x:f t="shared" si="8"/>
        <x:v>0.72499999999999998</x:v>
      </x:c>
      <x:c r="AD150">
        <x:f t="shared" si="9"/>
        <x:v>0.60344827586206895</x:v>
      </x:c>
    </x:row>
    <x:row r="151" ht="9.75" customHeight="1">
      <x:c r="A151" s="32">
        <x:v>146</x:v>
      </x:c>
      <x:c r="B151" s="11" t="s">
        <x:v>414</x:v>
      </x:c>
      <x:c r="C151" s="6" t="s">
        <x:v>34</x:v>
      </x:c>
      <x:c r="D151" s="11" t="s">
        <x:v>81</x:v>
      </x:c>
      <x:c r="E151" s="11" t="s">
        <x:v>202</x:v>
      </x:c>
      <x:c r="F151" s="6" t="s">
        <x:v>415</x:v>
      </x:c>
      <x:c r="G151" s="6" t="s">
        <x:v>416</x:v>
      </x:c>
      <x:c r="H151" s="17" t="s">
        <x:v>417</x:v>
      </x:c>
      <x:c r="I151" s="17" t="s">
        <x:v>112</x:v>
      </x:c>
      <x:c r="J151" s="6">
        <x:v>2017</x:v>
      </x:c>
      <x:c r="K151" s="17">
        <x:v>47</x:v>
      </x:c>
      <x:c r="L151" s="11">
        <x:v>47</x:v>
      </x:c>
      <x:c r="M151" s="17">
        <x:v>47</x:v>
      </x:c>
      <x:c r="N151" s="17" t="s">
        <x:v>41</x:v>
      </x:c>
      <x:c r="O151" s="6" t="s">
        <x:v>42</x:v>
      </x:c>
      <x:c r="P151" s="6"/>
      <x:c r="Q151" s="23" t="s">
        <x:v>43</x:v>
      </x:c>
      <x:c r="R151" s="23"/>
      <x:c r="S151" s="20"/>
      <x:c r="T151" s="11"/>
      <x:c r="U151" s="11"/>
      <x:c r="V151" s="11">
        <x:v>-2.1373600000000001</x:v>
      </x:c>
      <x:c r="W151" s="11">
        <x:v>106.157115</x:v>
      </x:c>
      <x:c r="X151" s="65"/>
      <x:c r="Y151" s="29"/>
      <x:c r="Z151" s="51"/>
      <x:c r="AA151" s="53"/>
      <x:c r="AB151" s="56"/>
      <x:c r="AC151">
        <x:f t="shared" si="8"/>
        <x:v>1</x:v>
      </x:c>
      <x:c r="AD151">
        <x:f t="shared" si="9"/>
        <x:v>1</x:v>
      </x:c>
    </x:row>
    <x:row r="152" ht="9.75" customHeight="1">
      <x:c r="A152" s="32">
        <x:v>147</x:v>
      </x:c>
      <x:c r="B152" s="11" t="s">
        <x:v>418</x:v>
      </x:c>
      <x:c r="C152" s="6" t="s">
        <x:v>34</x:v>
      </x:c>
      <x:c r="D152" s="11" t="s">
        <x:v>81</x:v>
      </x:c>
      <x:c r="E152" s="11" t="s">
        <x:v>202</x:v>
      </x:c>
      <x:c r="F152" s="6" t="s">
        <x:v>129</x:v>
      </x:c>
      <x:c r="G152" s="6" t="s">
        <x:v>419</x:v>
      </x:c>
      <x:c r="H152" s="17" t="s">
        <x:v>417</x:v>
      </x:c>
      <x:c r="I152" s="17" t="s">
        <x:v>112</x:v>
      </x:c>
      <x:c r="J152" s="6">
        <x:v>2017</x:v>
      </x:c>
      <x:c r="K152" s="17">
        <x:v>62</x:v>
      </x:c>
      <x:c r="L152" s="11">
        <x:v>60</x:v>
      </x:c>
      <x:c r="M152" s="17">
        <x:v>55</x:v>
      </x:c>
      <x:c r="N152" s="17" t="s">
        <x:v>41</x:v>
      </x:c>
      <x:c r="O152" s="6" t="s">
        <x:v>42</x:v>
      </x:c>
      <x:c r="P152" s="6"/>
      <x:c r="Q152" s="23" t="s">
        <x:v>43</x:v>
      </x:c>
      <x:c r="R152" s="23"/>
      <x:c r="S152" s="20"/>
      <x:c r="T152" s="11"/>
      <x:c r="U152" s="11"/>
      <x:c r="V152" s="11">
        <x:v>-2.1294439999999999</x:v>
      </x:c>
      <x:c r="W152" s="11">
        <x:v>106.1604487</x:v>
      </x:c>
      <x:c r="X152" s="65"/>
      <x:c r="Y152" s="29"/>
      <x:c r="Z152" s="51"/>
      <x:c r="AA152" s="53"/>
      <x:c r="AB152" s="56"/>
      <x:c r="AC152">
        <x:f t="shared" si="8"/>
        <x:v>0.967741935483871</x:v>
      </x:c>
      <x:c r="AD152">
        <x:f t="shared" si="9"/>
        <x:v>0.91666666666666663</x:v>
      </x:c>
    </x:row>
    <x:row r="153" ht="9.75" customHeight="1">
      <x:c r="A153" s="32">
        <x:v>148</x:v>
      </x:c>
      <x:c r="B153" s="11" t="s">
        <x:v>420</x:v>
      </x:c>
      <x:c r="C153" s="6" t="s">
        <x:v>34</x:v>
      </x:c>
      <x:c r="D153" s="11" t="s">
        <x:v>81</x:v>
      </x:c>
      <x:c r="E153" s="11" t="s">
        <x:v>122</x:v>
      </x:c>
      <x:c r="F153" s="6" t="s">
        <x:v>421</x:v>
      </x:c>
      <x:c r="G153" s="6" t="s">
        <x:v>419</x:v>
      </x:c>
      <x:c r="H153" s="17" t="s">
        <x:v>417</x:v>
      </x:c>
      <x:c r="I153" s="17" t="s">
        <x:v>112</x:v>
      </x:c>
      <x:c r="J153" s="6">
        <x:v>2018</x:v>
      </x:c>
      <x:c r="K153" s="17">
        <x:v>62</x:v>
      </x:c>
      <x:c r="L153" s="11">
        <x:v>60</x:v>
      </x:c>
      <x:c r="M153" s="17">
        <x:v>0</x:v>
      </x:c>
      <x:c r="N153" s="17" t="s">
        <x:v>41</x:v>
      </x:c>
      <x:c r="O153" s="6" t="s">
        <x:v>42</x:v>
      </x:c>
      <x:c r="P153" s="6"/>
      <x:c r="Q153" s="23" t="s">
        <x:v>43</x:v>
      </x:c>
      <x:c r="R153" s="23"/>
      <x:c r="S153" s="20"/>
      <x:c r="T153" s="11"/>
      <x:c r="U153" s="11"/>
      <x:c r="V153" s="11">
        <x:v>-2.1298411000000002</x:v>
      </x:c>
      <x:c r="W153" s="11">
        <x:v>106.15998329999999</x:v>
      </x:c>
      <x:c r="X153" s="65"/>
      <x:c r="Y153" s="29"/>
      <x:c r="Z153" s="51"/>
      <x:c r="AA153" s="53"/>
      <x:c r="AB153" s="56"/>
      <x:c r="AC153">
        <x:f t="shared" si="8"/>
        <x:v>0.967741935483871</x:v>
      </x:c>
      <x:c r="AD153">
        <x:f t="shared" si="9"/>
        <x:v>0</x:v>
      </x:c>
    </x:row>
    <x:row r="154" ht="9.75" customHeight="1">
      <x:c r="A154" s="32">
        <x:v>149</x:v>
      </x:c>
      <x:c r="B154" s="11" t="s">
        <x:v>422</x:v>
      </x:c>
      <x:c r="C154" s="6" t="s">
        <x:v>34</x:v>
      </x:c>
      <x:c r="D154" s="11" t="s">
        <x:v>81</x:v>
      </x:c>
      <x:c r="E154" s="11" t="s">
        <x:v>122</x:v>
      </x:c>
      <x:c r="F154" s="6" t="s">
        <x:v>421</x:v>
      </x:c>
      <x:c r="G154" s="6" t="s">
        <x:v>419</x:v>
      </x:c>
      <x:c r="H154" s="17" t="s">
        <x:v>417</x:v>
      </x:c>
      <x:c r="I154" s="17" t="s">
        <x:v>112</x:v>
      </x:c>
      <x:c r="J154" s="6">
        <x:v>2019</x:v>
      </x:c>
      <x:c r="K154" s="17">
        <x:v>53</x:v>
      </x:c>
      <x:c r="L154" s="11">
        <x:v>45</x:v>
      </x:c>
      <x:c r="M154" s="17">
        <x:v>39</x:v>
      </x:c>
      <x:c r="N154" s="17" t="s">
        <x:v>41</x:v>
      </x:c>
      <x:c r="O154" s="6" t="s">
        <x:v>42</x:v>
      </x:c>
      <x:c r="P154" s="6"/>
      <x:c r="Q154" s="23" t="s">
        <x:v>43</x:v>
      </x:c>
      <x:c r="R154" s="23" t="s">
        <x:v>88</x:v>
      </x:c>
      <x:c r="S154" s="20"/>
      <x:c r="T154" s="11"/>
      <x:c r="U154" s="11"/>
      <x:c r="V154" s="11">
        <x:v>-2.130566</x:v>
      </x:c>
      <x:c r="W154" s="11">
        <x:v>106.16054800000001</x:v>
      </x:c>
      <x:c r="X154" s="65"/>
      <x:c r="Y154" s="29"/>
      <x:c r="Z154" s="51"/>
      <x:c r="AA154" s="53"/>
      <x:c r="AB154" s="56"/>
      <x:c r="AC154">
        <x:f t="shared" si="8"/>
        <x:v>0.84905660377358494</x:v>
      </x:c>
      <x:c r="AD154">
        <x:f t="shared" si="9"/>
        <x:v>0.8666666666666667</x:v>
      </x:c>
    </x:row>
    <x:row r="155" ht="9.75" customHeight="1">
      <x:c r="A155" s="32">
        <x:v>150</x:v>
      </x:c>
      <x:c r="B155" s="11" t="s">
        <x:v>423</x:v>
      </x:c>
      <x:c r="C155" s="6" t="s">
        <x:v>34</x:v>
      </x:c>
      <x:c r="D155" s="11" t="s">
        <x:v>35</x:v>
      </x:c>
      <x:c r="E155" s="11" t="s">
        <x:v>36</x:v>
      </x:c>
      <x:c r="F155" s="6" t="s">
        <x:v>389</x:v>
      </x:c>
      <x:c r="G155" s="6" t="s">
        <x:v>390</x:v>
      </x:c>
      <x:c r="H155" s="17" t="s">
        <x:v>424</x:v>
      </x:c>
      <x:c r="I155" s="17" t="s">
        <x:v>65</x:v>
      </x:c>
      <x:c r="J155" s="6">
        <x:v>2019</x:v>
      </x:c>
      <x:c r="K155" s="17">
        <x:v>130</x:v>
      </x:c>
      <x:c r="L155" s="11">
        <x:v>63</x:v>
      </x:c>
      <x:c r="M155" s="17">
        <x:v>63</x:v>
      </x:c>
      <x:c r="N155" s="17" t="s">
        <x:v>41</x:v>
      </x:c>
      <x:c r="O155" s="6" t="s">
        <x:v>42</x:v>
      </x:c>
      <x:c r="P155" s="6"/>
      <x:c r="Q155" s="23" t="s">
        <x:v>72</x:v>
      </x:c>
      <x:c r="R155" s="23" t="s">
        <x:v>88</x:v>
      </x:c>
      <x:c r="S155" s="20"/>
      <x:c r="T155" s="11"/>
      <x:c r="U155" s="11"/>
      <x:c r="V155" s="11">
        <x:v>-2.1078779999999999</x:v>
      </x:c>
      <x:c r="W155" s="11">
        <x:v>106.06042100000001</x:v>
      </x:c>
      <x:c r="X155" s="65"/>
      <x:c r="Y155" s="29"/>
      <x:c r="Z155" s="51"/>
      <x:c r="AA155" s="53"/>
      <x:c r="AB155" s="56"/>
      <x:c r="AC155">
        <x:f t="shared" si="8"/>
        <x:v>0.48461538461538461</x:v>
      </x:c>
      <x:c r="AD155">
        <x:f t="shared" si="9"/>
        <x:v>1</x:v>
      </x:c>
    </x:row>
    <x:row r="156" ht="9.75" customHeight="1">
      <x:c r="A156" s="32">
        <x:v>151</x:v>
      </x:c>
      <x:c r="B156" s="11" t="s">
        <x:v>425</x:v>
      </x:c>
      <x:c r="C156" s="6" t="s">
        <x:v>34</x:v>
      </x:c>
      <x:c r="D156" s="11" t="s">
        <x:v>35</x:v>
      </x:c>
      <x:c r="E156" s="11" t="s">
        <x:v>36</x:v>
      </x:c>
      <x:c r="F156" s="6" t="s">
        <x:v>42</x:v>
      </x:c>
      <x:c r="G156" s="6" t="s">
        <x:v>426</x:v>
      </x:c>
      <x:c r="H156" s="17" t="s">
        <x:v>427</x:v>
      </x:c>
      <x:c r="I156" s="17" t="s">
        <x:v>65</x:v>
      </x:c>
      <x:c r="J156" s="6">
        <x:v>2022</x:v>
      </x:c>
      <x:c r="K156" s="17">
        <x:v>99</x:v>
      </x:c>
      <x:c r="L156" s="11">
        <x:v>18</x:v>
      </x:c>
      <x:c r="M156" s="17">
        <x:v>18</x:v>
      </x:c>
      <x:c r="N156" s="17" t="s">
        <x:v>41</x:v>
      </x:c>
      <x:c r="O156" s="6" t="s">
        <x:v>42</x:v>
      </x:c>
      <x:c r="P156" s="6"/>
      <x:c r="Q156" s="23" t="s">
        <x:v>43</x:v>
      </x:c>
      <x:c r="R156" s="23" t="s">
        <x:v>88</x:v>
      </x:c>
      <x:c r="S156" s="20"/>
      <x:c r="T156" s="11"/>
      <x:c r="U156" s="11"/>
      <x:c r="V156" s="11">
        <x:v>-2.1125147000000002</x:v>
      </x:c>
      <x:c r="W156" s="11">
        <x:v>106.07043590000001</x:v>
      </x:c>
      <x:c r="X156" s="65"/>
      <x:c r="Y156" s="29"/>
      <x:c r="Z156" s="51"/>
      <x:c r="AA156" s="53"/>
      <x:c r="AB156" s="56"/>
      <x:c r="AC156">
        <x:f t="shared" si="8"/>
        <x:v>0.18181818181818182</x:v>
      </x:c>
      <x:c r="AD156">
        <x:f t="shared" si="9"/>
        <x:v>1</x:v>
      </x:c>
    </x:row>
    <x:row r="157" ht="9.75" customHeight="1">
      <x:c r="A157" s="32">
        <x:v>152</x:v>
      </x:c>
      <x:c r="B157" s="11" t="s">
        <x:v>428</x:v>
      </x:c>
      <x:c r="C157" s="6" t="s">
        <x:v>34</x:v>
      </x:c>
      <x:c r="D157" s="11" t="s">
        <x:v>35</x:v>
      </x:c>
      <x:c r="E157" s="11" t="s">
        <x:v>36</x:v>
      </x:c>
      <x:c r="F157" s="6" t="s">
        <x:v>389</x:v>
      </x:c>
      <x:c r="G157" s="6" t="s">
        <x:v>390</x:v>
      </x:c>
      <x:c r="H157" s="17" t="s">
        <x:v>424</x:v>
      </x:c>
      <x:c r="I157" s="17" t="s">
        <x:v>65</x:v>
      </x:c>
      <x:c r="J157" s="6">
        <x:v>2020</x:v>
      </x:c>
      <x:c r="K157" s="17">
        <x:v>92</x:v>
      </x:c>
      <x:c r="L157" s="11">
        <x:v>85</x:v>
      </x:c>
      <x:c r="M157" s="17">
        <x:v>85</x:v>
      </x:c>
      <x:c r="N157" s="17" t="s">
        <x:v>41</x:v>
      </x:c>
      <x:c r="O157" s="6" t="s">
        <x:v>42</x:v>
      </x:c>
      <x:c r="P157" s="6"/>
      <x:c r="Q157" s="23" t="s">
        <x:v>43</x:v>
      </x:c>
      <x:c r="R157" s="23" t="s">
        <x:v>88</x:v>
      </x:c>
      <x:c r="S157" s="20"/>
      <x:c r="T157" s="11"/>
      <x:c r="U157" s="11"/>
      <x:c r="V157" s="11">
        <x:v>-2.1084619999999998</x:v>
      </x:c>
      <x:c r="W157" s="11">
        <x:v>106.062211</x:v>
      </x:c>
      <x:c r="X157" s="65"/>
      <x:c r="Y157" s="29"/>
      <x:c r="Z157" s="51"/>
      <x:c r="AA157" s="53"/>
      <x:c r="AB157" s="56"/>
      <x:c r="AC157">
        <x:f t="shared" si="8"/>
        <x:v>0.92391304347826086</x:v>
      </x:c>
      <x:c r="AD157">
        <x:f t="shared" si="9"/>
        <x:v>1</x:v>
      </x:c>
    </x:row>
    <x:row r="158" ht="9.75" customHeight="1">
      <x:c r="A158" s="32">
        <x:v>153</x:v>
      </x:c>
      <x:c r="B158" s="11" t="s">
        <x:v>429</x:v>
      </x:c>
      <x:c r="C158" s="6" t="s">
        <x:v>34</x:v>
      </x:c>
      <x:c r="D158" s="11" t="s">
        <x:v>60</x:v>
      </x:c>
      <x:c r="E158" s="11" t="s">
        <x:v>267</x:v>
      </x:c>
      <x:c r="F158" s="6" t="s">
        <x:v>430</x:v>
      </x:c>
      <x:c r="G158" s="6" t="s">
        <x:v>431</x:v>
      </x:c>
      <x:c r="H158" s="17" t="s">
        <x:v>432</x:v>
      </x:c>
      <x:c r="I158" s="17" t="s">
        <x:v>112</x:v>
      </x:c>
      <x:c r="J158" s="6">
        <x:v>2018</x:v>
      </x:c>
      <x:c r="K158" s="17">
        <x:v>56</x:v>
      </x:c>
      <x:c r="L158" s="11">
        <x:v>32</x:v>
      </x:c>
      <x:c r="M158" s="17">
        <x:v>32</x:v>
      </x:c>
      <x:c r="N158" s="17" t="s">
        <x:v>41</x:v>
      </x:c>
      <x:c r="O158" s="6" t="s">
        <x:v>42</x:v>
      </x:c>
      <x:c r="P158" s="6"/>
      <x:c r="Q158" s="23" t="s">
        <x:v>43</x:v>
      </x:c>
      <x:c r="R158" s="23" t="s">
        <x:v>88</x:v>
      </x:c>
      <x:c r="S158" s="20"/>
      <x:c r="T158" s="11"/>
      <x:c r="U158" s="11"/>
      <x:c r="V158" s="11">
        <x:v>-2.0945735000000001</x:v>
      </x:c>
      <x:c r="W158" s="11">
        <x:v>106.113224</x:v>
      </x:c>
      <x:c r="X158" s="65"/>
      <x:c r="Y158" s="29"/>
      <x:c r="Z158" s="51"/>
      <x:c r="AA158" s="53"/>
      <x:c r="AB158" s="56"/>
      <x:c r="AC158">
        <x:f t="shared" si="8"/>
        <x:v>0.5714285714285714</x:v>
      </x:c>
      <x:c r="AD158">
        <x:f t="shared" si="9"/>
        <x:v>1</x:v>
      </x:c>
    </x:row>
    <x:row r="159" ht="9.75" customHeight="1">
      <x:c r="A159" s="32">
        <x:v>154</x:v>
      </x:c>
      <x:c r="B159" s="11" t="s">
        <x:v>433</x:v>
      </x:c>
      <x:c r="C159" s="6" t="s">
        <x:v>34</x:v>
      </x:c>
      <x:c r="D159" s="11" t="s">
        <x:v>35</x:v>
      </x:c>
      <x:c r="E159" s="11" t="s">
        <x:v>36</x:v>
      </x:c>
      <x:c r="F159" s="6" t="s">
        <x:v>310</x:v>
      </x:c>
      <x:c r="G159" s="6" t="s">
        <x:v>434</x:v>
      </x:c>
      <x:c r="H159" s="17" t="s">
        <x:v>435</x:v>
      </x:c>
      <x:c r="I159" s="17" t="s">
        <x:v>112</x:v>
      </x:c>
      <x:c r="J159" s="6">
        <x:v>2019</x:v>
      </x:c>
      <x:c r="K159" s="17">
        <x:v>36</x:v>
      </x:c>
      <x:c r="L159" s="11">
        <x:v>28</x:v>
      </x:c>
      <x:c r="M159" s="17">
        <x:v>28</x:v>
      </x:c>
      <x:c r="N159" s="17" t="s">
        <x:v>41</x:v>
      </x:c>
      <x:c r="O159" s="6" t="s">
        <x:v>42</x:v>
      </x:c>
      <x:c r="P159" s="6"/>
      <x:c r="Q159" s="23" t="s">
        <x:v>43</x:v>
      </x:c>
      <x:c r="R159" s="23" t="s">
        <x:v>88</x:v>
      </x:c>
      <x:c r="S159" s="20"/>
      <x:c r="T159" s="11"/>
      <x:c r="U159" s="11"/>
      <x:c r="V159" s="11">
        <x:v>-2.1185654</x:v>
      </x:c>
      <x:c r="W159" s="11">
        <x:v>106.0760401</x:v>
      </x:c>
      <x:c r="X159" s="65"/>
      <x:c r="Y159" s="29"/>
      <x:c r="Z159" s="51"/>
      <x:c r="AA159" s="53"/>
      <x:c r="AB159" s="56"/>
      <x:c r="AC159">
        <x:f t="shared" si="8"/>
        <x:v>0.77777777777777779</x:v>
      </x:c>
      <x:c r="AD159">
        <x:f t="shared" si="9"/>
        <x:v>1</x:v>
      </x:c>
    </x:row>
    <x:row r="160" ht="9.75" customHeight="1">
      <x:c r="A160" s="32">
        <x:v>155</x:v>
      </x:c>
      <x:c r="B160" s="11" t="s">
        <x:v>436</x:v>
      </x:c>
      <x:c r="C160" s="6" t="s">
        <x:v>170</x:v>
      </x:c>
      <x:c r="D160" s="11" t="s">
        <x:v>81</x:v>
      </x:c>
      <x:c r="E160" s="11" t="s">
        <x:v>82</x:v>
      </x:c>
      <x:c r="F160" s="6" t="s">
        <x:v>437</x:v>
      </x:c>
      <x:c r="G160" s="6" t="s">
        <x:v>42</x:v>
      </x:c>
      <x:c r="H160" s="17" t="s">
        <x:v>42</x:v>
      </x:c>
      <x:c r="I160" s="17" t="s">
        <x:v>42</x:v>
      </x:c>
      <x:c r="J160" s="6" t="s">
        <x:v>438</x:v>
      </x:c>
      <x:c r="K160" s="17">
        <x:v>70</x:v>
      </x:c>
      <x:c r="L160" s="11">
        <x:v>0</x:v>
      </x:c>
      <x:c r="M160" s="17">
        <x:v>0</x:v>
      </x:c>
      <x:c r="N160" s="17" t="s">
        <x:v>41</x:v>
      </x:c>
      <x:c r="O160" s="6" t="s">
        <x:v>42</x:v>
      </x:c>
      <x:c r="P160" s="6"/>
      <x:c r="Q160" s="23" t="s">
        <x:v>72</x:v>
      </x:c>
      <x:c r="R160" s="23"/>
      <x:c r="S160" s="20"/>
      <x:c r="T160" s="11"/>
      <x:c r="U160" s="11"/>
      <x:c r="V160" s="11"/>
      <x:c r="W160" s="11"/>
      <x:c r="X160" s="65"/>
      <x:c r="Y160" s="29"/>
      <x:c r="Z160" s="51"/>
      <x:c r="AA160" s="53"/>
      <x:c r="AB160" s="56"/>
      <x:c r="AC160">
        <x:f t="shared" si="8"/>
        <x:v>0</x:v>
      </x:c>
      <x:c r="AD160">
        <x:f t="shared" si="9"/>
        <x:v>0</x:v>
      </x:c>
    </x:row>
    <x:row r="161" ht="9.75" customHeight="1">
      <x:c r="A161" s="32">
        <x:v>156</x:v>
      </x:c>
      <x:c r="B161" s="11" t="s">
        <x:v>439</x:v>
      </x:c>
      <x:c r="C161" s="6" t="s">
        <x:v>34</x:v>
      </x:c>
      <x:c r="D161" s="11" t="s">
        <x:v>306</x:v>
      </x:c>
      <x:c r="E161" s="11" t="s">
        <x:v>307</x:v>
      </x:c>
      <x:c r="F161" s="6" t="s">
        <x:v>440</x:v>
      </x:c>
      <x:c r="G161" s="6" t="s">
        <x:v>441</x:v>
      </x:c>
      <x:c r="H161" s="17" t="s">
        <x:v>442</x:v>
      </x:c>
      <x:c r="I161" s="17" t="s">
        <x:v>42</x:v>
      </x:c>
      <x:c r="J161" s="6">
        <x:v>2017</x:v>
      </x:c>
      <x:c r="K161" s="17">
        <x:v>23</x:v>
      </x:c>
      <x:c r="L161" s="11">
        <x:v>23</x:v>
      </x:c>
      <x:c r="M161" s="17">
        <x:v>23</x:v>
      </x:c>
      <x:c r="N161" s="17" t="s">
        <x:v>41</x:v>
      </x:c>
      <x:c r="O161" s="6" t="s">
        <x:v>42</x:v>
      </x:c>
      <x:c r="P161" s="6"/>
      <x:c r="Q161" s="23" t="s">
        <x:v>43</x:v>
      </x:c>
      <x:c r="R161" s="23" t="s">
        <x:v>88</x:v>
      </x:c>
      <x:c r="S161" s="20"/>
      <x:c r="T161" s="11"/>
      <x:c r="U161" s="11"/>
      <x:c r="V161" s="11">
        <x:v>-2.1512880999999999</x:v>
      </x:c>
      <x:c r="W161" s="11">
        <x:v>106.1042964</x:v>
      </x:c>
      <x:c r="X161" s="65"/>
      <x:c r="Y161" s="29"/>
      <x:c r="Z161" s="51"/>
      <x:c r="AA161" s="53"/>
      <x:c r="AB161" s="56"/>
      <x:c r="AC161">
        <x:f t="shared" si="8"/>
        <x:v>1</x:v>
      </x:c>
      <x:c r="AD161">
        <x:f t="shared" si="9"/>
        <x:v>1</x:v>
      </x:c>
    </x:row>
    <x:row r="162" ht="9.75" customHeight="1">
      <x:c r="A162" s="32">
        <x:v>157</x:v>
      </x:c>
      <x:c r="B162" s="11" t="s">
        <x:v>443</x:v>
      </x:c>
      <x:c r="C162" s="6" t="s">
        <x:v>34</x:v>
      </x:c>
      <x:c r="D162" s="11" t="s">
        <x:v>81</x:v>
      </x:c>
      <x:c r="E162" s="11" t="s">
        <x:v>202</x:v>
      </x:c>
      <x:c r="F162" s="6" t="s">
        <x:v>421</x:v>
      </x:c>
      <x:c r="G162" s="6" t="s">
        <x:v>42</x:v>
      </x:c>
      <x:c r="H162" s="17" t="s">
        <x:v>42</x:v>
      </x:c>
      <x:c r="I162" s="17" t="s">
        <x:v>42</x:v>
      </x:c>
      <x:c r="J162" s="6">
        <x:v>2016</x:v>
      </x:c>
      <x:c r="K162" s="17">
        <x:v>25</x:v>
      </x:c>
      <x:c r="L162" s="11">
        <x:v>0</x:v>
      </x:c>
      <x:c r="M162" s="17">
        <x:v>0</x:v>
      </x:c>
      <x:c r="N162" s="17" t="s">
        <x:v>41</x:v>
      </x:c>
      <x:c r="O162" s="6" t="s">
        <x:v>42</x:v>
      </x:c>
      <x:c r="P162" s="6"/>
      <x:c r="Q162" s="23" t="s">
        <x:v>43</x:v>
      </x:c>
      <x:c r="R162" s="23"/>
      <x:c r="S162" s="20"/>
      <x:c r="T162" s="11"/>
      <x:c r="U162" s="11"/>
      <x:c r="V162" s="11">
        <x:v>-2.1308129999999998</x:v>
      </x:c>
      <x:c r="W162" s="11">
        <x:v>106.162803</x:v>
      </x:c>
      <x:c r="X162" s="65"/>
      <x:c r="Y162" s="29"/>
      <x:c r="Z162" s="51"/>
      <x:c r="AA162" s="53"/>
      <x:c r="AB162" s="56"/>
      <x:c r="AC162">
        <x:f t="shared" si="8"/>
        <x:v>0</x:v>
      </x:c>
      <x:c r="AD162">
        <x:f t="shared" si="9"/>
        <x:v>0</x:v>
      </x:c>
    </x:row>
    <x:row r="163" ht="9.75" customHeight="1">
      <x:c r="A163" s="32">
        <x:v>158</x:v>
      </x:c>
      <x:c r="B163" s="11" t="s">
        <x:v>444</x:v>
      </x:c>
      <x:c r="C163" s="6" t="s">
        <x:v>34</x:v>
      </x:c>
      <x:c r="D163" s="11" t="s">
        <x:v>60</x:v>
      </x:c>
      <x:c r="E163" s="11" t="s">
        <x:v>267</x:v>
      </x:c>
      <x:c r="F163" s="6" t="s">
        <x:v>430</x:v>
      </x:c>
      <x:c r="G163" s="6" t="s">
        <x:v>445</x:v>
      </x:c>
      <x:c r="H163" s="17" t="s">
        <x:v>446</x:v>
      </x:c>
      <x:c r="I163" s="17" t="s">
        <x:v>196</x:v>
      </x:c>
      <x:c r="J163" s="6">
        <x:v>2019</x:v>
      </x:c>
      <x:c r="K163" s="17">
        <x:v>56</x:v>
      </x:c>
      <x:c r="L163" s="11">
        <x:v>56</x:v>
      </x:c>
      <x:c r="M163" s="17">
        <x:v>53</x:v>
      </x:c>
      <x:c r="N163" s="17" t="s">
        <x:v>48</x:v>
      </x:c>
      <x:c r="O163" s="6">
        <x:v>2022</x:v>
      </x:c>
      <x:c r="P163" s="6"/>
      <x:c r="Q163" s="23" t="s">
        <x:v>43</x:v>
      </x:c>
      <x:c r="R163" s="23" t="s">
        <x:v>113</x:v>
      </x:c>
      <x:c r="S163" s="20"/>
      <x:c r="T163" s="11"/>
      <x:c r="U163" s="11"/>
      <x:c r="V163" s="11">
        <x:v>-2.0915680000000001</x:v>
      </x:c>
      <x:c r="W163" s="11">
        <x:v>106.118658</x:v>
      </x:c>
      <x:c r="X163" s="65"/>
      <x:c r="Y163" s="29"/>
      <x:c r="Z163" s="51"/>
      <x:c r="AA163" s="53"/>
      <x:c r="AB163" s="56"/>
      <x:c r="AC163">
        <x:f t="shared" si="8"/>
        <x:v>1</x:v>
      </x:c>
      <x:c r="AD163">
        <x:f t="shared" si="9"/>
        <x:v>0.9464285714285714</x:v>
      </x:c>
    </x:row>
    <x:row r="164" ht="9.75" customHeight="1">
      <x:c r="A164" s="32">
        <x:v>159</x:v>
      </x:c>
      <x:c r="B164" s="11" t="s">
        <x:v>447</x:v>
      </x:c>
      <x:c r="C164" s="6" t="s">
        <x:v>34</x:v>
      </x:c>
      <x:c r="D164" s="11" t="s">
        <x:v>35</x:v>
      </x:c>
      <x:c r="E164" s="11" t="s">
        <x:v>36</x:v>
      </x:c>
      <x:c r="F164" s="6" t="s">
        <x:v>54</x:v>
      </x:c>
      <x:c r="G164" s="6" t="s">
        <x:v>448</x:v>
      </x:c>
      <x:c r="H164" s="17" t="s">
        <x:v>446</x:v>
      </x:c>
      <x:c r="I164" s="17" t="s">
        <x:v>196</x:v>
      </x:c>
      <x:c r="J164" s="6">
        <x:v>2020</x:v>
      </x:c>
      <x:c r="K164" s="17">
        <x:v>54</x:v>
      </x:c>
      <x:c r="L164" s="11">
        <x:v>54</x:v>
      </x:c>
      <x:c r="M164" s="17">
        <x:v>54</x:v>
      </x:c>
      <x:c r="N164" s="17" t="s">
        <x:v>41</x:v>
      </x:c>
      <x:c r="O164" s="6" t="s">
        <x:v>42</x:v>
      </x:c>
      <x:c r="P164" s="6"/>
      <x:c r="Q164" s="23" t="s">
        <x:v>43</x:v>
      </x:c>
      <x:c r="R164" s="23"/>
      <x:c r="S164" s="20"/>
      <x:c r="T164" s="11" t="s">
        <x:v>44</x:v>
      </x:c>
      <x:c r="U164" s="11"/>
      <x:c r="V164" s="11">
        <x:v>-2.1000770000000002</x:v>
      </x:c>
      <x:c r="W164" s="11">
        <x:v>106.07646699999999</x:v>
      </x:c>
      <x:c r="X164" s="65"/>
      <x:c r="Y164" s="29"/>
      <x:c r="Z164" s="51"/>
      <x:c r="AA164" s="53"/>
      <x:c r="AB164" s="56"/>
      <x:c r="AC164">
        <x:f t="shared" si="8"/>
        <x:v>1</x:v>
      </x:c>
      <x:c r="AD164">
        <x:f t="shared" si="9"/>
        <x:v>1</x:v>
      </x:c>
    </x:row>
    <x:row r="165" ht="9.75" customHeight="1">
      <x:c r="A165" s="32">
        <x:v>160</x:v>
      </x:c>
      <x:c r="B165" s="11" t="s">
        <x:v>449</x:v>
      </x:c>
      <x:c r="C165" s="6" t="s">
        <x:v>34</x:v>
      </x:c>
      <x:c r="D165" s="11" t="s">
        <x:v>35</x:v>
      </x:c>
      <x:c r="E165" s="11" t="s">
        <x:v>36</x:v>
      </x:c>
      <x:c r="F165" s="6" t="s">
        <x:v>450</x:v>
      </x:c>
      <x:c r="G165" s="6" t="s">
        <x:v>448</x:v>
      </x:c>
      <x:c r="H165" s="17" t="s">
        <x:v>446</x:v>
      </x:c>
      <x:c r="I165" s="17" t="s">
        <x:v>196</x:v>
      </x:c>
      <x:c r="J165" s="6">
        <x:v>2022</x:v>
      </x:c>
      <x:c r="K165" s="17">
        <x:v>70</x:v>
      </x:c>
      <x:c r="L165" s="11">
        <x:v>51</x:v>
      </x:c>
      <x:c r="M165" s="17">
        <x:v>35</x:v>
      </x:c>
      <x:c r="N165" s="17" t="s">
        <x:v>41</x:v>
      </x:c>
      <x:c r="O165" s="6" t="s">
        <x:v>42</x:v>
      </x:c>
      <x:c r="P165" s="6"/>
      <x:c r="Q165" s="23" t="s">
        <x:v>43</x:v>
      </x:c>
      <x:c r="R165" s="23"/>
      <x:c r="S165" s="20"/>
      <x:c r="T165" s="11"/>
      <x:c r="U165" s="11"/>
      <x:c r="V165" s="11">
        <x:v>-2.0998857000000002</x:v>
      </x:c>
      <x:c r="W165" s="11">
        <x:v>106.07139979999999</x:v>
      </x:c>
      <x:c r="X165" s="65"/>
      <x:c r="Y165" s="29"/>
      <x:c r="Z165" s="51"/>
      <x:c r="AA165" s="53"/>
      <x:c r="AB165" s="56"/>
      <x:c r="AC165">
        <x:f t="shared" si="8"/>
        <x:v>0.72857142857142854</x:v>
      </x:c>
      <x:c r="AD165">
        <x:f t="shared" si="9"/>
        <x:v>0.68627450980392157</x:v>
      </x:c>
    </x:row>
    <x:row r="166" ht="9.75" customHeight="1">
      <x:c r="A166" s="32">
        <x:v>161</x:v>
      </x:c>
      <x:c r="B166" s="11" t="s">
        <x:v>451</x:v>
      </x:c>
      <x:c r="C166" s="6" t="s">
        <x:v>34</x:v>
      </x:c>
      <x:c r="D166" s="11" t="s">
        <x:v>60</x:v>
      </x:c>
      <x:c r="E166" s="11" t="s">
        <x:v>267</x:v>
      </x:c>
      <x:c r="F166" s="6" t="s">
        <x:v>430</x:v>
      </x:c>
      <x:c r="G166" s="6" t="s">
        <x:v>448</x:v>
      </x:c>
      <x:c r="H166" s="17" t="s">
        <x:v>446</x:v>
      </x:c>
      <x:c r="I166" s="17" t="s">
        <x:v>196</x:v>
      </x:c>
      <x:c r="J166" s="6">
        <x:v>2024</x:v>
      </x:c>
      <x:c r="K166" s="17">
        <x:v>64</x:v>
      </x:c>
      <x:c r="L166" s="11">
        <x:v>17</x:v>
      </x:c>
      <x:c r="M166" s="17">
        <x:v>0</x:v>
      </x:c>
      <x:c r="N166" s="17" t="s">
        <x:v>41</x:v>
      </x:c>
      <x:c r="O166" s="6" t="s">
        <x:v>42</x:v>
      </x:c>
      <x:c r="P166" s="6"/>
      <x:c r="Q166" s="23" t="s">
        <x:v>43</x:v>
      </x:c>
      <x:c r="R166" s="23" t="s">
        <x:v>88</x:v>
      </x:c>
      <x:c r="S166" s="20"/>
      <x:c r="T166" s="11"/>
      <x:c r="U166" s="11"/>
      <x:c r="V166" s="11">
        <x:v>-2.0903510000000001</x:v>
      </x:c>
      <x:c r="W166" s="11">
        <x:v>106.11813600000001</x:v>
      </x:c>
      <x:c r="X166" s="65"/>
      <x:c r="Y166" s="29"/>
      <x:c r="Z166" s="51"/>
      <x:c r="AA166" s="53"/>
      <x:c r="AB166" s="56"/>
      <x:c r="AC166" t="n">
        <x:f t="shared" ref="AC166:AC197" si="10">IF(A166="","",IFERROR(L166/K166,0))</x:f>
        <x:v>0.265625</x:v>
      </x:c>
      <x:c r="AD166" t="n">
        <x:f t="shared" ref="AD166:AD197" si="11">IF(A166="","",IFERROR(M166/L166,0))</x:f>
        <x:v>0</x:v>
      </x:c>
    </x:row>
    <x:row r="167" ht="9.75" customHeight="1">
      <x:c r="A167" s="32">
        <x:v>162</x:v>
      </x:c>
      <x:c r="B167" s="11" t="s">
        <x:v>452</x:v>
      </x:c>
      <x:c r="C167" s="6" t="s">
        <x:v>34</x:v>
      </x:c>
      <x:c r="D167" s="11" t="s">
        <x:v>35</x:v>
      </x:c>
      <x:c r="E167" s="11" t="s">
        <x:v>46</x:v>
      </x:c>
      <x:c r="F167" s="6" t="s">
        <x:v>243</x:v>
      </x:c>
      <x:c r="G167" s="6" t="s">
        <x:v>453</x:v>
      </x:c>
      <x:c r="H167" s="17" t="s">
        <x:v>411</x:v>
      </x:c>
      <x:c r="I167" s="17" t="s">
        <x:v>42</x:v>
      </x:c>
      <x:c r="J167" s="6">
        <x:v>2017</x:v>
      </x:c>
      <x:c r="K167" s="17">
        <x:v>25</x:v>
      </x:c>
      <x:c r="L167" s="11">
        <x:v>25</x:v>
      </x:c>
      <x:c r="M167" s="17">
        <x:v>0</x:v>
      </x:c>
      <x:c r="N167" s="17" t="s">
        <x:v>41</x:v>
      </x:c>
      <x:c r="O167" s="6" t="s">
        <x:v>42</x:v>
      </x:c>
      <x:c r="P167" s="6"/>
      <x:c r="Q167" s="23" t="s">
        <x:v>43</x:v>
      </x:c>
      <x:c r="R167" s="23"/>
      <x:c r="S167" s="20"/>
      <x:c r="T167" s="11"/>
      <x:c r="U167" s="11"/>
      <x:c r="V167" s="11">
        <x:v>-2.1180140000000001</x:v>
      </x:c>
      <x:c r="W167" s="11">
        <x:v>106.078672</x:v>
      </x:c>
      <x:c r="X167" s="65"/>
      <x:c r="Y167" s="29"/>
      <x:c r="Z167" s="51"/>
      <x:c r="AA167" s="53"/>
      <x:c r="AB167" s="56"/>
      <x:c r="AC167">
        <x:f t="shared" si="10"/>
        <x:v>1</x:v>
      </x:c>
      <x:c r="AD167">
        <x:f t="shared" si="11"/>
        <x:v>0</x:v>
      </x:c>
    </x:row>
    <x:row r="168" ht="9.75" customHeight="1">
      <x:c r="A168" s="32">
        <x:v>163</x:v>
      </x:c>
      <x:c r="B168" s="11" t="s">
        <x:v>454</x:v>
      </x:c>
      <x:c r="C168" s="6" t="s">
        <x:v>34</x:v>
      </x:c>
      <x:c r="D168" s="11" t="s">
        <x:v>81</x:v>
      </x:c>
      <x:c r="E168" s="11" t="s">
        <x:v>202</x:v>
      </x:c>
      <x:c r="F168" s="6" t="s">
        <x:v>455</x:v>
      </x:c>
      <x:c r="G168" s="6" t="s">
        <x:v>456</x:v>
      </x:c>
      <x:c r="H168" s="17" t="s">
        <x:v>338</x:v>
      </x:c>
      <x:c r="I168" s="17" t="s">
        <x:v>112</x:v>
      </x:c>
      <x:c r="J168" s="6">
        <x:v>2018</x:v>
      </x:c>
      <x:c r="K168" s="17">
        <x:v>45</x:v>
      </x:c>
      <x:c r="L168" s="11">
        <x:v>43</x:v>
      </x:c>
      <x:c r="M168" s="17">
        <x:v>0</x:v>
      </x:c>
      <x:c r="N168" s="17" t="s">
        <x:v>41</x:v>
      </x:c>
      <x:c r="O168" s="6" t="s">
        <x:v>42</x:v>
      </x:c>
      <x:c r="P168" s="6"/>
      <x:c r="Q168" s="23" t="s">
        <x:v>75</x:v>
      </x:c>
      <x:c r="R168" s="23"/>
      <x:c r="S168" s="20" t="s">
        <x:v>178</x:v>
      </x:c>
      <x:c r="T168" s="11"/>
      <x:c r="U168" s="11"/>
      <x:c r="V168" s="11">
        <x:v>-2.1573333319999999</x:v>
      </x:c>
      <x:c r="W168" s="11">
        <x:v>106.15588889999999</x:v>
      </x:c>
      <x:c r="X168" s="65"/>
      <x:c r="Y168" s="29"/>
      <x:c r="Z168" s="51"/>
      <x:c r="AA168" s="53"/>
      <x:c r="AB168" s="56"/>
      <x:c r="AC168">
        <x:f t="shared" si="10"/>
        <x:v>0.9555555555555556</x:v>
      </x:c>
      <x:c r="AD168">
        <x:f t="shared" si="11"/>
        <x:v>0</x:v>
      </x:c>
    </x:row>
    <x:row r="169" ht="9.75" customHeight="1">
      <x:c r="A169" s="32">
        <x:v>164</x:v>
      </x:c>
      <x:c r="B169" s="11" t="s">
        <x:v>457</x:v>
      </x:c>
      <x:c r="C169" s="6" t="s">
        <x:v>34</x:v>
      </x:c>
      <x:c r="D169" s="11" t="s">
        <x:v>60</x:v>
      </x:c>
      <x:c r="E169" s="11" t="s">
        <x:v>70</x:v>
      </x:c>
      <x:c r="F169" s="6" t="s">
        <x:v>79</x:v>
      </x:c>
      <x:c r="G169" s="6" t="s">
        <x:v>458</x:v>
      </x:c>
      <x:c r="H169" s="17" t="s">
        <x:v>459</x:v>
      </x:c>
      <x:c r="I169" s="17" t="s">
        <x:v>42</x:v>
      </x:c>
      <x:c r="J169" s="6">
        <x:v>2018</x:v>
      </x:c>
      <x:c r="K169" s="17">
        <x:v>75</x:v>
      </x:c>
      <x:c r="L169" s="11">
        <x:v>10</x:v>
      </x:c>
      <x:c r="M169" s="17">
        <x:v>5</x:v>
      </x:c>
      <x:c r="N169" s="17" t="s">
        <x:v>41</x:v>
      </x:c>
      <x:c r="O169" s="6" t="s">
        <x:v>42</x:v>
      </x:c>
      <x:c r="P169" s="6"/>
      <x:c r="Q169" s="23" t="s">
        <x:v>43</x:v>
      </x:c>
      <x:c r="R169" s="23" t="s">
        <x:v>88</x:v>
      </x:c>
      <x:c r="S169" s="20" t="s">
        <x:v>178</x:v>
      </x:c>
      <x:c r="T169" s="11" t="s">
        <x:v>44</x:v>
      </x:c>
      <x:c r="U169" s="11"/>
      <x:c r="V169" s="11">
        <x:v>-2.0841970000000001</x:v>
      </x:c>
      <x:c r="W169" s="11">
        <x:v>106.096322</x:v>
      </x:c>
      <x:c r="X169" s="65"/>
      <x:c r="Y169" s="29"/>
      <x:c r="Z169" s="51"/>
      <x:c r="AA169" s="53"/>
      <x:c r="AB169" s="56"/>
      <x:c r="AC169">
        <x:f t="shared" si="10"/>
        <x:v>0.13333333333333333</x:v>
      </x:c>
      <x:c r="AD169">
        <x:f t="shared" si="11"/>
        <x:v>0.5</x:v>
      </x:c>
    </x:row>
    <x:row r="170" ht="9.75" customHeight="1">
      <x:c r="A170" s="32">
        <x:v>165</x:v>
      </x:c>
      <x:c r="B170" s="11" t="s">
        <x:v>460</x:v>
      </x:c>
      <x:c r="C170" s="6" t="s">
        <x:v>34</x:v>
      </x:c>
      <x:c r="D170" s="11" t="s">
        <x:v>81</x:v>
      </x:c>
      <x:c r="E170" s="11" t="s">
        <x:v>202</x:v>
      </x:c>
      <x:c r="F170" s="6" t="s">
        <x:v>461</x:v>
      </x:c>
      <x:c r="G170" s="6" t="s">
        <x:v>462</x:v>
      </x:c>
      <x:c r="H170" s="17" t="s">
        <x:v>463</x:v>
      </x:c>
      <x:c r="I170" s="17" t="s">
        <x:v>166</x:v>
      </x:c>
      <x:c r="J170" s="6">
        <x:v>2020</x:v>
      </x:c>
      <x:c r="K170" s="17">
        <x:v>55</x:v>
      </x:c>
      <x:c r="L170" s="11">
        <x:v>26</x:v>
      </x:c>
      <x:c r="M170" s="17">
        <x:v>26</x:v>
      </x:c>
      <x:c r="N170" s="17" t="s">
        <x:v>41</x:v>
      </x:c>
      <x:c r="O170" s="6" t="s">
        <x:v>42</x:v>
      </x:c>
      <x:c r="P170" s="6"/>
      <x:c r="Q170" s="23" t="s">
        <x:v>43</x:v>
      </x:c>
      <x:c r="R170" s="23" t="s">
        <x:v>88</x:v>
      </x:c>
      <x:c r="S170" s="20"/>
      <x:c r="T170" s="11"/>
      <x:c r="U170" s="11"/>
      <x:c r="V170" s="11">
        <x:v>-2.1393496999999999</x:v>
      </x:c>
      <x:c r="W170" s="11">
        <x:v>106.1528338</x:v>
      </x:c>
      <x:c r="X170" s="65"/>
      <x:c r="Y170" s="29"/>
      <x:c r="Z170" s="51"/>
      <x:c r="AA170" s="53"/>
      <x:c r="AB170" s="56"/>
      <x:c r="AC170">
        <x:f t="shared" si="10"/>
        <x:v>0.47272727272727272</x:v>
      </x:c>
      <x:c r="AD170">
        <x:f t="shared" si="11"/>
        <x:v>1</x:v>
      </x:c>
    </x:row>
    <x:row r="171" ht="9.75" customHeight="1">
      <x:c r="A171" s="32">
        <x:v>166</x:v>
      </x:c>
      <x:c r="B171" s="11" t="s">
        <x:v>464</x:v>
      </x:c>
      <x:c r="C171" s="6" t="s">
        <x:v>34</x:v>
      </x:c>
      <x:c r="D171" s="11" t="s">
        <x:v>60</x:v>
      </x:c>
      <x:c r="E171" s="11" t="s">
        <x:v>91</x:v>
      </x:c>
      <x:c r="F171" s="6" t="s">
        <x:v>465</x:v>
      </x:c>
      <x:c r="G171" s="6" t="s">
        <x:v>466</x:v>
      </x:c>
      <x:c r="H171" s="17" t="s">
        <x:v>42</x:v>
      </x:c>
      <x:c r="I171" s="17" t="s">
        <x:v>42</x:v>
      </x:c>
      <x:c r="J171" s="6">
        <x:v>2018</x:v>
      </x:c>
      <x:c r="K171" s="17">
        <x:v>129</x:v>
      </x:c>
      <x:c r="L171" s="11">
        <x:v>129</x:v>
      </x:c>
      <x:c r="M171" s="17">
        <x:v>129</x:v>
      </x:c>
      <x:c r="N171" s="17" t="s">
        <x:v>41</x:v>
      </x:c>
      <x:c r="O171" s="6" t="s">
        <x:v>42</x:v>
      </x:c>
      <x:c r="P171" s="6"/>
      <x:c r="Q171" s="23" t="s">
        <x:v>43</x:v>
      </x:c>
      <x:c r="R171" s="23" t="s">
        <x:v>88</x:v>
      </x:c>
      <x:c r="S171" s="20"/>
      <x:c r="T171" s="11"/>
      <x:c r="U171" s="11"/>
      <x:c r="V171" s="11">
        <x:v>-2.0889690000000001</x:v>
      </x:c>
      <x:c r="W171" s="11">
        <x:v>106.116389</x:v>
      </x:c>
      <x:c r="X171" s="65"/>
      <x:c r="Y171" s="29"/>
      <x:c r="Z171" s="51"/>
      <x:c r="AA171" s="53"/>
      <x:c r="AB171" s="56"/>
      <x:c r="AC171">
        <x:f t="shared" si="10"/>
        <x:v>1</x:v>
      </x:c>
      <x:c r="AD171">
        <x:f t="shared" si="11"/>
        <x:v>1</x:v>
      </x:c>
    </x:row>
    <x:row r="172" ht="9.75" customHeight="1">
      <x:c r="A172" s="32">
        <x:v>167</x:v>
      </x:c>
      <x:c r="B172" s="11" t="s">
        <x:v>467</x:v>
      </x:c>
      <x:c r="C172" s="6" t="s">
        <x:v>34</x:v>
      </x:c>
      <x:c r="D172" s="11" t="s">
        <x:v>60</x:v>
      </x:c>
      <x:c r="E172" s="11" t="s">
        <x:v>91</x:v>
      </x:c>
      <x:c r="F172" s="6" t="s">
        <x:v>468</x:v>
      </x:c>
      <x:c r="G172" s="6" t="s">
        <x:v>341</x:v>
      </x:c>
      <x:c r="H172" s="17" t="s">
        <x:v>338</x:v>
      </x:c>
      <x:c r="I172" s="17" t="s">
        <x:v>42</x:v>
      </x:c>
      <x:c r="J172" s="6">
        <x:v>2017</x:v>
      </x:c>
      <x:c r="K172" s="17">
        <x:v>18</x:v>
      </x:c>
      <x:c r="L172" s="11">
        <x:v>18</x:v>
      </x:c>
      <x:c r="M172" s="17">
        <x:v>16</x:v>
      </x:c>
      <x:c r="N172" s="17" t="s">
        <x:v>41</x:v>
      </x:c>
      <x:c r="O172" s="6" t="s">
        <x:v>42</x:v>
      </x:c>
      <x:c r="P172" s="6"/>
      <x:c r="Q172" s="23" t="s">
        <x:v>75</x:v>
      </x:c>
      <x:c r="R172" s="23"/>
      <x:c r="S172" s="20" t="s">
        <x:v>178</x:v>
      </x:c>
      <x:c r="T172" s="11"/>
      <x:c r="U172" s="11"/>
      <x:c r="V172" s="11">
        <x:v>-2.0892409999999999</x:v>
      </x:c>
      <x:c r="W172" s="11">
        <x:v>106.096075</x:v>
      </x:c>
      <x:c r="X172" s="65"/>
      <x:c r="Y172" s="29"/>
      <x:c r="Z172" s="51"/>
      <x:c r="AA172" s="53"/>
      <x:c r="AB172" s="56"/>
      <x:c r="AC172">
        <x:f t="shared" si="10"/>
        <x:v>1</x:v>
      </x:c>
      <x:c r="AD172">
        <x:f t="shared" si="11"/>
        <x:v>0.88888888888888884</x:v>
      </x:c>
    </x:row>
    <x:row r="173" ht="9.75" customHeight="1">
      <x:c r="A173" s="32">
        <x:v>168</x:v>
      </x:c>
      <x:c r="B173" s="11" t="s">
        <x:v>469</x:v>
      </x:c>
      <x:c r="C173" s="6" t="s">
        <x:v>34</x:v>
      </x:c>
      <x:c r="D173" s="11" t="s">
        <x:v>60</x:v>
      </x:c>
      <x:c r="E173" s="11" t="s">
        <x:v>70</x:v>
      </x:c>
      <x:c r="F173" s="6" t="s">
        <x:v>71</x:v>
      </x:c>
      <x:c r="G173" s="6" t="s">
        <x:v>470</x:v>
      </x:c>
      <x:c r="H173" s="17" t="s">
        <x:v>338</x:v>
      </x:c>
      <x:c r="I173" s="17" t="s">
        <x:v>42</x:v>
      </x:c>
      <x:c r="J173" s="6">
        <x:v>2018</x:v>
      </x:c>
      <x:c r="K173" s="17">
        <x:v>35</x:v>
      </x:c>
      <x:c r="L173" s="11">
        <x:v>35</x:v>
      </x:c>
      <x:c r="M173" s="17">
        <x:v>35</x:v>
      </x:c>
      <x:c r="N173" s="17" t="s">
        <x:v>41</x:v>
      </x:c>
      <x:c r="O173" s="6" t="s">
        <x:v>42</x:v>
      </x:c>
      <x:c r="P173" s="6"/>
      <x:c r="Q173" s="23" t="s">
        <x:v>75</x:v>
      </x:c>
      <x:c r="R173" s="23"/>
      <x:c r="S173" s="20" t="s">
        <x:v>178</x:v>
      </x:c>
      <x:c r="T173" s="11"/>
      <x:c r="U173" s="11"/>
      <x:c r="V173" s="11">
        <x:v>-2.090052</x:v>
      </x:c>
      <x:c r="W173" s="11">
        <x:v>106.094559</x:v>
      </x:c>
      <x:c r="X173" s="65"/>
      <x:c r="Y173" s="29"/>
      <x:c r="Z173" s="51"/>
      <x:c r="AA173" s="53"/>
      <x:c r="AB173" s="56"/>
      <x:c r="AC173">
        <x:f t="shared" si="10"/>
        <x:v>1</x:v>
      </x:c>
      <x:c r="AD173">
        <x:f t="shared" si="11"/>
        <x:v>1</x:v>
      </x:c>
    </x:row>
    <x:row r="174" ht="9.75" customHeight="1">
      <x:c r="A174" s="32">
        <x:v>169</x:v>
      </x:c>
      <x:c r="B174" s="11" t="s">
        <x:v>471</x:v>
      </x:c>
      <x:c r="C174" s="6" t="s">
        <x:v>34</x:v>
      </x:c>
      <x:c r="D174" s="11" t="s">
        <x:v>60</x:v>
      </x:c>
      <x:c r="E174" s="11" t="s">
        <x:v>91</x:v>
      </x:c>
      <x:c r="F174" s="6" t="s">
        <x:v>472</x:v>
      </x:c>
      <x:c r="G174" s="6" t="s">
        <x:v>470</x:v>
      </x:c>
      <x:c r="H174" s="17" t="s">
        <x:v>338</x:v>
      </x:c>
      <x:c r="I174" s="17" t="s">
        <x:v>42</x:v>
      </x:c>
      <x:c r="J174" s="6">
        <x:v>2019</x:v>
      </x:c>
      <x:c r="K174" s="17">
        <x:v>29</x:v>
      </x:c>
      <x:c r="L174" s="11">
        <x:v>29</x:v>
      </x:c>
      <x:c r="M174" s="17">
        <x:v>29</x:v>
      </x:c>
      <x:c r="N174" s="17" t="s">
        <x:v>41</x:v>
      </x:c>
      <x:c r="O174" s="6" t="s">
        <x:v>42</x:v>
      </x:c>
      <x:c r="P174" s="6"/>
      <x:c r="Q174" s="23" t="s">
        <x:v>75</x:v>
      </x:c>
      <x:c r="R174" s="23"/>
      <x:c r="S174" s="20" t="s">
        <x:v>178</x:v>
      </x:c>
      <x:c r="T174" s="11"/>
      <x:c r="U174" s="11"/>
      <x:c r="V174" s="11">
        <x:v>-2.0964974999999999</x:v>
      </x:c>
      <x:c r="W174" s="11">
        <x:v>106.1040895</x:v>
      </x:c>
      <x:c r="X174" s="65"/>
      <x:c r="Y174" s="29"/>
      <x:c r="Z174" s="51"/>
      <x:c r="AA174" s="53"/>
      <x:c r="AB174" s="56"/>
      <x:c r="AC174">
        <x:f t="shared" si="10"/>
        <x:v>1</x:v>
      </x:c>
      <x:c r="AD174">
        <x:f t="shared" si="11"/>
        <x:v>1</x:v>
      </x:c>
    </x:row>
    <x:row r="175" ht="9.75" customHeight="1">
      <x:c r="A175" s="32">
        <x:v>170</x:v>
      </x:c>
      <x:c r="B175" s="11" t="s">
        <x:v>473</x:v>
      </x:c>
      <x:c r="C175" s="6" t="s">
        <x:v>34</x:v>
      </x:c>
      <x:c r="D175" s="11" t="s">
        <x:v>60</x:v>
      </x:c>
      <x:c r="E175" s="11" t="s">
        <x:v>91</x:v>
      </x:c>
      <x:c r="F175" s="6" t="s">
        <x:v>209</x:v>
      </x:c>
      <x:c r="G175" s="6" t="s">
        <x:v>466</x:v>
      </x:c>
      <x:c r="H175" s="17" t="s">
        <x:v>474</x:v>
      </x:c>
      <x:c r="I175" s="17" t="s">
        <x:v>40</x:v>
      </x:c>
      <x:c r="J175" s="6">
        <x:v>2014</x:v>
      </x:c>
      <x:c r="K175" s="17">
        <x:v>174</x:v>
      </x:c>
      <x:c r="L175" s="11">
        <x:v>141</x:v>
      </x:c>
      <x:c r="M175" s="17">
        <x:v>141</x:v>
      </x:c>
      <x:c r="N175" s="17" t="s">
        <x:v>41</x:v>
      </x:c>
      <x:c r="O175" s="6" t="s">
        <x:v>42</x:v>
      </x:c>
      <x:c r="P175" s="6"/>
      <x:c r="Q175" s="23" t="s">
        <x:v>75</x:v>
      </x:c>
      <x:c r="R175" s="23"/>
      <x:c r="S175" s="20"/>
      <x:c r="T175" s="11" t="s">
        <x:v>44</x:v>
      </x:c>
      <x:c r="U175" s="11"/>
      <x:c r="V175" s="11">
        <x:v>-2.0814569999999999</x:v>
      </x:c>
      <x:c r="W175" s="11">
        <x:v>106.12316300000001</x:v>
      </x:c>
      <x:c r="X175" s="65"/>
      <x:c r="Y175" s="29"/>
      <x:c r="Z175" s="51"/>
      <x:c r="AA175" s="53"/>
      <x:c r="AB175" s="56"/>
      <x:c r="AC175">
        <x:f t="shared" si="10"/>
        <x:v>0.81034482758620685</x:v>
      </x:c>
      <x:c r="AD175">
        <x:f t="shared" si="11"/>
        <x:v>1</x:v>
      </x:c>
    </x:row>
    <x:row r="176" ht="9.75" customHeight="1">
      <x:c r="A176" s="32">
        <x:v>171</x:v>
      </x:c>
      <x:c r="B176" s="11" t="s">
        <x:v>475</x:v>
      </x:c>
      <x:c r="C176" s="6" t="s">
        <x:v>34</x:v>
      </x:c>
      <x:c r="D176" s="11" t="s">
        <x:v>60</x:v>
      </x:c>
      <x:c r="E176" s="11" t="s">
        <x:v>267</x:v>
      </x:c>
      <x:c r="F176" s="6" t="s">
        <x:v>476</x:v>
      </x:c>
      <x:c r="G176" s="6" t="s">
        <x:v>42</x:v>
      </x:c>
      <x:c r="H176" s="17" t="s">
        <x:v>42</x:v>
      </x:c>
      <x:c r="I176" s="17" t="s">
        <x:v>42</x:v>
      </x:c>
      <x:c r="J176" s="6">
        <x:v>2017</x:v>
      </x:c>
      <x:c r="K176" s="17">
        <x:v>24</x:v>
      </x:c>
      <x:c r="L176" s="11">
        <x:v>24</x:v>
      </x:c>
      <x:c r="M176" s="17">
        <x:v>24</x:v>
      </x:c>
      <x:c r="N176" s="17" t="s">
        <x:v>41</x:v>
      </x:c>
      <x:c r="O176" s="6" t="s">
        <x:v>42</x:v>
      </x:c>
      <x:c r="P176" s="6"/>
      <x:c r="Q176" s="23" t="s">
        <x:v>43</x:v>
      </x:c>
      <x:c r="R176" s="23"/>
      <x:c r="S176" s="20"/>
      <x:c r="T176" s="11"/>
      <x:c r="U176" s="11"/>
      <x:c r="V176" s="11">
        <x:v>-2.0943870000000002</x:v>
      </x:c>
      <x:c r="W176" s="11">
        <x:v>106.117035</x:v>
      </x:c>
      <x:c r="X176" s="65"/>
      <x:c r="Y176" s="29"/>
      <x:c r="Z176" s="51"/>
      <x:c r="AA176" s="53"/>
      <x:c r="AB176" s="56"/>
      <x:c r="AC176">
        <x:f t="shared" si="10"/>
        <x:v>1</x:v>
      </x:c>
      <x:c r="AD176">
        <x:f t="shared" si="11"/>
        <x:v>1</x:v>
      </x:c>
    </x:row>
    <x:row r="177" ht="9.75" customHeight="1">
      <x:c r="A177" s="32">
        <x:v>172</x:v>
      </x:c>
      <x:c r="B177" s="11" t="s">
        <x:v>477</x:v>
      </x:c>
      <x:c r="C177" s="6" t="s">
        <x:v>34</x:v>
      </x:c>
      <x:c r="D177" s="11" t="s">
        <x:v>60</x:v>
      </x:c>
      <x:c r="E177" s="11" t="s">
        <x:v>70</x:v>
      </x:c>
      <x:c r="F177" s="6" t="s">
        <x:v>478</x:v>
      </x:c>
      <x:c r="G177" s="6" t="s">
        <x:v>479</x:v>
      </x:c>
      <x:c r="H177" s="17" t="s">
        <x:v>42</x:v>
      </x:c>
      <x:c r="I177" s="17" t="s">
        <x:v>42</x:v>
      </x:c>
      <x:c r="J177" s="6">
        <x:v>2024</x:v>
      </x:c>
      <x:c r="K177" s="17">
        <x:v>26</x:v>
      </x:c>
      <x:c r="L177" s="11">
        <x:v>17</x:v>
      </x:c>
      <x:c r="M177" s="17">
        <x:v>4</x:v>
      </x:c>
      <x:c r="N177" s="17" t="s">
        <x:v>41</x:v>
      </x:c>
      <x:c r="O177" s="6" t="s">
        <x:v>42</x:v>
      </x:c>
      <x:c r="P177" s="6"/>
      <x:c r="Q177" s="23" t="s">
        <x:v>43</x:v>
      </x:c>
      <x:c r="R177" s="23" t="s">
        <x:v>88</x:v>
      </x:c>
      <x:c r="S177" s="20"/>
      <x:c r="T177" s="11"/>
      <x:c r="U177" s="11"/>
      <x:c r="V177" s="11">
        <x:v>-2.0900346999999999</x:v>
      </x:c>
      <x:c r="W177" s="11">
        <x:v>106.0923793</x:v>
      </x:c>
      <x:c r="X177" s="65"/>
      <x:c r="Y177" s="29"/>
      <x:c r="Z177" s="51"/>
      <x:c r="AA177" s="53"/>
      <x:c r="AB177" s="56"/>
      <x:c r="AC177">
        <x:f t="shared" si="10"/>
        <x:v>0.65384615384615385</x:v>
      </x:c>
      <x:c r="AD177">
        <x:f t="shared" si="11"/>
        <x:v>0.23529411764705882</x:v>
      </x:c>
    </x:row>
    <x:row r="178" ht="9.75" customHeight="1">
      <x:c r="A178" s="32">
        <x:v>173</x:v>
      </x:c>
      <x:c r="B178" s="11" t="s">
        <x:v>480</x:v>
      </x:c>
      <x:c r="C178" s="6" t="s">
        <x:v>34</x:v>
      </x:c>
      <x:c r="D178" s="11" t="s">
        <x:v>81</x:v>
      </x:c>
      <x:c r="E178" s="11" t="s">
        <x:v>202</x:v>
      </x:c>
      <x:c r="F178" s="6" t="s">
        <x:v>253</x:v>
      </x:c>
      <x:c r="G178" s="6" t="s">
        <x:v>42</x:v>
      </x:c>
      <x:c r="H178" s="17" t="s">
        <x:v>42</x:v>
      </x:c>
      <x:c r="I178" s="17" t="s">
        <x:v>42</x:v>
      </x:c>
      <x:c r="J178" s="6">
        <x:v>2017</x:v>
      </x:c>
      <x:c r="K178" s="17">
        <x:v>56</x:v>
      </x:c>
      <x:c r="L178" s="11">
        <x:v>0</x:v>
      </x:c>
      <x:c r="M178" s="17">
        <x:v>0</x:v>
      </x:c>
      <x:c r="N178" s="17" t="s">
        <x:v>41</x:v>
      </x:c>
      <x:c r="O178" s="6" t="s">
        <x:v>42</x:v>
      </x:c>
      <x:c r="P178" s="6"/>
      <x:c r="Q178" s="23" t="s">
        <x:v>72</x:v>
      </x:c>
      <x:c r="R178" s="23"/>
      <x:c r="S178" s="20"/>
      <x:c r="T178" s="11"/>
      <x:c r="U178" s="11"/>
      <x:c r="V178" s="11">
        <x:v>-2.1382370000000002</x:v>
      </x:c>
      <x:c r="W178" s="11">
        <x:v>106.1508</x:v>
      </x:c>
      <x:c r="X178" s="65"/>
      <x:c r="Y178" s="29"/>
      <x:c r="Z178" s="51"/>
      <x:c r="AA178" s="53"/>
      <x:c r="AB178" s="56"/>
      <x:c r="AC178">
        <x:f t="shared" si="10"/>
        <x:v>0</x:v>
      </x:c>
      <x:c r="AD178">
        <x:f t="shared" si="11"/>
        <x:v>0</x:v>
      </x:c>
    </x:row>
    <x:row r="179" ht="9.75" customHeight="1">
      <x:c r="A179" s="32">
        <x:v>174</x:v>
      </x:c>
      <x:c r="B179" s="11" t="s">
        <x:v>481</x:v>
      </x:c>
      <x:c r="C179" s="6" t="s">
        <x:v>34</x:v>
      </x:c>
      <x:c r="D179" s="11" t="s">
        <x:v>60</x:v>
      </x:c>
      <x:c r="E179" s="11" t="s">
        <x:v>267</x:v>
      </x:c>
      <x:c r="F179" s="6" t="s">
        <x:v>482</x:v>
      </x:c>
      <x:c r="G179" s="6" t="s">
        <x:v>483</x:v>
      </x:c>
      <x:c r="H179" s="17" t="s">
        <x:v>483</x:v>
      </x:c>
      <x:c r="I179" s="17" t="s">
        <x:v>42</x:v>
      </x:c>
      <x:c r="J179" s="6">
        <x:v>2017</x:v>
      </x:c>
      <x:c r="K179" s="17">
        <x:v>18</x:v>
      </x:c>
      <x:c r="L179" s="11">
        <x:v>18</x:v>
      </x:c>
      <x:c r="M179" s="17">
        <x:v>18</x:v>
      </x:c>
      <x:c r="N179" s="17" t="s">
        <x:v>41</x:v>
      </x:c>
      <x:c r="O179" s="6" t="s">
        <x:v>42</x:v>
      </x:c>
      <x:c r="P179" s="6"/>
      <x:c r="Q179" s="23" t="s">
        <x:v>43</x:v>
      </x:c>
      <x:c r="R179" s="23"/>
      <x:c r="S179" s="20"/>
      <x:c r="T179" s="11"/>
      <x:c r="U179" s="11"/>
      <x:c r="V179" s="11">
        <x:v>-2.099604555</x:v>
      </x:c>
      <x:c r="W179" s="11">
        <x:v>106.1074424</x:v>
      </x:c>
      <x:c r="X179" s="65"/>
      <x:c r="Y179" s="29"/>
      <x:c r="Z179" s="51"/>
      <x:c r="AA179" s="53"/>
      <x:c r="AB179" s="56"/>
      <x:c r="AC179">
        <x:f t="shared" si="10"/>
        <x:v>1</x:v>
      </x:c>
      <x:c r="AD179">
        <x:f t="shared" si="11"/>
        <x:v>1</x:v>
      </x:c>
    </x:row>
    <x:row r="180" ht="9.75" customHeight="1">
      <x:c r="A180" s="32">
        <x:v>175</x:v>
      </x:c>
      <x:c r="B180" s="11" t="s">
        <x:v>484</x:v>
      </x:c>
      <x:c r="C180" s="6" t="s">
        <x:v>34</x:v>
      </x:c>
      <x:c r="D180" s="11" t="s">
        <x:v>60</x:v>
      </x:c>
      <x:c r="E180" s="11" t="s">
        <x:v>91</x:v>
      </x:c>
      <x:c r="F180" s="6" t="s">
        <x:v>79</x:v>
      </x:c>
      <x:c r="G180" s="6" t="s">
        <x:v>42</x:v>
      </x:c>
      <x:c r="H180" s="17" t="s">
        <x:v>42</x:v>
      </x:c>
      <x:c r="I180" s="17" t="s">
        <x:v>42</x:v>
      </x:c>
      <x:c r="J180" s="6">
        <x:v>2019</x:v>
      </x:c>
      <x:c r="K180" s="17">
        <x:v>26</x:v>
      </x:c>
      <x:c r="L180" s="11">
        <x:v>26</x:v>
      </x:c>
      <x:c r="M180" s="17">
        <x:v>26</x:v>
      </x:c>
      <x:c r="N180" s="17" t="s">
        <x:v>41</x:v>
      </x:c>
      <x:c r="O180" s="6" t="s">
        <x:v>42</x:v>
      </x:c>
      <x:c r="P180" s="6"/>
      <x:c r="Q180" s="23" t="s">
        <x:v>43</x:v>
      </x:c>
      <x:c r="R180" s="23" t="s">
        <x:v>88</x:v>
      </x:c>
      <x:c r="S180" s="20"/>
      <x:c r="T180" s="11"/>
      <x:c r="U180" s="11"/>
      <x:c r="V180" s="11">
        <x:v>-2.0878000000000001</x:v>
      </x:c>
      <x:c r="W180" s="11">
        <x:v>106.0942</x:v>
      </x:c>
      <x:c r="X180" s="65"/>
      <x:c r="Y180" s="29"/>
      <x:c r="Z180" s="51"/>
      <x:c r="AA180" s="53"/>
      <x:c r="AB180" s="56"/>
      <x:c r="AC180">
        <x:f t="shared" si="10"/>
        <x:v>1</x:v>
      </x:c>
      <x:c r="AD180">
        <x:f t="shared" si="11"/>
        <x:v>1</x:v>
      </x:c>
    </x:row>
    <x:row r="181" ht="9.75" customHeight="1">
      <x:c r="A181" s="32">
        <x:v>176</x:v>
      </x:c>
      <x:c r="B181" s="11" t="s">
        <x:v>485</x:v>
      </x:c>
      <x:c r="C181" s="6" t="s">
        <x:v>34</x:v>
      </x:c>
      <x:c r="D181" s="11" t="s">
        <x:v>35</x:v>
      </x:c>
      <x:c r="E181" s="11" t="s">
        <x:v>36</x:v>
      </x:c>
      <x:c r="F181" s="6" t="s">
        <x:v>486</x:v>
      </x:c>
      <x:c r="G181" s="6" t="s">
        <x:v>487</x:v>
      </x:c>
      <x:c r="H181" s="17" t="s">
        <x:v>488</x:v>
      </x:c>
      <x:c r="I181" s="17" t="s">
        <x:v>166</x:v>
      </x:c>
      <x:c r="J181" s="6">
        <x:v>2020</x:v>
      </x:c>
      <x:c r="K181" s="17">
        <x:v>41</x:v>
      </x:c>
      <x:c r="L181" s="11">
        <x:v>41</x:v>
      </x:c>
      <x:c r="M181" s="17">
        <x:v>41</x:v>
      </x:c>
      <x:c r="N181" s="17" t="s">
        <x:v>41</x:v>
      </x:c>
      <x:c r="O181" s="6" t="s">
        <x:v>42</x:v>
      </x:c>
      <x:c r="P181" s="6"/>
      <x:c r="Q181" s="23" t="s">
        <x:v>43</x:v>
      </x:c>
      <x:c r="R181" s="23" t="s">
        <x:v>88</x:v>
      </x:c>
      <x:c r="S181" s="20"/>
      <x:c r="T181" s="11"/>
      <x:c r="U181" s="11"/>
      <x:c r="V181" s="11">
        <x:v>-2.101111</x:v>
      </x:c>
      <x:c r="W181" s="11">
        <x:v>106.0888344</x:v>
      </x:c>
      <x:c r="X181" s="65"/>
      <x:c r="Y181" s="29"/>
      <x:c r="Z181" s="51"/>
      <x:c r="AA181" s="53"/>
      <x:c r="AB181" s="56"/>
      <x:c r="AC181">
        <x:f t="shared" si="10"/>
        <x:v>1</x:v>
      </x:c>
      <x:c r="AD181">
        <x:f t="shared" si="11"/>
        <x:v>1</x:v>
      </x:c>
    </x:row>
    <x:row r="182" ht="9.75" customHeight="1">
      <x:c r="A182" s="32">
        <x:v>177</x:v>
      </x:c>
      <x:c r="B182" s="11" t="s">
        <x:v>489</x:v>
      </x:c>
      <x:c r="C182" s="6" t="s">
        <x:v>34</x:v>
      </x:c>
      <x:c r="D182" s="11" t="s">
        <x:v>60</x:v>
      </x:c>
      <x:c r="E182" s="11" t="s">
        <x:v>91</x:v>
      </x:c>
      <x:c r="F182" s="6" t="s">
        <x:v>490</x:v>
      </x:c>
      <x:c r="G182" s="6" t="s">
        <x:v>491</x:v>
      </x:c>
      <x:c r="H182" s="17" t="s">
        <x:v>492</x:v>
      </x:c>
      <x:c r="I182" s="17" t="s">
        <x:v>86</x:v>
      </x:c>
      <x:c r="J182" s="6">
        <x:v>2019</x:v>
      </x:c>
      <x:c r="K182" s="17">
        <x:v>167</x:v>
      </x:c>
      <x:c r="L182" s="11">
        <x:v>167</x:v>
      </x:c>
      <x:c r="M182" s="17">
        <x:v>91</x:v>
      </x:c>
      <x:c r="N182" s="17" t="s">
        <x:v>41</x:v>
      </x:c>
      <x:c r="O182" s="6" t="s">
        <x:v>42</x:v>
      </x:c>
      <x:c r="P182" s="6"/>
      <x:c r="Q182" s="23" t="s">
        <x:v>43</x:v>
      </x:c>
      <x:c r="R182" s="23" t="s">
        <x:v>247</x:v>
      </x:c>
      <x:c r="S182" s="20"/>
      <x:c r="T182" s="11"/>
      <x:c r="U182" s="11"/>
      <x:c r="V182" s="11">
        <x:v>-2.0900110000000001</x:v>
      </x:c>
      <x:c r="W182" s="11">
        <x:v>106.10247200000001</x:v>
      </x:c>
      <x:c r="X182" s="65"/>
      <x:c r="Y182" s="29"/>
      <x:c r="Z182" s="51"/>
      <x:c r="AA182" s="53"/>
      <x:c r="AB182" s="56"/>
      <x:c r="AC182">
        <x:f t="shared" si="10"/>
        <x:v>1</x:v>
      </x:c>
      <x:c r="AD182">
        <x:f t="shared" si="11"/>
        <x:v>0.54491017964071853</x:v>
      </x:c>
    </x:row>
    <x:row r="183" ht="9.75" customHeight="1">
      <x:c r="A183" s="32">
        <x:v>178</x:v>
      </x:c>
      <x:c r="B183" s="11" t="s">
        <x:v>493</x:v>
      </x:c>
      <x:c r="C183" s="6" t="s">
        <x:v>34</x:v>
      </x:c>
      <x:c r="D183" s="11" t="s">
        <x:v>60</x:v>
      </x:c>
      <x:c r="E183" s="11" t="s">
        <x:v>91</x:v>
      </x:c>
      <x:c r="F183" s="6" t="s">
        <x:v>490</x:v>
      </x:c>
      <x:c r="G183" s="6" t="s">
        <x:v>491</x:v>
      </x:c>
      <x:c r="H183" s="17" t="s">
        <x:v>492</x:v>
      </x:c>
      <x:c r="I183" s="17" t="s">
        <x:v>86</x:v>
      </x:c>
      <x:c r="J183" s="6">
        <x:v>2022</x:v>
      </x:c>
      <x:c r="K183" s="17">
        <x:v>51</x:v>
      </x:c>
      <x:c r="L183" s="11">
        <x:v>0</x:v>
      </x:c>
      <x:c r="M183" s="17">
        <x:v>0</x:v>
      </x:c>
      <x:c r="N183" s="17" t="s">
        <x:v>41</x:v>
      </x:c>
      <x:c r="O183" s="6" t="s">
        <x:v>42</x:v>
      </x:c>
      <x:c r="P183" s="6"/>
      <x:c r="Q183" s="23" t="s">
        <x:v>43</x:v>
      </x:c>
      <x:c r="R183" s="23"/>
      <x:c r="S183" s="20"/>
      <x:c r="T183" s="11"/>
      <x:c r="U183" s="11"/>
      <x:c r="V183" s="11">
        <x:v>-2.0885655999999999</x:v>
      </x:c>
      <x:c r="W183" s="11">
        <x:v>106.09792659999999</x:v>
      </x:c>
      <x:c r="X183" s="65"/>
      <x:c r="Y183" s="29"/>
      <x:c r="Z183" s="51"/>
      <x:c r="AA183" s="53"/>
      <x:c r="AB183" s="56"/>
      <x:c r="AC183">
        <x:f t="shared" si="10"/>
        <x:v>0</x:v>
      </x:c>
      <x:c r="AD183">
        <x:f t="shared" si="11"/>
        <x:v>0</x:v>
      </x:c>
    </x:row>
    <x:row r="184" ht="9.75" customHeight="1">
      <x:c r="A184" s="32">
        <x:v>179</x:v>
      </x:c>
      <x:c r="B184" s="11" t="s">
        <x:v>494</x:v>
      </x:c>
      <x:c r="C184" s="6" t="s">
        <x:v>34</x:v>
      </x:c>
      <x:c r="D184" s="11" t="s">
        <x:v>81</x:v>
      </x:c>
      <x:c r="E184" s="11" t="s">
        <x:v>400</x:v>
      </x:c>
      <x:c r="F184" s="6" t="s">
        <x:v>495</x:v>
      </x:c>
      <x:c r="G184" s="6" t="s">
        <x:v>491</x:v>
      </x:c>
      <x:c r="H184" s="17" t="s">
        <x:v>492</x:v>
      </x:c>
      <x:c r="I184" s="17" t="s">
        <x:v>86</x:v>
      </x:c>
      <x:c r="J184" s="6">
        <x:v>2022</x:v>
      </x:c>
      <x:c r="K184" s="17">
        <x:v>117</x:v>
      </x:c>
      <x:c r="L184" s="11">
        <x:v>0</x:v>
      </x:c>
      <x:c r="M184" s="17">
        <x:v>0</x:v>
      </x:c>
      <x:c r="N184" s="17" t="s">
        <x:v>41</x:v>
      </x:c>
      <x:c r="O184" s="6" t="s">
        <x:v>42</x:v>
      </x:c>
      <x:c r="P184" s="6"/>
      <x:c r="Q184" s="23" t="s">
        <x:v>43</x:v>
      </x:c>
      <x:c r="R184" s="23"/>
      <x:c r="S184" s="20"/>
      <x:c r="T184" s="11"/>
      <x:c r="U184" s="11"/>
      <x:c r="V184" s="11">
        <x:v>-2.1283569999999998</x:v>
      </x:c>
      <x:c r="W184" s="11">
        <x:v>106.13170340000001</x:v>
      </x:c>
      <x:c r="X184" s="65"/>
      <x:c r="Y184" s="29"/>
      <x:c r="Z184" s="51"/>
      <x:c r="AA184" s="53"/>
      <x:c r="AB184" s="56"/>
      <x:c r="AC184">
        <x:f t="shared" si="10"/>
        <x:v>0</x:v>
      </x:c>
      <x:c r="AD184">
        <x:f t="shared" si="11"/>
        <x:v>0</x:v>
      </x:c>
    </x:row>
    <x:row r="185" ht="9.75" customHeight="1">
      <x:c r="A185" s="32">
        <x:v>180</x:v>
      </x:c>
      <x:c r="B185" s="11" t="s">
        <x:v>496</x:v>
      </x:c>
      <x:c r="C185" s="6" t="s">
        <x:v>170</x:v>
      </x:c>
      <x:c r="D185" s="11" t="s">
        <x:v>35</x:v>
      </x:c>
      <x:c r="E185" s="11" t="s">
        <x:v>36</x:v>
      </x:c>
      <x:c r="F185" s="6" t="s">
        <x:v>171</x:v>
      </x:c>
      <x:c r="G185" s="6" t="s">
        <x:v>491</x:v>
      </x:c>
      <x:c r="H185" s="17" t="s">
        <x:v>492</x:v>
      </x:c>
      <x:c r="I185" s="17" t="s">
        <x:v>86</x:v>
      </x:c>
      <x:c r="J185" s="6">
        <x:v>2022</x:v>
      </x:c>
      <x:c r="K185" s="17">
        <x:v>38</x:v>
      </x:c>
      <x:c r="L185" s="11">
        <x:v>26</x:v>
      </x:c>
      <x:c r="M185" s="17">
        <x:v>38</x:v>
      </x:c>
      <x:c r="N185" s="17" t="s">
        <x:v>48</x:v>
      </x:c>
      <x:c r="O185" s="6">
        <x:v>2025</x:v>
      </x:c>
      <x:c r="P185" s="6"/>
      <x:c r="Q185" s="23" t="s">
        <x:v>43</x:v>
      </x:c>
      <x:c r="R185" s="23"/>
      <x:c r="S185" s="20"/>
      <x:c r="T185" s="11"/>
      <x:c r="U185" s="11"/>
      <x:c r="V185" s="11">
        <x:v>-2.1216097</x:v>
      </x:c>
      <x:c r="W185" s="11">
        <x:v>106.0862723</x:v>
      </x:c>
      <x:c r="X185" s="65"/>
      <x:c r="Y185" s="29"/>
      <x:c r="Z185" s="51"/>
      <x:c r="AA185" s="53"/>
      <x:c r="AB185" s="56"/>
      <x:c r="AC185">
        <x:f t="shared" si="10"/>
        <x:v>0.68421052631578949</x:v>
      </x:c>
      <x:c r="AD185">
        <x:f t="shared" si="11"/>
        <x:v>1.4615384615384615</x:v>
      </x:c>
    </x:row>
    <x:row r="186" ht="9.75" customHeight="1">
      <x:c r="A186" s="32">
        <x:v>181</x:v>
      </x:c>
      <x:c r="B186" s="11" t="s">
        <x:v>497</x:v>
      </x:c>
      <x:c r="C186" s="6" t="s">
        <x:v>34</x:v>
      </x:c>
      <x:c r="D186" s="11" t="s">
        <x:v>60</x:v>
      </x:c>
      <x:c r="E186" s="11" t="s">
        <x:v>70</x:v>
      </x:c>
      <x:c r="F186" s="6" t="s">
        <x:v>498</x:v>
      </x:c>
      <x:c r="G186" s="6" t="s">
        <x:v>491</x:v>
      </x:c>
      <x:c r="H186" s="17" t="s">
        <x:v>492</x:v>
      </x:c>
      <x:c r="I186" s="17" t="s">
        <x:v>86</x:v>
      </x:c>
      <x:c r="J186" s="6">
        <x:v>2023</x:v>
      </x:c>
      <x:c r="K186" s="17">
        <x:v>148</x:v>
      </x:c>
      <x:c r="L186" s="11">
        <x:v>116</x:v>
      </x:c>
      <x:c r="M186" s="17">
        <x:v>80</x:v>
      </x:c>
      <x:c r="N186" s="17" t="s">
        <x:v>41</x:v>
      </x:c>
      <x:c r="O186" s="6" t="s">
        <x:v>42</x:v>
      </x:c>
      <x:c r="P186" s="6"/>
      <x:c r="Q186" s="23" t="s">
        <x:v>43</x:v>
      </x:c>
      <x:c r="R186" s="23" t="s">
        <x:v>88</x:v>
      </x:c>
      <x:c r="S186" s="20"/>
      <x:c r="T186" s="11"/>
      <x:c r="U186" s="11"/>
      <x:c r="V186" s="11">
        <x:v>-2.0946505000000002</x:v>
      </x:c>
      <x:c r="W186" s="11">
        <x:v>106.091736</x:v>
      </x:c>
      <x:c r="X186" s="65"/>
      <x:c r="Y186" s="29"/>
      <x:c r="Z186" s="51"/>
      <x:c r="AA186" s="53"/>
      <x:c r="AB186" s="56"/>
      <x:c r="AC186">
        <x:f t="shared" si="10"/>
        <x:v>0.78378378378378377</x:v>
      </x:c>
      <x:c r="AD186">
        <x:f t="shared" si="11"/>
        <x:v>0.68965517241379315</x:v>
      </x:c>
    </x:row>
    <x:row r="187" ht="9.75" customHeight="1">
      <x:c r="A187" s="32">
        <x:v>182</x:v>
      </x:c>
      <x:c r="B187" s="11" t="s">
        <x:v>499</x:v>
      </x:c>
      <x:c r="C187" s="6" t="s">
        <x:v>34</x:v>
      </x:c>
      <x:c r="D187" s="11" t="s">
        <x:v>60</x:v>
      </x:c>
      <x:c r="E187" s="11" t="s">
        <x:v>70</x:v>
      </x:c>
      <x:c r="F187" s="6" t="s">
        <x:v>500</x:v>
      </x:c>
      <x:c r="G187" s="6" t="s">
        <x:v>491</x:v>
      </x:c>
      <x:c r="H187" s="17" t="s">
        <x:v>492</x:v>
      </x:c>
      <x:c r="I187" s="17" t="s">
        <x:v>86</x:v>
      </x:c>
      <x:c r="J187" s="6">
        <x:v>2023</x:v>
      </x:c>
      <x:c r="K187" s="17">
        <x:v>24</x:v>
      </x:c>
      <x:c r="L187" s="11">
        <x:v>0</x:v>
      </x:c>
      <x:c r="M187" s="17">
        <x:v>0</x:v>
      </x:c>
      <x:c r="N187" s="17" t="s">
        <x:v>41</x:v>
      </x:c>
      <x:c r="O187" s="6" t="s">
        <x:v>42</x:v>
      </x:c>
      <x:c r="P187" s="6"/>
      <x:c r="Q187" s="23" t="s">
        <x:v>43</x:v>
      </x:c>
      <x:c r="R187" s="23"/>
      <x:c r="S187" s="20"/>
      <x:c r="T187" s="11"/>
      <x:c r="U187" s="11"/>
      <x:c r="V187" s="11">
        <x:v>-2.0952259999999998</x:v>
      </x:c>
      <x:c r="W187" s="11">
        <x:v>106.0856861</x:v>
      </x:c>
      <x:c r="X187" s="65"/>
      <x:c r="Y187" s="29"/>
      <x:c r="Z187" s="51"/>
      <x:c r="AA187" s="53"/>
      <x:c r="AB187" s="56"/>
      <x:c r="AC187">
        <x:f t="shared" si="10"/>
        <x:v>0</x:v>
      </x:c>
      <x:c r="AD187">
        <x:f t="shared" si="11"/>
        <x:v>0</x:v>
      </x:c>
    </x:row>
    <x:row r="188" ht="9.75" customHeight="1">
      <x:c r="A188" s="32">
        <x:v>183</x:v>
      </x:c>
      <x:c r="B188" s="11" t="s">
        <x:v>501</x:v>
      </x:c>
      <x:c r="C188" s="6" t="s">
        <x:v>34</x:v>
      </x:c>
      <x:c r="D188" s="11" t="s">
        <x:v>60</x:v>
      </x:c>
      <x:c r="E188" s="11" t="s">
        <x:v>70</x:v>
      </x:c>
      <x:c r="F188" s="6" t="s">
        <x:v>116</x:v>
      </x:c>
      <x:c r="G188" s="6" t="s">
        <x:v>491</x:v>
      </x:c>
      <x:c r="H188" s="17" t="s">
        <x:v>492</x:v>
      </x:c>
      <x:c r="I188" s="17" t="s">
        <x:v>86</x:v>
      </x:c>
      <x:c r="J188" s="6">
        <x:v>2024</x:v>
      </x:c>
      <x:c r="K188" s="17">
        <x:v>47</x:v>
      </x:c>
      <x:c r="L188" s="11">
        <x:v>0</x:v>
      </x:c>
      <x:c r="M188" s="17">
        <x:v>0</x:v>
      </x:c>
      <x:c r="N188" s="17" t="s">
        <x:v>41</x:v>
      </x:c>
      <x:c r="O188" s="6" t="s">
        <x:v>42</x:v>
      </x:c>
      <x:c r="P188" s="6"/>
      <x:c r="Q188" s="23" t="s">
        <x:v>43</x:v>
      </x:c>
      <x:c r="R188" s="23"/>
      <x:c r="S188" s="20"/>
      <x:c r="T188" s="11"/>
      <x:c r="U188" s="11"/>
      <x:c r="V188" s="11">
        <x:v>-2.0995051</x:v>
      </x:c>
      <x:c r="W188" s="11">
        <x:v>106.0848124</x:v>
      </x:c>
      <x:c r="X188" s="65"/>
      <x:c r="Y188" s="29"/>
      <x:c r="Z188" s="51"/>
      <x:c r="AA188" s="53"/>
      <x:c r="AB188" s="56"/>
      <x:c r="AC188">
        <x:f t="shared" si="10"/>
        <x:v>0</x:v>
      </x:c>
      <x:c r="AD188">
        <x:f t="shared" si="11"/>
        <x:v>0</x:v>
      </x:c>
    </x:row>
    <x:row r="189" ht="9.75" customHeight="1">
      <x:c r="A189" s="32">
        <x:v>184</x:v>
      </x:c>
      <x:c r="B189" s="11" t="s">
        <x:v>502</x:v>
      </x:c>
      <x:c r="C189" s="6" t="s">
        <x:v>34</x:v>
      </x:c>
      <x:c r="D189" s="11" t="s">
        <x:v>35</x:v>
      </x:c>
      <x:c r="E189" s="11" t="s">
        <x:v>136</x:v>
      </x:c>
      <x:c r="F189" s="6" t="s">
        <x:v>185</x:v>
      </x:c>
      <x:c r="G189" s="6" t="s">
        <x:v>491</x:v>
      </x:c>
      <x:c r="H189" s="17" t="s">
        <x:v>492</x:v>
      </x:c>
      <x:c r="I189" s="17" t="s">
        <x:v>86</x:v>
      </x:c>
      <x:c r="J189" s="6">
        <x:v>2025</x:v>
      </x:c>
      <x:c r="K189" s="17">
        <x:v>58</x:v>
      </x:c>
      <x:c r="L189" s="11">
        <x:v>0</x:v>
      </x:c>
      <x:c r="M189" s="17">
        <x:v>0</x:v>
      </x:c>
      <x:c r="N189" s="17" t="s">
        <x:v>41</x:v>
      </x:c>
      <x:c r="O189" s="6" t="s">
        <x:v>42</x:v>
      </x:c>
      <x:c r="P189" s="6"/>
      <x:c r="Q189" s="23" t="s">
        <x:v>43</x:v>
      </x:c>
      <x:c r="R189" s="23" t="s">
        <x:v>88</x:v>
      </x:c>
      <x:c r="S189" s="20"/>
      <x:c r="T189" s="11"/>
      <x:c r="U189" s="11"/>
      <x:c r="V189" s="11">
        <x:v>-2.106506</x:v>
      </x:c>
      <x:c r="W189" s="11">
        <x:v>106.090225</x:v>
      </x:c>
      <x:c r="X189" s="65"/>
      <x:c r="Y189" s="29"/>
      <x:c r="Z189" s="51"/>
      <x:c r="AA189" s="53"/>
      <x:c r="AB189" s="56"/>
      <x:c r="AC189">
        <x:f t="shared" si="10"/>
        <x:v>0</x:v>
      </x:c>
      <x:c r="AD189">
        <x:f t="shared" si="11"/>
        <x:v>0</x:v>
      </x:c>
    </x:row>
    <x:row r="190" ht="9.75" customHeight="1">
      <x:c r="A190" s="32">
        <x:v>185</x:v>
      </x:c>
      <x:c r="B190" s="11" t="s">
        <x:v>503</x:v>
      </x:c>
      <x:c r="C190" s="6" t="s">
        <x:v>34</x:v>
      </x:c>
      <x:c r="D190" s="11" t="s">
        <x:v>35</x:v>
      </x:c>
      <x:c r="E190" s="11" t="s">
        <x:v>46</x:v>
      </x:c>
      <x:c r="F190" s="6" t="s">
        <x:v>504</x:v>
      </x:c>
      <x:c r="G190" s="6" t="s">
        <x:v>215</x:v>
      </x:c>
      <x:c r="H190" s="17" t="s">
        <x:v>216</x:v>
      </x:c>
      <x:c r="I190" s="17" t="s">
        <x:v>112</x:v>
      </x:c>
      <x:c r="J190" s="6">
        <x:v>2020</x:v>
      </x:c>
      <x:c r="K190" s="17">
        <x:v>42</x:v>
      </x:c>
      <x:c r="L190" s="11">
        <x:v>42</x:v>
      </x:c>
      <x:c r="M190" s="17">
        <x:v>42</x:v>
      </x:c>
      <x:c r="N190" s="17" t="s">
        <x:v>41</x:v>
      </x:c>
      <x:c r="O190" s="6" t="s">
        <x:v>42</x:v>
      </x:c>
      <x:c r="P190" s="6"/>
      <x:c r="Q190" s="23" t="s">
        <x:v>43</x:v>
      </x:c>
      <x:c r="R190" s="23"/>
      <x:c r="S190" s="20"/>
      <x:c r="T190" s="11"/>
      <x:c r="U190" s="11"/>
      <x:c r="V190" s="11">
        <x:v>-2.1166117</x:v>
      </x:c>
      <x:c r="W190" s="11">
        <x:v>106.0875205</x:v>
      </x:c>
      <x:c r="X190" s="65"/>
      <x:c r="Y190" s="29"/>
      <x:c r="Z190" s="51"/>
      <x:c r="AA190" s="53"/>
      <x:c r="AB190" s="56"/>
      <x:c r="AC190">
        <x:f t="shared" si="10"/>
        <x:v>1</x:v>
      </x:c>
      <x:c r="AD190">
        <x:f t="shared" si="11"/>
        <x:v>1</x:v>
      </x:c>
    </x:row>
    <x:row r="191" ht="9.75" customHeight="1">
      <x:c r="A191" s="32">
        <x:v>186</x:v>
      </x:c>
      <x:c r="B191" s="11" t="s">
        <x:v>505</x:v>
      </x:c>
      <x:c r="C191" s="6" t="s">
        <x:v>34</x:v>
      </x:c>
      <x:c r="D191" s="11" t="s">
        <x:v>35</x:v>
      </x:c>
      <x:c r="E191" s="11" t="s">
        <x:v>36</x:v>
      </x:c>
      <x:c r="F191" s="6" t="s">
        <x:v>506</x:v>
      </x:c>
      <x:c r="G191" s="6" t="s">
        <x:v>42</x:v>
      </x:c>
      <x:c r="H191" s="17" t="s">
        <x:v>42</x:v>
      </x:c>
      <x:c r="I191" s="17" t="s">
        <x:v>42</x:v>
      </x:c>
      <x:c r="J191" s="6">
        <x:v>2016</x:v>
      </x:c>
      <x:c r="K191" s="17">
        <x:v>88</x:v>
      </x:c>
      <x:c r="L191" s="11">
        <x:v>88</x:v>
      </x:c>
      <x:c r="M191" s="17">
        <x:v>88</x:v>
      </x:c>
      <x:c r="N191" s="17" t="s">
        <x:v>41</x:v>
      </x:c>
      <x:c r="O191" s="6" t="s">
        <x:v>42</x:v>
      </x:c>
      <x:c r="P191" s="6"/>
      <x:c r="Q191" s="23" t="s">
        <x:v>43</x:v>
      </x:c>
      <x:c r="R191" s="23"/>
      <x:c r="S191" s="20"/>
      <x:c r="T191" s="11"/>
      <x:c r="U191" s="11"/>
      <x:c r="V191" s="11">
        <x:v>-2.101629</x:v>
      </x:c>
      <x:c r="W191" s="11">
        <x:v>106.0795565</x:v>
      </x:c>
      <x:c r="X191" s="65"/>
      <x:c r="Y191" s="29"/>
      <x:c r="Z191" s="51"/>
      <x:c r="AA191" s="53"/>
      <x:c r="AB191" s="56"/>
      <x:c r="AC191">
        <x:f t="shared" si="10"/>
        <x:v>1</x:v>
      </x:c>
      <x:c r="AD191">
        <x:f t="shared" si="11"/>
        <x:v>1</x:v>
      </x:c>
    </x:row>
    <x:row r="192" ht="9.75" customHeight="1">
      <x:c r="A192" s="32">
        <x:v>187</x:v>
      </x:c>
      <x:c r="B192" s="11" t="s">
        <x:v>507</x:v>
      </x:c>
      <x:c r="C192" s="6" t="s">
        <x:v>34</x:v>
      </x:c>
      <x:c r="D192" s="11" t="s">
        <x:v>60</x:v>
      </x:c>
      <x:c r="E192" s="11" t="s">
        <x:v>91</x:v>
      </x:c>
      <x:c r="F192" s="6" t="s">
        <x:v>229</x:v>
      </x:c>
      <x:c r="G192" s="6" t="s">
        <x:v>42</x:v>
      </x:c>
      <x:c r="H192" s="17" t="s">
        <x:v>42</x:v>
      </x:c>
      <x:c r="I192" s="17" t="s">
        <x:v>42</x:v>
      </x:c>
      <x:c r="J192" s="6">
        <x:v>2015</x:v>
      </x:c>
      <x:c r="K192" s="17">
        <x:v>249</x:v>
      </x:c>
      <x:c r="L192" s="11">
        <x:v>249</x:v>
      </x:c>
      <x:c r="M192" s="17">
        <x:v>249</x:v>
      </x:c>
      <x:c r="N192" s="17" t="s">
        <x:v>41</x:v>
      </x:c>
      <x:c r="O192" s="6" t="s">
        <x:v>42</x:v>
      </x:c>
      <x:c r="P192" s="6"/>
      <x:c r="Q192" s="23" t="s">
        <x:v>43</x:v>
      </x:c>
      <x:c r="R192" s="23"/>
      <x:c r="S192" s="20"/>
      <x:c r="T192" s="11"/>
      <x:c r="U192" s="11"/>
      <x:c r="V192" s="11">
        <x:v>-2.0903659999999999</x:v>
      </x:c>
      <x:c r="W192" s="11">
        <x:v>106.103634</x:v>
      </x:c>
      <x:c r="X192" s="65"/>
      <x:c r="Y192" s="29"/>
      <x:c r="Z192" s="51"/>
      <x:c r="AA192" s="53"/>
      <x:c r="AB192" s="56"/>
      <x:c r="AC192">
        <x:f t="shared" si="10"/>
        <x:v>1</x:v>
      </x:c>
      <x:c r="AD192">
        <x:f t="shared" si="11"/>
        <x:v>1</x:v>
      </x:c>
    </x:row>
    <x:row r="193" ht="9.75" customHeight="1">
      <x:c r="A193" s="32">
        <x:v>188</x:v>
      </x:c>
      <x:c r="B193" s="11" t="s">
        <x:v>508</x:v>
      </x:c>
      <x:c r="C193" s="6" t="s">
        <x:v>34</x:v>
      </x:c>
      <x:c r="D193" s="11" t="s">
        <x:v>60</x:v>
      </x:c>
      <x:c r="E193" s="11" t="s">
        <x:v>91</x:v>
      </x:c>
      <x:c r="F193" s="6" t="s">
        <x:v>509</x:v>
      </x:c>
      <x:c r="G193" s="6" t="s">
        <x:v>42</x:v>
      </x:c>
      <x:c r="H193" s="17" t="s">
        <x:v>42</x:v>
      </x:c>
      <x:c r="I193" s="17" t="s">
        <x:v>42</x:v>
      </x:c>
      <x:c r="J193" s="6">
        <x:v>2015</x:v>
      </x:c>
      <x:c r="K193" s="17">
        <x:v>151</x:v>
      </x:c>
      <x:c r="L193" s="11">
        <x:v>151</x:v>
      </x:c>
      <x:c r="M193" s="17">
        <x:v>151</x:v>
      </x:c>
      <x:c r="N193" s="17" t="s">
        <x:v>41</x:v>
      </x:c>
      <x:c r="O193" s="6" t="s">
        <x:v>42</x:v>
      </x:c>
      <x:c r="P193" s="6"/>
      <x:c r="Q193" s="23" t="s">
        <x:v>43</x:v>
      </x:c>
      <x:c r="R193" s="23"/>
      <x:c r="S193" s="20" t="s">
        <x:v>178</x:v>
      </x:c>
      <x:c r="T193" s="11"/>
      <x:c r="U193" s="11"/>
      <x:c r="V193" s="11">
        <x:v>-2.0896349999999999</x:v>
      </x:c>
      <x:c r="W193" s="11">
        <x:v>106.10897799999999</x:v>
      </x:c>
      <x:c r="X193" s="65"/>
      <x:c r="Y193" s="29"/>
      <x:c r="Z193" s="51"/>
      <x:c r="AA193" s="53"/>
      <x:c r="AB193" s="56"/>
      <x:c r="AC193">
        <x:f t="shared" si="10"/>
        <x:v>1</x:v>
      </x:c>
      <x:c r="AD193">
        <x:f t="shared" si="11"/>
        <x:v>1</x:v>
      </x:c>
    </x:row>
    <x:row r="194" ht="9.75" customHeight="1">
      <x:c r="A194" s="32">
        <x:v>189</x:v>
      </x:c>
      <x:c r="B194" s="11" t="s">
        <x:v>510</x:v>
      </x:c>
      <x:c r="C194" s="6" t="s">
        <x:v>34</x:v>
      </x:c>
      <x:c r="D194" s="11" t="s">
        <x:v>81</x:v>
      </x:c>
      <x:c r="E194" s="11" t="s">
        <x:v>202</x:v>
      </x:c>
      <x:c r="F194" s="6" t="s">
        <x:v>421</x:v>
      </x:c>
      <x:c r="G194" s="6" t="s">
        <x:v>511</x:v>
      </x:c>
      <x:c r="H194" s="17" t="s">
        <x:v>42</x:v>
      </x:c>
      <x:c r="I194" s="17" t="s">
        <x:v>40</x:v>
      </x:c>
      <x:c r="J194" s="6">
        <x:v>2017</x:v>
      </x:c>
      <x:c r="K194" s="17">
        <x:v>44</x:v>
      </x:c>
      <x:c r="L194" s="11">
        <x:v>44</x:v>
      </x:c>
      <x:c r="M194" s="17">
        <x:v>44</x:v>
      </x:c>
      <x:c r="N194" s="17" t="s">
        <x:v>48</x:v>
      </x:c>
      <x:c r="O194" s="6">
        <x:v>2022</x:v>
      </x:c>
      <x:c r="P194" s="6"/>
      <x:c r="Q194" s="23" t="s">
        <x:v>72</x:v>
      </x:c>
      <x:c r="R194" s="23" t="s">
        <x:v>113</x:v>
      </x:c>
      <x:c r="S194" s="20" t="s">
        <x:v>178</x:v>
      </x:c>
      <x:c r="T194" s="11"/>
      <x:c r="U194" s="11"/>
      <x:c r="V194" s="11">
        <x:v>-2.1338387000000001</x:v>
      </x:c>
      <x:c r="W194" s="11">
        <x:v>106.15800900000001</x:v>
      </x:c>
      <x:c r="X194" s="65"/>
      <x:c r="Y194" s="29"/>
      <x:c r="Z194" s="51"/>
      <x:c r="AA194" s="53"/>
      <x:c r="AB194" s="56"/>
      <x:c r="AC194">
        <x:f t="shared" si="10"/>
        <x:v>1</x:v>
      </x:c>
      <x:c r="AD194">
        <x:f t="shared" si="11"/>
        <x:v>1</x:v>
      </x:c>
    </x:row>
    <x:row r="195" ht="9.75" customHeight="1">
      <x:c r="A195" s="32">
        <x:v>190</x:v>
      </x:c>
      <x:c r="B195" s="11" t="s">
        <x:v>512</x:v>
      </x:c>
      <x:c r="C195" s="6" t="s">
        <x:v>34</x:v>
      </x:c>
      <x:c r="D195" s="11" t="s">
        <x:v>81</x:v>
      </x:c>
      <x:c r="E195" s="11" t="s">
        <x:v>202</x:v>
      </x:c>
      <x:c r="F195" s="6" t="s">
        <x:v>421</x:v>
      </x:c>
      <x:c r="G195" s="6" t="s">
        <x:v>511</x:v>
      </x:c>
      <x:c r="H195" s="17" t="s">
        <x:v>42</x:v>
      </x:c>
      <x:c r="I195" s="17" t="s">
        <x:v>40</x:v>
      </x:c>
      <x:c r="J195" s="6">
        <x:v>2018</x:v>
      </x:c>
      <x:c r="K195" s="17">
        <x:v>51</x:v>
      </x:c>
      <x:c r="L195" s="11">
        <x:v>51</x:v>
      </x:c>
      <x:c r="M195" s="17">
        <x:v>51</x:v>
      </x:c>
      <x:c r="N195" s="17" t="s">
        <x:v>48</x:v>
      </x:c>
      <x:c r="O195" s="6">
        <x:v>2022</x:v>
      </x:c>
      <x:c r="P195" s="6"/>
      <x:c r="Q195" s="23" t="s">
        <x:v>72</x:v>
      </x:c>
      <x:c r="R195" s="23" t="s">
        <x:v>113</x:v>
      </x:c>
      <x:c r="S195" s="20" t="s">
        <x:v>178</x:v>
      </x:c>
      <x:c r="T195" s="11"/>
      <x:c r="U195" s="11"/>
      <x:c r="V195" s="11"/>
      <x:c r="W195" s="11"/>
      <x:c r="X195" s="65"/>
      <x:c r="Y195" s="29"/>
      <x:c r="Z195" s="51"/>
      <x:c r="AA195" s="53"/>
      <x:c r="AB195" s="56"/>
      <x:c r="AC195">
        <x:f t="shared" si="10"/>
        <x:v>1</x:v>
      </x:c>
      <x:c r="AD195">
        <x:f t="shared" si="11"/>
        <x:v>1</x:v>
      </x:c>
    </x:row>
    <x:row r="196" ht="9.75" customHeight="1">
      <x:c r="A196" s="32">
        <x:v>191</x:v>
      </x:c>
      <x:c r="B196" s="11" t="s">
        <x:v>513</x:v>
      </x:c>
      <x:c r="C196" s="6" t="s">
        <x:v>34</x:v>
      </x:c>
      <x:c r="D196" s="11" t="s">
        <x:v>81</x:v>
      </x:c>
      <x:c r="E196" s="11" t="s">
        <x:v>202</x:v>
      </x:c>
      <x:c r="F196" s="6" t="s">
        <x:v>421</x:v>
      </x:c>
      <x:c r="G196" s="6" t="s">
        <x:v>511</x:v>
      </x:c>
      <x:c r="H196" s="17" t="s">
        <x:v>42</x:v>
      </x:c>
      <x:c r="I196" s="17" t="s">
        <x:v>40</x:v>
      </x:c>
      <x:c r="J196" s="6">
        <x:v>2018</x:v>
      </x:c>
      <x:c r="K196" s="17">
        <x:v>25</x:v>
      </x:c>
      <x:c r="L196" s="11">
        <x:v>25</x:v>
      </x:c>
      <x:c r="M196" s="17">
        <x:v>25</x:v>
      </x:c>
      <x:c r="N196" s="17" t="s">
        <x:v>48</x:v>
      </x:c>
      <x:c r="O196" s="6">
        <x:v>2022</x:v>
      </x:c>
      <x:c r="P196" s="6"/>
      <x:c r="Q196" s="23" t="s">
        <x:v>72</x:v>
      </x:c>
      <x:c r="R196" s="23" t="s">
        <x:v>113</x:v>
      </x:c>
      <x:c r="S196" s="20" t="s">
        <x:v>178</x:v>
      </x:c>
      <x:c r="T196" s="11"/>
      <x:c r="U196" s="11"/>
      <x:c r="V196" s="11"/>
      <x:c r="W196" s="11"/>
      <x:c r="X196" s="65"/>
      <x:c r="Y196" s="29"/>
      <x:c r="Z196" s="51"/>
      <x:c r="AA196" s="53"/>
      <x:c r="AB196" s="56"/>
      <x:c r="AC196">
        <x:f t="shared" si="10"/>
        <x:v>1</x:v>
      </x:c>
      <x:c r="AD196">
        <x:f t="shared" si="11"/>
        <x:v>1</x:v>
      </x:c>
    </x:row>
    <x:row r="197" ht="9.75" customHeight="1">
      <x:c r="A197" s="32">
        <x:v>192</x:v>
      </x:c>
      <x:c r="B197" s="11" t="s">
        <x:v>514</x:v>
      </x:c>
      <x:c r="C197" s="6" t="s">
        <x:v>34</x:v>
      </x:c>
      <x:c r="D197" s="11" t="s">
        <x:v>81</x:v>
      </x:c>
      <x:c r="E197" s="11" t="s">
        <x:v>202</x:v>
      </x:c>
      <x:c r="F197" s="6" t="s">
        <x:v>421</x:v>
      </x:c>
      <x:c r="G197" s="6" t="s">
        <x:v>511</x:v>
      </x:c>
      <x:c r="H197" s="17" t="s">
        <x:v>42</x:v>
      </x:c>
      <x:c r="I197" s="17" t="s">
        <x:v>40</x:v>
      </x:c>
      <x:c r="J197" s="6">
        <x:v>2019</x:v>
      </x:c>
      <x:c r="K197" s="17">
        <x:v>84</x:v>
      </x:c>
      <x:c r="L197" s="11">
        <x:v>84</x:v>
      </x:c>
      <x:c r="M197" s="17">
        <x:v>84</x:v>
      </x:c>
      <x:c r="N197" s="17" t="s">
        <x:v>48</x:v>
      </x:c>
      <x:c r="O197" s="6">
        <x:v>2022</x:v>
      </x:c>
      <x:c r="P197" s="6"/>
      <x:c r="Q197" s="23" t="s">
        <x:v>43</x:v>
      </x:c>
      <x:c r="R197" s="23" t="s">
        <x:v>113</x:v>
      </x:c>
      <x:c r="S197" s="20" t="s">
        <x:v>178</x:v>
      </x:c>
      <x:c r="T197" s="11"/>
      <x:c r="U197" s="11"/>
      <x:c r="V197" s="11">
        <x:v>-2.1338387000000001</x:v>
      </x:c>
      <x:c r="W197" s="11">
        <x:v>106.15800900000001</x:v>
      </x:c>
      <x:c r="X197" s="65"/>
      <x:c r="Y197" s="29"/>
      <x:c r="Z197" s="51"/>
      <x:c r="AA197" s="53"/>
      <x:c r="AB197" s="56"/>
      <x:c r="AC197">
        <x:f t="shared" si="10"/>
        <x:v>1</x:v>
      </x:c>
      <x:c r="AD197">
        <x:f t="shared" si="11"/>
        <x:v>1</x:v>
      </x:c>
    </x:row>
    <x:row r="198" ht="9.75" customHeight="1">
      <x:c r="A198" s="32">
        <x:v>193</x:v>
      </x:c>
      <x:c r="B198" s="11" t="s">
        <x:v>515</x:v>
      </x:c>
      <x:c r="C198" s="6" t="s">
        <x:v>34</x:v>
      </x:c>
      <x:c r="D198" s="11" t="s">
        <x:v>81</x:v>
      </x:c>
      <x:c r="E198" s="11" t="s">
        <x:v>202</x:v>
      </x:c>
      <x:c r="F198" s="6" t="s">
        <x:v>421</x:v>
      </x:c>
      <x:c r="G198" s="6" t="s">
        <x:v>511</x:v>
      </x:c>
      <x:c r="H198" s="17" t="s">
        <x:v>42</x:v>
      </x:c>
      <x:c r="I198" s="17" t="s">
        <x:v>40</x:v>
      </x:c>
      <x:c r="J198" s="6">
        <x:v>2019</x:v>
      </x:c>
      <x:c r="K198" s="17">
        <x:v>22</x:v>
      </x:c>
      <x:c r="L198" s="11">
        <x:v>22</x:v>
      </x:c>
      <x:c r="M198" s="17">
        <x:v>22</x:v>
      </x:c>
      <x:c r="N198" s="17" t="s">
        <x:v>48</x:v>
      </x:c>
      <x:c r="O198" s="6">
        <x:v>2022</x:v>
      </x:c>
      <x:c r="P198" s="6"/>
      <x:c r="Q198" s="23" t="s">
        <x:v>43</x:v>
      </x:c>
      <x:c r="R198" s="23" t="s">
        <x:v>113</x:v>
      </x:c>
      <x:c r="S198" s="20" t="s">
        <x:v>178</x:v>
      </x:c>
      <x:c r="T198" s="11"/>
      <x:c r="U198" s="11"/>
      <x:c r="V198" s="11">
        <x:v>-2.1337893999999999</x:v>
      </x:c>
      <x:c r="W198" s="11">
        <x:v>106.1568065</x:v>
      </x:c>
      <x:c r="X198" s="65"/>
      <x:c r="Y198" s="29"/>
      <x:c r="Z198" s="51"/>
      <x:c r="AA198" s="53"/>
      <x:c r="AB198" s="56"/>
      <x:c r="AC198" t="n">
        <x:f t="shared" ref="AC198:AC205" si="12">IF(A198="","",IFERROR(L198/K198,0))</x:f>
        <x:v>1</x:v>
      </x:c>
      <x:c r="AD198" t="n">
        <x:f t="shared" ref="AD198:AD205" si="13">IF(A198="","",IFERROR(M198/L198,0))</x:f>
        <x:v>1</x:v>
      </x:c>
    </x:row>
    <x:row r="199" ht="9.75" customHeight="1">
      <x:c r="A199" s="32">
        <x:v>194</x:v>
      </x:c>
      <x:c r="B199" s="11" t="s">
        <x:v>516</x:v>
      </x:c>
      <x:c r="C199" s="6" t="s">
        <x:v>34</x:v>
      </x:c>
      <x:c r="D199" s="11" t="s">
        <x:v>60</x:v>
      </x:c>
      <x:c r="E199" s="11" t="s">
        <x:v>61</x:v>
      </x:c>
      <x:c r="F199" s="6" t="s">
        <x:v>517</x:v>
      </x:c>
      <x:c r="G199" s="6" t="s">
        <x:v>518</x:v>
      </x:c>
      <x:c r="H199" s="17" t="s">
        <x:v>519</x:v>
      </x:c>
      <x:c r="I199" s="17" t="s">
        <x:v>42</x:v>
      </x:c>
      <x:c r="J199" s="6">
        <x:v>2024</x:v>
      </x:c>
      <x:c r="K199" s="17">
        <x:v>35</x:v>
      </x:c>
      <x:c r="L199" s="11">
        <x:v>33</x:v>
      </x:c>
      <x:c r="M199" s="17">
        <x:v>12</x:v>
      </x:c>
      <x:c r="N199" s="17" t="s">
        <x:v>41</x:v>
      </x:c>
      <x:c r="O199" s="6" t="s">
        <x:v>42</x:v>
      </x:c>
      <x:c r="P199" s="6"/>
      <x:c r="Q199" s="23" t="s">
        <x:v>43</x:v>
      </x:c>
      <x:c r="R199" s="23"/>
      <x:c r="S199" s="20"/>
      <x:c r="T199" s="11"/>
      <x:c r="U199" s="11"/>
      <x:c r="V199" s="11">
        <x:v>-2.1030367000000001</x:v>
      </x:c>
      <x:c r="W199" s="11">
        <x:v>106.09867819999999</x:v>
      </x:c>
      <x:c r="X199" s="65"/>
      <x:c r="Y199" s="29"/>
      <x:c r="Z199" s="51"/>
      <x:c r="AA199" s="53"/>
      <x:c r="AB199" s="56"/>
      <x:c r="AC199">
        <x:f t="shared" si="12"/>
        <x:v>0.94285714285714284</x:v>
      </x:c>
      <x:c r="AD199">
        <x:f t="shared" si="13"/>
        <x:v>0.36363636363636365</x:v>
      </x:c>
    </x:row>
    <x:row r="200" ht="9.75" customHeight="1">
      <x:c r="A200" s="32">
        <x:v>195</x:v>
      </x:c>
      <x:c r="B200" s="11" t="s">
        <x:v>520</x:v>
      </x:c>
      <x:c r="C200" s="6" t="s">
        <x:v>34</x:v>
      </x:c>
      <x:c r="D200" s="11" t="s">
        <x:v>60</x:v>
      </x:c>
      <x:c r="E200" s="11" t="s">
        <x:v>91</x:v>
      </x:c>
      <x:c r="F200" s="6" t="s">
        <x:v>209</x:v>
      </x:c>
      <x:c r="G200" s="6" t="s">
        <x:v>42</x:v>
      </x:c>
      <x:c r="H200" s="17" t="s">
        <x:v>42</x:v>
      </x:c>
      <x:c r="I200" s="17" t="s">
        <x:v>42</x:v>
      </x:c>
      <x:c r="J200" s="6">
        <x:v>2015</x:v>
      </x:c>
      <x:c r="K200" s="17">
        <x:v>61</x:v>
      </x:c>
      <x:c r="L200" s="11">
        <x:v>61</x:v>
      </x:c>
      <x:c r="M200" s="17">
        <x:v>61</x:v>
      </x:c>
      <x:c r="N200" s="17" t="s">
        <x:v>41</x:v>
      </x:c>
      <x:c r="O200" s="6" t="s">
        <x:v>42</x:v>
      </x:c>
      <x:c r="P200" s="6"/>
      <x:c r="Q200" s="23" t="s">
        <x:v>43</x:v>
      </x:c>
      <x:c r="R200" s="23" t="s">
        <x:v>88</x:v>
      </x:c>
      <x:c r="S200" s="20"/>
      <x:c r="T200" s="11"/>
      <x:c r="U200" s="11"/>
      <x:c r="V200" s="11">
        <x:v>-2.0791229000000002</x:v>
      </x:c>
      <x:c r="W200" s="11">
        <x:v>106.12775739999999</x:v>
      </x:c>
      <x:c r="X200" s="65"/>
      <x:c r="Y200" s="29"/>
      <x:c r="Z200" s="51"/>
      <x:c r="AA200" s="53"/>
      <x:c r="AB200" s="56"/>
      <x:c r="AC200">
        <x:f t="shared" si="12"/>
        <x:v>1</x:v>
      </x:c>
      <x:c r="AD200">
        <x:f t="shared" si="13"/>
        <x:v>1</x:v>
      </x:c>
    </x:row>
    <x:row r="201" ht="9.75" customHeight="1">
      <x:c r="A201" s="32">
        <x:v>196</x:v>
      </x:c>
      <x:c r="B201" s="11" t="s">
        <x:v>521</x:v>
      </x:c>
      <x:c r="C201" s="6" t="s">
        <x:v>170</x:v>
      </x:c>
      <x:c r="D201" s="11" t="s">
        <x:v>35</x:v>
      </x:c>
      <x:c r="E201" s="11" t="s">
        <x:v>184</x:v>
      </x:c>
      <x:c r="F201" s="6" t="s">
        <x:v>522</x:v>
      </x:c>
      <x:c r="G201" s="6" t="s">
        <x:v>42</x:v>
      </x:c>
      <x:c r="H201" s="17" t="s">
        <x:v>42</x:v>
      </x:c>
      <x:c r="I201" s="17" t="s">
        <x:v>42</x:v>
      </x:c>
      <x:c r="J201" s="6">
        <x:v>2018</x:v>
      </x:c>
      <x:c r="K201" s="17">
        <x:v>10</x:v>
      </x:c>
      <x:c r="L201" s="11">
        <x:v>10</x:v>
      </x:c>
      <x:c r="M201" s="17">
        <x:v>10</x:v>
      </x:c>
      <x:c r="N201" s="17" t="s">
        <x:v>41</x:v>
      </x:c>
      <x:c r="O201" s="6" t="s">
        <x:v>42</x:v>
      </x:c>
      <x:c r="P201" s="6"/>
      <x:c r="Q201" s="23" t="s">
        <x:v>43</x:v>
      </x:c>
      <x:c r="R201" s="23"/>
      <x:c r="S201" s="20"/>
      <x:c r="T201" s="11"/>
      <x:c r="U201" s="11"/>
      <x:c r="V201" s="11">
        <x:v>-2.1178539000000001</x:v>
      </x:c>
      <x:c r="W201" s="11">
        <x:v>106.0945468</x:v>
      </x:c>
      <x:c r="X201" s="65"/>
      <x:c r="Y201" s="29"/>
      <x:c r="Z201" s="51"/>
      <x:c r="AA201" s="53"/>
      <x:c r="AB201" s="56"/>
      <x:c r="AC201">
        <x:f t="shared" si="12"/>
        <x:v>1</x:v>
      </x:c>
      <x:c r="AD201">
        <x:f t="shared" si="13"/>
        <x:v>1</x:v>
      </x:c>
    </x:row>
    <x:row r="202" ht="9.75" customHeight="1">
      <x:c r="A202" s="32">
        <x:v>197</x:v>
      </x:c>
      <x:c r="B202" s="11" t="s">
        <x:v>523</x:v>
      </x:c>
      <x:c r="C202" s="6" t="s">
        <x:v>34</x:v>
      </x:c>
      <x:c r="D202" s="11" t="s">
        <x:v>81</x:v>
      </x:c>
      <x:c r="E202" s="11" t="s">
        <x:v>202</x:v>
      </x:c>
      <x:c r="F202" s="6" t="s">
        <x:v>163</x:v>
      </x:c>
      <x:c r="G202" s="6" t="s">
        <x:v>524</x:v>
      </x:c>
      <x:c r="H202" s="17" t="s">
        <x:v>42</x:v>
      </x:c>
      <x:c r="I202" s="17" t="s">
        <x:v>42</x:v>
      </x:c>
      <x:c r="J202" s="6" t="s">
        <x:v>42</x:v>
      </x:c>
      <x:c r="K202" s="17">
        <x:v>0</x:v>
      </x:c>
      <x:c r="L202" s="11">
        <x:v>0</x:v>
      </x:c>
      <x:c r="M202" s="17">
        <x:v>0</x:v>
      </x:c>
      <x:c r="N202" s="17" t="s">
        <x:v>41</x:v>
      </x:c>
      <x:c r="O202" s="6" t="s">
        <x:v>42</x:v>
      </x:c>
      <x:c r="P202" s="6"/>
      <x:c r="Q202" s="23" t="s">
        <x:v>43</x:v>
      </x:c>
      <x:c r="R202" s="23"/>
      <x:c r="S202" s="20"/>
      <x:c r="T202" s="11"/>
      <x:c r="U202" s="11"/>
      <x:c r="V202" s="11">
        <x:v>-2.1417353000000001</x:v>
      </x:c>
      <x:c r="W202" s="11">
        <x:v>106.16425479999999</x:v>
      </x:c>
      <x:c r="X202" s="65"/>
      <x:c r="Y202" s="29"/>
      <x:c r="Z202" s="51"/>
      <x:c r="AA202" s="53"/>
      <x:c r="AB202" s="56"/>
      <x:c r="AC202">
        <x:f t="shared" si="12"/>
        <x:v>0</x:v>
      </x:c>
      <x:c r="AD202">
        <x:f t="shared" si="13"/>
        <x:v>0</x:v>
      </x:c>
    </x:row>
    <x:row r="203" ht="9.75" customHeight="1">
      <x:c r="A203" s="32">
        <x:v>198</x:v>
      </x:c>
      <x:c r="B203" s="11" t="s">
        <x:v>525</x:v>
      </x:c>
      <x:c r="C203" s="6" t="s">
        <x:v>34</x:v>
      </x:c>
      <x:c r="D203" s="11" t="s">
        <x:v>35</x:v>
      </x:c>
      <x:c r="E203" s="11" t="s">
        <x:v>46</x:v>
      </x:c>
      <x:c r="F203" s="6" t="s">
        <x:v>526</x:v>
      </x:c>
      <x:c r="G203" s="6" t="s">
        <x:v>38</x:v>
      </x:c>
      <x:c r="H203" s="17" t="s">
        <x:v>39</x:v>
      </x:c>
      <x:c r="I203" s="17" t="s">
        <x:v>40</x:v>
      </x:c>
      <x:c r="J203" s="6">
        <x:v>2017</x:v>
      </x:c>
      <x:c r="K203" s="17">
        <x:v>48</x:v>
      </x:c>
      <x:c r="L203" s="11">
        <x:v>46</x:v>
      </x:c>
      <x:c r="M203" s="17">
        <x:v>46</x:v>
      </x:c>
      <x:c r="N203" s="17" t="s">
        <x:v>41</x:v>
      </x:c>
      <x:c r="O203" s="6" t="s">
        <x:v>42</x:v>
      </x:c>
      <x:c r="P203" s="6"/>
      <x:c r="Q203" s="23" t="s">
        <x:v>43</x:v>
      </x:c>
      <x:c r="R203" s="23"/>
      <x:c r="S203" s="20"/>
      <x:c r="T203" s="11"/>
      <x:c r="U203" s="11"/>
      <x:c r="V203" s="11">
        <x:v>-2.1175589000000001</x:v>
      </x:c>
      <x:c r="W203" s="11">
        <x:v>106.0662955</x:v>
      </x:c>
      <x:c r="X203" s="65"/>
      <x:c r="Y203" s="29"/>
      <x:c r="Z203" s="51"/>
      <x:c r="AA203" s="53"/>
      <x:c r="AB203" s="56"/>
      <x:c r="AC203">
        <x:f t="shared" si="12"/>
        <x:v>0.95833333333333337</x:v>
      </x:c>
      <x:c r="AD203">
        <x:f t="shared" si="13"/>
        <x:v>1</x:v>
      </x:c>
    </x:row>
    <x:row r="204" ht="9.75" customHeight="1">
      <x:c r="A204" s="32">
        <x:v>199</x:v>
      </x:c>
      <x:c r="B204" s="11" t="s">
        <x:v>527</x:v>
      </x:c>
      <x:c r="C204" s="6" t="s">
        <x:v>34</x:v>
      </x:c>
      <x:c r="D204" s="11" t="s">
        <x:v>60</x:v>
      </x:c>
      <x:c r="E204" s="11" t="s">
        <x:v>70</x:v>
      </x:c>
      <x:c r="F204" s="6" t="s">
        <x:v>528</x:v>
      </x:c>
      <x:c r="G204" s="6" t="s">
        <x:v>529</x:v>
      </x:c>
      <x:c r="H204" s="17" t="s">
        <x:v>530</x:v>
      </x:c>
      <x:c r="I204" s="17" t="s">
        <x:v>112</x:v>
      </x:c>
      <x:c r="J204" s="6">
        <x:v>2018</x:v>
      </x:c>
      <x:c r="K204" s="17">
        <x:v>102</x:v>
      </x:c>
      <x:c r="L204" s="11">
        <x:v>102</x:v>
      </x:c>
      <x:c r="M204" s="17">
        <x:v>102</x:v>
      </x:c>
      <x:c r="N204" s="17" t="s">
        <x:v>41</x:v>
      </x:c>
      <x:c r="O204" s="6" t="s">
        <x:v>42</x:v>
      </x:c>
      <x:c r="P204" s="6"/>
      <x:c r="Q204" s="23" t="s">
        <x:v>43</x:v>
      </x:c>
      <x:c r="R204" s="23"/>
      <x:c r="S204" s="20" t="s">
        <x:v>178</x:v>
      </x:c>
      <x:c r="T204" s="11"/>
      <x:c r="U204" s="11"/>
      <x:c r="V204" s="11">
        <x:v>-2.1016789999999999</x:v>
      </x:c>
      <x:c r="W204" s="11">
        <x:v>106.092687</x:v>
      </x:c>
      <x:c r="X204" s="65"/>
      <x:c r="Y204" s="29"/>
      <x:c r="Z204" s="51"/>
      <x:c r="AA204" s="53"/>
      <x:c r="AB204" s="56"/>
      <x:c r="AC204">
        <x:f t="shared" si="12"/>
        <x:v>1</x:v>
      </x:c>
      <x:c r="AD204">
        <x:f t="shared" si="13"/>
        <x:v>1</x:v>
      </x:c>
    </x:row>
    <x:row r="205" ht="9.75" customHeight="1">
      <x:c r="A205" s="33">
        <x:v>200</x:v>
      </x:c>
      <x:c r="B205" s="12" t="s">
        <x:v>531</x:v>
      </x:c>
      <x:c r="C205" s="8" t="s">
        <x:v>34</x:v>
      </x:c>
      <x:c r="D205" s="12" t="s">
        <x:v>60</x:v>
      </x:c>
      <x:c r="E205" s="12" t="s">
        <x:v>70</x:v>
      </x:c>
      <x:c r="F205" s="8" t="s">
        <x:v>528</x:v>
      </x:c>
      <x:c r="G205" s="8" t="s">
        <x:v>529</x:v>
      </x:c>
      <x:c r="H205" s="18" t="s">
        <x:v>530</x:v>
      </x:c>
      <x:c r="I205" s="18" t="s">
        <x:v>112</x:v>
      </x:c>
      <x:c r="J205" s="8">
        <x:v>2018</x:v>
      </x:c>
      <x:c r="K205" s="18">
        <x:v>25</x:v>
      </x:c>
      <x:c r="L205" s="12">
        <x:v>25</x:v>
      </x:c>
      <x:c r="M205" s="18">
        <x:v>25</x:v>
      </x:c>
      <x:c r="N205" s="18" t="s">
        <x:v>41</x:v>
      </x:c>
      <x:c r="O205" s="8" t="s">
        <x:v>42</x:v>
      </x:c>
      <x:c r="P205" s="8"/>
      <x:c r="Q205" s="23" t="s">
        <x:v>43</x:v>
      </x:c>
      <x:c r="R205" s="24"/>
      <x:c r="S205" s="21" t="s">
        <x:v>178</x:v>
      </x:c>
      <x:c r="T205" s="12"/>
      <x:c r="U205" s="12"/>
      <x:c r="V205" s="12">
        <x:v>-2.1004930000000002</x:v>
      </x:c>
      <x:c r="W205" s="12">
        <x:v>106.09254</x:v>
      </x:c>
      <x:c r="X205" s="66"/>
      <x:c r="Y205" s="30"/>
      <x:c r="Z205" s="51"/>
      <x:c r="AA205" s="53"/>
      <x:c r="AB205" s="57"/>
      <x:c r="AC205">
        <x:f t="shared" si="12"/>
        <x:v>1</x:v>
      </x:c>
      <x:c r="AD205">
        <x:f t="shared" si="13"/>
        <x:v>1</x:v>
      </x:c>
    </x:row>
    <x:row r="206" s="59" customFormat="1" ht="12.5">
      <x:c r="A206" s="62">
        <x:v>201</x:v>
      </x:c>
      <x:c r="B206" s="58" t="s">
        <x:v>532</x:v>
      </x:c>
      <x:c r="C206" s="59" t="s">
        <x:v>34</x:v>
      </x:c>
      <x:c r="D206" s="58" t="s">
        <x:v>35</x:v>
      </x:c>
      <x:c r="E206" s="58" t="s">
        <x:v>36</x:v>
      </x:c>
      <x:c r="F206" s="59" t="s">
        <x:v>533</x:v>
      </x:c>
      <x:c r="G206" s="59" t="s">
        <x:v>282</x:v>
      </x:c>
      <x:c r="H206" s="59" t="s">
        <x:v>283</x:v>
      </x:c>
      <x:c r="I206" s="59" t="s">
        <x:v>42</x:v>
      </x:c>
      <x:c r="J206" s="59">
        <x:v>2022</x:v>
      </x:c>
      <x:c r="K206" s="59">
        <x:v>67</x:v>
      </x:c>
      <x:c r="L206" s="58">
        <x:v>67</x:v>
      </x:c>
      <x:c r="M206" s="59">
        <x:v>67</x:v>
      </x:c>
      <x:c r="N206" s="59" t="s">
        <x:v>41</x:v>
      </x:c>
      <x:c r="O206" s="59" t="s">
        <x:v>42</x:v>
      </x:c>
      <x:c r="Q206" s="23" t="s">
        <x:v>43</x:v>
      </x:c>
      <x:c r="S206" s="58"/>
      <x:c r="T206" s="11" t="s">
        <x:v>44</x:v>
      </x:c>
      <x:c r="U206" s="58"/>
      <x:c r="V206" s="58">
        <x:v>-2.0975090000000001</x:v>
      </x:c>
      <x:c r="W206" s="58">
        <x:v>106.089961</x:v>
      </x:c>
      <x:c r="X206" s="60"/>
      <x:c r="Y206" s="60"/>
      <x:c r="Z206" s="58"/>
      <x:c r="AA206" s="60"/>
      <x:c r="AB206" s="60"/>
      <x:c r="AC206" s="61" t="n">
        <x:f t="shared" ref="AC206:AC212" si="14">IF(A206="","",IFERROR(L206/K206,0))</x:f>
        <x:v>1</x:v>
      </x:c>
      <x:c r="AD206" s="61" t="n">
        <x:f t="shared" ref="AD206:AD212" si="15">IF(A206="","",IFERROR(M206/L206,0))</x:f>
        <x:v>1</x:v>
      </x:c>
    </x:row>
    <x:row r="207" s="59" customFormat="1" ht="12.5">
      <x:c r="A207" s="63">
        <x:v>202</x:v>
      </x:c>
      <x:c r="B207" s="58" t="s">
        <x:v>534</x:v>
      </x:c>
      <x:c r="C207" s="59" t="s">
        <x:v>34</x:v>
      </x:c>
      <x:c r="D207" s="58" t="s">
        <x:v>60</x:v>
      </x:c>
      <x:c r="E207" s="58" t="s">
        <x:v>70</x:v>
      </x:c>
      <x:c r="F207" s="59" t="s">
        <x:v>62</x:v>
      </x:c>
      <x:c r="G207" s="59" t="s">
        <x:v>535</x:v>
      </x:c>
      <x:c r="H207" s="59" t="s">
        <x:v>536</x:v>
      </x:c>
      <x:c r="I207" s="59" t="s">
        <x:v>166</x:v>
      </x:c>
      <x:c r="J207" s="59">
        <x:v>2018</x:v>
      </x:c>
      <x:c r="K207" s="59">
        <x:v>42</x:v>
      </x:c>
      <x:c r="L207" s="58">
        <x:v>33</x:v>
      </x:c>
      <x:c r="M207" s="59">
        <x:v>33</x:v>
      </x:c>
      <x:c r="N207" s="59" t="s">
        <x:v>41</x:v>
      </x:c>
      <x:c r="O207" s="59" t="s">
        <x:v>42</x:v>
      </x:c>
      <x:c r="Q207" s="23" t="s">
        <x:v>43</x:v>
      </x:c>
      <x:c r="S207" s="58"/>
      <x:c r="T207" s="58"/>
      <x:c r="U207" s="58"/>
      <x:c r="V207" s="58">
        <x:v>-2.1016526</x:v>
      </x:c>
      <x:c r="W207" s="58">
        <x:v>106.08860610000001</x:v>
      </x:c>
      <x:c r="X207" s="60"/>
      <x:c r="Y207" s="60"/>
      <x:c r="Z207" s="58"/>
      <x:c r="AA207" s="60"/>
      <x:c r="AB207" s="60"/>
      <x:c r="AC207" s="61">
        <x:f t="shared" si="14"/>
        <x:v>0.7857142857142857</x:v>
      </x:c>
      <x:c r="AD207" s="61">
        <x:f t="shared" si="15"/>
        <x:v>1</x:v>
      </x:c>
    </x:row>
    <x:row r="208" s="59" customFormat="1" ht="12.5">
      <x:c r="A208" s="63">
        <x:v>203</x:v>
      </x:c>
      <x:c r="B208" s="58" t="s">
        <x:v>537</x:v>
      </x:c>
      <x:c r="C208" s="59" t="s">
        <x:v>34</x:v>
      </x:c>
      <x:c r="D208" s="58" t="s">
        <x:v>81</x:v>
      </x:c>
      <x:c r="E208" s="58" t="s">
        <x:v>82</x:v>
      </x:c>
      <x:c r="F208" s="59" t="s">
        <x:v>538</x:v>
      </x:c>
      <x:c r="G208" s="59" t="s">
        <x:v>539</x:v>
      </x:c>
      <x:c r="H208" s="59" t="s">
        <x:v>540</x:v>
      </x:c>
      <x:c r="I208" s="59" t="s">
        <x:v>42</x:v>
      </x:c>
      <x:c r="J208" s="59">
        <x:v>2023</x:v>
      </x:c>
      <x:c r="K208" s="59">
        <x:v>43</x:v>
      </x:c>
      <x:c r="L208" s="58">
        <x:v>0</x:v>
      </x:c>
      <x:c r="M208" s="59">
        <x:v>0</x:v>
      </x:c>
      <x:c r="N208" s="59" t="s">
        <x:v>41</x:v>
      </x:c>
      <x:c r="O208" s="59" t="s">
        <x:v>42</x:v>
      </x:c>
      <x:c r="Q208" s="23" t="s">
        <x:v>43</x:v>
      </x:c>
      <x:c r="S208" s="58"/>
      <x:c r="T208" s="58"/>
      <x:c r="U208" s="58"/>
      <x:c r="V208" s="58">
        <x:v>-2.1427999999999998</x:v>
      </x:c>
      <x:c r="W208" s="58">
        <x:v>106.137094</x:v>
      </x:c>
      <x:c r="X208" s="60"/>
      <x:c r="Y208" s="60"/>
      <x:c r="Z208" s="58"/>
      <x:c r="AA208" s="60"/>
      <x:c r="AB208" s="60"/>
      <x:c r="AC208" s="61">
        <x:f t="shared" si="14"/>
        <x:v>0</x:v>
      </x:c>
      <x:c r="AD208" s="61">
        <x:f t="shared" si="15"/>
        <x:v>0</x:v>
      </x:c>
    </x:row>
    <x:row r="209" s="59" customFormat="1" ht="12.5">
      <x:c r="A209" s="63">
        <x:v>204</x:v>
      </x:c>
      <x:c r="B209" s="58" t="s">
        <x:v>541</x:v>
      </x:c>
      <x:c r="C209" s="59" t="s">
        <x:v>34</x:v>
      </x:c>
      <x:c r="D209" s="58" t="s">
        <x:v>35</x:v>
      </x:c>
      <x:c r="E209" s="58" t="s">
        <x:v>46</x:v>
      </x:c>
      <x:c r="F209" s="59" t="s">
        <x:v>51</x:v>
      </x:c>
      <x:c r="G209" s="59" t="s">
        <x:v>542</x:v>
      </x:c>
      <x:c r="H209" s="59" t="s">
        <x:v>543</x:v>
      </x:c>
      <x:c r="I209" s="59" t="s">
        <x:v>112</x:v>
      </x:c>
      <x:c r="J209" s="59">
        <x:v>2017</x:v>
      </x:c>
      <x:c r="K209" s="59">
        <x:v>97</x:v>
      </x:c>
      <x:c r="L209" s="58">
        <x:v>97</x:v>
      </x:c>
      <x:c r="M209" s="59">
        <x:v>95</x:v>
      </x:c>
      <x:c r="N209" s="59" t="s">
        <x:v>48</x:v>
      </x:c>
      <x:c r="O209" s="59">
        <x:v>2021</x:v>
      </x:c>
      <x:c r="Q209" s="59" t="s">
        <x:v>72</x:v>
      </x:c>
      <x:c r="R209" s="59" t="s">
        <x:v>113</x:v>
      </x:c>
      <x:c r="S209" s="58"/>
      <x:c r="T209" s="58"/>
      <x:c r="U209" s="58"/>
      <x:c r="V209" s="58">
        <x:v>-2.1243370000000001</x:v>
      </x:c>
      <x:c r="W209" s="58">
        <x:v>106.07397899999999</x:v>
      </x:c>
      <x:c r="X209" s="60"/>
      <x:c r="Y209" s="60"/>
      <x:c r="Z209" s="58"/>
      <x:c r="AA209" s="60"/>
      <x:c r="AB209" s="60"/>
      <x:c r="AC209" s="61">
        <x:f t="shared" si="14"/>
        <x:v>1</x:v>
      </x:c>
      <x:c r="AD209" s="61">
        <x:f t="shared" si="15"/>
        <x:v>0.97938144329896903</x:v>
      </x:c>
    </x:row>
    <x:row r="210" s="59" customFormat="1" ht="12.5">
      <x:c r="A210" s="63">
        <x:v>205</x:v>
      </x:c>
      <x:c r="B210" s="58" t="s">
        <x:v>544</x:v>
      </x:c>
      <x:c r="C210" s="59" t="s">
        <x:v>34</x:v>
      </x:c>
      <x:c r="D210" s="58" t="s">
        <x:v>35</x:v>
      </x:c>
      <x:c r="E210" s="58" t="s">
        <x:v>36</x:v>
      </x:c>
      <x:c r="F210" s="59" t="s">
        <x:v>104</x:v>
      </x:c>
      <x:c r="G210" s="59" t="s">
        <x:v>545</x:v>
      </x:c>
      <x:c r="H210" s="59" t="s">
        <x:v>543</x:v>
      </x:c>
      <x:c r="I210" s="59" t="s">
        <x:v>112</x:v>
      </x:c>
      <x:c r="J210" s="59">
        <x:v>2020</x:v>
      </x:c>
      <x:c r="K210" s="59">
        <x:v>81</x:v>
      </x:c>
      <x:c r="L210" s="58">
        <x:v>52</x:v>
      </x:c>
      <x:c r="M210" s="59">
        <x:v>52</x:v>
      </x:c>
      <x:c r="N210" s="59" t="s">
        <x:v>41</x:v>
      </x:c>
      <x:c r="O210" s="59" t="s">
        <x:v>42</x:v>
      </x:c>
      <x:c r="Q210" s="23" t="s">
        <x:v>43</x:v>
      </x:c>
      <x:c r="R210" s="23" t="s">
        <x:v>88</x:v>
      </x:c>
      <x:c r="S210" s="58"/>
      <x:c r="T210" s="58"/>
      <x:c r="U210" s="58"/>
      <x:c r="V210" s="58">
        <x:v>-2.103507</x:v>
      </x:c>
      <x:c r="W210" s="58">
        <x:v>106.05775800000001</x:v>
      </x:c>
      <x:c r="X210" s="60"/>
      <x:c r="Y210" s="60"/>
      <x:c r="Z210" s="58"/>
      <x:c r="AA210" s="60"/>
      <x:c r="AB210" s="60"/>
      <x:c r="AC210" s="61">
        <x:f t="shared" si="14"/>
        <x:v>0.64197530864197527</x:v>
      </x:c>
      <x:c r="AD210" s="61">
        <x:f t="shared" si="15"/>
        <x:v>1</x:v>
      </x:c>
    </x:row>
    <x:row r="211" s="59" customFormat="1" ht="12.5">
      <x:c r="A211" s="63">
        <x:v>206</x:v>
      </x:c>
      <x:c r="B211" s="58" t="s">
        <x:v>546</x:v>
      </x:c>
      <x:c r="C211" s="59" t="s">
        <x:v>34</x:v>
      </x:c>
      <x:c r="D211" s="58" t="s">
        <x:v>60</x:v>
      </x:c>
      <x:c r="E211" s="58" t="s">
        <x:v>91</x:v>
      </x:c>
      <x:c r="F211" s="59" t="s">
        <x:v>154</x:v>
      </x:c>
      <x:c r="G211" s="59" t="s">
        <x:v>155</x:v>
      </x:c>
      <x:c r="H211" s="59" t="s">
        <x:v>156</x:v>
      </x:c>
      <x:c r="I211" s="59" t="s">
        <x:v>65</x:v>
      </x:c>
      <x:c r="J211" s="59">
        <x:v>2017</x:v>
      </x:c>
      <x:c r="K211" s="59">
        <x:v>111</x:v>
      </x:c>
      <x:c r="L211" s="58">
        <x:v>111</x:v>
      </x:c>
      <x:c r="M211" s="59">
        <x:v>111</x:v>
      </x:c>
      <x:c r="N211" s="59" t="s">
        <x:v>41</x:v>
      </x:c>
      <x:c r="O211" s="59" t="s">
        <x:v>42</x:v>
      </x:c>
      <x:c r="Q211" s="23" t="s">
        <x:v>43</x:v>
      </x:c>
      <x:c r="S211" s="58"/>
      <x:c r="T211" s="58"/>
      <x:c r="U211" s="58"/>
      <x:c r="V211" s="58">
        <x:v>-2.0895030000000001</x:v>
      </x:c>
      <x:c r="W211" s="58">
        <x:v>106.106718</x:v>
      </x:c>
      <x:c r="X211" s="60"/>
      <x:c r="Y211" s="60"/>
      <x:c r="Z211" s="58"/>
      <x:c r="AA211" s="60"/>
      <x:c r="AB211" s="60"/>
      <x:c r="AC211" s="61">
        <x:f t="shared" si="14"/>
        <x:v>1</x:v>
      </x:c>
      <x:c r="AD211" s="61">
        <x:f t="shared" si="15"/>
        <x:v>1</x:v>
      </x:c>
    </x:row>
    <x:row r="212" s="59" customFormat="1" ht="12.5">
      <x:c r="A212" s="63">
        <x:v>207</x:v>
      </x:c>
      <x:c r="B212" s="58" t="s">
        <x:v>547</x:v>
      </x:c>
      <x:c r="C212" s="59" t="s">
        <x:v>34</x:v>
      </x:c>
      <x:c r="D212" s="58" t="s">
        <x:v>35</x:v>
      </x:c>
      <x:c r="E212" s="58" t="s">
        <x:v>36</x:v>
      </x:c>
      <x:c r="F212" s="59" t="s">
        <x:v>234</x:v>
      </x:c>
      <x:c r="G212" s="59" t="s">
        <x:v>548</x:v>
      </x:c>
      <x:c r="H212" s="59" t="s">
        <x:v>543</x:v>
      </x:c>
      <x:c r="I212" s="59" t="s">
        <x:v>42</x:v>
      </x:c>
      <x:c r="J212" s="59">
        <x:v>2018</x:v>
      </x:c>
      <x:c r="K212" s="59">
        <x:v>25</x:v>
      </x:c>
      <x:c r="L212" s="58">
        <x:v>25</x:v>
      </x:c>
      <x:c r="M212" s="59">
        <x:v>25</x:v>
      </x:c>
      <x:c r="N212" s="59" t="s">
        <x:v>41</x:v>
      </x:c>
      <x:c r="O212" s="59" t="s">
        <x:v>42</x:v>
      </x:c>
      <x:c r="Q212" s="23" t="s">
        <x:v>43</x:v>
      </x:c>
      <x:c r="S212" s="58"/>
      <x:c r="T212" s="58"/>
      <x:c r="U212" s="58"/>
      <x:c r="V212" s="58">
        <x:v>-2.1027453999999999</x:v>
      </x:c>
      <x:c r="W212" s="58">
        <x:v>106.08195600000001</x:v>
      </x:c>
      <x:c r="X212" s="60"/>
      <x:c r="Y212" s="60"/>
      <x:c r="Z212" s="58"/>
      <x:c r="AA212" s="60"/>
      <x:c r="AB212" s="60"/>
      <x:c r="AC212" s="61">
        <x:f t="shared" si="14"/>
        <x:v>1</x:v>
      </x:c>
      <x:c r="AD212" s="61">
        <x:f t="shared" si="15"/>
        <x:v>1</x:v>
      </x:c>
    </x:row>
    <x:row r="213" s="59" customFormat="1" ht="12.5">
      <x:c r="A213" s="63">
        <x:v>208</x:v>
      </x:c>
      <x:c r="B213" s="58" t="s">
        <x:v>549</x:v>
      </x:c>
      <x:c r="C213" s="59" t="s">
        <x:v>34</x:v>
      </x:c>
      <x:c r="D213" s="58" t="s">
        <x:v>35</x:v>
      </x:c>
      <x:c r="E213" s="58" t="s">
        <x:v>550</x:v>
      </x:c>
      <x:c r="F213" s="59" t="s">
        <x:v>42</x:v>
      </x:c>
      <x:c r="G213" s="59" t="s">
        <x:v>329</x:v>
      </x:c>
      <x:c r="H213" s="59" t="s">
        <x:v>330</x:v>
      </x:c>
      <x:c r="I213" s="59" t="s">
        <x:v>42</x:v>
      </x:c>
      <x:c r="J213" s="59">
        <x:v>2017</x:v>
      </x:c>
      <x:c r="K213" s="59">
        <x:v>15</x:v>
      </x:c>
      <x:c r="L213" s="58">
        <x:v>0</x:v>
      </x:c>
      <x:c r="M213" s="59">
        <x:v>0</x:v>
      </x:c>
      <x:c r="N213" s="59" t="s">
        <x:v>41</x:v>
      </x:c>
      <x:c r="O213" s="59" t="s">
        <x:v>42</x:v>
      </x:c>
      <x:c r="Q213" s="23" t="s">
        <x:v>43</x:v>
      </x:c>
      <x:c r="S213" s="58"/>
      <x:c r="T213" s="58"/>
      <x:c r="U213" s="58"/>
      <x:c r="V213" s="58">
        <x:v>-2.1195455999999999</x:v>
      </x:c>
      <x:c r="W213" s="58">
        <x:v>106.0841642</x:v>
      </x:c>
      <x:c r="X213" s="60"/>
      <x:c r="Y213" s="60"/>
      <x:c r="Z213" s="58"/>
      <x:c r="AA213" s="60"/>
      <x:c r="AB213" s="60"/>
      <x:c r="AC213" s="61" t="n">
        <x:f t="shared" ref="AC213:AC276" si="16">IF(A213="","",IFERROR(L213/K213,0))</x:f>
        <x:v>0</x:v>
      </x:c>
      <x:c r="AD213" s="61" t="n">
        <x:f t="shared" ref="AD213:AD276" si="17">IF(A213="","",IFERROR(M213/L213,0))</x:f>
        <x:v>0</x:v>
      </x:c>
    </x:row>
    <x:row r="214" s="59" customFormat="1" ht="12.5">
      <x:c r="A214" s="63">
        <x:v>209</x:v>
      </x:c>
      <x:c r="B214" s="58" t="s">
        <x:v>549</x:v>
      </x:c>
      <x:c r="C214" s="59" t="s">
        <x:v>34</x:v>
      </x:c>
      <x:c r="D214" s="58" t="s">
        <x:v>60</x:v>
      </x:c>
      <x:c r="E214" s="58" t="s">
        <x:v>70</x:v>
      </x:c>
      <x:c r="F214" s="59" t="s">
        <x:v>500</x:v>
      </x:c>
      <x:c r="G214" s="59" t="s">
        <x:v>551</x:v>
      </x:c>
      <x:c r="H214" s="59" t="s">
        <x:v>552</x:v>
      </x:c>
      <x:c r="I214" s="59" t="s">
        <x:v>112</x:v>
      </x:c>
      <x:c r="J214" s="59">
        <x:v>2021</x:v>
      </x:c>
      <x:c r="K214" s="59">
        <x:v>43</x:v>
      </x:c>
      <x:c r="L214" s="58">
        <x:v>42</x:v>
      </x:c>
      <x:c r="M214" s="59">
        <x:v>42</x:v>
      </x:c>
      <x:c r="N214" s="59" t="s">
        <x:v>41</x:v>
      </x:c>
      <x:c r="O214" s="59" t="s">
        <x:v>42</x:v>
      </x:c>
      <x:c r="Q214" s="23" t="s">
        <x:v>43</x:v>
      </x:c>
      <x:c r="S214" s="58"/>
      <x:c r="T214" s="11" t="s">
        <x:v>44</x:v>
      </x:c>
      <x:c r="U214" s="58"/>
      <x:c r="V214" s="58">
        <x:v>-2.0967829999999998</x:v>
      </x:c>
      <x:c r="W214" s="58">
        <x:v>106.090541</x:v>
      </x:c>
      <x:c r="X214" s="60"/>
      <x:c r="Y214" s="60"/>
      <x:c r="Z214" s="58"/>
      <x:c r="AA214" s="60"/>
      <x:c r="AB214" s="60"/>
      <x:c r="AC214" s="61">
        <x:f t="shared" si="16"/>
        <x:v>0.97674418604651159</x:v>
      </x:c>
      <x:c r="AD214" s="61">
        <x:f t="shared" si="17"/>
        <x:v>1</x:v>
      </x:c>
    </x:row>
    <x:row r="215" s="59" customFormat="1" ht="12.5">
      <x:c r="A215" s="63">
        <x:v>210</x:v>
      </x:c>
      <x:c r="B215" s="58" t="s">
        <x:v>553</x:v>
      </x:c>
      <x:c r="C215" s="59" t="s">
        <x:v>170</x:v>
      </x:c>
      <x:c r="D215" s="58" t="s">
        <x:v>60</x:v>
      </x:c>
      <x:c r="E215" s="58" t="s">
        <x:v>91</x:v>
      </x:c>
      <x:c r="F215" s="59" t="s">
        <x:v>154</x:v>
      </x:c>
      <x:c r="G215" s="59" t="s">
        <x:v>42</x:v>
      </x:c>
      <x:c r="H215" s="59" t="s">
        <x:v>42</x:v>
      </x:c>
      <x:c r="I215" s="59" t="s">
        <x:v>42</x:v>
      </x:c>
      <x:c r="J215" s="59">
        <x:v>2015</x:v>
      </x:c>
      <x:c r="K215" s="59">
        <x:v>10</x:v>
      </x:c>
      <x:c r="L215" s="58">
        <x:v>0</x:v>
      </x:c>
      <x:c r="M215" s="59">
        <x:v>0</x:v>
      </x:c>
      <x:c r="N215" s="59" t="s">
        <x:v>41</x:v>
      </x:c>
      <x:c r="O215" s="59" t="s">
        <x:v>42</x:v>
      </x:c>
      <x:c r="Q215" s="23" t="s">
        <x:v>43</x:v>
      </x:c>
      <x:c r="S215" s="58"/>
      <x:c r="T215" s="58"/>
      <x:c r="U215" s="58"/>
      <x:c r="V215" s="58">
        <x:v>-2.0873235600000002</x:v>
      </x:c>
      <x:c r="W215" s="58">
        <x:v>106.1073224</x:v>
      </x:c>
      <x:c r="X215" s="60"/>
      <x:c r="Y215" s="60"/>
      <x:c r="Z215" s="58"/>
      <x:c r="AA215" s="60"/>
      <x:c r="AB215" s="60"/>
      <x:c r="AC215" s="61">
        <x:f t="shared" si="16"/>
        <x:v>0</x:v>
      </x:c>
      <x:c r="AD215" s="61">
        <x:f t="shared" si="17"/>
        <x:v>0</x:v>
      </x:c>
    </x:row>
    <x:row r="216" s="59" customFormat="1" ht="12.5">
      <x:c r="A216" s="63">
        <x:v>211</x:v>
      </x:c>
      <x:c r="B216" s="58" t="s">
        <x:v>554</x:v>
      </x:c>
      <x:c r="C216" s="59" t="s">
        <x:v>34</x:v>
      </x:c>
      <x:c r="D216" s="58" t="s">
        <x:v>60</x:v>
      </x:c>
      <x:c r="E216" s="58" t="s">
        <x:v>91</x:v>
      </x:c>
      <x:c r="F216" s="59" t="s">
        <x:v>555</x:v>
      </x:c>
      <x:c r="G216" s="59" t="s">
        <x:v>556</x:v>
      </x:c>
      <x:c r="H216" s="59" t="s">
        <x:v>474</x:v>
      </x:c>
      <x:c r="I216" s="59" t="s">
        <x:v>40</x:v>
      </x:c>
      <x:c r="J216" s="59">
        <x:v>2018</x:v>
      </x:c>
      <x:c r="K216" s="59">
        <x:v>103</x:v>
      </x:c>
      <x:c r="L216" s="58">
        <x:v>46</x:v>
      </x:c>
      <x:c r="M216" s="59">
        <x:v>46</x:v>
      </x:c>
      <x:c r="N216" s="59" t="s">
        <x:v>41</x:v>
      </x:c>
      <x:c r="O216" s="59" t="s">
        <x:v>42</x:v>
      </x:c>
      <x:c r="Q216" s="23" t="s">
        <x:v>43</x:v>
      </x:c>
      <x:c r="R216" s="23" t="s">
        <x:v>88</x:v>
      </x:c>
      <x:c r="S216" s="58"/>
      <x:c r="T216" s="58"/>
      <x:c r="U216" s="58"/>
      <x:c r="V216" s="58">
        <x:v>-2.080676</x:v>
      </x:c>
      <x:c r="W216" s="58">
        <x:v>106.124278</x:v>
      </x:c>
      <x:c r="X216" s="60"/>
      <x:c r="Y216" s="60"/>
      <x:c r="Z216" s="58"/>
      <x:c r="AA216" s="60"/>
      <x:c r="AB216" s="60"/>
      <x:c r="AC216" s="61">
        <x:f t="shared" si="16"/>
        <x:v>0.44660194174757284</x:v>
      </x:c>
      <x:c r="AD216" s="61">
        <x:f t="shared" si="17"/>
        <x:v>1</x:v>
      </x:c>
    </x:row>
    <x:row r="217" s="59" customFormat="1" ht="12.5">
      <x:c r="A217" s="63">
        <x:v>212</x:v>
      </x:c>
      <x:c r="B217" s="58" t="s">
        <x:v>557</x:v>
      </x:c>
      <x:c r="C217" s="59" t="s">
        <x:v>170</x:v>
      </x:c>
      <x:c r="D217" s="58" t="s">
        <x:v>35</x:v>
      </x:c>
      <x:c r="E217" s="58" t="s">
        <x:v>46</x:v>
      </x:c>
      <x:c r="F217" s="59" t="s">
        <x:v>51</x:v>
      </x:c>
      <x:c r="G217" s="59" t="s">
        <x:v>360</x:v>
      </x:c>
      <x:c r="H217" s="59" t="s">
        <x:v>361</x:v>
      </x:c>
      <x:c r="I217" s="59" t="s">
        <x:v>42</x:v>
      </x:c>
      <x:c r="J217" s="59">
        <x:v>2020</x:v>
      </x:c>
      <x:c r="K217" s="59">
        <x:v>32</x:v>
      </x:c>
      <x:c r="L217" s="58">
        <x:v>32</x:v>
      </x:c>
      <x:c r="M217" s="59">
        <x:v>32</x:v>
      </x:c>
      <x:c r="N217" s="59" t="s">
        <x:v>41</x:v>
      </x:c>
      <x:c r="O217" s="59" t="s">
        <x:v>42</x:v>
      </x:c>
      <x:c r="Q217" s="23" t="s">
        <x:v>43</x:v>
      </x:c>
      <x:c r="R217" s="23" t="s">
        <x:v>88</x:v>
      </x:c>
      <x:c r="S217" s="58"/>
      <x:c r="T217" s="58"/>
      <x:c r="U217" s="58"/>
      <x:c r="V217" s="58">
        <x:v>-2.1250148000000002</x:v>
      </x:c>
      <x:c r="W217" s="58">
        <x:v>106.07380209999999</x:v>
      </x:c>
      <x:c r="X217" s="60"/>
      <x:c r="Y217" s="60"/>
      <x:c r="Z217" s="58"/>
      <x:c r="AA217" s="60"/>
      <x:c r="AB217" s="60"/>
      <x:c r="AC217" s="61">
        <x:f t="shared" si="16"/>
        <x:v>1</x:v>
      </x:c>
      <x:c r="AD217" s="61">
        <x:f t="shared" si="17"/>
        <x:v>1</x:v>
      </x:c>
    </x:row>
    <x:row r="218" s="59" customFormat="1" ht="12.5">
      <x:c r="A218" s="63">
        <x:v>213</x:v>
      </x:c>
      <x:c r="B218" s="58" t="s">
        <x:v>558</x:v>
      </x:c>
      <x:c r="C218" s="59" t="s">
        <x:v>34</x:v>
      </x:c>
      <x:c r="D218" s="58" t="s">
        <x:v>60</x:v>
      </x:c>
      <x:c r="E218" s="58" t="s">
        <x:v>267</x:v>
      </x:c>
      <x:c r="F218" s="59" t="s">
        <x:v>559</x:v>
      </x:c>
      <x:c r="G218" s="59" t="s">
        <x:v>560</x:v>
      </x:c>
      <x:c r="H218" s="59" t="s">
        <x:v>561</x:v>
      </x:c>
      <x:c r="I218" s="59" t="s">
        <x:v>42</x:v>
      </x:c>
      <x:c r="J218" s="59">
        <x:v>2018</x:v>
      </x:c>
      <x:c r="K218" s="59">
        <x:v>40</x:v>
      </x:c>
      <x:c r="L218" s="58">
        <x:v>40</x:v>
      </x:c>
      <x:c r="M218" s="59">
        <x:v>40</x:v>
      </x:c>
      <x:c r="N218" s="59" t="s">
        <x:v>41</x:v>
      </x:c>
      <x:c r="O218" s="59" t="s">
        <x:v>42</x:v>
      </x:c>
      <x:c r="Q218" s="59" t="s">
        <x:v>72</x:v>
      </x:c>
      <x:c r="S218" s="58"/>
      <x:c r="T218" s="58"/>
      <x:c r="U218" s="58"/>
      <x:c r="V218" s="58">
        <x:v>-2.0951469999999999</x:v>
      </x:c>
      <x:c r="W218" s="58">
        <x:v>106.108746</x:v>
      </x:c>
      <x:c r="X218" s="60"/>
      <x:c r="Y218" s="60"/>
      <x:c r="Z218" s="58"/>
      <x:c r="AA218" s="60"/>
      <x:c r="AB218" s="60"/>
      <x:c r="AC218" s="61">
        <x:f t="shared" si="16"/>
        <x:v>1</x:v>
      </x:c>
      <x:c r="AD218" s="61">
        <x:f t="shared" si="17"/>
        <x:v>1</x:v>
      </x:c>
    </x:row>
    <x:row r="219" s="59" customFormat="1" ht="12.5">
      <x:c r="A219" s="63">
        <x:v>214</x:v>
      </x:c>
      <x:c r="B219" s="58" t="s">
        <x:v>562</x:v>
      </x:c>
      <x:c r="C219" s="59" t="s">
        <x:v>34</x:v>
      </x:c>
      <x:c r="D219" s="58" t="s">
        <x:v>60</x:v>
      </x:c>
      <x:c r="E219" s="58" t="s">
        <x:v>267</x:v>
      </x:c>
      <x:c r="F219" s="59" t="s">
        <x:v>559</x:v>
      </x:c>
      <x:c r="G219" s="59" t="s">
        <x:v>560</x:v>
      </x:c>
      <x:c r="H219" s="59" t="s">
        <x:v>561</x:v>
      </x:c>
      <x:c r="I219" s="59" t="s">
        <x:v>42</x:v>
      </x:c>
      <x:c r="J219" s="59">
        <x:v>2019</x:v>
      </x:c>
      <x:c r="K219" s="59">
        <x:v>8</x:v>
      </x:c>
      <x:c r="L219" s="58">
        <x:v>8</x:v>
      </x:c>
      <x:c r="M219" s="59">
        <x:v>8</x:v>
      </x:c>
      <x:c r="N219" s="59" t="s">
        <x:v>41</x:v>
      </x:c>
      <x:c r="O219" s="59" t="s">
        <x:v>42</x:v>
      </x:c>
      <x:c r="Q219" s="23" t="s">
        <x:v>43</x:v>
      </x:c>
      <x:c r="S219" s="58"/>
      <x:c r="T219" s="58"/>
      <x:c r="U219" s="58"/>
      <x:c r="V219" s="58">
        <x:v>-2.0951469999999999</x:v>
      </x:c>
      <x:c r="W219" s="58">
        <x:v>106.108746</x:v>
      </x:c>
      <x:c r="X219" s="60"/>
      <x:c r="Y219" s="60"/>
      <x:c r="Z219" s="58"/>
      <x:c r="AA219" s="60"/>
      <x:c r="AB219" s="60"/>
      <x:c r="AC219" s="61">
        <x:f t="shared" si="16"/>
        <x:v>1</x:v>
      </x:c>
      <x:c r="AD219" s="61">
        <x:f t="shared" si="17"/>
        <x:v>1</x:v>
      </x:c>
    </x:row>
    <x:row r="220" s="59" customFormat="1" ht="12.5">
      <x:c r="A220" s="63">
        <x:v>215</x:v>
      </x:c>
      <x:c r="B220" s="58" t="s">
        <x:v>563</x:v>
      </x:c>
      <x:c r="C220" s="59" t="s">
        <x:v>90</x:v>
      </x:c>
      <x:c r="D220" s="58" t="s">
        <x:v>81</x:v>
      </x:c>
      <x:c r="E220" s="58" t="s">
        <x:v>82</x:v>
      </x:c>
      <x:c r="F220" s="59" t="s">
        <x:v>564</x:v>
      </x:c>
      <x:c r="G220" s="59" t="s">
        <x:v>565</x:v>
      </x:c>
      <x:c r="H220" s="59" t="s">
        <x:v>566</x:v>
      </x:c>
      <x:c r="I220" s="59" t="s">
        <x:v>86</x:v>
      </x:c>
      <x:c r="J220" s="59">
        <x:v>2018</x:v>
      </x:c>
      <x:c r="K220" s="59">
        <x:v>101</x:v>
      </x:c>
      <x:c r="L220" s="58">
        <x:v>98</x:v>
      </x:c>
      <x:c r="M220" s="59">
        <x:v>98</x:v>
      </x:c>
      <x:c r="N220" s="59" t="s">
        <x:v>41</x:v>
      </x:c>
      <x:c r="O220" s="59" t="s">
        <x:v>42</x:v>
      </x:c>
      <x:c r="Q220" s="23" t="s">
        <x:v>43</x:v>
      </x:c>
      <x:c r="S220" s="58"/>
      <x:c r="T220" s="58"/>
      <x:c r="U220" s="58"/>
      <x:c r="V220" s="58">
        <x:v>-2.1433472</x:v>
      </x:c>
      <x:c r="W220" s="58">
        <x:v>106.1389238</x:v>
      </x:c>
      <x:c r="X220" s="60"/>
      <x:c r="Y220" s="60"/>
      <x:c r="Z220" s="58"/>
      <x:c r="AA220" s="60"/>
      <x:c r="AB220" s="60"/>
      <x:c r="AC220" s="61">
        <x:f t="shared" si="16"/>
        <x:v>0.97029702970297027</x:v>
      </x:c>
      <x:c r="AD220" s="61">
        <x:f t="shared" si="17"/>
        <x:v>1</x:v>
      </x:c>
    </x:row>
    <x:row r="221" s="59" customFormat="1" ht="12.5">
      <x:c r="A221" s="63">
        <x:v>216</x:v>
      </x:c>
      <x:c r="B221" s="58" t="s">
        <x:v>567</x:v>
      </x:c>
      <x:c r="C221" s="59" t="s">
        <x:v>34</x:v>
      </x:c>
      <x:c r="D221" s="58" t="s">
        <x:v>81</x:v>
      </x:c>
      <x:c r="E221" s="58" t="s">
        <x:v>202</x:v>
      </x:c>
      <x:c r="F221" s="59" t="s">
        <x:v>258</x:v>
      </x:c>
      <x:c r="G221" s="59" t="s">
        <x:v>568</x:v>
      </x:c>
      <x:c r="H221" s="59" t="s">
        <x:v>566</x:v>
      </x:c>
      <x:c r="I221" s="59" t="s">
        <x:v>86</x:v>
      </x:c>
      <x:c r="J221" s="59">
        <x:v>2024</x:v>
      </x:c>
      <x:c r="K221" s="59">
        <x:v>160</x:v>
      </x:c>
      <x:c r="L221" s="58">
        <x:v>37</x:v>
      </x:c>
      <x:c r="M221" s="59">
        <x:v>0</x:v>
      </x:c>
      <x:c r="N221" s="59" t="s">
        <x:v>41</x:v>
      </x:c>
      <x:c r="O221" s="59" t="s">
        <x:v>42</x:v>
      </x:c>
      <x:c r="Q221" s="23" t="s">
        <x:v>43</x:v>
      </x:c>
      <x:c r="R221" s="23" t="s">
        <x:v>88</x:v>
      </x:c>
      <x:c r="S221" s="58"/>
      <x:c r="T221" s="58"/>
      <x:c r="U221" s="58"/>
      <x:c r="V221" s="58">
        <x:v>-2.1330502</x:v>
      </x:c>
      <x:c r="W221" s="58">
        <x:v>106.14794019999999</x:v>
      </x:c>
      <x:c r="X221" s="60"/>
      <x:c r="Y221" s="60"/>
      <x:c r="Z221" s="58"/>
      <x:c r="AA221" s="60"/>
      <x:c r="AB221" s="60"/>
      <x:c r="AC221" s="61">
        <x:f t="shared" si="16"/>
        <x:v>0.23125000000000001</x:v>
      </x:c>
      <x:c r="AD221" s="61">
        <x:f t="shared" si="17"/>
        <x:v>0</x:v>
      </x:c>
    </x:row>
    <x:row r="222" s="59" customFormat="1" ht="12.5">
      <x:c r="A222" s="63">
        <x:v>217</x:v>
      </x:c>
      <x:c r="B222" s="58" t="s">
        <x:v>569</x:v>
      </x:c>
      <x:c r="C222" s="59" t="s">
        <x:v>34</x:v>
      </x:c>
      <x:c r="D222" s="58" t="s">
        <x:v>81</x:v>
      </x:c>
      <x:c r="E222" s="58" t="s">
        <x:v>82</x:v>
      </x:c>
      <x:c r="F222" s="59" t="s">
        <x:v>258</x:v>
      </x:c>
      <x:c r="G222" s="59" t="s">
        <x:v>568</x:v>
      </x:c>
      <x:c r="H222" s="59" t="s">
        <x:v>566</x:v>
      </x:c>
      <x:c r="I222" s="59" t="s">
        <x:v>86</x:v>
      </x:c>
      <x:c r="J222" s="59">
        <x:v>2024</x:v>
      </x:c>
      <x:c r="K222" s="59">
        <x:v>139</x:v>
      </x:c>
      <x:c r="L222" s="58">
        <x:v>0</x:v>
      </x:c>
      <x:c r="M222" s="59">
        <x:v>0</x:v>
      </x:c>
      <x:c r="N222" s="59" t="s">
        <x:v>41</x:v>
      </x:c>
      <x:c r="O222" s="59" t="s">
        <x:v>42</x:v>
      </x:c>
      <x:c r="Q222" s="23" t="s">
        <x:v>43</x:v>
      </x:c>
      <x:c r="S222" s="58"/>
      <x:c r="T222" s="58"/>
      <x:c r="U222" s="58"/>
      <x:c r="V222" s="58">
        <x:v>-2.1330502</x:v>
      </x:c>
      <x:c r="W222" s="58">
        <x:v>106.14794019999999</x:v>
      </x:c>
      <x:c r="X222" s="60"/>
      <x:c r="Y222" s="60"/>
      <x:c r="Z222" s="58"/>
      <x:c r="AA222" s="60"/>
      <x:c r="AB222" s="60"/>
      <x:c r="AC222" s="61">
        <x:f t="shared" si="16"/>
        <x:v>0</x:v>
      </x:c>
      <x:c r="AD222" s="61">
        <x:f t="shared" si="17"/>
        <x:v>0</x:v>
      </x:c>
    </x:row>
    <x:row r="223" s="59" customFormat="1" ht="12.5">
      <x:c r="A223" s="63">
        <x:v>218</x:v>
      </x:c>
      <x:c r="B223" s="58" t="s">
        <x:v>570</x:v>
      </x:c>
      <x:c r="C223" s="59" t="s">
        <x:v>34</x:v>
      </x:c>
      <x:c r="D223" s="58" t="s">
        <x:v>81</x:v>
      </x:c>
      <x:c r="E223" s="58" t="s">
        <x:v>82</x:v>
      </x:c>
      <x:c r="F223" s="59" t="s">
        <x:v>258</x:v>
      </x:c>
      <x:c r="G223" s="59" t="s">
        <x:v>568</x:v>
      </x:c>
      <x:c r="H223" s="59" t="s">
        <x:v>566</x:v>
      </x:c>
      <x:c r="I223" s="59" t="s">
        <x:v>86</x:v>
      </x:c>
      <x:c r="J223" s="59">
        <x:v>2024</x:v>
      </x:c>
      <x:c r="K223" s="59">
        <x:v>155</x:v>
      </x:c>
      <x:c r="L223" s="58">
        <x:v>0</x:v>
      </x:c>
      <x:c r="M223" s="59">
        <x:v>0</x:v>
      </x:c>
      <x:c r="N223" s="59" t="s">
        <x:v>41</x:v>
      </x:c>
      <x:c r="O223" s="59" t="s">
        <x:v>42</x:v>
      </x:c>
      <x:c r="Q223" s="23" t="s">
        <x:v>43</x:v>
      </x:c>
      <x:c r="S223" s="58"/>
      <x:c r="T223" s="58"/>
      <x:c r="U223" s="58"/>
      <x:c r="V223" s="58">
        <x:v>-2.1330502</x:v>
      </x:c>
      <x:c r="W223" s="58">
        <x:v>106.14794019999999</x:v>
      </x:c>
      <x:c r="X223" s="60"/>
      <x:c r="Y223" s="60"/>
      <x:c r="Z223" s="58"/>
      <x:c r="AA223" s="60"/>
      <x:c r="AB223" s="60"/>
      <x:c r="AC223" s="61">
        <x:f t="shared" si="16"/>
        <x:v>0</x:v>
      </x:c>
      <x:c r="AD223" s="61">
        <x:f t="shared" si="17"/>
        <x:v>0</x:v>
      </x:c>
    </x:row>
    <x:row r="224" s="59" customFormat="1" ht="12.5">
      <x:c r="A224" s="63">
        <x:v>219</x:v>
      </x:c>
      <x:c r="B224" s="58" t="s">
        <x:v>571</x:v>
      </x:c>
      <x:c r="C224" s="59" t="s">
        <x:v>34</x:v>
      </x:c>
      <x:c r="D224" s="58" t="s">
        <x:v>81</x:v>
      </x:c>
      <x:c r="E224" s="58" t="s">
        <x:v>82</x:v>
      </x:c>
      <x:c r="F224" s="59" t="s">
        <x:v>258</x:v>
      </x:c>
      <x:c r="G224" s="59" t="s">
        <x:v>568</x:v>
      </x:c>
      <x:c r="H224" s="59" t="s">
        <x:v>566</x:v>
      </x:c>
      <x:c r="I224" s="59" t="s">
        <x:v>86</x:v>
      </x:c>
      <x:c r="J224" s="59">
        <x:v>2024</x:v>
      </x:c>
      <x:c r="K224" s="59">
        <x:v>154</x:v>
      </x:c>
      <x:c r="L224" s="58">
        <x:v>0</x:v>
      </x:c>
      <x:c r="M224" s="59">
        <x:v>0</x:v>
      </x:c>
      <x:c r="N224" s="59" t="s">
        <x:v>41</x:v>
      </x:c>
      <x:c r="O224" s="59" t="s">
        <x:v>42</x:v>
      </x:c>
      <x:c r="Q224" s="23" t="s">
        <x:v>43</x:v>
      </x:c>
      <x:c r="S224" s="58"/>
      <x:c r="T224" s="58"/>
      <x:c r="U224" s="58"/>
      <x:c r="V224" s="58">
        <x:v>-2.1330502</x:v>
      </x:c>
      <x:c r="W224" s="58">
        <x:v>106.14794019999999</x:v>
      </x:c>
      <x:c r="X224" s="60"/>
      <x:c r="Y224" s="60"/>
      <x:c r="Z224" s="58"/>
      <x:c r="AA224" s="60"/>
      <x:c r="AB224" s="60"/>
      <x:c r="AC224" s="61">
        <x:f t="shared" si="16"/>
        <x:v>0</x:v>
      </x:c>
      <x:c r="AD224" s="61">
        <x:f t="shared" si="17"/>
        <x:v>0</x:v>
      </x:c>
    </x:row>
    <x:row r="225" s="59" customFormat="1" ht="12.5">
      <x:c r="A225" s="63">
        <x:v>220</x:v>
      </x:c>
      <x:c r="B225" s="58" t="s">
        <x:v>572</x:v>
      </x:c>
      <x:c r="C225" s="59" t="s">
        <x:v>34</x:v>
      </x:c>
      <x:c r="D225" s="58" t="s">
        <x:v>60</x:v>
      </x:c>
      <x:c r="E225" s="58" t="s">
        <x:v>91</x:v>
      </x:c>
      <x:c r="F225" s="59" t="s">
        <x:v>490</x:v>
      </x:c>
      <x:c r="G225" s="59" t="s">
        <x:v>573</x:v>
      </x:c>
      <x:c r="H225" s="59" t="s">
        <x:v>574</x:v>
      </x:c>
      <x:c r="I225" s="59" t="s">
        <x:v>42</x:v>
      </x:c>
      <x:c r="J225" s="59">
        <x:v>2019</x:v>
      </x:c>
      <x:c r="K225" s="59">
        <x:v>44</x:v>
      </x:c>
      <x:c r="L225" s="58">
        <x:v>0</x:v>
      </x:c>
      <x:c r="M225" s="59">
        <x:v>0</x:v>
      </x:c>
      <x:c r="N225" s="59" t="s">
        <x:v>41</x:v>
      </x:c>
      <x:c r="O225" s="59" t="s">
        <x:v>42</x:v>
      </x:c>
      <x:c r="Q225" s="23" t="s">
        <x:v>43</x:v>
      </x:c>
      <x:c r="S225" s="58"/>
      <x:c r="T225" s="58"/>
      <x:c r="U225" s="58"/>
      <x:c r="V225" s="58"/>
      <x:c r="W225" s="58"/>
      <x:c r="X225" s="60"/>
      <x:c r="Y225" s="60"/>
      <x:c r="Z225" s="58"/>
      <x:c r="AA225" s="60"/>
      <x:c r="AB225" s="60"/>
      <x:c r="AC225" s="61">
        <x:f t="shared" si="16"/>
        <x:v>0</x:v>
      </x:c>
      <x:c r="AD225" s="61">
        <x:f t="shared" si="17"/>
        <x:v>0</x:v>
      </x:c>
    </x:row>
    <x:row r="226" s="59" customFormat="1" ht="12.5">
      <x:c r="A226" s="63">
        <x:v>221</x:v>
      </x:c>
      <x:c r="B226" s="58" t="s">
        <x:v>575</x:v>
      </x:c>
      <x:c r="C226" s="59" t="s">
        <x:v>34</x:v>
      </x:c>
      <x:c r="D226" s="58" t="s">
        <x:v>81</x:v>
      </x:c>
      <x:c r="E226" s="58" t="s">
        <x:v>202</x:v>
      </x:c>
      <x:c r="F226" s="59" t="s">
        <x:v>421</x:v>
      </x:c>
      <x:c r="G226" s="59" t="s">
        <x:v>42</x:v>
      </x:c>
      <x:c r="H226" s="59" t="s">
        <x:v>42</x:v>
      </x:c>
      <x:c r="I226" s="59" t="s">
        <x:v>42</x:v>
      </x:c>
      <x:c r="J226" s="59">
        <x:v>2016</x:v>
      </x:c>
      <x:c r="K226" s="59">
        <x:v>20</x:v>
      </x:c>
      <x:c r="L226" s="58">
        <x:v>20</x:v>
      </x:c>
      <x:c r="M226" s="59">
        <x:v>20</x:v>
      </x:c>
      <x:c r="N226" s="59" t="s">
        <x:v>41</x:v>
      </x:c>
      <x:c r="O226" s="59" t="s">
        <x:v>42</x:v>
      </x:c>
      <x:c r="Q226" s="23" t="s">
        <x:v>43</x:v>
      </x:c>
      <x:c r="R226" s="23" t="s">
        <x:v>88</x:v>
      </x:c>
      <x:c r="S226" s="58"/>
      <x:c r="T226" s="58"/>
      <x:c r="U226" s="58"/>
      <x:c r="V226" s="58"/>
      <x:c r="W226" s="58"/>
      <x:c r="X226" s="60"/>
      <x:c r="Y226" s="60"/>
      <x:c r="Z226" s="58"/>
      <x:c r="AA226" s="60"/>
      <x:c r="AB226" s="60"/>
      <x:c r="AC226" s="61">
        <x:f t="shared" si="16"/>
        <x:v>1</x:v>
      </x:c>
      <x:c r="AD226" s="61">
        <x:f t="shared" si="17"/>
        <x:v>1</x:v>
      </x:c>
    </x:row>
    <x:row r="227" s="59" customFormat="1" ht="12.5">
      <x:c r="A227" s="63">
        <x:v>222</x:v>
      </x:c>
      <x:c r="B227" s="58" t="s">
        <x:v>576</x:v>
      </x:c>
      <x:c r="C227" s="59" t="s">
        <x:v>34</x:v>
      </x:c>
      <x:c r="D227" s="58" t="s">
        <x:v>81</x:v>
      </x:c>
      <x:c r="E227" s="58" t="s">
        <x:v>122</x:v>
      </x:c>
      <x:c r="F227" s="59" t="s">
        <x:v>415</x:v>
      </x:c>
      <x:c r="G227" s="59" t="s">
        <x:v>577</x:v>
      </x:c>
      <x:c r="H227" s="59" t="s">
        <x:v>578</x:v>
      </x:c>
      <x:c r="I227" s="59" t="s">
        <x:v>112</x:v>
      </x:c>
      <x:c r="J227" s="59">
        <x:v>2019</x:v>
      </x:c>
      <x:c r="K227" s="59">
        <x:v>57</x:v>
      </x:c>
      <x:c r="L227" s="58">
        <x:v>55</x:v>
      </x:c>
      <x:c r="M227" s="59">
        <x:v>55</x:v>
      </x:c>
      <x:c r="N227" s="59" t="s">
        <x:v>41</x:v>
      </x:c>
      <x:c r="O227" s="59" t="s">
        <x:v>42</x:v>
      </x:c>
      <x:c r="Q227" s="23" t="s">
        <x:v>43</x:v>
      </x:c>
      <x:c r="S227" s="58"/>
      <x:c r="T227" s="58"/>
      <x:c r="U227" s="58"/>
      <x:c r="V227" s="58">
        <x:v>-2.1381644999999998</x:v>
      </x:c>
      <x:c r="W227" s="58">
        <x:v>106.15515670000001</x:v>
      </x:c>
      <x:c r="X227" s="60"/>
      <x:c r="Y227" s="60"/>
      <x:c r="Z227" s="58"/>
      <x:c r="AA227" s="60"/>
      <x:c r="AB227" s="60"/>
      <x:c r="AC227" s="61">
        <x:f t="shared" si="16"/>
        <x:v>0.96491228070175439</x:v>
      </x:c>
      <x:c r="AD227" s="61">
        <x:f t="shared" si="17"/>
        <x:v>1</x:v>
      </x:c>
    </x:row>
    <x:row r="228" s="59" customFormat="1" ht="12.5">
      <x:c r="A228" s="63">
        <x:v>223</x:v>
      </x:c>
      <x:c r="B228" s="58" t="s">
        <x:v>579</x:v>
      </x:c>
      <x:c r="C228" s="59" t="s">
        <x:v>170</x:v>
      </x:c>
      <x:c r="D228" s="58" t="s">
        <x:v>81</x:v>
      </x:c>
      <x:c r="E228" s="58" t="s">
        <x:v>202</x:v>
      </x:c>
      <x:c r="F228" s="59" t="s">
        <x:v>580</x:v>
      </x:c>
      <x:c r="G228" s="59" t="s">
        <x:v>581</x:v>
      </x:c>
      <x:c r="H228" s="59" t="s">
        <x:v>42</x:v>
      </x:c>
      <x:c r="I228" s="59" t="s">
        <x:v>42</x:v>
      </x:c>
      <x:c r="J228" s="59">
        <x:v>2015</x:v>
      </x:c>
      <x:c r="K228" s="59">
        <x:v>88</x:v>
      </x:c>
      <x:c r="L228" s="58">
        <x:v>22</x:v>
      </x:c>
      <x:c r="M228" s="59">
        <x:v>22</x:v>
      </x:c>
      <x:c r="N228" s="59" t="s">
        <x:v>41</x:v>
      </x:c>
      <x:c r="O228" s="59" t="s">
        <x:v>42</x:v>
      </x:c>
      <x:c r="Q228" s="59" t="s">
        <x:v>72</x:v>
      </x:c>
      <x:c r="S228" s="58"/>
      <x:c r="T228" s="58"/>
      <x:c r="U228" s="58"/>
      <x:c r="V228" s="58">
        <x:v>-2.1346430999999999</x:v>
      </x:c>
      <x:c r="W228" s="58">
        <x:v>106.1342334</x:v>
      </x:c>
      <x:c r="X228" s="60"/>
      <x:c r="Y228" s="60"/>
      <x:c r="Z228" s="58"/>
      <x:c r="AA228" s="60"/>
      <x:c r="AB228" s="60"/>
      <x:c r="AC228" s="61">
        <x:f t="shared" si="16"/>
        <x:v>0.25</x:v>
      </x:c>
      <x:c r="AD228" s="61">
        <x:f t="shared" si="17"/>
        <x:v>1</x:v>
      </x:c>
    </x:row>
    <x:row r="229" s="59" customFormat="1" ht="12.5">
      <x:c r="A229" s="63">
        <x:v>224</x:v>
      </x:c>
      <x:c r="B229" s="58" t="s">
        <x:v>582</x:v>
      </x:c>
      <x:c r="C229" s="59" t="s">
        <x:v>170</x:v>
      </x:c>
      <x:c r="D229" s="58" t="s">
        <x:v>81</x:v>
      </x:c>
      <x:c r="E229" s="58" t="s">
        <x:v>400</x:v>
      </x:c>
      <x:c r="F229" s="59" t="s">
        <x:v>583</x:v>
      </x:c>
      <x:c r="G229" s="59" t="s">
        <x:v>581</x:v>
      </x:c>
      <x:c r="H229" s="59" t="s">
        <x:v>42</x:v>
      </x:c>
      <x:c r="I229" s="59" t="s">
        <x:v>42</x:v>
      </x:c>
      <x:c r="J229" s="59">
        <x:v>2016</x:v>
      </x:c>
      <x:c r="K229" s="59">
        <x:v>92</x:v>
      </x:c>
      <x:c r="L229" s="58">
        <x:v>9</x:v>
      </x:c>
      <x:c r="M229" s="59">
        <x:v>9</x:v>
      </x:c>
      <x:c r="N229" s="59" t="s">
        <x:v>41</x:v>
      </x:c>
      <x:c r="O229" s="59" t="s">
        <x:v>42</x:v>
      </x:c>
      <x:c r="Q229" s="59" t="s">
        <x:v>72</x:v>
      </x:c>
      <x:c r="S229" s="58"/>
      <x:c r="T229" s="58"/>
      <x:c r="U229" s="58"/>
      <x:c r="V229" s="58">
        <x:v>-2.1351254000000002</x:v>
      </x:c>
      <x:c r="W229" s="58">
        <x:v>106.1331278</x:v>
      </x:c>
      <x:c r="X229" s="60"/>
      <x:c r="Y229" s="60"/>
      <x:c r="Z229" s="58"/>
      <x:c r="AA229" s="60"/>
      <x:c r="AB229" s="60"/>
      <x:c r="AC229" s="61">
        <x:f t="shared" si="16"/>
        <x:v>9.7826086956521743E-2</x:v>
      </x:c>
      <x:c r="AD229" s="61">
        <x:f t="shared" si="17"/>
        <x:v>1</x:v>
      </x:c>
    </x:row>
    <x:row r="230" s="59" customFormat="1" ht="12.5">
      <x:c r="A230" s="63">
        <x:v>225</x:v>
      </x:c>
      <x:c r="B230" s="58" t="s">
        <x:v>584</x:v>
      </x:c>
      <x:c r="C230" s="59" t="s">
        <x:v>34</x:v>
      </x:c>
      <x:c r="D230" s="58" t="s">
        <x:v>35</x:v>
      </x:c>
      <x:c r="E230" s="58" t="s">
        <x:v>46</x:v>
      </x:c>
      <x:c r="F230" s="59" t="s">
        <x:v>585</x:v>
      </x:c>
      <x:c r="G230" s="59" t="s">
        <x:v>586</x:v>
      </x:c>
      <x:c r="H230" s="59" t="s">
        <x:v>587</x:v>
      </x:c>
      <x:c r="I230" s="59" t="s">
        <x:v>112</x:v>
      </x:c>
      <x:c r="J230" s="59">
        <x:v>2017</x:v>
      </x:c>
      <x:c r="K230" s="59">
        <x:v>43</x:v>
      </x:c>
      <x:c r="L230" s="58">
        <x:v>43</x:v>
      </x:c>
      <x:c r="M230" s="59">
        <x:v>43</x:v>
      </x:c>
      <x:c r="N230" s="59" t="s">
        <x:v>48</x:v>
      </x:c>
      <x:c r="O230" s="59">
        <x:v>2021</x:v>
      </x:c>
      <x:c r="Q230" s="23" t="s">
        <x:v>43</x:v>
      </x:c>
      <x:c r="R230" s="59" t="s">
        <x:v>113</x:v>
      </x:c>
      <x:c r="S230" s="58"/>
      <x:c r="T230" s="58"/>
      <x:c r="U230" s="58"/>
      <x:c r="V230" s="58">
        <x:v>-2.1201880000000002</x:v>
      </x:c>
      <x:c r="W230" s="58">
        <x:v>106.07431099999999</x:v>
      </x:c>
      <x:c r="X230" s="60"/>
      <x:c r="Y230" s="60"/>
      <x:c r="Z230" s="58"/>
      <x:c r="AA230" s="60"/>
      <x:c r="AB230" s="60"/>
      <x:c r="AC230" s="61">
        <x:f t="shared" si="16"/>
        <x:v>1</x:v>
      </x:c>
      <x:c r="AD230" s="61">
        <x:f t="shared" si="17"/>
        <x:v>1</x:v>
      </x:c>
    </x:row>
    <x:row r="231" s="59" customFormat="1" ht="12.5">
      <x:c r="A231" s="63">
        <x:v>226</x:v>
      </x:c>
      <x:c r="B231" s="58" t="s">
        <x:v>588</x:v>
      </x:c>
      <x:c r="C231" s="59" t="s">
        <x:v>34</x:v>
      </x:c>
      <x:c r="D231" s="58" t="s">
        <x:v>35</x:v>
      </x:c>
      <x:c r="E231" s="58" t="s">
        <x:v>36</x:v>
      </x:c>
      <x:c r="F231" s="59" t="s">
        <x:v>47</x:v>
      </x:c>
      <x:c r="G231" s="59" t="s">
        <x:v>586</x:v>
      </x:c>
      <x:c r="H231" s="59" t="s">
        <x:v>587</x:v>
      </x:c>
      <x:c r="I231" s="59" t="s">
        <x:v>112</x:v>
      </x:c>
      <x:c r="J231" s="59">
        <x:v>2017</x:v>
      </x:c>
      <x:c r="K231" s="59">
        <x:v>30</x:v>
      </x:c>
      <x:c r="L231" s="58">
        <x:v>30</x:v>
      </x:c>
      <x:c r="M231" s="59">
        <x:v>29</x:v>
      </x:c>
      <x:c r="N231" s="59" t="s">
        <x:v>48</x:v>
      </x:c>
      <x:c r="O231" s="59">
        <x:v>2021</x:v>
      </x:c>
      <x:c r="Q231" s="23" t="s">
        <x:v>43</x:v>
      </x:c>
      <x:c r="R231" s="59" t="s">
        <x:v>113</x:v>
      </x:c>
      <x:c r="S231" s="58"/>
      <x:c r="T231" s="58"/>
      <x:c r="U231" s="58"/>
      <x:c r="V231" s="58">
        <x:v>-2.1146593</x:v>
      </x:c>
      <x:c r="W231" s="58">
        <x:v>106.0722858</x:v>
      </x:c>
      <x:c r="X231" s="60"/>
      <x:c r="Y231" s="60"/>
      <x:c r="Z231" s="58"/>
      <x:c r="AA231" s="60"/>
      <x:c r="AB231" s="60"/>
      <x:c r="AC231" s="61">
        <x:f t="shared" si="16"/>
        <x:v>1</x:v>
      </x:c>
      <x:c r="AD231" s="61">
        <x:f t="shared" si="17"/>
        <x:v>0.96666666666666667</x:v>
      </x:c>
    </x:row>
    <x:row r="232" s="59" customFormat="1" ht="12.5">
      <x:c r="A232" s="63">
        <x:v>227</x:v>
      </x:c>
      <x:c r="B232" s="58" t="s">
        <x:v>589</x:v>
      </x:c>
      <x:c r="C232" s="59" t="s">
        <x:v>34</x:v>
      </x:c>
      <x:c r="D232" s="58" t="s">
        <x:v>35</x:v>
      </x:c>
      <x:c r="E232" s="58" t="s">
        <x:v>36</x:v>
      </x:c>
      <x:c r="F232" s="59" t="s">
        <x:v>590</x:v>
      </x:c>
      <x:c r="G232" s="59" t="s">
        <x:v>591</x:v>
      </x:c>
      <x:c r="H232" s="59" t="s">
        <x:v>587</x:v>
      </x:c>
      <x:c r="I232" s="59" t="s">
        <x:v>112</x:v>
      </x:c>
      <x:c r="J232" s="59">
        <x:v>2017</x:v>
      </x:c>
      <x:c r="K232" s="59">
        <x:v>123</x:v>
      </x:c>
      <x:c r="L232" s="58">
        <x:v>123</x:v>
      </x:c>
      <x:c r="M232" s="59">
        <x:v>123</x:v>
      </x:c>
      <x:c r="N232" s="59" t="s">
        <x:v>48</x:v>
      </x:c>
      <x:c r="O232" s="59">
        <x:v>2021</x:v>
      </x:c>
      <x:c r="Q232" s="23" t="s">
        <x:v>43</x:v>
      </x:c>
      <x:c r="S232" s="58"/>
      <x:c r="T232" s="58"/>
      <x:c r="U232" s="58"/>
      <x:c r="V232" s="58">
        <x:v>-2.1018940000000002</x:v>
      </x:c>
      <x:c r="W232" s="58">
        <x:v>106.081547</x:v>
      </x:c>
      <x:c r="X232" s="60"/>
      <x:c r="Y232" s="60"/>
      <x:c r="Z232" s="58"/>
      <x:c r="AA232" s="60"/>
      <x:c r="AB232" s="60"/>
      <x:c r="AC232" s="61">
        <x:f t="shared" si="16"/>
        <x:v>1</x:v>
      </x:c>
      <x:c r="AD232" s="61">
        <x:f t="shared" si="17"/>
        <x:v>1</x:v>
      </x:c>
    </x:row>
    <x:row r="233" s="59" customFormat="1" ht="12.5">
      <x:c r="A233" s="63">
        <x:v>228</x:v>
      </x:c>
      <x:c r="B233" s="58" t="s">
        <x:v>592</x:v>
      </x:c>
      <x:c r="C233" s="59" t="s">
        <x:v>34</x:v>
      </x:c>
      <x:c r="D233" s="58" t="s">
        <x:v>60</x:v>
      </x:c>
      <x:c r="E233" s="58" t="s">
        <x:v>70</x:v>
      </x:c>
      <x:c r="F233" s="59" t="s">
        <x:v>310</x:v>
      </x:c>
      <x:c r="G233" s="59" t="s">
        <x:v>591</x:v>
      </x:c>
      <x:c r="H233" s="59" t="s">
        <x:v>587</x:v>
      </x:c>
      <x:c r="I233" s="59" t="s">
        <x:v>112</x:v>
      </x:c>
      <x:c r="J233" s="59">
        <x:v>2018</x:v>
      </x:c>
      <x:c r="K233" s="59">
        <x:v>110</x:v>
      </x:c>
      <x:c r="L233" s="58">
        <x:v>110</x:v>
      </x:c>
      <x:c r="M233" s="59">
        <x:v>103</x:v>
      </x:c>
      <x:c r="N233" s="59" t="s">
        <x:v>48</x:v>
      </x:c>
      <x:c r="O233" s="59">
        <x:v>2021</x:v>
      </x:c>
      <x:c r="Q233" s="23" t="s">
        <x:v>43</x:v>
      </x:c>
      <x:c r="R233" s="59" t="s">
        <x:v>55</x:v>
      </x:c>
      <x:c r="S233" s="58"/>
      <x:c r="T233" s="58"/>
      <x:c r="U233" s="58"/>
      <x:c r="V233" s="58">
        <x:v>-2.0981193999999999</x:v>
      </x:c>
      <x:c r="W233" s="58">
        <x:v>106.0837946</x:v>
      </x:c>
      <x:c r="X233" s="60"/>
      <x:c r="Y233" s="60"/>
      <x:c r="Z233" s="58"/>
      <x:c r="AA233" s="60"/>
      <x:c r="AB233" s="60"/>
      <x:c r="AC233" s="61">
        <x:f t="shared" si="16"/>
        <x:v>1</x:v>
      </x:c>
      <x:c r="AD233" s="61">
        <x:f t="shared" si="17"/>
        <x:v>0.9363636363636364</x:v>
      </x:c>
    </x:row>
    <x:row r="234" s="59" customFormat="1" ht="12.5">
      <x:c r="A234" s="63">
        <x:v>229</x:v>
      </x:c>
      <x:c r="B234" s="58" t="s">
        <x:v>593</x:v>
      </x:c>
      <x:c r="C234" s="59" t="s">
        <x:v>34</x:v>
      </x:c>
      <x:c r="D234" s="58" t="s">
        <x:v>60</x:v>
      </x:c>
      <x:c r="E234" s="58" t="s">
        <x:v>70</x:v>
      </x:c>
      <x:c r="F234" s="59" t="s">
        <x:v>594</x:v>
      </x:c>
      <x:c r="G234" s="59" t="s">
        <x:v>591</x:v>
      </x:c>
      <x:c r="H234" s="59" t="s">
        <x:v>587</x:v>
      </x:c>
      <x:c r="I234" s="59" t="s">
        <x:v>112</x:v>
      </x:c>
      <x:c r="J234" s="59">
        <x:v>2018</x:v>
      </x:c>
      <x:c r="K234" s="59">
        <x:v>44</x:v>
      </x:c>
      <x:c r="L234" s="58">
        <x:v>44</x:v>
      </x:c>
      <x:c r="M234" s="59">
        <x:v>44</x:v>
      </x:c>
      <x:c r="N234" s="59" t="s">
        <x:v>48</x:v>
      </x:c>
      <x:c r="O234" s="59">
        <x:v>2021</x:v>
      </x:c>
      <x:c r="Q234" s="59" t="s">
        <x:v>72</x:v>
      </x:c>
      <x:c r="S234" s="58"/>
      <x:c r="T234" s="58"/>
      <x:c r="U234" s="58"/>
      <x:c r="V234" s="58">
        <x:v>-2.0944850000000002</x:v>
      </x:c>
      <x:c r="W234" s="58">
        <x:v>106.09107</x:v>
      </x:c>
      <x:c r="X234" s="60"/>
      <x:c r="Y234" s="60"/>
      <x:c r="Z234" s="58"/>
      <x:c r="AA234" s="60"/>
      <x:c r="AB234" s="60"/>
      <x:c r="AC234" s="61">
        <x:f t="shared" si="16"/>
        <x:v>1</x:v>
      </x:c>
      <x:c r="AD234" s="61">
        <x:f t="shared" si="17"/>
        <x:v>1</x:v>
      </x:c>
    </x:row>
    <x:row r="235" s="59" customFormat="1" ht="12.5">
      <x:c r="A235" s="63">
        <x:v>230</x:v>
      </x:c>
      <x:c r="B235" s="58" t="s">
        <x:v>595</x:v>
      </x:c>
      <x:c r="C235" s="59" t="s">
        <x:v>34</x:v>
      </x:c>
      <x:c r="D235" s="58" t="s">
        <x:v>35</x:v>
      </x:c>
      <x:c r="E235" s="58" t="s">
        <x:v>36</x:v>
      </x:c>
      <x:c r="F235" s="59" t="s">
        <x:v>54</x:v>
      </x:c>
      <x:c r="G235" s="59" t="s">
        <x:v>596</x:v>
      </x:c>
      <x:c r="H235" s="59" t="s">
        <x:v>587</x:v>
      </x:c>
      <x:c r="I235" s="59" t="s">
        <x:v>112</x:v>
      </x:c>
      <x:c r="J235" s="59">
        <x:v>2018</x:v>
      </x:c>
      <x:c r="K235" s="59">
        <x:v>70</x:v>
      </x:c>
      <x:c r="L235" s="58">
        <x:v>70</x:v>
      </x:c>
      <x:c r="M235" s="59">
        <x:v>70</x:v>
      </x:c>
      <x:c r="N235" s="59" t="s">
        <x:v>48</x:v>
      </x:c>
      <x:c r="O235" s="59">
        <x:v>2022</x:v>
      </x:c>
      <x:c r="Q235" s="23" t="s">
        <x:v>43</x:v>
      </x:c>
      <x:c r="R235" s="59" t="s">
        <x:v>113</x:v>
      </x:c>
      <x:c r="S235" s="58"/>
      <x:c r="T235" s="58"/>
      <x:c r="U235" s="58"/>
      <x:c r="V235" s="58">
        <x:v>-2.0975541999999998</x:v>
      </x:c>
      <x:c r="W235" s="58">
        <x:v>106.0794709</x:v>
      </x:c>
      <x:c r="X235" s="60"/>
      <x:c r="Y235" s="60"/>
      <x:c r="Z235" s="58"/>
      <x:c r="AA235" s="60"/>
      <x:c r="AB235" s="60"/>
      <x:c r="AC235" s="61">
        <x:f t="shared" si="16"/>
        <x:v>1</x:v>
      </x:c>
      <x:c r="AD235" s="61">
        <x:f t="shared" si="17"/>
        <x:v>1</x:v>
      </x:c>
    </x:row>
    <x:row r="236" s="59" customFormat="1" ht="12.5">
      <x:c r="A236" s="63">
        <x:v>231</x:v>
      </x:c>
      <x:c r="B236" s="58" t="s">
        <x:v>597</x:v>
      </x:c>
      <x:c r="C236" s="59" t="s">
        <x:v>34</x:v>
      </x:c>
      <x:c r="D236" s="58" t="s">
        <x:v>35</x:v>
      </x:c>
      <x:c r="E236" s="58" t="s">
        <x:v>36</x:v>
      </x:c>
      <x:c r="F236" s="59" t="s">
        <x:v>62</x:v>
      </x:c>
      <x:c r="G236" s="59" t="s">
        <x:v>596</x:v>
      </x:c>
      <x:c r="H236" s="59" t="s">
        <x:v>587</x:v>
      </x:c>
      <x:c r="I236" s="59" t="s">
        <x:v>112</x:v>
      </x:c>
      <x:c r="J236" s="59">
        <x:v>2020</x:v>
      </x:c>
      <x:c r="K236" s="59">
        <x:v>40</x:v>
      </x:c>
      <x:c r="L236" s="58">
        <x:v>40</x:v>
      </x:c>
      <x:c r="M236" s="59">
        <x:v>40</x:v>
      </x:c>
      <x:c r="N236" s="59" t="s">
        <x:v>48</x:v>
      </x:c>
      <x:c r="O236" s="59">
        <x:v>2022</x:v>
      </x:c>
      <x:c r="Q236" s="23" t="s">
        <x:v>43</x:v>
      </x:c>
      <x:c r="R236" s="59" t="s">
        <x:v>113</x:v>
      </x:c>
      <x:c r="S236" s="58"/>
      <x:c r="T236" s="58"/>
      <x:c r="U236" s="58"/>
      <x:c r="V236" s="58">
        <x:v>-2.0942904000000002</x:v>
      </x:c>
      <x:c r="W236" s="58">
        <x:v>106.0779465</x:v>
      </x:c>
      <x:c r="X236" s="60"/>
      <x:c r="Y236" s="60"/>
      <x:c r="Z236" s="58"/>
      <x:c r="AA236" s="60"/>
      <x:c r="AB236" s="60"/>
      <x:c r="AC236" s="61">
        <x:f t="shared" si="16"/>
        <x:v>1</x:v>
      </x:c>
      <x:c r="AD236" s="61">
        <x:f t="shared" si="17"/>
        <x:v>1</x:v>
      </x:c>
    </x:row>
    <x:row r="237" s="59" customFormat="1" ht="12.5">
      <x:c r="A237" s="63">
        <x:v>232</x:v>
      </x:c>
      <x:c r="B237" s="58" t="s">
        <x:v>598</x:v>
      </x:c>
      <x:c r="C237" s="59" t="s">
        <x:v>34</x:v>
      </x:c>
      <x:c r="D237" s="58" t="s">
        <x:v>60</x:v>
      </x:c>
      <x:c r="E237" s="58" t="s">
        <x:v>70</x:v>
      </x:c>
      <x:c r="F237" s="59" t="s">
        <x:v>310</x:v>
      </x:c>
      <x:c r="G237" s="59" t="s">
        <x:v>591</x:v>
      </x:c>
      <x:c r="H237" s="59" t="s">
        <x:v>587</x:v>
      </x:c>
      <x:c r="I237" s="59" t="s">
        <x:v>112</x:v>
      </x:c>
      <x:c r="J237" s="59">
        <x:v>2021</x:v>
      </x:c>
      <x:c r="K237" s="59">
        <x:v>58</x:v>
      </x:c>
      <x:c r="L237" s="58">
        <x:v>58</x:v>
      </x:c>
      <x:c r="M237" s="59">
        <x:v>58</x:v>
      </x:c>
      <x:c r="N237" s="59" t="s">
        <x:v>41</x:v>
      </x:c>
      <x:c r="O237" s="59" t="s">
        <x:v>42</x:v>
      </x:c>
      <x:c r="Q237" s="23" t="s">
        <x:v>43</x:v>
      </x:c>
      <x:c r="S237" s="58"/>
      <x:c r="T237" s="58"/>
      <x:c r="U237" s="58"/>
      <x:c r="V237" s="58">
        <x:v>-2.095885</x:v>
      </x:c>
      <x:c r="W237" s="58">
        <x:v>106.084112</x:v>
      </x:c>
      <x:c r="X237" s="60"/>
      <x:c r="Y237" s="60"/>
      <x:c r="Z237" s="58"/>
      <x:c r="AA237" s="60"/>
      <x:c r="AB237" s="60"/>
      <x:c r="AC237" s="61">
        <x:f t="shared" si="16"/>
        <x:v>1</x:v>
      </x:c>
      <x:c r="AD237" s="61">
        <x:f t="shared" si="17"/>
        <x:v>1</x:v>
      </x:c>
    </x:row>
    <x:row r="238" s="59" customFormat="1" ht="12.5">
      <x:c r="A238" s="63">
        <x:v>233</x:v>
      </x:c>
      <x:c r="B238" s="58" t="s">
        <x:v>599</x:v>
      </x:c>
      <x:c r="C238" s="59" t="s">
        <x:v>34</x:v>
      </x:c>
      <x:c r="D238" s="58" t="s">
        <x:v>35</x:v>
      </x:c>
      <x:c r="E238" s="58" t="s">
        <x:v>46</x:v>
      </x:c>
      <x:c r="F238" s="59" t="s">
        <x:v>600</x:v>
      </x:c>
      <x:c r="G238" s="59" t="s">
        <x:v>596</x:v>
      </x:c>
      <x:c r="H238" s="59" t="s">
        <x:v>601</x:v>
      </x:c>
      <x:c r="I238" s="59" t="s">
        <x:v>112</x:v>
      </x:c>
      <x:c r="J238" s="59">
        <x:v>2024</x:v>
      </x:c>
      <x:c r="K238" s="59">
        <x:v>42</x:v>
      </x:c>
      <x:c r="L238" s="58">
        <x:v>1</x:v>
      </x:c>
      <x:c r="M238" s="59">
        <x:v>0</x:v>
      </x:c>
      <x:c r="N238" s="59" t="s">
        <x:v>41</x:v>
      </x:c>
      <x:c r="O238" s="59" t="s">
        <x:v>42</x:v>
      </x:c>
      <x:c r="Q238" s="23" t="s">
        <x:v>43</x:v>
      </x:c>
      <x:c r="R238" s="23" t="s">
        <x:v>88</x:v>
      </x:c>
      <x:c r="S238" s="58"/>
      <x:c r="T238" s="58"/>
      <x:c r="U238" s="58"/>
      <x:c r="V238" s="58">
        <x:v>-2.1235791000000002</x:v>
      </x:c>
      <x:c r="W238" s="58">
        <x:v>106.0763937</x:v>
      </x:c>
      <x:c r="X238" s="60"/>
      <x:c r="Y238" s="60"/>
      <x:c r="Z238" s="58"/>
      <x:c r="AA238" s="60"/>
      <x:c r="AB238" s="60"/>
      <x:c r="AC238" s="61">
        <x:f t="shared" si="16"/>
        <x:v>2.3809523809523808E-2</x:v>
      </x:c>
      <x:c r="AD238" s="61">
        <x:f t="shared" si="17"/>
        <x:v>0</x:v>
      </x:c>
    </x:row>
    <x:row r="239" s="59" customFormat="1" ht="12.5">
      <x:c r="A239" s="63">
        <x:v>234</x:v>
      </x:c>
      <x:c r="B239" s="58" t="s">
        <x:v>602</x:v>
      </x:c>
      <x:c r="C239" s="59" t="s">
        <x:v>34</x:v>
      </x:c>
      <x:c r="D239" s="58" t="s">
        <x:v>60</x:v>
      </x:c>
      <x:c r="E239" s="58" t="s">
        <x:v>91</x:v>
      </x:c>
      <x:c r="F239" s="59" t="s">
        <x:v>209</x:v>
      </x:c>
      <x:c r="G239" s="59" t="s">
        <x:v>466</x:v>
      </x:c>
      <x:c r="H239" s="59" t="s">
        <x:v>474</x:v>
      </x:c>
      <x:c r="I239" s="59" t="s">
        <x:v>40</x:v>
      </x:c>
      <x:c r="J239" s="59">
        <x:v>2015</x:v>
      </x:c>
      <x:c r="K239" s="59">
        <x:v>103</x:v>
      </x:c>
      <x:c r="L239" s="58">
        <x:v>74</x:v>
      </x:c>
      <x:c r="M239" s="59">
        <x:v>74</x:v>
      </x:c>
      <x:c r="N239" s="59" t="s">
        <x:v>41</x:v>
      </x:c>
      <x:c r="O239" s="59" t="s">
        <x:v>42</x:v>
      </x:c>
      <x:c r="Q239" s="23" t="s">
        <x:v>43</x:v>
      </x:c>
      <x:c r="R239" s="23" t="s">
        <x:v>88</x:v>
      </x:c>
      <x:c r="S239" s="58"/>
      <x:c r="T239" s="58"/>
      <x:c r="U239" s="58"/>
      <x:c r="V239" s="58">
        <x:v>-2.078166</x:v>
      </x:c>
      <x:c r="W239" s="58">
        <x:v>106.12220499999999</x:v>
      </x:c>
      <x:c r="X239" s="60"/>
      <x:c r="Y239" s="60"/>
      <x:c r="Z239" s="58"/>
      <x:c r="AA239" s="60"/>
      <x:c r="AB239" s="60"/>
      <x:c r="AC239" s="61">
        <x:f t="shared" si="16"/>
        <x:v>0.71844660194174759</x:v>
      </x:c>
      <x:c r="AD239" s="61">
        <x:f t="shared" si="17"/>
        <x:v>1</x:v>
      </x:c>
    </x:row>
    <x:row r="240" s="59" customFormat="1" ht="12.5">
      <x:c r="A240" s="63">
        <x:v>235</x:v>
      </x:c>
      <x:c r="B240" s="58" t="s">
        <x:v>603</x:v>
      </x:c>
      <x:c r="C240" s="59" t="s">
        <x:v>34</x:v>
      </x:c>
      <x:c r="D240" s="58" t="s">
        <x:v>81</x:v>
      </x:c>
      <x:c r="E240" s="58" t="s">
        <x:v>82</x:v>
      </x:c>
      <x:c r="F240" s="59" t="s">
        <x:v>604</x:v>
      </x:c>
      <x:c r="G240" s="59" t="s">
        <x:v>605</x:v>
      </x:c>
      <x:c r="H240" s="59" t="s">
        <x:v>606</x:v>
      </x:c>
      <x:c r="I240" s="59" t="s">
        <x:v>42</x:v>
      </x:c>
      <x:c r="J240" s="59">
        <x:v>2021</x:v>
      </x:c>
      <x:c r="K240" s="59">
        <x:v>115</x:v>
      </x:c>
      <x:c r="L240" s="58">
        <x:v>10</x:v>
      </x:c>
      <x:c r="M240" s="59">
        <x:v>0</x:v>
      </x:c>
      <x:c r="N240" s="59" t="s">
        <x:v>41</x:v>
      </x:c>
      <x:c r="O240" s="59" t="s">
        <x:v>42</x:v>
      </x:c>
      <x:c r="Q240" s="23" t="s">
        <x:v>43</x:v>
      </x:c>
      <x:c r="R240" s="23" t="s">
        <x:v>88</x:v>
      </x:c>
      <x:c r="S240" s="58"/>
      <x:c r="T240" s="58"/>
      <x:c r="U240" s="58"/>
      <x:c r="V240" s="58">
        <x:v>-2.1486339999999999</x:v>
      </x:c>
      <x:c r="W240" s="58">
        <x:v>106.145662</x:v>
      </x:c>
      <x:c r="X240" s="60"/>
      <x:c r="Y240" s="60"/>
      <x:c r="Z240" s="58"/>
      <x:c r="AA240" s="60"/>
      <x:c r="AB240" s="60"/>
      <x:c r="AC240" s="61">
        <x:f t="shared" si="16"/>
        <x:v>8.6956521739130432E-2</x:v>
      </x:c>
      <x:c r="AD240" s="61">
        <x:f t="shared" si="17"/>
        <x:v>0</x:v>
      </x:c>
    </x:row>
    <x:row r="241" s="59" customFormat="1" ht="12.5">
      <x:c r="A241" s="63">
        <x:v>236</x:v>
      </x:c>
      <x:c r="B241" s="58" t="s">
        <x:v>607</x:v>
      </x:c>
      <x:c r="C241" s="59" t="s">
        <x:v>34</x:v>
      </x:c>
      <x:c r="D241" s="58" t="s">
        <x:v>81</x:v>
      </x:c>
      <x:c r="E241" s="58" t="s">
        <x:v>122</x:v>
      </x:c>
      <x:c r="F241" s="59" t="s">
        <x:v>421</x:v>
      </x:c>
      <x:c r="G241" s="59" t="s">
        <x:v>608</x:v>
      </x:c>
      <x:c r="H241" s="59" t="s">
        <x:v>609</x:v>
      </x:c>
      <x:c r="I241" s="59" t="s">
        <x:v>86</x:v>
      </x:c>
      <x:c r="J241" s="59">
        <x:v>2019</x:v>
      </x:c>
      <x:c r="K241" s="59">
        <x:v>161</x:v>
      </x:c>
      <x:c r="L241" s="58">
        <x:v>103</x:v>
      </x:c>
      <x:c r="M241" s="59">
        <x:v>103</x:v>
      </x:c>
      <x:c r="N241" s="59" t="s">
        <x:v>41</x:v>
      </x:c>
      <x:c r="O241" s="59" t="s">
        <x:v>42</x:v>
      </x:c>
      <x:c r="Q241" s="23" t="s">
        <x:v>43</x:v>
      </x:c>
      <x:c r="S241" s="58"/>
      <x:c r="T241" s="58"/>
      <x:c r="U241" s="58"/>
      <x:c r="V241" s="58">
        <x:v>-2.1294618000000001</x:v>
      </x:c>
      <x:c r="W241" s="58">
        <x:v>106.16116599999999</x:v>
      </x:c>
      <x:c r="X241" s="60"/>
      <x:c r="Y241" s="60"/>
      <x:c r="Z241" s="58"/>
      <x:c r="AA241" s="60"/>
      <x:c r="AB241" s="60"/>
      <x:c r="AC241" s="61">
        <x:f t="shared" si="16"/>
        <x:v>0.63975155279503104</x:v>
      </x:c>
      <x:c r="AD241" s="61">
        <x:f t="shared" si="17"/>
        <x:v>1</x:v>
      </x:c>
    </x:row>
    <x:row r="242" s="59" customFormat="1" ht="12.5">
      <x:c r="A242" s="63">
        <x:v>237</x:v>
      </x:c>
      <x:c r="B242" s="58" t="s">
        <x:v>610</x:v>
      </x:c>
      <x:c r="C242" s="59" t="s">
        <x:v>34</x:v>
      </x:c>
      <x:c r="D242" s="58" t="s">
        <x:v>306</x:v>
      </x:c>
      <x:c r="E242" s="58" t="s">
        <x:v>307</x:v>
      </x:c>
      <x:c r="F242" s="59" t="s">
        <x:v>611</x:v>
      </x:c>
      <x:c r="G242" s="59" t="s">
        <x:v>612</x:v>
      </x:c>
      <x:c r="H242" s="59" t="s">
        <x:v>613</x:v>
      </x:c>
      <x:c r="I242" s="59" t="s">
        <x:v>40</x:v>
      </x:c>
      <x:c r="J242" s="59">
        <x:v>2017</x:v>
      </x:c>
      <x:c r="K242" s="59">
        <x:v>140</x:v>
      </x:c>
      <x:c r="L242" s="58">
        <x:v>140</x:v>
      </x:c>
      <x:c r="M242" s="59">
        <x:v>140</x:v>
      </x:c>
      <x:c r="N242" s="59" t="s">
        <x:v>41</x:v>
      </x:c>
      <x:c r="O242" s="59" t="s">
        <x:v>42</x:v>
      </x:c>
      <x:c r="Q242" s="23" t="s">
        <x:v>43</x:v>
      </x:c>
      <x:c r="S242" s="58"/>
      <x:c r="T242" s="58"/>
      <x:c r="U242" s="58"/>
      <x:c r="V242" s="58">
        <x:v>-2.150156</x:v>
      </x:c>
      <x:c r="W242" s="58">
        <x:v>106.10794970000001</x:v>
      </x:c>
      <x:c r="X242" s="60"/>
      <x:c r="Y242" s="60"/>
      <x:c r="Z242" s="58"/>
      <x:c r="AA242" s="60"/>
      <x:c r="AB242" s="60"/>
      <x:c r="AC242" s="61">
        <x:f t="shared" si="16"/>
        <x:v>1</x:v>
      </x:c>
      <x:c r="AD242" s="61">
        <x:f t="shared" si="17"/>
        <x:v>1</x:v>
      </x:c>
    </x:row>
    <x:row r="243" s="59" customFormat="1" ht="12.5">
      <x:c r="A243" s="63">
        <x:v>238</x:v>
      </x:c>
      <x:c r="B243" s="58" t="s">
        <x:v>614</x:v>
      </x:c>
      <x:c r="C243" s="59" t="s">
        <x:v>34</x:v>
      </x:c>
      <x:c r="D243" s="58" t="s">
        <x:v>306</x:v>
      </x:c>
      <x:c r="E243" s="58" t="s">
        <x:v>307</x:v>
      </x:c>
      <x:c r="F243" s="59" t="s">
        <x:v>615</x:v>
      </x:c>
      <x:c r="G243" s="59" t="s">
        <x:v>612</x:v>
      </x:c>
      <x:c r="H243" s="59" t="s">
        <x:v>613</x:v>
      </x:c>
      <x:c r="I243" s="59" t="s">
        <x:v>40</x:v>
      </x:c>
      <x:c r="J243" s="59">
        <x:v>2017</x:v>
      </x:c>
      <x:c r="K243" s="59">
        <x:v>15</x:v>
      </x:c>
      <x:c r="L243" s="58">
        <x:v>15</x:v>
      </x:c>
      <x:c r="M243" s="59">
        <x:v>6</x:v>
      </x:c>
      <x:c r="N243" s="59" t="s">
        <x:v>41</x:v>
      </x:c>
      <x:c r="O243" s="59" t="s">
        <x:v>42</x:v>
      </x:c>
      <x:c r="Q243" s="23" t="s">
        <x:v>43</x:v>
      </x:c>
      <x:c r="R243" s="23" t="s">
        <x:v>88</x:v>
      </x:c>
      <x:c r="S243" s="58"/>
      <x:c r="T243" s="58"/>
      <x:c r="U243" s="58"/>
      <x:c r="V243" s="58">
        <x:v>-2.1502162</x:v>
      </x:c>
      <x:c r="W243" s="58">
        <x:v>106.1080668</x:v>
      </x:c>
      <x:c r="X243" s="60"/>
      <x:c r="Y243" s="60"/>
      <x:c r="Z243" s="58"/>
      <x:c r="AA243" s="60"/>
      <x:c r="AB243" s="60"/>
      <x:c r="AC243" s="61">
        <x:f t="shared" si="16"/>
        <x:v>1</x:v>
      </x:c>
      <x:c r="AD243" s="61">
        <x:f t="shared" si="17"/>
        <x:v>0.4</x:v>
      </x:c>
    </x:row>
    <x:row r="244" s="59" customFormat="1" ht="12.5">
      <x:c r="A244" s="63">
        <x:v>239</x:v>
      </x:c>
      <x:c r="B244" s="58" t="s">
        <x:v>616</x:v>
      </x:c>
      <x:c r="C244" s="59" t="s">
        <x:v>34</x:v>
      </x:c>
      <x:c r="D244" s="58" t="s">
        <x:v>306</x:v>
      </x:c>
      <x:c r="E244" s="58" t="s">
        <x:v>345</x:v>
      </x:c>
      <x:c r="F244" s="59" t="s">
        <x:v>617</x:v>
      </x:c>
      <x:c r="G244" s="59" t="s">
        <x:v>612</x:v>
      </x:c>
      <x:c r="H244" s="59" t="s">
        <x:v>613</x:v>
      </x:c>
      <x:c r="I244" s="59" t="s">
        <x:v>40</x:v>
      </x:c>
      <x:c r="J244" s="59">
        <x:v>2018</x:v>
      </x:c>
      <x:c r="K244" s="59">
        <x:v>20</x:v>
      </x:c>
      <x:c r="L244" s="58">
        <x:v>20</x:v>
      </x:c>
      <x:c r="M244" s="59">
        <x:v>4</x:v>
      </x:c>
      <x:c r="N244" s="59" t="s">
        <x:v>41</x:v>
      </x:c>
      <x:c r="O244" s="59" t="s">
        <x:v>42</x:v>
      </x:c>
      <x:c r="Q244" s="23" t="s">
        <x:v>43</x:v>
      </x:c>
      <x:c r="R244" s="23" t="s">
        <x:v>88</x:v>
      </x:c>
      <x:c r="S244" s="58"/>
      <x:c r="T244" s="58"/>
      <x:c r="U244" s="58"/>
      <x:c r="V244" s="58">
        <x:v>-2.1475719999999998</x:v>
      </x:c>
      <x:c r="W244" s="58">
        <x:v>106.12103399999999</x:v>
      </x:c>
      <x:c r="X244" s="60"/>
      <x:c r="Y244" s="60"/>
      <x:c r="Z244" s="58"/>
      <x:c r="AA244" s="60"/>
      <x:c r="AB244" s="60"/>
      <x:c r="AC244" s="61">
        <x:f t="shared" si="16"/>
        <x:v>1</x:v>
      </x:c>
      <x:c r="AD244" s="61">
        <x:f t="shared" si="17"/>
        <x:v>0.2</x:v>
      </x:c>
    </x:row>
    <x:row r="245" s="59" customFormat="1" ht="12.5">
      <x:c r="A245" s="63">
        <x:v>240</x:v>
      </x:c>
      <x:c r="B245" s="58" t="s">
        <x:v>618</x:v>
      </x:c>
      <x:c r="C245" s="59" t="s">
        <x:v>34</x:v>
      </x:c>
      <x:c r="D245" s="58" t="s">
        <x:v>306</x:v>
      </x:c>
      <x:c r="E245" s="58" t="s">
        <x:v>307</x:v>
      </x:c>
      <x:c r="F245" s="59" t="s">
        <x:v>619</x:v>
      </x:c>
      <x:c r="G245" s="59" t="s">
        <x:v>612</x:v>
      </x:c>
      <x:c r="H245" s="59" t="s">
        <x:v>613</x:v>
      </x:c>
      <x:c r="I245" s="59" t="s">
        <x:v>40</x:v>
      </x:c>
      <x:c r="J245" s="59">
        <x:v>2018</x:v>
      </x:c>
      <x:c r="K245" s="59">
        <x:v>54</x:v>
      </x:c>
      <x:c r="L245" s="58">
        <x:v>31</x:v>
      </x:c>
      <x:c r="M245" s="59">
        <x:v>15</x:v>
      </x:c>
      <x:c r="N245" s="59" t="s">
        <x:v>41</x:v>
      </x:c>
      <x:c r="O245" s="59" t="s">
        <x:v>42</x:v>
      </x:c>
      <x:c r="Q245" s="23" t="s">
        <x:v>43</x:v>
      </x:c>
      <x:c r="R245" s="23" t="s">
        <x:v>88</x:v>
      </x:c>
      <x:c r="S245" s="58"/>
      <x:c r="T245" s="58"/>
      <x:c r="U245" s="58"/>
      <x:c r="V245" s="58">
        <x:v>-2.1529470000000002</x:v>
      </x:c>
      <x:c r="W245" s="58">
        <x:v>106.109098</x:v>
      </x:c>
      <x:c r="X245" s="60"/>
      <x:c r="Y245" s="60"/>
      <x:c r="Z245" s="58"/>
      <x:c r="AA245" s="60"/>
      <x:c r="AB245" s="60"/>
      <x:c r="AC245" s="61">
        <x:f t="shared" si="16"/>
        <x:v>0.57407407407407407</x:v>
      </x:c>
      <x:c r="AD245" s="61">
        <x:f t="shared" si="17"/>
        <x:v>0.4838709677419355</x:v>
      </x:c>
    </x:row>
    <x:row r="246" s="59" customFormat="1" ht="12.5">
      <x:c r="A246" s="63">
        <x:v>241</x:v>
      </x:c>
      <x:c r="B246" s="58" t="s">
        <x:v>620</x:v>
      </x:c>
      <x:c r="C246" s="59" t="s">
        <x:v>34</x:v>
      </x:c>
      <x:c r="D246" s="58" t="s">
        <x:v>60</x:v>
      </x:c>
      <x:c r="E246" s="58" t="s">
        <x:v>91</x:v>
      </x:c>
      <x:c r="F246" s="59" t="s">
        <x:v>621</x:v>
      </x:c>
      <x:c r="G246" s="59" t="s">
        <x:v>42</x:v>
      </x:c>
      <x:c r="H246" s="59" t="s">
        <x:v>177</x:v>
      </x:c>
      <x:c r="I246" s="59" t="s">
        <x:v>65</x:v>
      </x:c>
      <x:c r="J246" s="59">
        <x:v>2015</x:v>
      </x:c>
      <x:c r="K246" s="59">
        <x:v>124</x:v>
      </x:c>
      <x:c r="L246" s="58">
        <x:v>124</x:v>
      </x:c>
      <x:c r="M246" s="59">
        <x:v>124</x:v>
      </x:c>
      <x:c r="N246" s="59" t="s">
        <x:v>41</x:v>
      </x:c>
      <x:c r="O246" s="59" t="s">
        <x:v>42</x:v>
      </x:c>
      <x:c r="Q246" s="23" t="s">
        <x:v>43</x:v>
      </x:c>
      <x:c r="S246" s="58"/>
      <x:c r="T246" s="58"/>
      <x:c r="U246" s="58"/>
      <x:c r="V246" s="58">
        <x:v>-2.0908703499999999</x:v>
      </x:c>
      <x:c r="W246" s="58">
        <x:v>106.10865029999999</x:v>
      </x:c>
      <x:c r="X246" s="60"/>
      <x:c r="Y246" s="60"/>
      <x:c r="Z246" s="58"/>
      <x:c r="AA246" s="60"/>
      <x:c r="AB246" s="60"/>
      <x:c r="AC246" s="61">
        <x:f t="shared" si="16"/>
        <x:v>1</x:v>
      </x:c>
      <x:c r="AD246" s="61">
        <x:f t="shared" si="17"/>
        <x:v>1</x:v>
      </x:c>
    </x:row>
    <x:row r="247" s="59" customFormat="1" ht="12.5">
      <x:c r="A247" s="63">
        <x:v>242</x:v>
      </x:c>
      <x:c r="B247" s="58" t="s">
        <x:v>622</x:v>
      </x:c>
      <x:c r="C247" s="59" t="s">
        <x:v>34</x:v>
      </x:c>
      <x:c r="D247" s="58" t="s">
        <x:v>35</x:v>
      </x:c>
      <x:c r="E247" s="58" t="s">
        <x:v>46</x:v>
      </x:c>
      <x:c r="F247" s="59" t="s">
        <x:v>623</x:v>
      </x:c>
      <x:c r="G247" s="59" t="s">
        <x:v>624</x:v>
      </x:c>
      <x:c r="H247" s="59" t="s">
        <x:v>625</x:v>
      </x:c>
      <x:c r="I247" s="59" t="s">
        <x:v>42</x:v>
      </x:c>
      <x:c r="J247" s="59">
        <x:v>2017</x:v>
      </x:c>
      <x:c r="K247" s="59">
        <x:v>42</x:v>
      </x:c>
      <x:c r="L247" s="58">
        <x:v>37</x:v>
      </x:c>
      <x:c r="M247" s="59">
        <x:v>37</x:v>
      </x:c>
      <x:c r="N247" s="59" t="s">
        <x:v>41</x:v>
      </x:c>
      <x:c r="O247" s="59" t="s">
        <x:v>42</x:v>
      </x:c>
      <x:c r="Q247" s="23" t="s">
        <x:v>43</x:v>
      </x:c>
      <x:c r="R247" s="23" t="s">
        <x:v>88</x:v>
      </x:c>
      <x:c r="S247" s="58"/>
      <x:c r="T247" s="58"/>
      <x:c r="U247" s="58"/>
      <x:c r="V247" s="58">
        <x:v>-2.1266164000000001</x:v>
      </x:c>
      <x:c r="W247" s="58">
        <x:v>106.08298000000001</x:v>
      </x:c>
      <x:c r="X247" s="60"/>
      <x:c r="Y247" s="60"/>
      <x:c r="Z247" s="58"/>
      <x:c r="AA247" s="60"/>
      <x:c r="AB247" s="60"/>
      <x:c r="AC247" s="61">
        <x:f t="shared" si="16"/>
        <x:v>0.88095238095238093</x:v>
      </x:c>
      <x:c r="AD247" s="61">
        <x:f t="shared" si="17"/>
        <x:v>1</x:v>
      </x:c>
    </x:row>
    <x:row r="248" s="59" customFormat="1" ht="12.5">
      <x:c r="A248" s="63">
        <x:v>243</x:v>
      </x:c>
      <x:c r="B248" s="58" t="s">
        <x:v>626</x:v>
      </x:c>
      <x:c r="C248" s="59" t="s">
        <x:v>34</x:v>
      </x:c>
      <x:c r="D248" s="58" t="s">
        <x:v>35</x:v>
      </x:c>
      <x:c r="E248" s="58" t="s">
        <x:v>36</x:v>
      </x:c>
      <x:c r="F248" s="59" t="s">
        <x:v>54</x:v>
      </x:c>
      <x:c r="G248" s="59" t="s">
        <x:v>42</x:v>
      </x:c>
      <x:c r="H248" s="59" t="s">
        <x:v>42</x:v>
      </x:c>
      <x:c r="I248" s="59" t="s">
        <x:v>42</x:v>
      </x:c>
      <x:c r="J248" s="59">
        <x:v>2017</x:v>
      </x:c>
      <x:c r="K248" s="59">
        <x:v>14</x:v>
      </x:c>
      <x:c r="L248" s="58">
        <x:v>14</x:v>
      </x:c>
      <x:c r="M248" s="59">
        <x:v>14</x:v>
      </x:c>
      <x:c r="N248" s="59" t="s">
        <x:v>41</x:v>
      </x:c>
      <x:c r="O248" s="59" t="s">
        <x:v>42</x:v>
      </x:c>
      <x:c r="Q248" s="23" t="s">
        <x:v>43</x:v>
      </x:c>
      <x:c r="R248" s="23" t="s">
        <x:v>88</x:v>
      </x:c>
      <x:c r="S248" s="58"/>
      <x:c r="T248" s="58"/>
      <x:c r="U248" s="58"/>
      <x:c r="V248" s="58">
        <x:v>-2.0969370000000001</x:v>
      </x:c>
      <x:c r="W248" s="58">
        <x:v>106.07986</x:v>
      </x:c>
      <x:c r="X248" s="60"/>
      <x:c r="Y248" s="60"/>
      <x:c r="Z248" s="58"/>
      <x:c r="AA248" s="60"/>
      <x:c r="AB248" s="60"/>
      <x:c r="AC248" s="61">
        <x:f t="shared" si="16"/>
        <x:v>1</x:v>
      </x:c>
      <x:c r="AD248" s="61">
        <x:f t="shared" si="17"/>
        <x:v>1</x:v>
      </x:c>
    </x:row>
    <x:row r="249" s="59" customFormat="1" ht="12.5">
      <x:c r="A249" s="63">
        <x:v>244</x:v>
      </x:c>
      <x:c r="B249" s="58" t="s">
        <x:v>627</x:v>
      </x:c>
      <x:c r="C249" s="59" t="s">
        <x:v>34</x:v>
      </x:c>
      <x:c r="D249" s="58" t="s">
        <x:v>35</x:v>
      </x:c>
      <x:c r="E249" s="58" t="s">
        <x:v>36</x:v>
      </x:c>
      <x:c r="F249" s="59" t="s">
        <x:v>628</x:v>
      </x:c>
      <x:c r="G249" s="59" t="s">
        <x:v>629</x:v>
      </x:c>
      <x:c r="H249" s="59" t="s">
        <x:v>630</x:v>
      </x:c>
      <x:c r="I249" s="59" t="s">
        <x:v>40</x:v>
      </x:c>
      <x:c r="J249" s="59">
        <x:v>2021</x:v>
      </x:c>
      <x:c r="K249" s="59">
        <x:v>40</x:v>
      </x:c>
      <x:c r="L249" s="58">
        <x:v>26</x:v>
      </x:c>
      <x:c r="M249" s="59">
        <x:v>26</x:v>
      </x:c>
      <x:c r="N249" s="59" t="s">
        <x:v>41</x:v>
      </x:c>
      <x:c r="O249" s="59" t="s">
        <x:v>42</x:v>
      </x:c>
      <x:c r="Q249" s="23" t="s">
        <x:v>43</x:v>
      </x:c>
      <x:c r="S249" s="58"/>
      <x:c r="T249" s="11" t="s">
        <x:v>44</x:v>
      </x:c>
      <x:c r="U249" s="58"/>
      <x:c r="V249" s="58">
        <x:v>-2.09375</x:v>
      </x:c>
      <x:c r="W249" s="58">
        <x:v>106.07987799999999</x:v>
      </x:c>
      <x:c r="X249" s="60"/>
      <x:c r="Y249" s="60"/>
      <x:c r="Z249" s="58"/>
      <x:c r="AA249" s="60"/>
      <x:c r="AB249" s="60"/>
      <x:c r="AC249" s="61">
        <x:f t="shared" si="16"/>
        <x:v>0.65</x:v>
      </x:c>
      <x:c r="AD249" s="61">
        <x:f t="shared" si="17"/>
        <x:v>1</x:v>
      </x:c>
    </x:row>
    <x:row r="250" s="59" customFormat="1" ht="12.5">
      <x:c r="A250" s="63">
        <x:v>245</x:v>
      </x:c>
      <x:c r="B250" s="58" t="s">
        <x:v>631</x:v>
      </x:c>
      <x:c r="C250" s="59" t="s">
        <x:v>34</x:v>
      </x:c>
      <x:c r="D250" s="58" t="s">
        <x:v>35</x:v>
      </x:c>
      <x:c r="E250" s="58" t="s">
        <x:v>46</x:v>
      </x:c>
      <x:c r="F250" s="59" t="s">
        <x:v>51</x:v>
      </x:c>
      <x:c r="G250" s="59" t="s">
        <x:v>406</x:v>
      </x:c>
      <x:c r="H250" s="59" t="s">
        <x:v>407</x:v>
      </x:c>
      <x:c r="I250" s="59" t="s">
        <x:v>196</x:v>
      </x:c>
      <x:c r="J250" s="59">
        <x:v>2019</x:v>
      </x:c>
      <x:c r="K250" s="59">
        <x:v>93</x:v>
      </x:c>
      <x:c r="L250" s="58">
        <x:v>61</x:v>
      </x:c>
      <x:c r="M250" s="59">
        <x:v>59</x:v>
      </x:c>
      <x:c r="N250" s="59" t="s">
        <x:v>48</x:v>
      </x:c>
      <x:c r="O250" s="59">
        <x:v>2025</x:v>
      </x:c>
      <x:c r="Q250" s="23" t="s">
        <x:v>43</x:v>
      </x:c>
      <x:c r="S250" s="58"/>
      <x:c r="T250" s="58"/>
      <x:c r="U250" s="58"/>
      <x:c r="V250" s="58">
        <x:v>-2.1240772300000001</x:v>
      </x:c>
      <x:c r="W250" s="58">
        <x:v>106.0698871</x:v>
      </x:c>
      <x:c r="X250" s="60"/>
      <x:c r="Y250" s="60"/>
      <x:c r="Z250" s="58"/>
      <x:c r="AA250" s="60"/>
      <x:c r="AB250" s="60"/>
      <x:c r="AC250" s="61">
        <x:f t="shared" si="16"/>
        <x:v>0.65591397849462363</x:v>
      </x:c>
      <x:c r="AD250" s="61">
        <x:f t="shared" si="17"/>
        <x:v>0.96721311475409832</x:v>
      </x:c>
    </x:row>
    <x:row r="251" s="59" customFormat="1" ht="12.5">
      <x:c r="A251" s="63">
        <x:v>246</x:v>
      </x:c>
      <x:c r="B251" s="58" t="s">
        <x:v>632</x:v>
      </x:c>
      <x:c r="C251" s="59" t="s">
        <x:v>34</x:v>
      </x:c>
      <x:c r="D251" s="58" t="s">
        <x:v>60</x:v>
      </x:c>
      <x:c r="E251" s="58" t="s">
        <x:v>91</x:v>
      </x:c>
      <x:c r="F251" s="59" t="s">
        <x:v>633</x:v>
      </x:c>
      <x:c r="G251" s="59" t="s">
        <x:v>63</x:v>
      </x:c>
      <x:c r="H251" s="59" t="s">
        <x:v>64</x:v>
      </x:c>
      <x:c r="I251" s="59" t="s">
        <x:v>42</x:v>
      </x:c>
      <x:c r="J251" s="59">
        <x:v>2018</x:v>
      </x:c>
      <x:c r="K251" s="59">
        <x:v>74</x:v>
      </x:c>
      <x:c r="L251" s="58">
        <x:v>74</x:v>
      </x:c>
      <x:c r="M251" s="59">
        <x:v>74</x:v>
      </x:c>
      <x:c r="N251" s="59" t="s">
        <x:v>41</x:v>
      </x:c>
      <x:c r="O251" s="59" t="s">
        <x:v>42</x:v>
      </x:c>
      <x:c r="Q251" s="23" t="s">
        <x:v>43</x:v>
      </x:c>
      <x:c r="R251" s="23" t="s">
        <x:v>88</x:v>
      </x:c>
      <x:c r="S251" s="58"/>
      <x:c r="T251" s="11" t="s">
        <x:v>44</x:v>
      </x:c>
      <x:c r="U251" s="58"/>
      <x:c r="V251" s="58">
        <x:v>-2.0777771</x:v>
      </x:c>
      <x:c r="W251" s="58">
        <x:v>106.1188729</x:v>
      </x:c>
      <x:c r="X251" s="60"/>
      <x:c r="Y251" s="60"/>
      <x:c r="Z251" s="58"/>
      <x:c r="AA251" s="60"/>
      <x:c r="AB251" s="60"/>
      <x:c r="AC251" s="61">
        <x:f t="shared" si="16"/>
        <x:v>1</x:v>
      </x:c>
      <x:c r="AD251" s="61">
        <x:f t="shared" si="17"/>
        <x:v>1</x:v>
      </x:c>
    </x:row>
    <x:row r="252" s="59" customFormat="1" ht="12.5">
      <x:c r="A252" s="63">
        <x:v>247</x:v>
      </x:c>
      <x:c r="B252" s="58" t="s">
        <x:v>634</x:v>
      </x:c>
      <x:c r="C252" s="59" t="s">
        <x:v>170</x:v>
      </x:c>
      <x:c r="D252" s="58" t="s">
        <x:v>306</x:v>
      </x:c>
      <x:c r="E252" s="58" t="s">
        <x:v>307</x:v>
      </x:c>
      <x:c r="F252" s="59" t="s">
        <x:v>635</x:v>
      </x:c>
      <x:c r="G252" s="59" t="s">
        <x:v>42</x:v>
      </x:c>
      <x:c r="H252" s="59" t="s">
        <x:v>636</x:v>
      </x:c>
      <x:c r="I252" s="59" t="s">
        <x:v>42</x:v>
      </x:c>
      <x:c r="J252" s="59" t="s">
        <x:v>42</x:v>
      </x:c>
      <x:c r="K252" s="59">
        <x:v>0</x:v>
      </x:c>
      <x:c r="L252" s="58">
        <x:v>0</x:v>
      </x:c>
      <x:c r="M252" s="59">
        <x:v>0</x:v>
      </x:c>
      <x:c r="N252" s="59" t="s">
        <x:v>41</x:v>
      </x:c>
      <x:c r="O252" s="59" t="s">
        <x:v>42</x:v>
      </x:c>
      <x:c r="Q252" s="59" t="s">
        <x:v>72</x:v>
      </x:c>
      <x:c r="S252" s="58"/>
      <x:c r="T252" s="58"/>
      <x:c r="U252" s="58"/>
      <x:c r="V252" s="58">
        <x:v>-2.1464112000000002</x:v>
      </x:c>
      <x:c r="W252" s="58">
        <x:v>106.11293240000001</x:v>
      </x:c>
      <x:c r="X252" s="60"/>
      <x:c r="Y252" s="60"/>
      <x:c r="Z252" s="58"/>
      <x:c r="AA252" s="60"/>
      <x:c r="AB252" s="60"/>
      <x:c r="AC252" s="61">
        <x:f t="shared" si="16"/>
        <x:v>0</x:v>
      </x:c>
      <x:c r="AD252" s="61">
        <x:f t="shared" si="17"/>
        <x:v>0</x:v>
      </x:c>
    </x:row>
    <x:row r="253" s="59" customFormat="1" ht="12.5">
      <x:c r="A253" s="63">
        <x:v>248</x:v>
      </x:c>
      <x:c r="B253" s="58" t="s">
        <x:v>637</x:v>
      </x:c>
      <x:c r="C253" s="59" t="s">
        <x:v>34</x:v>
      </x:c>
      <x:c r="D253" s="58" t="s">
        <x:v>35</x:v>
      </x:c>
      <x:c r="E253" s="58" t="s">
        <x:v>36</x:v>
      </x:c>
      <x:c r="F253" s="59" t="s">
        <x:v>104</x:v>
      </x:c>
      <x:c r="G253" s="59" t="s">
        <x:v>638</x:v>
      </x:c>
      <x:c r="H253" s="59" t="s">
        <x:v>561</x:v>
      </x:c>
      <x:c r="I253" s="59" t="s">
        <x:v>166</x:v>
      </x:c>
      <x:c r="J253" s="59">
        <x:v>2017</x:v>
      </x:c>
      <x:c r="K253" s="59">
        <x:v>43</x:v>
      </x:c>
      <x:c r="L253" s="58">
        <x:v>22</x:v>
      </x:c>
      <x:c r="M253" s="59">
        <x:v>22</x:v>
      </x:c>
      <x:c r="N253" s="59" t="s">
        <x:v>41</x:v>
      </x:c>
      <x:c r="O253" s="59" t="s">
        <x:v>42</x:v>
      </x:c>
      <x:c r="Q253" s="23" t="s">
        <x:v>43</x:v>
      </x:c>
      <x:c r="R253" s="23" t="s">
        <x:v>88</x:v>
      </x:c>
      <x:c r="S253" s="58"/>
      <x:c r="T253" s="58"/>
      <x:c r="U253" s="58"/>
      <x:c r="V253" s="58">
        <x:v>-2.1051739999999999</x:v>
      </x:c>
      <x:c r="W253" s="58">
        <x:v>106.06204700000001</x:v>
      </x:c>
      <x:c r="X253" s="60"/>
      <x:c r="Y253" s="60"/>
      <x:c r="Z253" s="58"/>
      <x:c r="AA253" s="60"/>
      <x:c r="AB253" s="60"/>
      <x:c r="AC253" s="61">
        <x:f t="shared" si="16"/>
        <x:v>0.51162790697674421</x:v>
      </x:c>
      <x:c r="AD253" s="61">
        <x:f t="shared" si="17"/>
        <x:v>1</x:v>
      </x:c>
    </x:row>
    <x:row r="254" s="59" customFormat="1" ht="12.5">
      <x:c r="A254" s="63">
        <x:v>249</x:v>
      </x:c>
      <x:c r="B254" s="58" t="s">
        <x:v>639</x:v>
      </x:c>
      <x:c r="C254" s="59" t="s">
        <x:v>34</x:v>
      </x:c>
      <x:c r="D254" s="58" t="s">
        <x:v>35</x:v>
      </x:c>
      <x:c r="E254" s="58" t="s">
        <x:v>36</x:v>
      </x:c>
      <x:c r="F254" s="59" t="s">
        <x:v>54</x:v>
      </x:c>
      <x:c r="G254" s="59" t="s">
        <x:v>638</x:v>
      </x:c>
      <x:c r="H254" s="59" t="s">
        <x:v>561</x:v>
      </x:c>
      <x:c r="I254" s="59" t="s">
        <x:v>166</x:v>
      </x:c>
      <x:c r="J254" s="59">
        <x:v>2017</x:v>
      </x:c>
      <x:c r="K254" s="59">
        <x:v>37</x:v>
      </x:c>
      <x:c r="L254" s="58">
        <x:v>37</x:v>
      </x:c>
      <x:c r="M254" s="59">
        <x:v>37</x:v>
      </x:c>
      <x:c r="N254" s="59" t="s">
        <x:v>41</x:v>
      </x:c>
      <x:c r="O254" s="59" t="s">
        <x:v>42</x:v>
      </x:c>
      <x:c r="Q254" s="23" t="s">
        <x:v>43</x:v>
      </x:c>
      <x:c r="S254" s="58"/>
      <x:c r="T254" s="58"/>
      <x:c r="U254" s="58"/>
      <x:c r="V254" s="58">
        <x:v>-2.098738</x:v>
      </x:c>
      <x:c r="W254" s="58">
        <x:v>106.080535</x:v>
      </x:c>
      <x:c r="X254" s="60"/>
      <x:c r="Y254" s="60"/>
      <x:c r="Z254" s="58"/>
      <x:c r="AA254" s="60"/>
      <x:c r="AB254" s="60"/>
      <x:c r="AC254" s="61">
        <x:f t="shared" si="16"/>
        <x:v>1</x:v>
      </x:c>
      <x:c r="AD254" s="61">
        <x:f t="shared" si="17"/>
        <x:v>1</x:v>
      </x:c>
    </x:row>
    <x:row r="255" s="59" customFormat="1" ht="12.5">
      <x:c r="A255" s="63">
        <x:v>250</x:v>
      </x:c>
      <x:c r="B255" s="58" t="s">
        <x:v>640</x:v>
      </x:c>
      <x:c r="C255" s="59" t="s">
        <x:v>34</x:v>
      </x:c>
      <x:c r="D255" s="58" t="s">
        <x:v>60</x:v>
      </x:c>
      <x:c r="E255" s="58" t="s">
        <x:v>267</x:v>
      </x:c>
      <x:c r="F255" s="59" t="s">
        <x:v>641</x:v>
      </x:c>
      <x:c r="G255" s="59" t="s">
        <x:v>638</x:v>
      </x:c>
      <x:c r="H255" s="59" t="s">
        <x:v>561</x:v>
      </x:c>
      <x:c r="I255" s="59" t="s">
        <x:v>166</x:v>
      </x:c>
      <x:c r="J255" s="59">
        <x:v>2017</x:v>
      </x:c>
      <x:c r="K255" s="59">
        <x:v>20</x:v>
      </x:c>
      <x:c r="L255" s="58">
        <x:v>12</x:v>
      </x:c>
      <x:c r="M255" s="59">
        <x:v>12</x:v>
      </x:c>
      <x:c r="N255" s="59" t="s">
        <x:v>41</x:v>
      </x:c>
      <x:c r="O255" s="59" t="s">
        <x:v>42</x:v>
      </x:c>
      <x:c r="Q255" s="23" t="s">
        <x:v>43</x:v>
      </x:c>
      <x:c r="S255" s="58"/>
      <x:c r="T255" s="58"/>
      <x:c r="U255" s="58"/>
      <x:c r="V255" s="58">
        <x:v>-2.0909575</x:v>
      </x:c>
      <x:c r="W255" s="58">
        <x:v>106.120243</x:v>
      </x:c>
      <x:c r="X255" s="60"/>
      <x:c r="Y255" s="60"/>
      <x:c r="Z255" s="58"/>
      <x:c r="AA255" s="60"/>
      <x:c r="AB255" s="60"/>
      <x:c r="AC255" s="61">
        <x:f t="shared" si="16"/>
        <x:v>0.6</x:v>
      </x:c>
      <x:c r="AD255" s="61">
        <x:f t="shared" si="17"/>
        <x:v>1</x:v>
      </x:c>
    </x:row>
    <x:row r="256" s="59" customFormat="1" ht="12.5">
      <x:c r="A256" s="63">
        <x:v>251</x:v>
      </x:c>
      <x:c r="B256" s="58" t="s">
        <x:v>642</x:v>
      </x:c>
      <x:c r="C256" s="59" t="s">
        <x:v>34</x:v>
      </x:c>
      <x:c r="D256" s="58" t="s">
        <x:v>60</x:v>
      </x:c>
      <x:c r="E256" s="58" t="s">
        <x:v>91</x:v>
      </x:c>
      <x:c r="F256" s="59" t="s">
        <x:v>209</x:v>
      </x:c>
      <x:c r="G256" s="59" t="s">
        <x:v>42</x:v>
      </x:c>
      <x:c r="H256" s="59" t="s">
        <x:v>42</x:v>
      </x:c>
      <x:c r="I256" s="59" t="s">
        <x:v>42</x:v>
      </x:c>
      <x:c r="J256" s="59">
        <x:v>2008</x:v>
      </x:c>
      <x:c r="K256" s="59">
        <x:v>102</x:v>
      </x:c>
      <x:c r="L256" s="58">
        <x:v>102</x:v>
      </x:c>
      <x:c r="M256" s="59">
        <x:v>102</x:v>
      </x:c>
      <x:c r="N256" s="59" t="s">
        <x:v>41</x:v>
      </x:c>
      <x:c r="O256" s="59" t="s">
        <x:v>42</x:v>
      </x:c>
      <x:c r="Q256" s="23" t="s">
        <x:v>43</x:v>
      </x:c>
      <x:c r="S256" s="58" t="s">
        <x:v>178</x:v>
      </x:c>
      <x:c r="T256" s="58"/>
      <x:c r="U256" s="58"/>
      <x:c r="V256" s="58">
        <x:v>-2.076136</x:v>
      </x:c>
      <x:c r="W256" s="58">
        <x:v>106.1255896</x:v>
      </x:c>
      <x:c r="X256" s="60"/>
      <x:c r="Y256" s="60"/>
      <x:c r="Z256" s="58"/>
      <x:c r="AA256" s="60"/>
      <x:c r="AB256" s="60"/>
      <x:c r="AC256" s="61">
        <x:f t="shared" si="16"/>
        <x:v>1</x:v>
      </x:c>
      <x:c r="AD256" s="61">
        <x:f t="shared" si="17"/>
        <x:v>1</x:v>
      </x:c>
    </x:row>
    <x:row r="257" s="59" customFormat="1" ht="12.5">
      <x:c r="A257" s="63">
        <x:v>252</x:v>
      </x:c>
      <x:c r="B257" s="58" t="s">
        <x:v>643</x:v>
      </x:c>
      <x:c r="C257" s="59" t="s">
        <x:v>34</x:v>
      </x:c>
      <x:c r="D257" s="58" t="s">
        <x:v>81</x:v>
      </x:c>
      <x:c r="E257" s="58" t="s">
        <x:v>202</x:v>
      </x:c>
      <x:c r="F257" s="59" t="s">
        <x:v>644</x:v>
      </x:c>
      <x:c r="G257" s="59" t="s">
        <x:v>645</x:v>
      </x:c>
      <x:c r="H257" s="59" t="s">
        <x:v>646</x:v>
      </x:c>
      <x:c r="I257" s="59" t="s">
        <x:v>42</x:v>
      </x:c>
      <x:c r="J257" s="59">
        <x:v>2025</x:v>
      </x:c>
      <x:c r="K257" s="59">
        <x:v>47</x:v>
      </x:c>
      <x:c r="L257" s="58">
        <x:v>0</x:v>
      </x:c>
      <x:c r="M257" s="59">
        <x:v>0</x:v>
      </x:c>
      <x:c r="N257" s="59" t="s">
        <x:v>41</x:v>
      </x:c>
      <x:c r="O257" s="59" t="s">
        <x:v>42</x:v>
      </x:c>
      <x:c r="Q257" s="23" t="s">
        <x:v>43</x:v>
      </x:c>
      <x:c r="S257" s="58"/>
      <x:c r="T257" s="58"/>
      <x:c r="U257" s="58"/>
      <x:c r="V257" s="58"/>
      <x:c r="W257" s="58"/>
      <x:c r="X257" s="60"/>
      <x:c r="Y257" s="60"/>
      <x:c r="Z257" s="58"/>
      <x:c r="AA257" s="60"/>
      <x:c r="AB257" s="60"/>
      <x:c r="AC257" s="61">
        <x:f t="shared" si="16"/>
        <x:v>0</x:v>
      </x:c>
      <x:c r="AD257" s="61">
        <x:f t="shared" si="17"/>
        <x:v>0</x:v>
      </x:c>
    </x:row>
    <x:row r="258" s="59" customFormat="1" ht="12.5">
      <x:c r="A258" s="63">
        <x:v>253</x:v>
      </x:c>
      <x:c r="B258" s="58" t="s">
        <x:v>647</x:v>
      </x:c>
      <x:c r="C258" s="59" t="s">
        <x:v>34</x:v>
      </x:c>
      <x:c r="D258" s="58" t="s">
        <x:v>99</x:v>
      </x:c>
      <x:c r="E258" s="58" t="s">
        <x:v>213</x:v>
      </x:c>
      <x:c r="F258" s="59" t="s">
        <x:v>648</x:v>
      </x:c>
      <x:c r="G258" s="59" t="s">
        <x:v>42</x:v>
      </x:c>
      <x:c r="H258" s="59" t="s">
        <x:v>42</x:v>
      </x:c>
      <x:c r="I258" s="59" t="s">
        <x:v>112</x:v>
      </x:c>
      <x:c r="J258" s="59">
        <x:v>2016</x:v>
      </x:c>
      <x:c r="K258" s="59">
        <x:v>0</x:v>
      </x:c>
      <x:c r="L258" s="58">
        <x:v>23</x:v>
      </x:c>
      <x:c r="M258" s="59">
        <x:v>23</x:v>
      </x:c>
      <x:c r="N258" s="59" t="s">
        <x:v>41</x:v>
      </x:c>
      <x:c r="O258" s="59" t="s">
        <x:v>42</x:v>
      </x:c>
      <x:c r="Q258" s="23" t="s">
        <x:v>43</x:v>
      </x:c>
      <x:c r="S258" s="58"/>
      <x:c r="T258" s="58"/>
      <x:c r="U258" s="58"/>
      <x:c r="V258" s="58">
        <x:v>-2.0918006</x:v>
      </x:c>
      <x:c r="W258" s="58">
        <x:v>106.12090499999999</x:v>
      </x:c>
      <x:c r="X258" s="60"/>
      <x:c r="Y258" s="60"/>
      <x:c r="Z258" s="58"/>
      <x:c r="AA258" s="60"/>
      <x:c r="AB258" s="60"/>
      <x:c r="AC258" s="61">
        <x:f t="shared" si="16"/>
        <x:v>0</x:v>
      </x:c>
      <x:c r="AD258" s="61">
        <x:f t="shared" si="17"/>
        <x:v>1</x:v>
      </x:c>
    </x:row>
    <x:row r="259" s="59" customFormat="1" ht="12.5">
      <x:c r="A259" s="63">
        <x:v>254</x:v>
      </x:c>
      <x:c r="B259" s="58" t="s">
        <x:v>649</x:v>
      </x:c>
      <x:c r="C259" s="59" t="s">
        <x:v>34</x:v>
      </x:c>
      <x:c r="D259" s="58" t="s">
        <x:v>99</x:v>
      </x:c>
      <x:c r="E259" s="58" t="s">
        <x:v>213</x:v>
      </x:c>
      <x:c r="F259" s="59" t="s">
        <x:v>648</x:v>
      </x:c>
      <x:c r="G259" s="59" t="s">
        <x:v>650</x:v>
      </x:c>
      <x:c r="H259" s="59" t="s">
        <x:v>651</x:v>
      </x:c>
      <x:c r="I259" s="59" t="s">
        <x:v>112</x:v>
      </x:c>
      <x:c r="J259" s="59">
        <x:v>2017</x:v>
      </x:c>
      <x:c r="K259" s="59">
        <x:v>135</x:v>
      </x:c>
      <x:c r="L259" s="58">
        <x:v>135</x:v>
      </x:c>
      <x:c r="M259" s="59">
        <x:v>135</x:v>
      </x:c>
      <x:c r="N259" s="59" t="s">
        <x:v>41</x:v>
      </x:c>
      <x:c r="O259" s="59" t="s">
        <x:v>42</x:v>
      </x:c>
      <x:c r="Q259" s="23" t="s">
        <x:v>43</x:v>
      </x:c>
      <x:c r="S259" s="58"/>
      <x:c r="T259" s="58"/>
      <x:c r="U259" s="58"/>
      <x:c r="V259" s="58">
        <x:v>-2.0912660000000001</x:v>
      </x:c>
      <x:c r="W259" s="58">
        <x:v>106.120482</x:v>
      </x:c>
      <x:c r="X259" s="60"/>
      <x:c r="Y259" s="60"/>
      <x:c r="Z259" s="58"/>
      <x:c r="AA259" s="60"/>
      <x:c r="AB259" s="60"/>
      <x:c r="AC259" s="61">
        <x:f t="shared" si="16"/>
        <x:v>1</x:v>
      </x:c>
      <x:c r="AD259" s="61">
        <x:f t="shared" si="17"/>
        <x:v>1</x:v>
      </x:c>
    </x:row>
    <x:row r="260" s="59" customFormat="1" ht="12.5">
      <x:c r="A260" s="63">
        <x:v>255</x:v>
      </x:c>
      <x:c r="B260" s="58" t="s">
        <x:v>652</x:v>
      </x:c>
      <x:c r="C260" s="59" t="s">
        <x:v>34</x:v>
      </x:c>
      <x:c r="D260" s="58" t="s">
        <x:v>81</x:v>
      </x:c>
      <x:c r="E260" s="58" t="s">
        <x:v>122</x:v>
      </x:c>
      <x:c r="F260" s="59" t="s">
        <x:v>163</x:v>
      </x:c>
      <x:c r="G260" s="59" t="s">
        <x:v>653</x:v>
      </x:c>
      <x:c r="H260" s="59" t="s">
        <x:v>654</x:v>
      </x:c>
      <x:c r="I260" s="59" t="s">
        <x:v>112</x:v>
      </x:c>
      <x:c r="J260" s="59">
        <x:v>2018</x:v>
      </x:c>
      <x:c r="K260" s="59">
        <x:v>87</x:v>
      </x:c>
      <x:c r="L260" s="58">
        <x:v>87</x:v>
      </x:c>
      <x:c r="M260" s="59">
        <x:v>87</x:v>
      </x:c>
      <x:c r="N260" s="59" t="s">
        <x:v>41</x:v>
      </x:c>
      <x:c r="O260" s="59" t="s">
        <x:v>42</x:v>
      </x:c>
      <x:c r="Q260" s="23" t="s">
        <x:v>43</x:v>
      </x:c>
      <x:c r="S260" s="58"/>
      <x:c r="T260" s="58"/>
      <x:c r="U260" s="58"/>
      <x:c r="V260" s="58">
        <x:v>-2.1379876000000002</x:v>
      </x:c>
      <x:c r="W260" s="58">
        <x:v>106.168387</x:v>
      </x:c>
      <x:c r="X260" s="60"/>
      <x:c r="Y260" s="60"/>
      <x:c r="Z260" s="58"/>
      <x:c r="AA260" s="60"/>
      <x:c r="AB260" s="60"/>
      <x:c r="AC260" s="61">
        <x:f t="shared" si="16"/>
        <x:v>1</x:v>
      </x:c>
      <x:c r="AD260" s="61">
        <x:f t="shared" si="17"/>
        <x:v>1</x:v>
      </x:c>
    </x:row>
    <x:row r="261" s="59" customFormat="1" ht="12.5">
      <x:c r="A261" s="63">
        <x:v>256</x:v>
      </x:c>
      <x:c r="B261" s="58" t="s">
        <x:v>655</x:v>
      </x:c>
      <x:c r="C261" s="59" t="s">
        <x:v>34</x:v>
      </x:c>
      <x:c r="D261" s="58" t="s">
        <x:v>81</x:v>
      </x:c>
      <x:c r="E261" s="58" t="s">
        <x:v>122</x:v>
      </x:c>
      <x:c r="F261" s="59" t="s">
        <x:v>380</x:v>
      </x:c>
      <x:c r="G261" s="59" t="s">
        <x:v>656</x:v>
      </x:c>
      <x:c r="H261" s="59" t="s">
        <x:v>654</x:v>
      </x:c>
      <x:c r="I261" s="59" t="s">
        <x:v>112</x:v>
      </x:c>
      <x:c r="J261" s="59">
        <x:v>2020</x:v>
      </x:c>
      <x:c r="K261" s="59">
        <x:v>90</x:v>
      </x:c>
      <x:c r="L261" s="58">
        <x:v>78</x:v>
      </x:c>
      <x:c r="M261" s="59">
        <x:v>67</x:v>
      </x:c>
      <x:c r="N261" s="59" t="s">
        <x:v>41</x:v>
      </x:c>
      <x:c r="O261" s="59" t="s">
        <x:v>42</x:v>
      </x:c>
      <x:c r="Q261" s="23" t="s">
        <x:v>43</x:v>
      </x:c>
      <x:c r="S261" s="58"/>
      <x:c r="T261" s="58"/>
      <x:c r="U261" s="58"/>
      <x:c r="V261" s="58">
        <x:v>-2.1226579000000001</x:v>
      </x:c>
      <x:c r="W261" s="58">
        <x:v>106.1613675</x:v>
      </x:c>
      <x:c r="X261" s="60"/>
      <x:c r="Y261" s="60"/>
      <x:c r="Z261" s="58"/>
      <x:c r="AA261" s="60"/>
      <x:c r="AB261" s="60"/>
      <x:c r="AC261" s="61">
        <x:f t="shared" si="16"/>
        <x:v>0.8666666666666667</x:v>
      </x:c>
      <x:c r="AD261" s="61">
        <x:f t="shared" si="17"/>
        <x:v>0.85897435897435892</x:v>
      </x:c>
    </x:row>
    <x:row r="262" s="59" customFormat="1" ht="12.5">
      <x:c r="A262" s="63">
        <x:v>257</x:v>
      </x:c>
      <x:c r="B262" s="58" t="s">
        <x:v>657</x:v>
      </x:c>
      <x:c r="C262" s="59" t="s">
        <x:v>34</x:v>
      </x:c>
      <x:c r="D262" s="58" t="s">
        <x:v>81</x:v>
      </x:c>
      <x:c r="E262" s="58" t="s">
        <x:v>122</x:v>
      </x:c>
      <x:c r="F262" s="59" t="s">
        <x:v>163</x:v>
      </x:c>
      <x:c r="G262" s="59" t="s">
        <x:v>656</x:v>
      </x:c>
      <x:c r="H262" s="59" t="s">
        <x:v>654</x:v>
      </x:c>
      <x:c r="I262" s="59" t="s">
        <x:v>112</x:v>
      </x:c>
      <x:c r="J262" s="59">
        <x:v>2020</x:v>
      </x:c>
      <x:c r="K262" s="59">
        <x:v>103</x:v>
      </x:c>
      <x:c r="L262" s="58">
        <x:v>98</x:v>
      </x:c>
      <x:c r="M262" s="59">
        <x:v>75</x:v>
      </x:c>
      <x:c r="N262" s="59" t="s">
        <x:v>41</x:v>
      </x:c>
      <x:c r="O262" s="59" t="s">
        <x:v>42</x:v>
      </x:c>
      <x:c r="Q262" s="23" t="s">
        <x:v>43</x:v>
      </x:c>
      <x:c r="S262" s="58"/>
      <x:c r="T262" s="58"/>
      <x:c r="U262" s="58"/>
      <x:c r="V262" s="58">
        <x:v>-2.1379977000000001</x:v>
      </x:c>
      <x:c r="W262" s="58">
        <x:v>106.17180449999999</x:v>
      </x:c>
      <x:c r="X262" s="60"/>
      <x:c r="Y262" s="60"/>
      <x:c r="Z262" s="58"/>
      <x:c r="AA262" s="60"/>
      <x:c r="AB262" s="60"/>
      <x:c r="AC262" s="61">
        <x:f t="shared" si="16"/>
        <x:v>0.95145631067961167</x:v>
      </x:c>
      <x:c r="AD262" s="61">
        <x:f t="shared" si="17"/>
        <x:v>0.76530612244897955</x:v>
      </x:c>
    </x:row>
    <x:row r="263" s="59" customFormat="1" ht="12.5">
      <x:c r="A263" s="63">
        <x:v>258</x:v>
      </x:c>
      <x:c r="B263" s="58" t="s">
        <x:v>658</x:v>
      </x:c>
      <x:c r="C263" s="59" t="s">
        <x:v>34</x:v>
      </x:c>
      <x:c r="D263" s="58" t="s">
        <x:v>35</x:v>
      </x:c>
      <x:c r="E263" s="58" t="s">
        <x:v>36</x:v>
      </x:c>
      <x:c r="F263" s="59" t="s">
        <x:v>104</x:v>
      </x:c>
      <x:c r="G263" s="59" t="s">
        <x:v>656</x:v>
      </x:c>
      <x:c r="H263" s="59" t="s">
        <x:v>659</x:v>
      </x:c>
      <x:c r="I263" s="59" t="s">
        <x:v>112</x:v>
      </x:c>
      <x:c r="J263" s="59">
        <x:v>2023</x:v>
      </x:c>
      <x:c r="K263" s="59">
        <x:v>49</x:v>
      </x:c>
      <x:c r="L263" s="58">
        <x:v>49</x:v>
      </x:c>
      <x:c r="M263" s="59">
        <x:v>49</x:v>
      </x:c>
      <x:c r="N263" s="59" t="s">
        <x:v>41</x:v>
      </x:c>
      <x:c r="O263" s="59" t="s">
        <x:v>42</x:v>
      </x:c>
      <x:c r="Q263" s="23" t="s">
        <x:v>43</x:v>
      </x:c>
      <x:c r="S263" s="58"/>
      <x:c r="T263" s="58"/>
      <x:c r="U263" s="58"/>
      <x:c r="V263" s="58">
        <x:v>-2.1036215</x:v>
      </x:c>
      <x:c r="W263" s="58">
        <x:v>106.0576501</x:v>
      </x:c>
      <x:c r="X263" s="60"/>
      <x:c r="Y263" s="60"/>
      <x:c r="Z263" s="58"/>
      <x:c r="AA263" s="60"/>
      <x:c r="AB263" s="60"/>
      <x:c r="AC263" s="61">
        <x:f t="shared" si="16"/>
        <x:v>1</x:v>
      </x:c>
      <x:c r="AD263" s="61">
        <x:f t="shared" si="17"/>
        <x:v>1</x:v>
      </x:c>
    </x:row>
    <x:row r="264" s="59" customFormat="1" ht="12.5">
      <x:c r="A264" s="63">
        <x:v>259</x:v>
      </x:c>
      <x:c r="B264" s="58" t="s">
        <x:v>660</x:v>
      </x:c>
      <x:c r="C264" s="59" t="s">
        <x:v>34</x:v>
      </x:c>
      <x:c r="D264" s="58" t="s">
        <x:v>99</x:v>
      </x:c>
      <x:c r="E264" s="58" t="s">
        <x:v>213</x:v>
      </x:c>
      <x:c r="F264" s="59" t="s">
        <x:v>648</x:v>
      </x:c>
      <x:c r="G264" s="59" t="s">
        <x:v>656</x:v>
      </x:c>
      <x:c r="H264" s="59" t="s">
        <x:v>661</x:v>
      </x:c>
      <x:c r="I264" s="59" t="s">
        <x:v>112</x:v>
      </x:c>
      <x:c r="J264" s="59">
        <x:v>2023</x:v>
      </x:c>
      <x:c r="K264" s="59">
        <x:v>72</x:v>
      </x:c>
      <x:c r="L264" s="58">
        <x:v>72</x:v>
      </x:c>
      <x:c r="M264" s="59">
        <x:v>72</x:v>
      </x:c>
      <x:c r="N264" s="59" t="s">
        <x:v>41</x:v>
      </x:c>
      <x:c r="O264" s="59" t="s">
        <x:v>42</x:v>
      </x:c>
      <x:c r="Q264" s="23" t="s">
        <x:v>43</x:v>
      </x:c>
      <x:c r="S264" s="58"/>
      <x:c r="T264" s="58"/>
      <x:c r="U264" s="58"/>
      <x:c r="V264" s="58">
        <x:v>-2.092371</x:v>
      </x:c>
      <x:c r="W264" s="58">
        <x:v>106.12151299999999</x:v>
      </x:c>
      <x:c r="X264" s="60"/>
      <x:c r="Y264" s="60"/>
      <x:c r="Z264" s="58"/>
      <x:c r="AA264" s="60"/>
      <x:c r="AB264" s="60"/>
      <x:c r="AC264" s="61">
        <x:f t="shared" si="16"/>
        <x:v>1</x:v>
      </x:c>
      <x:c r="AD264" s="61">
        <x:f t="shared" si="17"/>
        <x:v>1</x:v>
      </x:c>
    </x:row>
    <x:row r="265" s="59" customFormat="1" ht="12.5">
      <x:c r="A265" s="63">
        <x:v>260</x:v>
      </x:c>
      <x:c r="B265" s="58" t="s">
        <x:v>662</x:v>
      </x:c>
      <x:c r="C265" s="59" t="s">
        <x:v>34</x:v>
      </x:c>
      <x:c r="D265" s="58" t="s">
        <x:v>99</x:v>
      </x:c>
      <x:c r="E265" s="58" t="s">
        <x:v>213</x:v>
      </x:c>
      <x:c r="F265" s="59" t="s">
        <x:v>648</x:v>
      </x:c>
      <x:c r="G265" s="59" t="s">
        <x:v>656</x:v>
      </x:c>
      <x:c r="H265" s="59" t="s">
        <x:v>661</x:v>
      </x:c>
      <x:c r="I265" s="59" t="s">
        <x:v>112</x:v>
      </x:c>
      <x:c r="J265" s="59">
        <x:v>2023</x:v>
      </x:c>
      <x:c r="K265" s="59">
        <x:v>124</x:v>
      </x:c>
      <x:c r="L265" s="58">
        <x:v>81</x:v>
      </x:c>
      <x:c r="M265" s="59">
        <x:v>0</x:v>
      </x:c>
      <x:c r="N265" s="59" t="s">
        <x:v>41</x:v>
      </x:c>
      <x:c r="O265" s="59" t="s">
        <x:v>42</x:v>
      </x:c>
      <x:c r="Q265" s="23" t="s">
        <x:v>43</x:v>
      </x:c>
      <x:c r="S265" s="58"/>
      <x:c r="T265" s="58"/>
      <x:c r="U265" s="58"/>
      <x:c r="V265" s="58">
        <x:v>-2.0902560000000001</x:v>
      </x:c>
      <x:c r="W265" s="58">
        <x:v>106.12343199999999</x:v>
      </x:c>
      <x:c r="X265" s="60"/>
      <x:c r="Y265" s="60"/>
      <x:c r="Z265" s="58"/>
      <x:c r="AA265" s="60"/>
      <x:c r="AB265" s="60"/>
      <x:c r="AC265" s="61">
        <x:f t="shared" si="16"/>
        <x:v>0.65322580645161288</x:v>
      </x:c>
      <x:c r="AD265" s="61">
        <x:f t="shared" si="17"/>
        <x:v>0</x:v>
      </x:c>
    </x:row>
    <x:row r="266" s="59" customFormat="1" ht="12.5">
      <x:c r="A266" s="63">
        <x:v>261</x:v>
      </x:c>
      <x:c r="B266" s="58" t="s">
        <x:v>663</x:v>
      </x:c>
      <x:c r="C266" s="59" t="s">
        <x:v>34</x:v>
      </x:c>
      <x:c r="D266" s="58" t="s">
        <x:v>81</x:v>
      </x:c>
      <x:c r="E266" s="58" t="s">
        <x:v>95</x:v>
      </x:c>
      <x:c r="F266" s="59" t="s">
        <x:v>583</x:v>
      </x:c>
      <x:c r="G266" s="59" t="s">
        <x:v>656</x:v>
      </x:c>
      <x:c r="H266" s="59" t="s">
        <x:v>661</x:v>
      </x:c>
      <x:c r="I266" s="59" t="s">
        <x:v>112</x:v>
      </x:c>
      <x:c r="J266" s="59">
        <x:v>2023</x:v>
      </x:c>
      <x:c r="K266" s="59">
        <x:v>114</x:v>
      </x:c>
      <x:c r="L266" s="58">
        <x:v>79</x:v>
      </x:c>
      <x:c r="M266" s="59">
        <x:v>45</x:v>
      </x:c>
      <x:c r="N266" s="59" t="s">
        <x:v>41</x:v>
      </x:c>
      <x:c r="O266" s="59" t="s">
        <x:v>42</x:v>
      </x:c>
      <x:c r="Q266" s="23" t="s">
        <x:v>43</x:v>
      </x:c>
      <x:c r="S266" s="58"/>
      <x:c r="T266" s="58"/>
      <x:c r="U266" s="58"/>
      <x:c r="V266" s="58">
        <x:v>-2.1461264999999998</x:v>
      </x:c>
      <x:c r="W266" s="58">
        <x:v>106.16679739999999</x:v>
      </x:c>
      <x:c r="X266" s="60"/>
      <x:c r="Y266" s="60"/>
      <x:c r="Z266" s="58"/>
      <x:c r="AA266" s="60"/>
      <x:c r="AB266" s="60"/>
      <x:c r="AC266" s="61">
        <x:f t="shared" si="16"/>
        <x:v>0.69298245614035092</x:v>
      </x:c>
      <x:c r="AD266" s="61">
        <x:f t="shared" si="17"/>
        <x:v>0.569620253164557</x:v>
      </x:c>
    </x:row>
    <x:row r="267" s="59" customFormat="1" ht="12.5">
      <x:c r="A267" s="63">
        <x:v>262</x:v>
      </x:c>
      <x:c r="B267" s="58" t="s">
        <x:v>664</x:v>
      </x:c>
      <x:c r="C267" s="59" t="s">
        <x:v>34</x:v>
      </x:c>
      <x:c r="D267" s="58" t="s">
        <x:v>35</x:v>
      </x:c>
      <x:c r="E267" s="58" t="s">
        <x:v>36</x:v>
      </x:c>
      <x:c r="F267" s="59" t="s">
        <x:v>104</x:v>
      </x:c>
      <x:c r="G267" s="59" t="s">
        <x:v>656</x:v>
      </x:c>
      <x:c r="H267" s="59" t="s">
        <x:v>42</x:v>
      </x:c>
      <x:c r="I267" s="59" t="s">
        <x:v>42</x:v>
      </x:c>
      <x:c r="J267" s="59">
        <x:v>2024</x:v>
      </x:c>
      <x:c r="K267" s="59">
        <x:v>128</x:v>
      </x:c>
      <x:c r="L267" s="58">
        <x:v>0</x:v>
      </x:c>
      <x:c r="M267" s="59">
        <x:v>0</x:v>
      </x:c>
      <x:c r="N267" s="59" t="s">
        <x:v>41</x:v>
      </x:c>
      <x:c r="O267" s="59" t="s">
        <x:v>42</x:v>
      </x:c>
      <x:c r="Q267" s="23" t="s">
        <x:v>43</x:v>
      </x:c>
      <x:c r="S267" s="58"/>
      <x:c r="T267" s="58"/>
      <x:c r="U267" s="58"/>
      <x:c r="V267" s="58">
        <x:v>-2.1040605000000001</x:v>
      </x:c>
      <x:c r="W267" s="58">
        <x:v>106.05412440000001</x:v>
      </x:c>
      <x:c r="X267" s="60"/>
      <x:c r="Y267" s="60"/>
      <x:c r="Z267" s="58"/>
      <x:c r="AA267" s="60"/>
      <x:c r="AB267" s="60"/>
      <x:c r="AC267" s="61">
        <x:f t="shared" si="16"/>
        <x:v>0</x:v>
      </x:c>
      <x:c r="AD267" s="61">
        <x:f t="shared" si="17"/>
        <x:v>0</x:v>
      </x:c>
    </x:row>
    <x:row r="268" s="59" customFormat="1" ht="12.5">
      <x:c r="A268" s="63">
        <x:v>263</x:v>
      </x:c>
      <x:c r="B268" s="58" t="s">
        <x:v>665</x:v>
      </x:c>
      <x:c r="C268" s="59" t="s">
        <x:v>34</x:v>
      </x:c>
      <x:c r="D268" s="58" t="s">
        <x:v>35</x:v>
      </x:c>
      <x:c r="E268" s="58" t="s">
        <x:v>36</x:v>
      </x:c>
      <x:c r="F268" s="59" t="s">
        <x:v>666</x:v>
      </x:c>
      <x:c r="G268" s="59" t="s">
        <x:v>667</x:v>
      </x:c>
      <x:c r="H268" s="59" t="s">
        <x:v>668</x:v>
      </x:c>
      <x:c r="I268" s="59" t="s">
        <x:v>42</x:v>
      </x:c>
      <x:c r="J268" s="59">
        <x:v>2017</x:v>
      </x:c>
      <x:c r="K268" s="59">
        <x:v>75</x:v>
      </x:c>
      <x:c r="L268" s="58">
        <x:v>75</x:v>
      </x:c>
      <x:c r="M268" s="59">
        <x:v>75</x:v>
      </x:c>
      <x:c r="N268" s="59" t="s">
        <x:v>41</x:v>
      </x:c>
      <x:c r="O268" s="59" t="s">
        <x:v>42</x:v>
      </x:c>
      <x:c r="Q268" s="23" t="s">
        <x:v>43</x:v>
      </x:c>
      <x:c r="S268" s="58"/>
      <x:c r="T268" s="58"/>
      <x:c r="U268" s="58"/>
      <x:c r="V268" s="58">
        <x:v>-2.0974035999999998</x:v>
      </x:c>
      <x:c r="W268" s="58">
        <x:v>106.08062150000001</x:v>
      </x:c>
      <x:c r="X268" s="60"/>
      <x:c r="Y268" s="60"/>
      <x:c r="Z268" s="58"/>
      <x:c r="AA268" s="60"/>
      <x:c r="AB268" s="60"/>
      <x:c r="AC268" s="61">
        <x:f t="shared" si="16"/>
        <x:v>1</x:v>
      </x:c>
      <x:c r="AD268" s="61">
        <x:f t="shared" si="17"/>
        <x:v>1</x:v>
      </x:c>
    </x:row>
    <x:row r="269" s="59" customFormat="1" ht="12.5">
      <x:c r="A269" s="63">
        <x:v>264</x:v>
      </x:c>
      <x:c r="B269" s="58" t="s">
        <x:v>669</x:v>
      </x:c>
      <x:c r="C269" s="59" t="s">
        <x:v>34</x:v>
      </x:c>
      <x:c r="D269" s="58" t="s">
        <x:v>35</x:v>
      </x:c>
      <x:c r="E269" s="58" t="s">
        <x:v>36</x:v>
      </x:c>
      <x:c r="F269" s="59" t="s">
        <x:v>666</x:v>
      </x:c>
      <x:c r="G269" s="59" t="s">
        <x:v>667</x:v>
      </x:c>
      <x:c r="H269" s="59" t="s">
        <x:v>668</x:v>
      </x:c>
      <x:c r="I269" s="59" t="s">
        <x:v>42</x:v>
      </x:c>
      <x:c r="J269" s="59">
        <x:v>2018</x:v>
      </x:c>
      <x:c r="K269" s="59">
        <x:v>17</x:v>
      </x:c>
      <x:c r="L269" s="58">
        <x:v>17</x:v>
      </x:c>
      <x:c r="M269" s="59">
        <x:v>17</x:v>
      </x:c>
      <x:c r="N269" s="59" t="s">
        <x:v>41</x:v>
      </x:c>
      <x:c r="O269" s="59" t="s">
        <x:v>42</x:v>
      </x:c>
      <x:c r="Q269" s="23" t="s">
        <x:v>43</x:v>
      </x:c>
      <x:c r="S269" s="58"/>
      <x:c r="T269" s="58"/>
      <x:c r="U269" s="58"/>
      <x:c r="V269" s="58">
        <x:v>-2.0972580000000001</x:v>
      </x:c>
      <x:c r="W269" s="58">
        <x:v>106.08021100000001</x:v>
      </x:c>
      <x:c r="X269" s="60"/>
      <x:c r="Y269" s="60"/>
      <x:c r="Z269" s="58"/>
      <x:c r="AA269" s="60"/>
      <x:c r="AB269" s="60"/>
      <x:c r="AC269" s="61">
        <x:f t="shared" si="16"/>
        <x:v>1</x:v>
      </x:c>
      <x:c r="AD269" s="61">
        <x:f t="shared" si="17"/>
        <x:v>1</x:v>
      </x:c>
    </x:row>
    <x:row r="270" s="59" customFormat="1" ht="12.5">
      <x:c r="A270" s="63">
        <x:v>265</x:v>
      </x:c>
      <x:c r="B270" s="58" t="s">
        <x:v>670</x:v>
      </x:c>
      <x:c r="C270" s="59" t="s">
        <x:v>34</x:v>
      </x:c>
      <x:c r="D270" s="58" t="s">
        <x:v>81</x:v>
      </x:c>
      <x:c r="E270" s="58" t="s">
        <x:v>202</x:v>
      </x:c>
      <x:c r="F270" s="59" t="s">
        <x:v>421</x:v>
      </x:c>
      <x:c r="G270" s="59" t="s">
        <x:v>671</x:v>
      </x:c>
      <x:c r="H270" s="59" t="s">
        <x:v>672</x:v>
      </x:c>
      <x:c r="I270" s="59" t="s">
        <x:v>86</x:v>
      </x:c>
      <x:c r="J270" s="59">
        <x:v>2021</x:v>
      </x:c>
      <x:c r="K270" s="59">
        <x:v>176</x:v>
      </x:c>
      <x:c r="L270" s="58">
        <x:v>149</x:v>
      </x:c>
      <x:c r="M270" s="59">
        <x:v>32</x:v>
      </x:c>
      <x:c r="N270" s="59" t="s">
        <x:v>41</x:v>
      </x:c>
      <x:c r="O270" s="59" t="s">
        <x:v>42</x:v>
      </x:c>
      <x:c r="Q270" s="23" t="s">
        <x:v>43</x:v>
      </x:c>
      <x:c r="S270" s="58"/>
      <x:c r="T270" s="58"/>
      <x:c r="U270" s="58"/>
      <x:c r="V270" s="58">
        <x:v>-2.135602</x:v>
      </x:c>
      <x:c r="W270" s="58">
        <x:v>106.15954600000001</x:v>
      </x:c>
      <x:c r="X270" s="60"/>
      <x:c r="Y270" s="60"/>
      <x:c r="Z270" s="58"/>
      <x:c r="AA270" s="60"/>
      <x:c r="AB270" s="60"/>
      <x:c r="AC270" s="61">
        <x:f t="shared" si="16"/>
        <x:v>0.84659090909090906</x:v>
      </x:c>
      <x:c r="AD270" s="61">
        <x:f t="shared" si="17"/>
        <x:v>0.21476510067114093</x:v>
      </x:c>
    </x:row>
    <x:row r="271" s="59" customFormat="1" ht="12.5">
      <x:c r="A271" s="63">
        <x:v>266</x:v>
      </x:c>
      <x:c r="B271" s="58" t="s">
        <x:v>673</x:v>
      </x:c>
      <x:c r="C271" s="59" t="s">
        <x:v>170</x:v>
      </x:c>
      <x:c r="D271" s="58" t="s">
        <x:v>99</x:v>
      </x:c>
      <x:c r="E271" s="58" t="s">
        <x:v>213</x:v>
      </x:c>
      <x:c r="F271" s="59" t="s">
        <x:v>641</x:v>
      </x:c>
      <x:c r="G271" s="59" t="s">
        <x:v>42</x:v>
      </x:c>
      <x:c r="H271" s="59" t="s">
        <x:v>674</x:v>
      </x:c>
      <x:c r="I271" s="59" t="s">
        <x:v>42</x:v>
      </x:c>
      <x:c r="J271" s="59">
        <x:v>2009</x:v>
      </x:c>
      <x:c r="K271" s="59">
        <x:v>0</x:v>
      </x:c>
      <x:c r="L271" s="58">
        <x:v>0</x:v>
      </x:c>
      <x:c r="M271" s="59">
        <x:v>0</x:v>
      </x:c>
      <x:c r="N271" s="59" t="s">
        <x:v>41</x:v>
      </x:c>
      <x:c r="O271" s="59" t="s">
        <x:v>42</x:v>
      </x:c>
      <x:c r="Q271" s="23" t="s">
        <x:v>43</x:v>
      </x:c>
      <x:c r="S271" s="58"/>
      <x:c r="T271" s="58"/>
      <x:c r="U271" s="58"/>
      <x:c r="V271" s="58">
        <x:v>-2.0898496</x:v>
      </x:c>
      <x:c r="W271" s="58">
        <x:v>106.119711</x:v>
      </x:c>
      <x:c r="X271" s="60"/>
      <x:c r="Y271" s="60"/>
      <x:c r="Z271" s="58"/>
      <x:c r="AA271" s="60"/>
      <x:c r="AB271" s="60"/>
      <x:c r="AC271" s="61">
        <x:f t="shared" si="16"/>
        <x:v>0</x:v>
      </x:c>
      <x:c r="AD271" s="61">
        <x:f t="shared" si="17"/>
        <x:v>0</x:v>
      </x:c>
    </x:row>
    <x:row r="272" s="59" customFormat="1" ht="12.5">
      <x:c r="A272" s="63">
        <x:v>267</x:v>
      </x:c>
      <x:c r="B272" s="58" t="s">
        <x:v>675</x:v>
      </x:c>
      <x:c r="C272" s="59" t="s">
        <x:v>34</x:v>
      </x:c>
      <x:c r="D272" s="58" t="s">
        <x:v>35</x:v>
      </x:c>
      <x:c r="E272" s="58" t="s">
        <x:v>46</x:v>
      </x:c>
      <x:c r="F272" s="59" t="s">
        <x:v>526</x:v>
      </x:c>
      <x:c r="G272" s="59" t="s">
        <x:v>676</x:v>
      </x:c>
      <x:c r="H272" s="59" t="s">
        <x:v>677</x:v>
      </x:c>
      <x:c r="I272" s="59" t="s">
        <x:v>42</x:v>
      </x:c>
      <x:c r="J272" s="59">
        <x:v>2017</x:v>
      </x:c>
      <x:c r="K272" s="59">
        <x:v>52</x:v>
      </x:c>
      <x:c r="L272" s="58">
        <x:v>12</x:v>
      </x:c>
      <x:c r="M272" s="59">
        <x:v>12</x:v>
      </x:c>
      <x:c r="N272" s="59" t="s">
        <x:v>41</x:v>
      </x:c>
      <x:c r="O272" s="59" t="s">
        <x:v>42</x:v>
      </x:c>
      <x:c r="Q272" s="23" t="s">
        <x:v>43</x:v>
      </x:c>
      <x:c r="R272" s="59" t="s">
        <x:v>88</x:v>
      </x:c>
      <x:c r="S272" s="58"/>
      <x:c r="T272" s="58"/>
      <x:c r="U272" s="58"/>
      <x:c r="V272" s="58">
        <x:v>-2.1179367</x:v>
      </x:c>
      <x:c r="W272" s="58">
        <x:v>106.0683732</x:v>
      </x:c>
      <x:c r="X272" s="60"/>
      <x:c r="Y272" s="60"/>
      <x:c r="Z272" s="58"/>
      <x:c r="AA272" s="60"/>
      <x:c r="AB272" s="60"/>
      <x:c r="AC272" s="61">
        <x:f t="shared" si="16"/>
        <x:v>0.23076923076923078</x:v>
      </x:c>
      <x:c r="AD272" s="61">
        <x:f t="shared" si="17"/>
        <x:v>1</x:v>
      </x:c>
    </x:row>
    <x:row r="273" s="59" customFormat="1" ht="12.5">
      <x:c r="A273" s="63">
        <x:v>268</x:v>
      </x:c>
      <x:c r="B273" s="58" t="s">
        <x:v>678</x:v>
      </x:c>
      <x:c r="C273" s="59" t="s">
        <x:v>170</x:v>
      </x:c>
      <x:c r="D273" s="58" t="s">
        <x:v>60</x:v>
      </x:c>
      <x:c r="E273" s="58" t="s">
        <x:v>91</x:v>
      </x:c>
      <x:c r="F273" s="59" t="s">
        <x:v>465</x:v>
      </x:c>
      <x:c r="G273" s="59" t="s">
        <x:v>466</x:v>
      </x:c>
      <x:c r="H273" s="59" t="s">
        <x:v>474</x:v>
      </x:c>
      <x:c r="I273" s="59" t="s">
        <x:v>40</x:v>
      </x:c>
      <x:c r="J273" s="59" t="s">
        <x:v>438</x:v>
      </x:c>
      <x:c r="K273" s="59">
        <x:v>46</x:v>
      </x:c>
      <x:c r="L273" s="58">
        <x:v>46</x:v>
      </x:c>
      <x:c r="M273" s="59">
        <x:v>35</x:v>
      </x:c>
      <x:c r="N273" s="59" t="s">
        <x:v>41</x:v>
      </x:c>
      <x:c r="O273" s="59" t="s">
        <x:v>42</x:v>
      </x:c>
      <x:c r="Q273" s="23" t="s">
        <x:v>43</x:v>
      </x:c>
      <x:c r="S273" s="58"/>
      <x:c r="T273" s="58"/>
      <x:c r="U273" s="58"/>
      <x:c r="V273" s="58">
        <x:v>-2.0884529999999999</x:v>
      </x:c>
      <x:c r="W273" s="58">
        <x:v>106.114867</x:v>
      </x:c>
      <x:c r="X273" s="60"/>
      <x:c r="Y273" s="60"/>
      <x:c r="Z273" s="58"/>
      <x:c r="AA273" s="60"/>
      <x:c r="AB273" s="60"/>
      <x:c r="AC273" s="61">
        <x:f t="shared" si="16"/>
        <x:v>1</x:v>
      </x:c>
      <x:c r="AD273" s="61">
        <x:f t="shared" si="17"/>
        <x:v>0.76086956521739135</x:v>
      </x:c>
    </x:row>
    <x:row r="274" s="59" customFormat="1" ht="12.5">
      <x:c r="A274" s="63">
        <x:v>269</x:v>
      </x:c>
      <x:c r="B274" s="58" t="s">
        <x:v>679</x:v>
      </x:c>
      <x:c r="C274" s="59" t="s">
        <x:v>170</x:v>
      </x:c>
      <x:c r="D274" s="58" t="s">
        <x:v>81</x:v>
      </x:c>
      <x:c r="E274" s="58" t="s">
        <x:v>400</x:v>
      </x:c>
      <x:c r="F274" s="59" t="s">
        <x:v>680</x:v>
      </x:c>
      <x:c r="G274" s="59" t="s">
        <x:v>42</x:v>
      </x:c>
      <x:c r="H274" s="59" t="s">
        <x:v>681</x:v>
      </x:c>
      <x:c r="I274" s="59" t="s">
        <x:v>42</x:v>
      </x:c>
      <x:c r="J274" s="59">
        <x:v>2013</x:v>
      </x:c>
      <x:c r="K274" s="59">
        <x:v>12</x:v>
      </x:c>
      <x:c r="L274" s="58">
        <x:v>12</x:v>
      </x:c>
      <x:c r="M274" s="59">
        <x:v>12</x:v>
      </x:c>
      <x:c r="N274" s="59" t="s">
        <x:v>41</x:v>
      </x:c>
      <x:c r="O274" s="59" t="s">
        <x:v>42</x:v>
      </x:c>
      <x:c r="Q274" s="23" t="s">
        <x:v>43</x:v>
      </x:c>
      <x:c r="S274" s="58"/>
      <x:c r="T274" s="58"/>
      <x:c r="U274" s="58"/>
      <x:c r="V274" s="58">
        <x:v>-2.1372475999999998</x:v>
      </x:c>
      <x:c r="W274" s="58">
        <x:v>106.128725</x:v>
      </x:c>
      <x:c r="X274" s="60"/>
      <x:c r="Y274" s="60"/>
      <x:c r="Z274" s="58"/>
      <x:c r="AA274" s="60"/>
      <x:c r="AB274" s="60"/>
      <x:c r="AC274" s="61">
        <x:f t="shared" si="16"/>
        <x:v>1</x:v>
      </x:c>
      <x:c r="AD274" s="61">
        <x:f t="shared" si="17"/>
        <x:v>1</x:v>
      </x:c>
    </x:row>
    <x:row r="275" s="59" customFormat="1" ht="12.5">
      <x:c r="A275" s="63">
        <x:v>270</x:v>
      </x:c>
      <x:c r="B275" s="58" t="s">
        <x:v>682</x:v>
      </x:c>
      <x:c r="C275" s="59" t="s">
        <x:v>170</x:v>
      </x:c>
      <x:c r="D275" s="58" t="s">
        <x:v>81</x:v>
      </x:c>
      <x:c r="E275" s="58" t="s">
        <x:v>400</x:v>
      </x:c>
      <x:c r="F275" s="59" t="s">
        <x:v>683</x:v>
      </x:c>
      <x:c r="G275" s="59" t="s">
        <x:v>42</x:v>
      </x:c>
      <x:c r="H275" s="59" t="s">
        <x:v>681</x:v>
      </x:c>
      <x:c r="I275" s="59" t="s">
        <x:v>42</x:v>
      </x:c>
      <x:c r="J275" s="59">
        <x:v>2015</x:v>
      </x:c>
      <x:c r="K275" s="59">
        <x:v>0</x:v>
      </x:c>
      <x:c r="L275" s="58">
        <x:v>0</x:v>
      </x:c>
      <x:c r="M275" s="59">
        <x:v>0</x:v>
      </x:c>
      <x:c r="N275" s="59" t="s">
        <x:v>41</x:v>
      </x:c>
      <x:c r="O275" s="59" t="s">
        <x:v>42</x:v>
      </x:c>
      <x:c r="Q275" s="23" t="s">
        <x:v>43</x:v>
      </x:c>
      <x:c r="S275" s="58"/>
      <x:c r="T275" s="58"/>
      <x:c r="U275" s="58"/>
      <x:c r="V275" s="58">
        <x:v>-2.1329259999999999</x:v>
      </x:c>
      <x:c r="W275" s="58">
        <x:v>106.13212729999999</x:v>
      </x:c>
      <x:c r="X275" s="60"/>
      <x:c r="Y275" s="60"/>
      <x:c r="Z275" s="58"/>
      <x:c r="AA275" s="60"/>
      <x:c r="AB275" s="60"/>
      <x:c r="AC275" s="61">
        <x:f t="shared" si="16"/>
        <x:v>0</x:v>
      </x:c>
      <x:c r="AD275" s="61">
        <x:f t="shared" si="17"/>
        <x:v>0</x:v>
      </x:c>
    </x:row>
    <x:row r="276" s="59" customFormat="1" ht="12.5">
      <x:c r="A276" s="63">
        <x:v>271</x:v>
      </x:c>
      <x:c r="B276" s="58" t="s">
        <x:v>684</x:v>
      </x:c>
      <x:c r="C276" s="59" t="s">
        <x:v>170</x:v>
      </x:c>
      <x:c r="D276" s="58" t="s">
        <x:v>306</x:v>
      </x:c>
      <x:c r="E276" s="58" t="s">
        <x:v>307</x:v>
      </x:c>
      <x:c r="F276" s="59" t="s">
        <x:v>685</x:v>
      </x:c>
      <x:c r="G276" s="59" t="s">
        <x:v>42</x:v>
      </x:c>
      <x:c r="H276" s="59" t="s">
        <x:v>42</x:v>
      </x:c>
      <x:c r="I276" s="59" t="s">
        <x:v>42</x:v>
      </x:c>
      <x:c r="J276" s="59">
        <x:v>2014</x:v>
      </x:c>
      <x:c r="K276" s="59">
        <x:v>0</x:v>
      </x:c>
      <x:c r="L276" s="58">
        <x:v>8</x:v>
      </x:c>
      <x:c r="M276" s="59">
        <x:v>3</x:v>
      </x:c>
      <x:c r="N276" s="59" t="s">
        <x:v>41</x:v>
      </x:c>
      <x:c r="O276" s="59" t="s">
        <x:v>42</x:v>
      </x:c>
      <x:c r="Q276" s="59" t="s">
        <x:v>72</x:v>
      </x:c>
      <x:c r="S276" s="58"/>
      <x:c r="T276" s="58"/>
      <x:c r="U276" s="58"/>
      <x:c r="V276" s="58">
        <x:v>-2.1501418000000001</x:v>
      </x:c>
      <x:c r="W276" s="58">
        <x:v>106.1112349</x:v>
      </x:c>
      <x:c r="X276" s="60"/>
      <x:c r="Y276" s="60"/>
      <x:c r="Z276" s="58"/>
      <x:c r="AA276" s="60"/>
      <x:c r="AB276" s="60"/>
      <x:c r="AC276" s="61">
        <x:f t="shared" si="16"/>
        <x:v>0</x:v>
      </x:c>
      <x:c r="AD276" s="61">
        <x:f t="shared" si="17"/>
        <x:v>0.375</x:v>
      </x:c>
    </x:row>
    <x:row r="277" s="59" customFormat="1" ht="12.5">
      <x:c r="A277" s="63">
        <x:v>272</x:v>
      </x:c>
      <x:c r="B277" s="58" t="s">
        <x:v>686</x:v>
      </x:c>
      <x:c r="C277" s="59" t="s">
        <x:v>34</x:v>
      </x:c>
      <x:c r="D277" s="58" t="s">
        <x:v>81</x:v>
      </x:c>
      <x:c r="E277" s="58" t="s">
        <x:v>122</x:v>
      </x:c>
      <x:c r="F277" s="59" t="s">
        <x:v>687</x:v>
      </x:c>
      <x:c r="G277" s="59" t="s">
        <x:v>110</x:v>
      </x:c>
      <x:c r="H277" s="59" t="s">
        <x:v>688</x:v>
      </x:c>
      <x:c r="I277" s="59" t="s">
        <x:v>112</x:v>
      </x:c>
      <x:c r="J277" s="59">
        <x:v>2018</x:v>
      </x:c>
      <x:c r="K277" s="59">
        <x:v>75</x:v>
      </x:c>
      <x:c r="L277" s="58">
        <x:v>72</x:v>
      </x:c>
      <x:c r="M277" s="59">
        <x:v>72</x:v>
      </x:c>
      <x:c r="N277" s="59" t="s">
        <x:v>48</x:v>
      </x:c>
      <x:c r="O277" s="59">
        <x:v>2022</x:v>
      </x:c>
      <x:c r="Q277" s="23" t="s">
        <x:v>43</x:v>
      </x:c>
      <x:c r="R277" s="59" t="s">
        <x:v>113</x:v>
      </x:c>
      <x:c r="S277" s="58"/>
      <x:c r="T277" s="11" t="s">
        <x:v>44</x:v>
      </x:c>
      <x:c r="U277" s="58"/>
      <x:c r="V277" s="58"/>
      <x:c r="W277" s="58"/>
      <x:c r="X277" s="60"/>
      <x:c r="Y277" s="60"/>
      <x:c r="Z277" s="58"/>
      <x:c r="AA277" s="60"/>
      <x:c r="AB277" s="60"/>
      <x:c r="AC277" s="61" t="n">
        <x:f t="shared" ref="AC277:AC340" si="18">IF(A277="","",IFERROR(L277/K277,0))</x:f>
        <x:v>0.96</x:v>
      </x:c>
      <x:c r="AD277" s="61" t="n">
        <x:f t="shared" ref="AD277:AD340" si="19">IF(A277="","",IFERROR(M277/L277,0))</x:f>
        <x:v>1</x:v>
      </x:c>
    </x:row>
    <x:row r="278" s="59" customFormat="1" ht="12.5">
      <x:c r="A278" s="63">
        <x:v>273</x:v>
      </x:c>
      <x:c r="B278" s="58" t="s">
        <x:v>689</x:v>
      </x:c>
      <x:c r="C278" s="59" t="s">
        <x:v>34</x:v>
      </x:c>
      <x:c r="D278" s="58" t="s">
        <x:v>81</x:v>
      </x:c>
      <x:c r="E278" s="58" t="s">
        <x:v>122</x:v>
      </x:c>
      <x:c r="F278" s="59" t="s">
        <x:v>327</x:v>
      </x:c>
      <x:c r="G278" s="59" t="s">
        <x:v>690</x:v>
      </x:c>
      <x:c r="H278" s="59" t="s">
        <x:v>691</x:v>
      </x:c>
      <x:c r="I278" s="59" t="s">
        <x:v>166</x:v>
      </x:c>
      <x:c r="J278" s="59">
        <x:v>2019</x:v>
      </x:c>
      <x:c r="K278" s="59">
        <x:v>38</x:v>
      </x:c>
      <x:c r="L278" s="58">
        <x:v>38</x:v>
      </x:c>
      <x:c r="M278" s="59">
        <x:v>38</x:v>
      </x:c>
      <x:c r="N278" s="59" t="s">
        <x:v>41</x:v>
      </x:c>
      <x:c r="O278" s="59" t="s">
        <x:v>42</x:v>
      </x:c>
      <x:c r="Q278" s="23" t="s">
        <x:v>43</x:v>
      </x:c>
      <x:c r="S278" s="58"/>
      <x:c r="T278" s="58"/>
      <x:c r="U278" s="58"/>
      <x:c r="V278" s="58"/>
      <x:c r="W278" s="58"/>
      <x:c r="X278" s="60"/>
      <x:c r="Y278" s="60"/>
      <x:c r="Z278" s="58"/>
      <x:c r="AA278" s="60"/>
      <x:c r="AB278" s="60"/>
      <x:c r="AC278" s="61">
        <x:f t="shared" si="18"/>
        <x:v>1</x:v>
      </x:c>
      <x:c r="AD278" s="61">
        <x:f t="shared" si="19"/>
        <x:v>1</x:v>
      </x:c>
    </x:row>
    <x:row r="279" s="59" customFormat="1" ht="12.5">
      <x:c r="A279" s="63">
        <x:v>274</x:v>
      </x:c>
      <x:c r="B279" s="58" t="s">
        <x:v>692</x:v>
      </x:c>
      <x:c r="C279" s="59" t="s">
        <x:v>34</x:v>
      </x:c>
      <x:c r="D279" s="58" t="s">
        <x:v>81</x:v>
      </x:c>
      <x:c r="E279" s="58" t="s">
        <x:v>122</x:v>
      </x:c>
      <x:c r="F279" s="59" t="s">
        <x:v>327</x:v>
      </x:c>
      <x:c r="G279" s="59" t="s">
        <x:v>693</x:v>
      </x:c>
      <x:c r="H279" s="59" t="s">
        <x:v>694</x:v>
      </x:c>
      <x:c r="I279" s="59" t="s">
        <x:v>166</x:v>
      </x:c>
      <x:c r="J279" s="59">
        <x:v>2020</x:v>
      </x:c>
      <x:c r="K279" s="59">
        <x:v>62</x:v>
      </x:c>
      <x:c r="L279" s="58">
        <x:v>57</x:v>
      </x:c>
      <x:c r="M279" s="59">
        <x:v>57</x:v>
      </x:c>
      <x:c r="N279" s="59" t="s">
        <x:v>41</x:v>
      </x:c>
      <x:c r="O279" s="59" t="s">
        <x:v>42</x:v>
      </x:c>
      <x:c r="Q279" s="23" t="s">
        <x:v>43</x:v>
      </x:c>
      <x:c r="S279" s="58"/>
      <x:c r="T279" s="58"/>
      <x:c r="U279" s="58"/>
      <x:c r="V279" s="58">
        <x:v>-2.1318961000000001</x:v>
      </x:c>
      <x:c r="W279" s="58">
        <x:v>106.15831729999999</x:v>
      </x:c>
      <x:c r="X279" s="60"/>
      <x:c r="Y279" s="60"/>
      <x:c r="Z279" s="58"/>
      <x:c r="AA279" s="60"/>
      <x:c r="AB279" s="60"/>
      <x:c r="AC279" s="61">
        <x:f t="shared" si="18"/>
        <x:v>0.91935483870967738</x:v>
      </x:c>
      <x:c r="AD279" s="61">
        <x:f t="shared" si="19"/>
        <x:v>1</x:v>
      </x:c>
    </x:row>
    <x:row r="280" s="59" customFormat="1" ht="12.5">
      <x:c r="A280" s="63">
        <x:v>275</x:v>
      </x:c>
      <x:c r="B280" s="58" t="s">
        <x:v>695</x:v>
      </x:c>
      <x:c r="C280" s="59" t="s">
        <x:v>34</x:v>
      </x:c>
      <x:c r="D280" s="58" t="s">
        <x:v>81</x:v>
      </x:c>
      <x:c r="E280" s="58" t="s">
        <x:v>82</x:v>
      </x:c>
      <x:c r="F280" s="59" t="s">
        <x:v>42</x:v>
      </x:c>
      <x:c r="G280" s="59" t="s">
        <x:v>42</x:v>
      </x:c>
      <x:c r="H280" s="59" t="s">
        <x:v>42</x:v>
      </x:c>
      <x:c r="I280" s="59" t="s">
        <x:v>42</x:v>
      </x:c>
      <x:c r="J280" s="59">
        <x:v>2017</x:v>
      </x:c>
      <x:c r="K280" s="59">
        <x:v>0</x:v>
      </x:c>
      <x:c r="L280" s="58">
        <x:v>0</x:v>
      </x:c>
      <x:c r="M280" s="59">
        <x:v>0</x:v>
      </x:c>
      <x:c r="N280" s="59" t="s">
        <x:v>41</x:v>
      </x:c>
      <x:c r="O280" s="59" t="s">
        <x:v>42</x:v>
      </x:c>
      <x:c r="Q280" s="23" t="s">
        <x:v>43</x:v>
      </x:c>
      <x:c r="S280" s="58"/>
      <x:c r="T280" s="58"/>
      <x:c r="U280" s="58"/>
      <x:c r="V280" s="58"/>
      <x:c r="W280" s="58"/>
      <x:c r="X280" s="60"/>
      <x:c r="Y280" s="60"/>
      <x:c r="Z280" s="58"/>
      <x:c r="AA280" s="60"/>
      <x:c r="AB280" s="60"/>
      <x:c r="AC280" s="61">
        <x:f t="shared" si="18"/>
        <x:v>0</x:v>
      </x:c>
      <x:c r="AD280" s="61">
        <x:f t="shared" si="19"/>
        <x:v>0</x:v>
      </x:c>
    </x:row>
    <x:row r="281" s="59" customFormat="1" ht="12.5">
      <x:c r="A281" s="63">
        <x:v>276</x:v>
      </x:c>
      <x:c r="B281" s="58" t="s">
        <x:v>696</x:v>
      </x:c>
      <x:c r="C281" s="59" t="s">
        <x:v>34</x:v>
      </x:c>
      <x:c r="D281" s="58" t="s">
        <x:v>35</x:v>
      </x:c>
      <x:c r="E281" s="58" t="s">
        <x:v>36</x:v>
      </x:c>
      <x:c r="F281" s="59" t="s">
        <x:v>396</x:v>
      </x:c>
      <x:c r="G281" s="59" t="s">
        <x:v>697</x:v>
      </x:c>
      <x:c r="H281" s="59" t="s">
        <x:v>698</x:v>
      </x:c>
      <x:c r="I281" s="59" t="s">
        <x:v>112</x:v>
      </x:c>
      <x:c r="J281" s="59">
        <x:v>2024</x:v>
      </x:c>
      <x:c r="K281" s="59">
        <x:v>36</x:v>
      </x:c>
      <x:c r="L281" s="58">
        <x:v>8</x:v>
      </x:c>
      <x:c r="M281" s="59">
        <x:v>0</x:v>
      </x:c>
      <x:c r="N281" s="59" t="s">
        <x:v>41</x:v>
      </x:c>
      <x:c r="O281" s="59" t="s">
        <x:v>42</x:v>
      </x:c>
      <x:c r="Q281" s="23" t="s">
        <x:v>43</x:v>
      </x:c>
      <x:c r="R281" s="23" t="s">
        <x:v>88</x:v>
      </x:c>
      <x:c r="S281" s="58"/>
      <x:c r="T281" s="58"/>
      <x:c r="U281" s="58"/>
      <x:c r="V281" s="58">
        <x:v>-2.1021866</x:v>
      </x:c>
      <x:c r="W281" s="58">
        <x:v>106.05145090000001</x:v>
      </x:c>
      <x:c r="X281" s="60"/>
      <x:c r="Y281" s="60"/>
      <x:c r="Z281" s="58"/>
      <x:c r="AA281" s="60"/>
      <x:c r="AB281" s="60"/>
      <x:c r="AC281" s="61">
        <x:f t="shared" si="18"/>
        <x:v>0.22222222222222221</x:v>
      </x:c>
      <x:c r="AD281" s="61">
        <x:f t="shared" si="19"/>
        <x:v>0</x:v>
      </x:c>
    </x:row>
    <x:row r="282" s="59" customFormat="1" ht="12.5">
      <x:c r="A282" s="63">
        <x:v>277</x:v>
      </x:c>
      <x:c r="B282" s="58" t="s">
        <x:v>699</x:v>
      </x:c>
      <x:c r="C282" s="59" t="s">
        <x:v>34</x:v>
      </x:c>
      <x:c r="D282" s="58" t="s">
        <x:v>60</x:v>
      </x:c>
      <x:c r="E282" s="58" t="s">
        <x:v>70</x:v>
      </x:c>
      <x:c r="F282" s="59" t="s">
        <x:v>79</x:v>
      </x:c>
      <x:c r="G282" s="59" t="s">
        <x:v>700</x:v>
      </x:c>
      <x:c r="H282" s="59" t="s">
        <x:v>701</x:v>
      </x:c>
      <x:c r="I282" s="59" t="s">
        <x:v>42</x:v>
      </x:c>
      <x:c r="J282" s="59">
        <x:v>2015</x:v>
      </x:c>
      <x:c r="K282" s="59">
        <x:v>51</x:v>
      </x:c>
      <x:c r="L282" s="58">
        <x:v>23</x:v>
      </x:c>
      <x:c r="M282" s="59">
        <x:v>15</x:v>
      </x:c>
      <x:c r="N282" s="59" t="s">
        <x:v>41</x:v>
      </x:c>
      <x:c r="O282" s="59" t="s">
        <x:v>42</x:v>
      </x:c>
      <x:c r="Q282" s="23" t="s">
        <x:v>43</x:v>
      </x:c>
      <x:c r="R282" s="23" t="s">
        <x:v>88</x:v>
      </x:c>
      <x:c r="S282" s="58"/>
      <x:c r="T282" s="58"/>
      <x:c r="U282" s="58"/>
      <x:c r="V282" s="58">
        <x:v>-2.0845900999999998</x:v>
      </x:c>
      <x:c r="W282" s="58">
        <x:v>106.0979296</x:v>
      </x:c>
      <x:c r="X282" s="60"/>
      <x:c r="Y282" s="60"/>
      <x:c r="Z282" s="58"/>
      <x:c r="AA282" s="60"/>
      <x:c r="AB282" s="60"/>
      <x:c r="AC282" s="61">
        <x:f t="shared" si="18"/>
        <x:v>0.45098039215686275</x:v>
      </x:c>
      <x:c r="AD282" s="61">
        <x:f t="shared" si="19"/>
        <x:v>0.65217391304347827</x:v>
      </x:c>
    </x:row>
    <x:row r="283" s="59" customFormat="1" ht="12.5">
      <x:c r="A283" s="63">
        <x:v>278</x:v>
      </x:c>
      <x:c r="B283" s="58" t="s">
        <x:v>702</x:v>
      </x:c>
      <x:c r="C283" s="59" t="s">
        <x:v>34</x:v>
      </x:c>
      <x:c r="D283" s="58" t="s">
        <x:v>81</x:v>
      </x:c>
      <x:c r="E283" s="58" t="s">
        <x:v>202</x:v>
      </x:c>
      <x:c r="F283" s="59" t="s">
        <x:v>703</x:v>
      </x:c>
      <x:c r="G283" s="59" t="s">
        <x:v>704</x:v>
      </x:c>
      <x:c r="H283" s="59" t="s">
        <x:v>42</x:v>
      </x:c>
      <x:c r="I283" s="59" t="s">
        <x:v>42</x:v>
      </x:c>
      <x:c r="J283" s="59">
        <x:v>2023</x:v>
      </x:c>
      <x:c r="K283" s="59">
        <x:v>42</x:v>
      </x:c>
      <x:c r="L283" s="58">
        <x:v>1</x:v>
      </x:c>
      <x:c r="M283" s="59">
        <x:v>0</x:v>
      </x:c>
      <x:c r="N283" s="59" t="s">
        <x:v>41</x:v>
      </x:c>
      <x:c r="O283" s="59" t="s">
        <x:v>42</x:v>
      </x:c>
      <x:c r="Q283" s="23" t="s">
        <x:v>43</x:v>
      </x:c>
      <x:c r="S283" s="58"/>
      <x:c r="T283" s="58"/>
      <x:c r="U283" s="58"/>
      <x:c r="V283" s="58">
        <x:v>-2.1377009999999999</x:v>
      </x:c>
      <x:c r="W283" s="58">
        <x:v>106.1489993</x:v>
      </x:c>
      <x:c r="X283" s="60"/>
      <x:c r="Y283" s="60"/>
      <x:c r="Z283" s="58"/>
      <x:c r="AA283" s="60"/>
      <x:c r="AB283" s="60"/>
      <x:c r="AC283" s="61">
        <x:f t="shared" si="18"/>
        <x:v>2.3809523809523808E-2</x:v>
      </x:c>
      <x:c r="AD283" s="61">
        <x:f t="shared" si="19"/>
        <x:v>0</x:v>
      </x:c>
    </x:row>
    <x:row r="284" s="59" customFormat="1" ht="12.5">
      <x:c r="A284" s="63">
        <x:v>279</x:v>
      </x:c>
      <x:c r="B284" s="58" t="s">
        <x:v>705</x:v>
      </x:c>
      <x:c r="C284" s="59" t="s">
        <x:v>34</x:v>
      </x:c>
      <x:c r="D284" s="58" t="s">
        <x:v>306</x:v>
      </x:c>
      <x:c r="E284" s="58" t="s">
        <x:v>307</x:v>
      </x:c>
      <x:c r="F284" s="59" t="s">
        <x:v>440</x:v>
      </x:c>
      <x:c r="G284" s="59" t="s">
        <x:v>42</x:v>
      </x:c>
      <x:c r="H284" s="59" t="s">
        <x:v>42</x:v>
      </x:c>
      <x:c r="I284" s="59" t="s">
        <x:v>42</x:v>
      </x:c>
      <x:c r="J284" s="59">
        <x:v>2015</x:v>
      </x:c>
      <x:c r="K284" s="59">
        <x:v>22</x:v>
      </x:c>
      <x:c r="L284" s="58">
        <x:v>22</x:v>
      </x:c>
      <x:c r="M284" s="59">
        <x:v>22</x:v>
      </x:c>
      <x:c r="N284" s="59" t="s">
        <x:v>41</x:v>
      </x:c>
      <x:c r="O284" s="59" t="s">
        <x:v>42</x:v>
      </x:c>
      <x:c r="Q284" s="23" t="s">
        <x:v>43</x:v>
      </x:c>
      <x:c r="S284" s="58"/>
      <x:c r="T284" s="58"/>
      <x:c r="U284" s="58"/>
      <x:c r="V284" s="58">
        <x:v>-2.1519857</x:v>
      </x:c>
      <x:c r="W284" s="58">
        <x:v>106.1057045</x:v>
      </x:c>
      <x:c r="X284" s="60"/>
      <x:c r="Y284" s="60"/>
      <x:c r="Z284" s="58"/>
      <x:c r="AA284" s="60"/>
      <x:c r="AB284" s="60"/>
      <x:c r="AC284" s="61">
        <x:f t="shared" si="18"/>
        <x:v>1</x:v>
      </x:c>
      <x:c r="AD284" s="61">
        <x:f t="shared" si="19"/>
        <x:v>1</x:v>
      </x:c>
    </x:row>
    <x:row r="285" s="59" customFormat="1" ht="12.5">
      <x:c r="A285" s="63">
        <x:v>280</x:v>
      </x:c>
      <x:c r="B285" s="58" t="s">
        <x:v>706</x:v>
      </x:c>
      <x:c r="C285" s="59" t="s">
        <x:v>34</x:v>
      </x:c>
      <x:c r="D285" s="58" t="s">
        <x:v>306</x:v>
      </x:c>
      <x:c r="E285" s="58" t="s">
        <x:v>307</x:v>
      </x:c>
      <x:c r="F285" s="59" t="s">
        <x:v>707</x:v>
      </x:c>
      <x:c r="G285" s="59" t="s">
        <x:v>42</x:v>
      </x:c>
      <x:c r="H285" s="59" t="s">
        <x:v>42</x:v>
      </x:c>
      <x:c r="I285" s="59" t="s">
        <x:v>42</x:v>
      </x:c>
      <x:c r="J285" s="59">
        <x:v>2016</x:v>
      </x:c>
      <x:c r="K285" s="59">
        <x:v>11</x:v>
      </x:c>
      <x:c r="L285" s="58">
        <x:v>11</x:v>
      </x:c>
      <x:c r="M285" s="59">
        <x:v>11</x:v>
      </x:c>
      <x:c r="N285" s="59" t="s">
        <x:v>41</x:v>
      </x:c>
      <x:c r="O285" s="59" t="s">
        <x:v>42</x:v>
      </x:c>
      <x:c r="Q285" s="23" t="s">
        <x:v>43</x:v>
      </x:c>
      <x:c r="R285" s="23" t="s">
        <x:v>88</x:v>
      </x:c>
      <x:c r="S285" s="58"/>
      <x:c r="T285" s="58"/>
      <x:c r="U285" s="58"/>
      <x:c r="V285" s="58">
        <x:v>-2.1526169999999998</x:v>
      </x:c>
      <x:c r="W285" s="58">
        <x:v>106.104927</x:v>
      </x:c>
      <x:c r="X285" s="60"/>
      <x:c r="Y285" s="60"/>
      <x:c r="Z285" s="58"/>
      <x:c r="AA285" s="60"/>
      <x:c r="AB285" s="60"/>
      <x:c r="AC285" s="61">
        <x:f t="shared" si="18"/>
        <x:v>1</x:v>
      </x:c>
      <x:c r="AD285" s="61">
        <x:f t="shared" si="19"/>
        <x:v>1</x:v>
      </x:c>
    </x:row>
    <x:row r="286" s="59" customFormat="1" ht="12.5">
      <x:c r="A286" s="63">
        <x:v>281</x:v>
      </x:c>
      <x:c r="B286" s="58" t="s">
        <x:v>708</x:v>
      </x:c>
      <x:c r="C286" s="59" t="s">
        <x:v>34</x:v>
      </x:c>
      <x:c r="D286" s="58" t="s">
        <x:v>35</x:v>
      </x:c>
      <x:c r="E286" s="58" t="s">
        <x:v>46</x:v>
      </x:c>
      <x:c r="F286" s="59" t="s">
        <x:v>243</x:v>
      </x:c>
      <x:c r="G286" s="59" t="s">
        <x:v>356</x:v>
      </x:c>
      <x:c r="H286" s="59" t="s">
        <x:v>357</x:v>
      </x:c>
      <x:c r="I286" s="59" t="s">
        <x:v>112</x:v>
      </x:c>
      <x:c r="J286" s="59">
        <x:v>2017</x:v>
      </x:c>
      <x:c r="K286" s="59">
        <x:v>21</x:v>
      </x:c>
      <x:c r="L286" s="58">
        <x:v>21</x:v>
      </x:c>
      <x:c r="M286" s="59">
        <x:v>21</x:v>
      </x:c>
      <x:c r="N286" s="59" t="s">
        <x:v>48</x:v>
      </x:c>
      <x:c r="O286" s="59">
        <x:v>2023</x:v>
      </x:c>
      <x:c r="Q286" s="23" t="s">
        <x:v>43</x:v>
      </x:c>
      <x:c r="S286" s="58"/>
      <x:c r="T286" s="58"/>
      <x:c r="U286" s="58"/>
      <x:c r="V286" s="58">
        <x:v>-2.117489</x:v>
      </x:c>
      <x:c r="W286" s="58">
        <x:v>106.077459</x:v>
      </x:c>
      <x:c r="X286" s="60"/>
      <x:c r="Y286" s="60"/>
      <x:c r="Z286" s="58"/>
      <x:c r="AA286" s="60"/>
      <x:c r="AB286" s="60"/>
      <x:c r="AC286" s="61">
        <x:f t="shared" si="18"/>
        <x:v>1</x:v>
      </x:c>
      <x:c r="AD286" s="61">
        <x:f t="shared" si="19"/>
        <x:v>1</x:v>
      </x:c>
    </x:row>
    <x:row r="287" s="59" customFormat="1" ht="12.5">
      <x:c r="A287" s="63">
        <x:v>282</x:v>
      </x:c>
      <x:c r="B287" s="58" t="s">
        <x:v>709</x:v>
      </x:c>
      <x:c r="C287" s="59" t="s">
        <x:v>34</x:v>
      </x:c>
      <x:c r="D287" s="58" t="s">
        <x:v>60</x:v>
      </x:c>
      <x:c r="E287" s="58" t="s">
        <x:v>70</x:v>
      </x:c>
      <x:c r="F287" s="59" t="s">
        <x:v>710</x:v>
      </x:c>
      <x:c r="G287" s="59" t="s">
        <x:v>356</x:v>
      </x:c>
      <x:c r="H287" s="59" t="s">
        <x:v>357</x:v>
      </x:c>
      <x:c r="I287" s="59" t="s">
        <x:v>112</x:v>
      </x:c>
      <x:c r="J287" s="59">
        <x:v>2019</x:v>
      </x:c>
      <x:c r="K287" s="59">
        <x:v>43</x:v>
      </x:c>
      <x:c r="L287" s="58">
        <x:v>23</x:v>
      </x:c>
      <x:c r="M287" s="59">
        <x:v>18</x:v>
      </x:c>
      <x:c r="N287" s="59" t="s">
        <x:v>41</x:v>
      </x:c>
      <x:c r="O287" s="59" t="s">
        <x:v>42</x:v>
      </x:c>
      <x:c r="Q287" s="23" t="s">
        <x:v>43</x:v>
      </x:c>
      <x:c r="S287" s="58"/>
      <x:c r="T287" s="58"/>
      <x:c r="U287" s="58"/>
      <x:c r="V287" s="58">
        <x:v>-2.0969530000000001</x:v>
      </x:c>
      <x:c r="W287" s="58">
        <x:v>106.087341</x:v>
      </x:c>
      <x:c r="X287" s="60"/>
      <x:c r="Y287" s="60"/>
      <x:c r="Z287" s="58"/>
      <x:c r="AA287" s="60"/>
      <x:c r="AB287" s="60"/>
      <x:c r="AC287" s="61">
        <x:f t="shared" si="18"/>
        <x:v>0.53488372093023251</x:v>
      </x:c>
      <x:c r="AD287" s="61">
        <x:f t="shared" si="19"/>
        <x:v>0.78260869565217395</x:v>
      </x:c>
    </x:row>
    <x:row r="288" s="59" customFormat="1" ht="12.5">
      <x:c r="A288" s="63">
        <x:v>283</x:v>
      </x:c>
      <x:c r="B288" s="58" t="s">
        <x:v>711</x:v>
      </x:c>
      <x:c r="C288" s="59" t="s">
        <x:v>34</x:v>
      </x:c>
      <x:c r="D288" s="58" t="s">
        <x:v>60</x:v>
      </x:c>
      <x:c r="E288" s="58" t="s">
        <x:v>267</x:v>
      </x:c>
      <x:c r="F288" s="59" t="s">
        <x:v>712</x:v>
      </x:c>
      <x:c r="G288" s="59" t="s">
        <x:v>713</x:v>
      </x:c>
      <x:c r="H288" s="59" t="s">
        <x:v>714</x:v>
      </x:c>
      <x:c r="I288" s="59" t="s">
        <x:v>112</x:v>
      </x:c>
      <x:c r="J288" s="59">
        <x:v>2017</x:v>
      </x:c>
      <x:c r="K288" s="59">
        <x:v>15</x:v>
      </x:c>
      <x:c r="L288" s="58">
        <x:v>15</x:v>
      </x:c>
      <x:c r="M288" s="59">
        <x:v>14</x:v>
      </x:c>
      <x:c r="N288" s="59" t="s">
        <x:v>48</x:v>
      </x:c>
      <x:c r="O288" s="59">
        <x:v>2022</x:v>
      </x:c>
      <x:c r="Q288" s="23" t="s">
        <x:v>43</x:v>
      </x:c>
      <x:c r="R288" s="59" t="s">
        <x:v>247</x:v>
      </x:c>
      <x:c r="S288" s="58"/>
      <x:c r="T288" s="58"/>
      <x:c r="U288" s="58"/>
      <x:c r="V288" s="58">
        <x:v>-2.0940059999999998</x:v>
      </x:c>
      <x:c r="W288" s="58">
        <x:v>106.105633</x:v>
      </x:c>
      <x:c r="X288" s="60"/>
      <x:c r="Y288" s="60"/>
      <x:c r="Z288" s="58"/>
      <x:c r="AA288" s="60"/>
      <x:c r="AB288" s="60"/>
      <x:c r="AC288" s="61">
        <x:f t="shared" si="18"/>
        <x:v>1</x:v>
      </x:c>
      <x:c r="AD288" s="61">
        <x:f t="shared" si="19"/>
        <x:v>0.93333333333333335</x:v>
      </x:c>
    </x:row>
    <x:row r="289" s="59" customFormat="1" ht="12.5">
      <x:c r="A289" s="63">
        <x:v>284</x:v>
      </x:c>
      <x:c r="B289" s="58" t="s">
        <x:v>715</x:v>
      </x:c>
      <x:c r="C289" s="59" t="s">
        <x:v>34</x:v>
      </x:c>
      <x:c r="D289" s="58" t="s">
        <x:v>60</x:v>
      </x:c>
      <x:c r="E289" s="58" t="s">
        <x:v>267</x:v>
      </x:c>
      <x:c r="F289" s="59" t="s">
        <x:v>716</x:v>
      </x:c>
      <x:c r="G289" s="59" t="s">
        <x:v>717</x:v>
      </x:c>
      <x:c r="H289" s="59" t="s">
        <x:v>714</x:v>
      </x:c>
      <x:c r="I289" s="59" t="s">
        <x:v>112</x:v>
      </x:c>
      <x:c r="J289" s="59">
        <x:v>2017</x:v>
      </x:c>
      <x:c r="K289" s="59">
        <x:v>40</x:v>
      </x:c>
      <x:c r="L289" s="58">
        <x:v>40</x:v>
      </x:c>
      <x:c r="M289" s="59">
        <x:v>40</x:v>
      </x:c>
      <x:c r="N289" s="59" t="s">
        <x:v>48</x:v>
      </x:c>
      <x:c r="O289" s="59">
        <x:v>2022</x:v>
      </x:c>
      <x:c r="Q289" s="23" t="s">
        <x:v>43</x:v>
      </x:c>
      <x:c r="R289" s="59" t="s">
        <x:v>113</x:v>
      </x:c>
      <x:c r="S289" s="58"/>
      <x:c r="T289" s="58"/>
      <x:c r="U289" s="58"/>
      <x:c r="V289" s="58">
        <x:v>-2.0972919999999999</x:v>
      </x:c>
      <x:c r="W289" s="58">
        <x:v>106.10591599999999</x:v>
      </x:c>
      <x:c r="X289" s="60"/>
      <x:c r="Y289" s="60"/>
      <x:c r="Z289" s="58"/>
      <x:c r="AA289" s="60"/>
      <x:c r="AB289" s="60"/>
      <x:c r="AC289" s="61">
        <x:f t="shared" si="18"/>
        <x:v>1</x:v>
      </x:c>
      <x:c r="AD289" s="61">
        <x:f t="shared" si="19"/>
        <x:v>1</x:v>
      </x:c>
    </x:row>
    <x:row r="290" s="59" customFormat="1" ht="12.5">
      <x:c r="A290" s="63">
        <x:v>285</x:v>
      </x:c>
      <x:c r="B290" s="58" t="s">
        <x:v>718</x:v>
      </x:c>
      <x:c r="C290" s="59" t="s">
        <x:v>34</x:v>
      </x:c>
      <x:c r="D290" s="58" t="s">
        <x:v>60</x:v>
      </x:c>
      <x:c r="E290" s="58" t="s">
        <x:v>267</x:v>
      </x:c>
      <x:c r="F290" s="59" t="s">
        <x:v>716</x:v>
      </x:c>
      <x:c r="G290" s="59" t="s">
        <x:v>713</x:v>
      </x:c>
      <x:c r="H290" s="59" t="s">
        <x:v>714</x:v>
      </x:c>
      <x:c r="I290" s="59" t="s">
        <x:v>112</x:v>
      </x:c>
      <x:c r="J290" s="59">
        <x:v>2017</x:v>
      </x:c>
      <x:c r="K290" s="59">
        <x:v>34</x:v>
      </x:c>
      <x:c r="L290" s="58">
        <x:v>33</x:v>
      </x:c>
      <x:c r="M290" s="59">
        <x:v>32</x:v>
      </x:c>
      <x:c r="N290" s="59" t="s">
        <x:v>48</x:v>
      </x:c>
      <x:c r="O290" s="59">
        <x:v>2022</x:v>
      </x:c>
      <x:c r="Q290" s="23" t="s">
        <x:v>43</x:v>
      </x:c>
      <x:c r="R290" s="59" t="s">
        <x:v>113</x:v>
      </x:c>
      <x:c r="S290" s="58"/>
      <x:c r="T290" s="58"/>
      <x:c r="U290" s="58"/>
      <x:c r="V290" s="58">
        <x:v>-2.0940059999999998</x:v>
      </x:c>
      <x:c r="W290" s="58">
        <x:v>106.105633</x:v>
      </x:c>
      <x:c r="X290" s="60"/>
      <x:c r="Y290" s="60"/>
      <x:c r="Z290" s="58"/>
      <x:c r="AA290" s="60"/>
      <x:c r="AB290" s="60"/>
      <x:c r="AC290" s="61">
        <x:f t="shared" si="18"/>
        <x:v>0.97058823529411764</x:v>
      </x:c>
      <x:c r="AD290" s="61">
        <x:f t="shared" si="19"/>
        <x:v>0.96969696969696972</x:v>
      </x:c>
    </x:row>
    <x:row r="291" s="59" customFormat="1" ht="12.5">
      <x:c r="A291" s="63">
        <x:v>286</x:v>
      </x:c>
      <x:c r="B291" s="58" t="s">
        <x:v>719</x:v>
      </x:c>
      <x:c r="C291" s="59" t="s">
        <x:v>34</x:v>
      </x:c>
      <x:c r="D291" s="58" t="s">
        <x:v>60</x:v>
      </x:c>
      <x:c r="E291" s="58" t="s">
        <x:v>267</x:v>
      </x:c>
      <x:c r="F291" s="59" t="s">
        <x:v>716</x:v>
      </x:c>
      <x:c r="G291" s="59" t="s">
        <x:v>713</x:v>
      </x:c>
      <x:c r="H291" s="59" t="s">
        <x:v>714</x:v>
      </x:c>
      <x:c r="I291" s="59" t="s">
        <x:v>112</x:v>
      </x:c>
      <x:c r="J291" s="59">
        <x:v>2017</x:v>
      </x:c>
      <x:c r="K291" s="59">
        <x:v>50</x:v>
      </x:c>
      <x:c r="L291" s="58">
        <x:v>50</x:v>
      </x:c>
      <x:c r="M291" s="59">
        <x:v>42</x:v>
      </x:c>
      <x:c r="N291" s="59" t="s">
        <x:v>48</x:v>
      </x:c>
      <x:c r="O291" s="59">
        <x:v>2022</x:v>
      </x:c>
      <x:c r="Q291" s="23" t="s">
        <x:v>43</x:v>
      </x:c>
      <x:c r="R291" s="59" t="s">
        <x:v>113</x:v>
      </x:c>
      <x:c r="S291" s="58"/>
      <x:c r="T291" s="58"/>
      <x:c r="U291" s="58"/>
      <x:c r="V291" s="58">
        <x:v>-2.0929440000000001</x:v>
      </x:c>
      <x:c r="W291" s="58">
        <x:v>106.109611</x:v>
      </x:c>
      <x:c r="X291" s="60"/>
      <x:c r="Y291" s="60"/>
      <x:c r="Z291" s="58"/>
      <x:c r="AA291" s="60"/>
      <x:c r="AB291" s="60"/>
      <x:c r="AC291" s="61">
        <x:f t="shared" si="18"/>
        <x:v>1</x:v>
      </x:c>
      <x:c r="AD291" s="61">
        <x:f t="shared" si="19"/>
        <x:v>0.84</x:v>
      </x:c>
    </x:row>
    <x:row r="292" s="59" customFormat="1" ht="12.5">
      <x:c r="A292" s="63">
        <x:v>287</x:v>
      </x:c>
      <x:c r="B292" s="58" t="s">
        <x:v>720</x:v>
      </x:c>
      <x:c r="C292" s="59" t="s">
        <x:v>34</x:v>
      </x:c>
      <x:c r="D292" s="58" t="s">
        <x:v>60</x:v>
      </x:c>
      <x:c r="E292" s="58" t="s">
        <x:v>267</x:v>
      </x:c>
      <x:c r="F292" s="59" t="s">
        <x:v>721</x:v>
      </x:c>
      <x:c r="G292" s="59" t="s">
        <x:v>713</x:v>
      </x:c>
      <x:c r="H292" s="59" t="s">
        <x:v>714</x:v>
      </x:c>
      <x:c r="I292" s="59" t="s">
        <x:v>112</x:v>
      </x:c>
      <x:c r="J292" s="59">
        <x:v>2017</x:v>
      </x:c>
      <x:c r="K292" s="59">
        <x:v>26</x:v>
      </x:c>
      <x:c r="L292" s="58">
        <x:v>26</x:v>
      </x:c>
      <x:c r="M292" s="59">
        <x:v>24</x:v>
      </x:c>
      <x:c r="N292" s="59" t="s">
        <x:v>48</x:v>
      </x:c>
      <x:c r="O292" s="59">
        <x:v>2022</x:v>
      </x:c>
      <x:c r="Q292" s="23" t="s">
        <x:v>43</x:v>
      </x:c>
      <x:c r="R292" s="59" t="s">
        <x:v>247</x:v>
      </x:c>
      <x:c r="S292" s="58"/>
      <x:c r="T292" s="58"/>
      <x:c r="U292" s="58"/>
      <x:c r="V292" s="58">
        <x:v>-2.0958761250000002</x:v>
      </x:c>
      <x:c r="W292" s="58">
        <x:v>106.113303</x:v>
      </x:c>
      <x:c r="X292" s="60"/>
      <x:c r="Y292" s="60"/>
      <x:c r="Z292" s="58"/>
      <x:c r="AA292" s="60"/>
      <x:c r="AB292" s="60"/>
      <x:c r="AC292" s="61">
        <x:f t="shared" si="18"/>
        <x:v>1</x:v>
      </x:c>
      <x:c r="AD292" s="61">
        <x:f t="shared" si="19"/>
        <x:v>0.92307692307692313</x:v>
      </x:c>
    </x:row>
    <x:row r="293" s="59" customFormat="1" ht="12.5">
      <x:c r="A293" s="63">
        <x:v>288</x:v>
      </x:c>
      <x:c r="B293" s="58" t="s">
        <x:v>722</x:v>
      </x:c>
      <x:c r="C293" s="59" t="s">
        <x:v>34</x:v>
      </x:c>
      <x:c r="D293" s="58" t="s">
        <x:v>60</x:v>
      </x:c>
      <x:c r="E293" s="58" t="s">
        <x:v>61</x:v>
      </x:c>
      <x:c r="F293" s="59" t="s">
        <x:v>723</x:v>
      </x:c>
      <x:c r="G293" s="59" t="s">
        <x:v>713</x:v>
      </x:c>
      <x:c r="H293" s="59" t="s">
        <x:v>714</x:v>
      </x:c>
      <x:c r="I293" s="59" t="s">
        <x:v>112</x:v>
      </x:c>
      <x:c r="J293" s="59">
        <x:v>2018</x:v>
      </x:c>
      <x:c r="K293" s="59">
        <x:v>55</x:v>
      </x:c>
      <x:c r="L293" s="58">
        <x:v>55</x:v>
      </x:c>
      <x:c r="M293" s="59">
        <x:v>54</x:v>
      </x:c>
      <x:c r="N293" s="59" t="s">
        <x:v>48</x:v>
      </x:c>
      <x:c r="O293" s="59">
        <x:v>2022</x:v>
      </x:c>
      <x:c r="Q293" s="59" t="s">
        <x:v>72</x:v>
      </x:c>
      <x:c r="R293" s="59" t="s">
        <x:v>247</x:v>
      </x:c>
      <x:c r="S293" s="58"/>
      <x:c r="T293" s="58"/>
      <x:c r="U293" s="58"/>
      <x:c r="V293" s="58">
        <x:v>-2.1036250000000001</x:v>
      </x:c>
      <x:c r="W293" s="58">
        <x:v>106.104417</x:v>
      </x:c>
      <x:c r="X293" s="60"/>
      <x:c r="Y293" s="60"/>
      <x:c r="Z293" s="58"/>
      <x:c r="AA293" s="60"/>
      <x:c r="AB293" s="60"/>
      <x:c r="AC293" s="61">
        <x:f t="shared" si="18"/>
        <x:v>1</x:v>
      </x:c>
      <x:c r="AD293" s="61">
        <x:f t="shared" si="19"/>
        <x:v>0.98181818181818181</x:v>
      </x:c>
    </x:row>
    <x:row r="294" s="59" customFormat="1" ht="12.5">
      <x:c r="A294" s="63">
        <x:v>289</x:v>
      </x:c>
      <x:c r="B294" s="58" t="s">
        <x:v>724</x:v>
      </x:c>
      <x:c r="C294" s="59" t="s">
        <x:v>34</x:v>
      </x:c>
      <x:c r="D294" s="58" t="s">
        <x:v>35</x:v>
      </x:c>
      <x:c r="E294" s="58" t="s">
        <x:v>136</x:v>
      </x:c>
      <x:c r="F294" s="59" t="s">
        <x:v>725</x:v>
      </x:c>
      <x:c r="G294" s="59" t="s">
        <x:v>713</x:v>
      </x:c>
      <x:c r="H294" s="59" t="s">
        <x:v>714</x:v>
      </x:c>
      <x:c r="I294" s="59" t="s">
        <x:v>112</x:v>
      </x:c>
      <x:c r="J294" s="59">
        <x:v>2018</x:v>
      </x:c>
      <x:c r="K294" s="59">
        <x:v>37</x:v>
      </x:c>
      <x:c r="L294" s="58">
        <x:v>37</x:v>
      </x:c>
      <x:c r="M294" s="59">
        <x:v>37</x:v>
      </x:c>
      <x:c r="N294" s="59" t="s">
        <x:v>48</x:v>
      </x:c>
      <x:c r="O294" s="59">
        <x:v>2022</x:v>
      </x:c>
      <x:c r="Q294" s="23" t="s">
        <x:v>43</x:v>
      </x:c>
      <x:c r="R294" s="59" t="s">
        <x:v>113</x:v>
      </x:c>
      <x:c r="S294" s="58"/>
      <x:c r="T294" s="58"/>
      <x:c r="U294" s="58"/>
      <x:c r="V294" s="58">
        <x:v>-2.1039151</x:v>
      </x:c>
      <x:c r="W294" s="58">
        <x:v>106.0908293</x:v>
      </x:c>
      <x:c r="X294" s="60"/>
      <x:c r="Y294" s="60"/>
      <x:c r="Z294" s="58"/>
      <x:c r="AA294" s="60"/>
      <x:c r="AB294" s="60"/>
      <x:c r="AC294" s="61">
        <x:f t="shared" si="18"/>
        <x:v>1</x:v>
      </x:c>
      <x:c r="AD294" s="61">
        <x:f t="shared" si="19"/>
        <x:v>1</x:v>
      </x:c>
    </x:row>
    <x:row r="295" s="59" customFormat="1" ht="12.5">
      <x:c r="A295" s="63">
        <x:v>290</x:v>
      </x:c>
      <x:c r="B295" s="58" t="s">
        <x:v>726</x:v>
      </x:c>
      <x:c r="C295" s="59" t="s">
        <x:v>34</x:v>
      </x:c>
      <x:c r="D295" s="58" t="s">
        <x:v>35</x:v>
      </x:c>
      <x:c r="E295" s="58" t="s">
        <x:v>184</x:v>
      </x:c>
      <x:c r="F295" s="59" t="s">
        <x:v>185</x:v>
      </x:c>
      <x:c r="G295" s="59" t="s">
        <x:v>713</x:v>
      </x:c>
      <x:c r="H295" s="59" t="s">
        <x:v>714</x:v>
      </x:c>
      <x:c r="I295" s="59" t="s">
        <x:v>112</x:v>
      </x:c>
      <x:c r="J295" s="59">
        <x:v>2018</x:v>
      </x:c>
      <x:c r="K295" s="59">
        <x:v>20</x:v>
      </x:c>
      <x:c r="L295" s="58">
        <x:v>20</x:v>
      </x:c>
      <x:c r="M295" s="59">
        <x:v>20</x:v>
      </x:c>
      <x:c r="N295" s="59" t="s">
        <x:v>48</x:v>
      </x:c>
      <x:c r="O295" s="59">
        <x:v>2022</x:v>
      </x:c>
      <x:c r="Q295" s="23" t="s">
        <x:v>43</x:v>
      </x:c>
      <x:c r="R295" s="59" t="s">
        <x:v>113</x:v>
      </x:c>
      <x:c r="S295" s="58"/>
      <x:c r="T295" s="58"/>
      <x:c r="U295" s="58"/>
      <x:c r="V295" s="58">
        <x:v>-2.1048110000000002</x:v>
      </x:c>
      <x:c r="W295" s="58">
        <x:v>106.088823</x:v>
      </x:c>
      <x:c r="X295" s="60"/>
      <x:c r="Y295" s="60"/>
      <x:c r="Z295" s="58"/>
      <x:c r="AA295" s="60"/>
      <x:c r="AB295" s="60"/>
      <x:c r="AC295" s="61">
        <x:f t="shared" si="18"/>
        <x:v>1</x:v>
      </x:c>
      <x:c r="AD295" s="61">
        <x:f t="shared" si="19"/>
        <x:v>1</x:v>
      </x:c>
    </x:row>
    <x:row r="296" s="59" customFormat="1" ht="12.5">
      <x:c r="A296" s="63">
        <x:v>291</x:v>
      </x:c>
      <x:c r="B296" s="58" t="s">
        <x:v>727</x:v>
      </x:c>
      <x:c r="C296" s="59" t="s">
        <x:v>34</x:v>
      </x:c>
      <x:c r="D296" s="58" t="s">
        <x:v>60</x:v>
      </x:c>
      <x:c r="E296" s="58" t="s">
        <x:v>61</x:v>
      </x:c>
      <x:c r="F296" s="59" t="s">
        <x:v>728</x:v>
      </x:c>
      <x:c r="G296" s="59" t="s">
        <x:v>713</x:v>
      </x:c>
      <x:c r="H296" s="59" t="s">
        <x:v>714</x:v>
      </x:c>
      <x:c r="I296" s="59" t="s">
        <x:v>112</x:v>
      </x:c>
      <x:c r="J296" s="59">
        <x:v>2018</x:v>
      </x:c>
      <x:c r="K296" s="59">
        <x:v>39</x:v>
      </x:c>
      <x:c r="L296" s="58">
        <x:v>35</x:v>
      </x:c>
      <x:c r="M296" s="59">
        <x:v>34</x:v>
      </x:c>
      <x:c r="N296" s="59" t="s">
        <x:v>48</x:v>
      </x:c>
      <x:c r="O296" s="59">
        <x:v>2022</x:v>
      </x:c>
      <x:c r="Q296" s="59" t="s">
        <x:v>72</x:v>
      </x:c>
      <x:c r="R296" s="59" t="s">
        <x:v>55</x:v>
      </x:c>
      <x:c r="S296" s="58"/>
      <x:c r="T296" s="58"/>
      <x:c r="U296" s="58"/>
      <x:c r="V296" s="58">
        <x:v>-2.1032679999999999</x:v>
      </x:c>
      <x:c r="W296" s="58">
        <x:v>106.102847</x:v>
      </x:c>
      <x:c r="X296" s="60"/>
      <x:c r="Y296" s="60"/>
      <x:c r="Z296" s="58"/>
      <x:c r="AA296" s="60"/>
      <x:c r="AB296" s="60"/>
      <x:c r="AC296" s="61">
        <x:f t="shared" si="18"/>
        <x:v>0.89743589743589747</x:v>
      </x:c>
      <x:c r="AD296" s="61">
        <x:f t="shared" si="19"/>
        <x:v>0.97142857142857142</x:v>
      </x:c>
    </x:row>
    <x:row r="297" s="59" customFormat="1" ht="12.5">
      <x:c r="A297" s="63">
        <x:v>292</x:v>
      </x:c>
      <x:c r="B297" s="58" t="s">
        <x:v>729</x:v>
      </x:c>
      <x:c r="C297" s="59" t="s">
        <x:v>34</x:v>
      </x:c>
      <x:c r="D297" s="58" t="s">
        <x:v>35</x:v>
      </x:c>
      <x:c r="E297" s="58" t="s">
        <x:v>46</x:v>
      </x:c>
      <x:c r="F297" s="59" t="s">
        <x:v>51</x:v>
      </x:c>
      <x:c r="G297" s="59" t="s">
        <x:v>713</x:v>
      </x:c>
      <x:c r="H297" s="59" t="s">
        <x:v>714</x:v>
      </x:c>
      <x:c r="I297" s="59" t="s">
        <x:v>112</x:v>
      </x:c>
      <x:c r="J297" s="59">
        <x:v>2018</x:v>
      </x:c>
      <x:c r="K297" s="59">
        <x:v>35</x:v>
      </x:c>
      <x:c r="L297" s="58">
        <x:v>35</x:v>
      </x:c>
      <x:c r="M297" s="59">
        <x:v>35</x:v>
      </x:c>
      <x:c r="N297" s="59" t="s">
        <x:v>41</x:v>
      </x:c>
      <x:c r="O297" s="59" t="s">
        <x:v>42</x:v>
      </x:c>
      <x:c r="Q297" s="23" t="s">
        <x:v>43</x:v>
      </x:c>
      <x:c r="S297" s="58"/>
      <x:c r="T297" s="58"/>
      <x:c r="U297" s="58"/>
      <x:c r="V297" s="58">
        <x:v>-2.1212407999999998</x:v>
      </x:c>
      <x:c r="W297" s="58">
        <x:v>106.07339570000001</x:v>
      </x:c>
      <x:c r="X297" s="60"/>
      <x:c r="Y297" s="60"/>
      <x:c r="Z297" s="58"/>
      <x:c r="AA297" s="60"/>
      <x:c r="AB297" s="60"/>
      <x:c r="AC297" s="61">
        <x:f t="shared" si="18"/>
        <x:v>1</x:v>
      </x:c>
      <x:c r="AD297" s="61">
        <x:f t="shared" si="19"/>
        <x:v>1</x:v>
      </x:c>
    </x:row>
    <x:row r="298" s="59" customFormat="1" ht="12.5">
      <x:c r="A298" s="63">
        <x:v>293</x:v>
      </x:c>
      <x:c r="B298" s="58" t="s">
        <x:v>730</x:v>
      </x:c>
      <x:c r="C298" s="59" t="s">
        <x:v>34</x:v>
      </x:c>
      <x:c r="D298" s="58" t="s">
        <x:v>60</x:v>
      </x:c>
      <x:c r="E298" s="58" t="s">
        <x:v>70</x:v>
      </x:c>
      <x:c r="F298" s="59" t="s">
        <x:v>486</x:v>
      </x:c>
      <x:c r="G298" s="59" t="s">
        <x:v>713</x:v>
      </x:c>
      <x:c r="H298" s="59" t="s">
        <x:v>714</x:v>
      </x:c>
      <x:c r="I298" s="59" t="s">
        <x:v>112</x:v>
      </x:c>
      <x:c r="J298" s="59">
        <x:v>2019</x:v>
      </x:c>
      <x:c r="K298" s="59">
        <x:v>39</x:v>
      </x:c>
      <x:c r="L298" s="58">
        <x:v>39</x:v>
      </x:c>
      <x:c r="M298" s="59">
        <x:v>31</x:v>
      </x:c>
      <x:c r="N298" s="59" t="s">
        <x:v>41</x:v>
      </x:c>
      <x:c r="O298" s="59" t="s">
        <x:v>42</x:v>
      </x:c>
      <x:c r="Q298" s="23" t="s">
        <x:v>43</x:v>
      </x:c>
      <x:c r="R298" s="23" t="s">
        <x:v>88</x:v>
      </x:c>
      <x:c r="S298" s="58"/>
      <x:c r="T298" s="58"/>
      <x:c r="U298" s="58"/>
      <x:c r="V298" s="58">
        <x:v>-2.0921159999999999</x:v>
      </x:c>
      <x:c r="W298" s="58">
        <x:v>106.092775</x:v>
      </x:c>
      <x:c r="X298" s="60"/>
      <x:c r="Y298" s="60"/>
      <x:c r="Z298" s="58"/>
      <x:c r="AA298" s="60"/>
      <x:c r="AB298" s="60"/>
      <x:c r="AC298" s="61">
        <x:f t="shared" si="18"/>
        <x:v>1</x:v>
      </x:c>
      <x:c r="AD298" s="61">
        <x:f t="shared" si="19"/>
        <x:v>0.79487179487179482</x:v>
      </x:c>
    </x:row>
    <x:row r="299" s="59" customFormat="1" ht="12.5">
      <x:c r="A299" s="63">
        <x:v>294</x:v>
      </x:c>
      <x:c r="B299" s="58" t="s">
        <x:v>731</x:v>
      </x:c>
      <x:c r="C299" s="59" t="s">
        <x:v>34</x:v>
      </x:c>
      <x:c r="D299" s="58" t="s">
        <x:v>35</x:v>
      </x:c>
      <x:c r="E299" s="58" t="s">
        <x:v>36</x:v>
      </x:c>
      <x:c r="F299" s="59" t="s">
        <x:v>732</x:v>
      </x:c>
      <x:c r="G299" s="59" t="s">
        <x:v>713</x:v>
      </x:c>
      <x:c r="H299" s="59" t="s">
        <x:v>714</x:v>
      </x:c>
      <x:c r="I299" s="59" t="s">
        <x:v>112</x:v>
      </x:c>
      <x:c r="J299" s="59">
        <x:v>2019</x:v>
      </x:c>
      <x:c r="K299" s="59">
        <x:v>39</x:v>
      </x:c>
      <x:c r="L299" s="58">
        <x:v>36</x:v>
      </x:c>
      <x:c r="M299" s="59">
        <x:v>36</x:v>
      </x:c>
      <x:c r="N299" s="59" t="s">
        <x:v>41</x:v>
      </x:c>
      <x:c r="O299" s="59" t="s">
        <x:v>42</x:v>
      </x:c>
      <x:c r="Q299" s="23" t="s">
        <x:v>43</x:v>
      </x:c>
      <x:c r="S299" s="58"/>
      <x:c r="T299" s="58"/>
      <x:c r="U299" s="58"/>
      <x:c r="V299" s="58">
        <x:v>-2.109334</x:v>
      </x:c>
      <x:c r="W299" s="58">
        <x:v>106.08140899999999</x:v>
      </x:c>
      <x:c r="X299" s="60"/>
      <x:c r="Y299" s="60"/>
      <x:c r="Z299" s="58"/>
      <x:c r="AA299" s="60"/>
      <x:c r="AB299" s="60"/>
      <x:c r="AC299" s="61">
        <x:f t="shared" si="18"/>
        <x:v>0.92307692307692313</x:v>
      </x:c>
      <x:c r="AD299" s="61">
        <x:f t="shared" si="19"/>
        <x:v>1</x:v>
      </x:c>
    </x:row>
    <x:row r="300" s="59" customFormat="1" ht="12.5">
      <x:c r="A300" s="63">
        <x:v>295</x:v>
      </x:c>
      <x:c r="B300" s="58" t="s">
        <x:v>733</x:v>
      </x:c>
      <x:c r="C300" s="59" t="s">
        <x:v>34</x:v>
      </x:c>
      <x:c r="D300" s="58" t="s">
        <x:v>60</x:v>
      </x:c>
      <x:c r="E300" s="58" t="s">
        <x:v>70</x:v>
      </x:c>
      <x:c r="F300" s="59" t="s">
        <x:v>74</x:v>
      </x:c>
      <x:c r="G300" s="59" t="s">
        <x:v>734</x:v>
      </x:c>
      <x:c r="H300" s="59" t="s">
        <x:v>519</x:v>
      </x:c>
      <x:c r="I300" s="59" t="s">
        <x:v>112</x:v>
      </x:c>
      <x:c r="J300" s="59">
        <x:v>2021</x:v>
      </x:c>
      <x:c r="K300" s="59">
        <x:v>34</x:v>
      </x:c>
      <x:c r="L300" s="58">
        <x:v>34</x:v>
      </x:c>
      <x:c r="M300" s="59">
        <x:v>34</x:v>
      </x:c>
      <x:c r="N300" s="59" t="s">
        <x:v>41</x:v>
      </x:c>
      <x:c r="O300" s="59" t="s">
        <x:v>42</x:v>
      </x:c>
      <x:c r="Q300" s="23" t="s">
        <x:v>43</x:v>
      </x:c>
      <x:c r="R300" s="23" t="s">
        <x:v>88</x:v>
      </x:c>
      <x:c r="S300" s="58"/>
      <x:c r="T300" s="58"/>
      <x:c r="U300" s="58"/>
      <x:c r="V300" s="58"/>
      <x:c r="W300" s="58"/>
      <x:c r="X300" s="60"/>
      <x:c r="Y300" s="60"/>
      <x:c r="Z300" s="58"/>
      <x:c r="AA300" s="60"/>
      <x:c r="AB300" s="60"/>
      <x:c r="AC300" s="61">
        <x:f t="shared" si="18"/>
        <x:v>1</x:v>
      </x:c>
      <x:c r="AD300" s="61">
        <x:f t="shared" si="19"/>
        <x:v>1</x:v>
      </x:c>
    </x:row>
    <x:row r="301" s="59" customFormat="1" ht="12.5">
      <x:c r="A301" s="63">
        <x:v>296</x:v>
      </x:c>
      <x:c r="B301" s="58" t="s">
        <x:v>735</x:v>
      </x:c>
      <x:c r="C301" s="59" t="s">
        <x:v>34</x:v>
      </x:c>
      <x:c r="D301" s="58" t="s">
        <x:v>35</x:v>
      </x:c>
      <x:c r="E301" s="58" t="s">
        <x:v>36</x:v>
      </x:c>
      <x:c r="F301" s="59" t="s">
        <x:v>732</x:v>
      </x:c>
      <x:c r="G301" s="59" t="s">
        <x:v>734</x:v>
      </x:c>
      <x:c r="H301" s="59" t="s">
        <x:v>736</x:v>
      </x:c>
      <x:c r="I301" s="59" t="s">
        <x:v>112</x:v>
      </x:c>
      <x:c r="J301" s="59">
        <x:v>2022</x:v>
      </x:c>
      <x:c r="K301" s="59">
        <x:v>58</x:v>
      </x:c>
      <x:c r="L301" s="58">
        <x:v>58</x:v>
      </x:c>
      <x:c r="M301" s="59">
        <x:v>0</x:v>
      </x:c>
      <x:c r="N301" s="59" t="s">
        <x:v>41</x:v>
      </x:c>
      <x:c r="O301" s="59" t="s">
        <x:v>42</x:v>
      </x:c>
      <x:c r="Q301" s="23" t="s">
        <x:v>43</x:v>
      </x:c>
      <x:c r="S301" s="58"/>
      <x:c r="T301" s="58"/>
      <x:c r="U301" s="58"/>
      <x:c r="V301" s="58">
        <x:v>-2.1086290000000001</x:v>
      </x:c>
      <x:c r="W301" s="58">
        <x:v>106.080664</x:v>
      </x:c>
      <x:c r="X301" s="60"/>
      <x:c r="Y301" s="60"/>
      <x:c r="Z301" s="58"/>
      <x:c r="AA301" s="60"/>
      <x:c r="AB301" s="60"/>
      <x:c r="AC301" s="61">
        <x:f t="shared" si="18"/>
        <x:v>1</x:v>
      </x:c>
      <x:c r="AD301" s="61">
        <x:f t="shared" si="19"/>
        <x:v>0</x:v>
      </x:c>
    </x:row>
    <x:row r="302" s="59" customFormat="1" ht="12.5">
      <x:c r="A302" s="63">
        <x:v>297</x:v>
      </x:c>
      <x:c r="B302" s="58" t="s">
        <x:v>737</x:v>
      </x:c>
      <x:c r="C302" s="59" t="s">
        <x:v>34</x:v>
      </x:c>
      <x:c r="D302" s="58" t="s">
        <x:v>60</x:v>
      </x:c>
      <x:c r="E302" s="58" t="s">
        <x:v>61</x:v>
      </x:c>
      <x:c r="F302" s="59" t="s">
        <x:v>738</x:v>
      </x:c>
      <x:c r="G302" s="59" t="s">
        <x:v>734</x:v>
      </x:c>
      <x:c r="H302" s="59" t="s">
        <x:v>519</x:v>
      </x:c>
      <x:c r="I302" s="59" t="s">
        <x:v>112</x:v>
      </x:c>
      <x:c r="J302" s="59">
        <x:v>2022</x:v>
      </x:c>
      <x:c r="K302" s="59">
        <x:v>36</x:v>
      </x:c>
      <x:c r="L302" s="58">
        <x:v>33</x:v>
      </x:c>
      <x:c r="M302" s="59">
        <x:v>33</x:v>
      </x:c>
      <x:c r="N302" s="59" t="s">
        <x:v>41</x:v>
      </x:c>
      <x:c r="O302" s="59" t="s">
        <x:v>42</x:v>
      </x:c>
      <x:c r="Q302" s="23" t="s">
        <x:v>43</x:v>
      </x:c>
      <x:c r="S302" s="58"/>
      <x:c r="T302" s="58"/>
      <x:c r="U302" s="58"/>
      <x:c r="V302" s="58">
        <x:v>-2.1061350000000001</x:v>
      </x:c>
      <x:c r="W302" s="58">
        <x:v>106.102529</x:v>
      </x:c>
      <x:c r="X302" s="60"/>
      <x:c r="Y302" s="60"/>
      <x:c r="Z302" s="58"/>
      <x:c r="AA302" s="60"/>
      <x:c r="AB302" s="60"/>
      <x:c r="AC302" s="61">
        <x:f t="shared" si="18"/>
        <x:v>0.91666666666666663</x:v>
      </x:c>
      <x:c r="AD302" s="61">
        <x:f t="shared" si="19"/>
        <x:v>1</x:v>
      </x:c>
    </x:row>
    <x:row r="303" s="59" customFormat="1" ht="12.5">
      <x:c r="A303" s="63">
        <x:v>298</x:v>
      </x:c>
      <x:c r="B303" s="58" t="s">
        <x:v>739</x:v>
      </x:c>
      <x:c r="C303" s="59" t="s">
        <x:v>34</x:v>
      </x:c>
      <x:c r="D303" s="58" t="s">
        <x:v>35</x:v>
      </x:c>
      <x:c r="E303" s="58" t="s">
        <x:v>36</x:v>
      </x:c>
      <x:c r="F303" s="59" t="s">
        <x:v>104</x:v>
      </x:c>
      <x:c r="G303" s="59" t="s">
        <x:v>734</x:v>
      </x:c>
      <x:c r="H303" s="59" t="s">
        <x:v>736</x:v>
      </x:c>
      <x:c r="I303" s="59" t="s">
        <x:v>112</x:v>
      </x:c>
      <x:c r="J303" s="59">
        <x:v>2023</x:v>
      </x:c>
      <x:c r="K303" s="59">
        <x:v>35</x:v>
      </x:c>
      <x:c r="L303" s="58">
        <x:v>29</x:v>
      </x:c>
      <x:c r="M303" s="59">
        <x:v>0</x:v>
      </x:c>
      <x:c r="N303" s="59" t="s">
        <x:v>41</x:v>
      </x:c>
      <x:c r="O303" s="59" t="s">
        <x:v>42</x:v>
      </x:c>
      <x:c r="Q303" s="23" t="s">
        <x:v>43</x:v>
      </x:c>
      <x:c r="R303" s="23" t="s">
        <x:v>88</x:v>
      </x:c>
      <x:c r="S303" s="58"/>
      <x:c r="T303" s="58"/>
      <x:c r="U303" s="58"/>
      <x:c r="V303" s="58">
        <x:v>-2.1097893000000001</x:v>
      </x:c>
      <x:c r="W303" s="58">
        <x:v>106.0797096</x:v>
      </x:c>
      <x:c r="X303" s="60"/>
      <x:c r="Y303" s="60"/>
      <x:c r="Z303" s="58"/>
      <x:c r="AA303" s="60"/>
      <x:c r="AB303" s="60"/>
      <x:c r="AC303" s="61">
        <x:f t="shared" si="18"/>
        <x:v>0.82857142857142863</x:v>
      </x:c>
      <x:c r="AD303" s="61">
        <x:f t="shared" si="19"/>
        <x:v>0</x:v>
      </x:c>
    </x:row>
    <x:row r="304" s="59" customFormat="1" ht="12.5">
      <x:c r="A304" s="63">
        <x:v>299</x:v>
      </x:c>
      <x:c r="B304" s="58" t="s">
        <x:v>740</x:v>
      </x:c>
      <x:c r="C304" s="59" t="s">
        <x:v>34</x:v>
      </x:c>
      <x:c r="D304" s="58" t="s">
        <x:v>60</x:v>
      </x:c>
      <x:c r="E304" s="58" t="s">
        <x:v>60</x:v>
      </x:c>
      <x:c r="F304" s="59" t="s">
        <x:v>741</x:v>
      </x:c>
      <x:c r="G304" s="59" t="s">
        <x:v>734</x:v>
      </x:c>
      <x:c r="H304" s="59" t="s">
        <x:v>736</x:v>
      </x:c>
      <x:c r="I304" s="59" t="s">
        <x:v>112</x:v>
      </x:c>
      <x:c r="J304" s="59">
        <x:v>2024</x:v>
      </x:c>
      <x:c r="K304" s="59">
        <x:v>62</x:v>
      </x:c>
      <x:c r="L304" s="58">
        <x:v>0</x:v>
      </x:c>
      <x:c r="M304" s="59">
        <x:v>0</x:v>
      </x:c>
      <x:c r="N304" s="59" t="s">
        <x:v>41</x:v>
      </x:c>
      <x:c r="O304" s="59" t="s">
        <x:v>42</x:v>
      </x:c>
      <x:c r="Q304" s="23" t="s">
        <x:v>43</x:v>
      </x:c>
      <x:c r="S304" s="58"/>
      <x:c r="T304" s="58"/>
      <x:c r="U304" s="58"/>
      <x:c r="V304" s="58">
        <x:v>-2.10541</x:v>
      </x:c>
      <x:c r="W304" s="58">
        <x:v>106.107096</x:v>
      </x:c>
      <x:c r="X304" s="60"/>
      <x:c r="Y304" s="60"/>
      <x:c r="Z304" s="58"/>
      <x:c r="AA304" s="60"/>
      <x:c r="AB304" s="60"/>
      <x:c r="AC304" s="61">
        <x:f t="shared" si="18"/>
        <x:v>0</x:v>
      </x:c>
      <x:c r="AD304" s="61">
        <x:f t="shared" si="19"/>
        <x:v>0</x:v>
      </x:c>
    </x:row>
    <x:row r="305" s="59" customFormat="1" ht="12.5">
      <x:c r="A305" s="63">
        <x:v>300</x:v>
      </x:c>
      <x:c r="B305" s="58" t="s">
        <x:v>742</x:v>
      </x:c>
      <x:c r="C305" s="59" t="s">
        <x:v>34</x:v>
      </x:c>
      <x:c r="D305" s="58" t="s">
        <x:v>35</x:v>
      </x:c>
      <x:c r="E305" s="58" t="s">
        <x:v>136</x:v>
      </x:c>
      <x:c r="F305" s="59" t="s">
        <x:v>62</x:v>
      </x:c>
      <x:c r="G305" s="59" t="s">
        <x:v>734</x:v>
      </x:c>
      <x:c r="H305" s="59" t="s">
        <x:v>519</x:v>
      </x:c>
      <x:c r="I305" s="59" t="s">
        <x:v>112</x:v>
      </x:c>
      <x:c r="J305" s="59">
        <x:v>2019</x:v>
      </x:c>
      <x:c r="K305" s="59">
        <x:v>115</x:v>
      </x:c>
      <x:c r="L305" s="58">
        <x:v>115</x:v>
      </x:c>
      <x:c r="M305" s="59">
        <x:v>115</x:v>
      </x:c>
      <x:c r="N305" s="59" t="s">
        <x:v>41</x:v>
      </x:c>
      <x:c r="O305" s="59" t="s">
        <x:v>42</x:v>
      </x:c>
      <x:c r="Q305" s="23" t="s">
        <x:v>43</x:v>
      </x:c>
      <x:c r="S305" s="58"/>
      <x:c r="T305" s="58"/>
      <x:c r="U305" s="58"/>
      <x:c r="V305" s="58">
        <x:v>-2.1040869999999998</x:v>
      </x:c>
      <x:c r="W305" s="58">
        <x:v>106.09254199999999</x:v>
      </x:c>
      <x:c r="X305" s="60"/>
      <x:c r="Y305" s="60"/>
      <x:c r="Z305" s="58"/>
      <x:c r="AA305" s="60"/>
      <x:c r="AB305" s="60"/>
      <x:c r="AC305" s="61">
        <x:f t="shared" si="18"/>
        <x:v>1</x:v>
      </x:c>
      <x:c r="AD305" s="61">
        <x:f t="shared" si="19"/>
        <x:v>1</x:v>
      </x:c>
    </x:row>
    <x:row r="306" s="59" customFormat="1" ht="12.5">
      <x:c r="A306" s="63">
        <x:v>301</x:v>
      </x:c>
      <x:c r="B306" s="58" t="s">
        <x:v>743</x:v>
      </x:c>
      <x:c r="C306" s="59" t="s">
        <x:v>34</x:v>
      </x:c>
      <x:c r="D306" s="58" t="s">
        <x:v>35</x:v>
      </x:c>
      <x:c r="E306" s="58" t="s">
        <x:v>136</x:v>
      </x:c>
      <x:c r="F306" s="59" t="s">
        <x:v>62</x:v>
      </x:c>
      <x:c r="G306" s="59" t="s">
        <x:v>734</x:v>
      </x:c>
      <x:c r="H306" s="59" t="s">
        <x:v>519</x:v>
      </x:c>
      <x:c r="I306" s="59" t="s">
        <x:v>112</x:v>
      </x:c>
      <x:c r="J306" s="59">
        <x:v>2019</x:v>
      </x:c>
      <x:c r="K306" s="59">
        <x:v>83</x:v>
      </x:c>
      <x:c r="L306" s="58">
        <x:v>63</x:v>
      </x:c>
      <x:c r="M306" s="59">
        <x:v>45</x:v>
      </x:c>
      <x:c r="N306" s="59" t="s">
        <x:v>41</x:v>
      </x:c>
      <x:c r="O306" s="59" t="s">
        <x:v>42</x:v>
      </x:c>
      <x:c r="Q306" s="23" t="s">
        <x:v>43</x:v>
      </x:c>
      <x:c r="S306" s="58"/>
      <x:c r="T306" s="58"/>
      <x:c r="U306" s="58"/>
      <x:c r="V306" s="58">
        <x:v>-2.1046480000000001</x:v>
      </x:c>
      <x:c r="W306" s="58">
        <x:v>106.093439</x:v>
      </x:c>
      <x:c r="X306" s="60"/>
      <x:c r="Y306" s="60"/>
      <x:c r="Z306" s="58"/>
      <x:c r="AA306" s="60"/>
      <x:c r="AB306" s="60"/>
      <x:c r="AC306" s="61">
        <x:f t="shared" si="18"/>
        <x:v>0.75903614457831325</x:v>
      </x:c>
      <x:c r="AD306" s="61">
        <x:f t="shared" si="19"/>
        <x:v>0.7142857142857143</x:v>
      </x:c>
    </x:row>
    <x:row r="307" s="59" customFormat="1" ht="12.5">
      <x:c r="A307" s="63">
        <x:v>302</x:v>
      </x:c>
      <x:c r="B307" s="58" t="s">
        <x:v>744</x:v>
      </x:c>
      <x:c r="C307" s="59" t="s">
        <x:v>170</x:v>
      </x:c>
      <x:c r="D307" s="58" t="s">
        <x:v>81</x:v>
      </x:c>
      <x:c r="E307" s="58" t="s">
        <x:v>202</x:v>
      </x:c>
      <x:c r="F307" s="59" t="s">
        <x:v>745</x:v>
      </x:c>
      <x:c r="G307" s="59" t="s">
        <x:v>42</x:v>
      </x:c>
      <x:c r="H307" s="59" t="s">
        <x:v>42</x:v>
      </x:c>
      <x:c r="I307" s="59" t="s">
        <x:v>42</x:v>
      </x:c>
      <x:c r="J307" s="59" t="s">
        <x:v>42</x:v>
      </x:c>
      <x:c r="K307" s="59">
        <x:v>90</x:v>
      </x:c>
      <x:c r="L307" s="58">
        <x:v>0</x:v>
      </x:c>
      <x:c r="M307" s="59">
        <x:v>0</x:v>
      </x:c>
      <x:c r="N307" s="59" t="s">
        <x:v>41</x:v>
      </x:c>
      <x:c r="O307" s="59" t="s">
        <x:v>42</x:v>
      </x:c>
      <x:c r="Q307" s="59" t="s">
        <x:v>72</x:v>
      </x:c>
      <x:c r="S307" s="58"/>
      <x:c r="T307" s="58"/>
      <x:c r="U307" s="58"/>
      <x:c r="V307" s="58"/>
      <x:c r="W307" s="58"/>
      <x:c r="X307" s="60"/>
      <x:c r="Y307" s="60"/>
      <x:c r="Z307" s="58"/>
      <x:c r="AA307" s="60"/>
      <x:c r="AB307" s="60"/>
      <x:c r="AC307" s="61">
        <x:f t="shared" si="18"/>
        <x:v>0</x:v>
      </x:c>
      <x:c r="AD307" s="61">
        <x:f t="shared" si="19"/>
        <x:v>0</x:v>
      </x:c>
    </x:row>
    <x:row r="308" s="59" customFormat="1" ht="12.5">
      <x:c r="A308" s="63">
        <x:v>303</x:v>
      </x:c>
      <x:c r="B308" s="58" t="s">
        <x:v>746</x:v>
      </x:c>
      <x:c r="C308" s="59" t="s">
        <x:v>34</x:v>
      </x:c>
      <x:c r="D308" s="58" t="s">
        <x:v>35</x:v>
      </x:c>
      <x:c r="E308" s="58" t="s">
        <x:v>36</x:v>
      </x:c>
      <x:c r="F308" s="59" t="s">
        <x:v>396</x:v>
      </x:c>
      <x:c r="G308" s="59" t="s">
        <x:v>747</x:v>
      </x:c>
      <x:c r="H308" s="59" t="s">
        <x:v>748</x:v>
      </x:c>
      <x:c r="I308" s="59" t="s">
        <x:v>86</x:v>
      </x:c>
      <x:c r="J308" s="59">
        <x:v>2015</x:v>
      </x:c>
      <x:c r="K308" s="59">
        <x:v>75</x:v>
      </x:c>
      <x:c r="L308" s="58">
        <x:v>27</x:v>
      </x:c>
      <x:c r="M308" s="59">
        <x:v>27</x:v>
      </x:c>
      <x:c r="N308" s="59" t="s">
        <x:v>41</x:v>
      </x:c>
      <x:c r="O308" s="59" t="s">
        <x:v>42</x:v>
      </x:c>
      <x:c r="Q308" s="23" t="s">
        <x:v>43</x:v>
      </x:c>
      <x:c r="R308" s="23" t="s">
        <x:v>88</x:v>
      </x:c>
      <x:c r="S308" s="58"/>
      <x:c r="T308" s="58"/>
      <x:c r="U308" s="58"/>
      <x:c r="V308" s="58"/>
      <x:c r="W308" s="58"/>
      <x:c r="X308" s="60"/>
      <x:c r="Y308" s="60"/>
      <x:c r="Z308" s="58"/>
      <x:c r="AA308" s="60"/>
      <x:c r="AB308" s="60"/>
      <x:c r="AC308" s="61">
        <x:f t="shared" si="18"/>
        <x:v>0.36</x:v>
      </x:c>
      <x:c r="AD308" s="61">
        <x:f t="shared" si="19"/>
        <x:v>1</x:v>
      </x:c>
    </x:row>
    <x:row r="309" s="59" customFormat="1" ht="12.5">
      <x:c r="A309" s="63">
        <x:v>304</x:v>
      </x:c>
      <x:c r="B309" s="58" t="s">
        <x:v>749</x:v>
      </x:c>
      <x:c r="C309" s="59" t="s">
        <x:v>34</x:v>
      </x:c>
      <x:c r="D309" s="58" t="s">
        <x:v>35</x:v>
      </x:c>
      <x:c r="E309" s="58" t="s">
        <x:v>184</x:v>
      </x:c>
      <x:c r="F309" s="59" t="s">
        <x:v>185</x:v>
      </x:c>
      <x:c r="G309" s="59" t="s">
        <x:v>747</x:v>
      </x:c>
      <x:c r="H309" s="59" t="s">
        <x:v>748</x:v>
      </x:c>
      <x:c r="I309" s="59" t="s">
        <x:v>86</x:v>
      </x:c>
      <x:c r="J309" s="59">
        <x:v>2018</x:v>
      </x:c>
      <x:c r="K309" s="59">
        <x:v>45</x:v>
      </x:c>
      <x:c r="L309" s="58">
        <x:v>43</x:v>
      </x:c>
      <x:c r="M309" s="59">
        <x:v>43</x:v>
      </x:c>
      <x:c r="N309" s="59" t="s">
        <x:v>41</x:v>
      </x:c>
      <x:c r="O309" s="59" t="s">
        <x:v>42</x:v>
      </x:c>
      <x:c r="Q309" s="23" t="s">
        <x:v>43</x:v>
      </x:c>
      <x:c r="S309" s="58"/>
      <x:c r="T309" s="58"/>
      <x:c r="U309" s="58"/>
      <x:c r="V309" s="58">
        <x:v>-2.1097419999999998</x:v>
      </x:c>
      <x:c r="W309" s="58">
        <x:v>106.090282</x:v>
      </x:c>
      <x:c r="X309" s="60"/>
      <x:c r="Y309" s="60"/>
      <x:c r="Z309" s="58"/>
      <x:c r="AA309" s="60"/>
      <x:c r="AB309" s="60"/>
      <x:c r="AC309" s="61">
        <x:f t="shared" si="18"/>
        <x:v>0.9555555555555556</x:v>
      </x:c>
      <x:c r="AD309" s="61">
        <x:f t="shared" si="19"/>
        <x:v>1</x:v>
      </x:c>
    </x:row>
    <x:row r="310" s="59" customFormat="1" ht="12.5">
      <x:c r="A310" s="63">
        <x:v>305</x:v>
      </x:c>
      <x:c r="B310" s="58" t="s">
        <x:v>750</x:v>
      </x:c>
      <x:c r="C310" s="59" t="s">
        <x:v>34</x:v>
      </x:c>
      <x:c r="D310" s="58" t="s">
        <x:v>35</x:v>
      </x:c>
      <x:c r="E310" s="58" t="s">
        <x:v>136</x:v>
      </x:c>
      <x:c r="F310" s="59" t="s">
        <x:v>185</x:v>
      </x:c>
      <x:c r="G310" s="59" t="s">
        <x:v>751</x:v>
      </x:c>
      <x:c r="H310" s="59" t="s">
        <x:v>748</x:v>
      </x:c>
      <x:c r="I310" s="59" t="s">
        <x:v>86</x:v>
      </x:c>
      <x:c r="J310" s="59">
        <x:v>2018</x:v>
      </x:c>
      <x:c r="K310" s="59">
        <x:v>58</x:v>
      </x:c>
      <x:c r="L310" s="58">
        <x:v>0</x:v>
      </x:c>
      <x:c r="M310" s="59">
        <x:v>0</x:v>
      </x:c>
      <x:c r="N310" s="59" t="s">
        <x:v>41</x:v>
      </x:c>
      <x:c r="O310" s="59" t="s">
        <x:v>42</x:v>
      </x:c>
      <x:c r="Q310" s="23" t="s">
        <x:v>43</x:v>
      </x:c>
      <x:c r="S310" s="58"/>
      <x:c r="T310" s="58"/>
      <x:c r="U310" s="58"/>
      <x:c r="V310" s="58">
        <x:v>-2.1087570000000002</x:v>
      </x:c>
      <x:c r="W310" s="58">
        <x:v>106.08998630000001</x:v>
      </x:c>
      <x:c r="X310" s="60"/>
      <x:c r="Y310" s="60"/>
      <x:c r="Z310" s="58"/>
      <x:c r="AA310" s="60"/>
      <x:c r="AB310" s="60"/>
      <x:c r="AC310" s="61">
        <x:f t="shared" si="18"/>
        <x:v>0</x:v>
      </x:c>
      <x:c r="AD310" s="61">
        <x:f t="shared" si="19"/>
        <x:v>0</x:v>
      </x:c>
    </x:row>
    <x:row r="311" s="59" customFormat="1" ht="12.5">
      <x:c r="A311" s="63">
        <x:v>306</x:v>
      </x:c>
      <x:c r="B311" s="58" t="s">
        <x:v>752</x:v>
      </x:c>
      <x:c r="C311" s="59" t="s">
        <x:v>34</x:v>
      </x:c>
      <x:c r="D311" s="58" t="s">
        <x:v>81</x:v>
      </x:c>
      <x:c r="E311" s="58" t="s">
        <x:v>202</x:v>
      </x:c>
      <x:c r="F311" s="59" t="s">
        <x:v>455</x:v>
      </x:c>
      <x:c r="G311" s="59" t="s">
        <x:v>753</x:v>
      </x:c>
      <x:c r="H311" s="59" t="s">
        <x:v>754</x:v>
      </x:c>
      <x:c r="I311" s="59" t="s">
        <x:v>86</x:v>
      </x:c>
      <x:c r="J311" s="59">
        <x:v>2021</x:v>
      </x:c>
      <x:c r="K311" s="59">
        <x:v>35</x:v>
      </x:c>
      <x:c r="L311" s="58">
        <x:v>7</x:v>
      </x:c>
      <x:c r="M311" s="59">
        <x:v>7</x:v>
      </x:c>
      <x:c r="N311" s="59" t="s">
        <x:v>41</x:v>
      </x:c>
      <x:c r="O311" s="59" t="s">
        <x:v>42</x:v>
      </x:c>
      <x:c r="Q311" s="23" t="s">
        <x:v>43</x:v>
      </x:c>
      <x:c r="R311" s="23" t="s">
        <x:v>88</x:v>
      </x:c>
      <x:c r="S311" s="58"/>
      <x:c r="T311" s="58"/>
      <x:c r="U311" s="58"/>
      <x:c r="V311" s="58">
        <x:v>-2.1579456000000001</x:v>
      </x:c>
      <x:c r="W311" s="58">
        <x:v>106.1530825</x:v>
      </x:c>
      <x:c r="X311" s="60"/>
      <x:c r="Y311" s="60"/>
      <x:c r="Z311" s="58"/>
      <x:c r="AA311" s="60"/>
      <x:c r="AB311" s="60"/>
      <x:c r="AC311" s="61">
        <x:f t="shared" si="18"/>
        <x:v>0.2</x:v>
      </x:c>
      <x:c r="AD311" s="61">
        <x:f t="shared" si="19"/>
        <x:v>1</x:v>
      </x:c>
    </x:row>
    <x:row r="312" s="59" customFormat="1" ht="12.5">
      <x:c r="A312" s="63">
        <x:v>307</x:v>
      </x:c>
      <x:c r="B312" s="58" t="s">
        <x:v>755</x:v>
      </x:c>
      <x:c r="C312" s="59" t="s">
        <x:v>34</x:v>
      </x:c>
      <x:c r="D312" s="58" t="s">
        <x:v>60</x:v>
      </x:c>
      <x:c r="E312" s="58" t="s">
        <x:v>70</x:v>
      </x:c>
      <x:c r="F312" s="59" t="s">
        <x:v>472</x:v>
      </x:c>
      <x:c r="G312" s="59" t="s">
        <x:v>756</x:v>
      </x:c>
      <x:c r="H312" s="59" t="s">
        <x:v>338</x:v>
      </x:c>
      <x:c r="I312" s="59" t="s">
        <x:v>42</x:v>
      </x:c>
      <x:c r="J312" s="59">
        <x:v>2017</x:v>
      </x:c>
      <x:c r="K312" s="59">
        <x:v>38</x:v>
      </x:c>
      <x:c r="L312" s="58">
        <x:v>29</x:v>
      </x:c>
      <x:c r="M312" s="59">
        <x:v>29</x:v>
      </x:c>
      <x:c r="N312" s="59" t="s">
        <x:v>41</x:v>
      </x:c>
      <x:c r="O312" s="59" t="s">
        <x:v>42</x:v>
      </x:c>
      <x:c r="Q312" s="23" t="s">
        <x:v>43</x:v>
      </x:c>
      <x:c r="S312" s="58"/>
      <x:c r="T312" s="58"/>
      <x:c r="U312" s="58"/>
      <x:c r="V312" s="58"/>
      <x:c r="W312" s="58"/>
      <x:c r="X312" s="60"/>
      <x:c r="Y312" s="60"/>
      <x:c r="Z312" s="58"/>
      <x:c r="AA312" s="60"/>
      <x:c r="AB312" s="60"/>
      <x:c r="AC312" s="61">
        <x:f t="shared" si="18"/>
        <x:v>0.76315789473684215</x:v>
      </x:c>
      <x:c r="AD312" s="61">
        <x:f t="shared" si="19"/>
        <x:v>1</x:v>
      </x:c>
    </x:row>
    <x:row r="313" s="59" customFormat="1" ht="12.5">
      <x:c r="A313" s="63">
        <x:v>308</x:v>
      </x:c>
      <x:c r="B313" s="58" t="s">
        <x:v>757</x:v>
      </x:c>
      <x:c r="C313" s="59" t="s">
        <x:v>34</x:v>
      </x:c>
      <x:c r="D313" s="58" t="s">
        <x:v>35</x:v>
      </x:c>
      <x:c r="E313" s="58" t="s">
        <x:v>36</x:v>
      </x:c>
      <x:c r="F313" s="59" t="s">
        <x:v>62</x:v>
      </x:c>
      <x:c r="G313" s="59" t="s">
        <x:v>356</x:v>
      </x:c>
      <x:c r="H313" s="59" t="s">
        <x:v>357</x:v>
      </x:c>
      <x:c r="I313" s="59" t="s">
        <x:v>112</x:v>
      </x:c>
      <x:c r="J313" s="59">
        <x:v>2017</x:v>
      </x:c>
      <x:c r="K313" s="59">
        <x:v>100</x:v>
      </x:c>
      <x:c r="L313" s="58">
        <x:v>98</x:v>
      </x:c>
      <x:c r="M313" s="59">
        <x:v>98</x:v>
      </x:c>
      <x:c r="N313" s="59" t="s">
        <x:v>41</x:v>
      </x:c>
      <x:c r="O313" s="59" t="s">
        <x:v>42</x:v>
      </x:c>
      <x:c r="Q313" s="23" t="s">
        <x:v>43</x:v>
      </x:c>
      <x:c r="R313" s="23" t="s">
        <x:v>88</x:v>
      </x:c>
      <x:c r="S313" s="58"/>
      <x:c r="T313" s="58"/>
      <x:c r="U313" s="58"/>
      <x:c r="V313" s="58">
        <x:v>-2.1049924</x:v>
      </x:c>
      <x:c r="W313" s="58">
        <x:v>106.0809118</x:v>
      </x:c>
      <x:c r="X313" s="60"/>
      <x:c r="Y313" s="60"/>
      <x:c r="Z313" s="58"/>
      <x:c r="AA313" s="60"/>
      <x:c r="AB313" s="60"/>
      <x:c r="AC313" s="61">
        <x:f t="shared" si="18"/>
        <x:v>0.98</x:v>
      </x:c>
      <x:c r="AD313" s="61">
        <x:f t="shared" si="19"/>
        <x:v>1</x:v>
      </x:c>
    </x:row>
    <x:row r="314" s="59" customFormat="1" ht="12.5">
      <x:c r="A314" s="63">
        <x:v>309</x:v>
      </x:c>
      <x:c r="B314" s="58" t="s">
        <x:v>758</x:v>
      </x:c>
      <x:c r="C314" s="59" t="s">
        <x:v>34</x:v>
      </x:c>
      <x:c r="D314" s="58" t="s">
        <x:v>306</x:v>
      </x:c>
      <x:c r="E314" s="58" t="s">
        <x:v>307</x:v>
      </x:c>
      <x:c r="F314" s="59" t="s">
        <x:v>759</x:v>
      </x:c>
      <x:c r="G314" s="59" t="s">
        <x:v>42</x:v>
      </x:c>
      <x:c r="H314" s="59" t="s">
        <x:v>42</x:v>
      </x:c>
      <x:c r="I314" s="59" t="s">
        <x:v>42</x:v>
      </x:c>
      <x:c r="J314" s="59">
        <x:v>2016</x:v>
      </x:c>
      <x:c r="K314" s="59">
        <x:v>45</x:v>
      </x:c>
      <x:c r="L314" s="58">
        <x:v>45</x:v>
      </x:c>
      <x:c r="M314" s="59">
        <x:v>45</x:v>
      </x:c>
      <x:c r="N314" s="59" t="s">
        <x:v>41</x:v>
      </x:c>
      <x:c r="O314" s="59" t="s">
        <x:v>42</x:v>
      </x:c>
      <x:c r="Q314" s="23" t="s">
        <x:v>43</x:v>
      </x:c>
      <x:c r="R314" s="23" t="s">
        <x:v>88</x:v>
      </x:c>
      <x:c r="S314" s="58"/>
      <x:c r="T314" s="58"/>
      <x:c r="U314" s="58"/>
      <x:c r="V314" s="58"/>
      <x:c r="W314" s="58"/>
      <x:c r="X314" s="60"/>
      <x:c r="Y314" s="60"/>
      <x:c r="Z314" s="58"/>
      <x:c r="AA314" s="60"/>
      <x:c r="AB314" s="60"/>
      <x:c r="AC314" s="61">
        <x:f t="shared" si="18"/>
        <x:v>1</x:v>
      </x:c>
      <x:c r="AD314" s="61">
        <x:f t="shared" si="19"/>
        <x:v>1</x:v>
      </x:c>
    </x:row>
    <x:row r="315" s="59" customFormat="1" ht="12.5">
      <x:c r="A315" s="63">
        <x:v>310</x:v>
      </x:c>
      <x:c r="B315" s="58" t="s">
        <x:v>760</x:v>
      </x:c>
      <x:c r="C315" s="59" t="s">
        <x:v>34</x:v>
      </x:c>
      <x:c r="D315" s="58" t="s">
        <x:v>306</x:v>
      </x:c>
      <x:c r="E315" s="58" t="s">
        <x:v>307</x:v>
      </x:c>
      <x:c r="F315" s="59" t="s">
        <x:v>761</x:v>
      </x:c>
      <x:c r="G315" s="59" t="s">
        <x:v>42</x:v>
      </x:c>
      <x:c r="H315" s="59" t="s">
        <x:v>42</x:v>
      </x:c>
      <x:c r="I315" s="59" t="s">
        <x:v>42</x:v>
      </x:c>
      <x:c r="J315" s="59" t="s">
        <x:v>42</x:v>
      </x:c>
      <x:c r="K315" s="59">
        <x:v>18</x:v>
      </x:c>
      <x:c r="L315" s="58">
        <x:v>18</x:v>
      </x:c>
      <x:c r="M315" s="59">
        <x:v>18</x:v>
      </x:c>
      <x:c r="N315" s="59" t="s">
        <x:v>41</x:v>
      </x:c>
      <x:c r="O315" s="59" t="s">
        <x:v>42</x:v>
      </x:c>
      <x:c r="Q315" s="23" t="s">
        <x:v>43</x:v>
      </x:c>
      <x:c r="S315" s="58"/>
      <x:c r="T315" s="58"/>
      <x:c r="U315" s="58"/>
      <x:c r="V315" s="58">
        <x:v>-2.1483458</x:v>
      </x:c>
      <x:c r="W315" s="58">
        <x:v>106.1082993</x:v>
      </x:c>
      <x:c r="X315" s="60"/>
      <x:c r="Y315" s="60"/>
      <x:c r="Z315" s="58"/>
      <x:c r="AA315" s="60"/>
      <x:c r="AB315" s="60"/>
      <x:c r="AC315" s="61">
        <x:f t="shared" si="18"/>
        <x:v>1</x:v>
      </x:c>
      <x:c r="AD315" s="61">
        <x:f t="shared" si="19"/>
        <x:v>1</x:v>
      </x:c>
    </x:row>
    <x:row r="316" s="59" customFormat="1" ht="12.5">
      <x:c r="A316" s="63">
        <x:v>311</x:v>
      </x:c>
      <x:c r="B316" s="58" t="s">
        <x:v>762</x:v>
      </x:c>
      <x:c r="C316" s="59" t="s">
        <x:v>34</x:v>
      </x:c>
      <x:c r="D316" s="58" t="s">
        <x:v>35</x:v>
      </x:c>
      <x:c r="E316" s="58" t="s">
        <x:v>36</x:v>
      </x:c>
      <x:c r="F316" s="59" t="s">
        <x:v>763</x:v>
      </x:c>
      <x:c r="G316" s="59" t="s">
        <x:v>764</x:v>
      </x:c>
      <x:c r="H316" s="59" t="s">
        <x:v>765</x:v>
      </x:c>
      <x:c r="I316" s="59" t="s">
        <x:v>86</x:v>
      </x:c>
      <x:c r="J316" s="59">
        <x:v>2017</x:v>
      </x:c>
      <x:c r="K316" s="59">
        <x:v>101</x:v>
      </x:c>
      <x:c r="L316" s="58">
        <x:v>93</x:v>
      </x:c>
      <x:c r="M316" s="59">
        <x:v>92</x:v>
      </x:c>
      <x:c r="N316" s="59" t="s">
        <x:v>48</x:v>
      </x:c>
      <x:c r="O316" s="59">
        <x:v>2022</x:v>
      </x:c>
      <x:c r="Q316" s="23" t="s">
        <x:v>43</x:v>
      </x:c>
      <x:c r="S316" s="58"/>
      <x:c r="T316" s="58" t="s">
        <x:v>44</x:v>
      </x:c>
      <x:c r="U316" s="58"/>
      <x:c r="V316" s="58">
        <x:v>-2.1053109000000001</x:v>
      </x:c>
      <x:c r="W316" s="58">
        <x:v>106.0879218</x:v>
      </x:c>
      <x:c r="X316" s="60"/>
      <x:c r="Y316" s="60"/>
      <x:c r="Z316" s="58"/>
      <x:c r="AA316" s="60"/>
      <x:c r="AB316" s="60"/>
      <x:c r="AC316" s="61">
        <x:f t="shared" si="18"/>
        <x:v>0.92079207920792083</x:v>
      </x:c>
      <x:c r="AD316" s="61">
        <x:f t="shared" si="19"/>
        <x:v>0.989247311827957</x:v>
      </x:c>
    </x:row>
    <x:row r="317" s="59" customFormat="1" ht="12.5">
      <x:c r="A317" s="63">
        <x:v>312</x:v>
      </x:c>
      <x:c r="B317" s="58" t="s">
        <x:v>766</x:v>
      </x:c>
      <x:c r="C317" s="59" t="s">
        <x:v>34</x:v>
      </x:c>
      <x:c r="D317" s="58" t="s">
        <x:v>35</x:v>
      </x:c>
      <x:c r="E317" s="58" t="s">
        <x:v>36</x:v>
      </x:c>
      <x:c r="F317" s="59" t="s">
        <x:v>767</x:v>
      </x:c>
      <x:c r="G317" s="59" t="s">
        <x:v>356</x:v>
      </x:c>
      <x:c r="H317" s="59" t="s">
        <x:v>357</x:v>
      </x:c>
      <x:c r="I317" s="59" t="s">
        <x:v>112</x:v>
      </x:c>
      <x:c r="J317" s="59">
        <x:v>2016</x:v>
      </x:c>
      <x:c r="K317" s="59">
        <x:v>36</x:v>
      </x:c>
      <x:c r="L317" s="58">
        <x:v>36</x:v>
      </x:c>
      <x:c r="M317" s="59">
        <x:v>34</x:v>
      </x:c>
      <x:c r="N317" s="59" t="s">
        <x:v>48</x:v>
      </x:c>
      <x:c r="O317" s="59">
        <x:v>2023</x:v>
      </x:c>
      <x:c r="Q317" s="23" t="s">
        <x:v>43</x:v>
      </x:c>
      <x:c r="S317" s="58"/>
      <x:c r="T317" s="58"/>
      <x:c r="U317" s="58"/>
      <x:c r="V317" s="58">
        <x:v>-2.1001536000000001</x:v>
      </x:c>
      <x:c r="W317" s="58">
        <x:v>106.08345679999999</x:v>
      </x:c>
      <x:c r="X317" s="60"/>
      <x:c r="Y317" s="60"/>
      <x:c r="Z317" s="58"/>
      <x:c r="AA317" s="60"/>
      <x:c r="AB317" s="60"/>
      <x:c r="AC317" s="61">
        <x:f t="shared" si="18"/>
        <x:v>1</x:v>
      </x:c>
      <x:c r="AD317" s="61">
        <x:f t="shared" si="19"/>
        <x:v>0.94444444444444442</x:v>
      </x:c>
    </x:row>
    <x:row r="318" s="59" customFormat="1" ht="12.5">
      <x:c r="A318" s="63">
        <x:v>313</x:v>
      </x:c>
      <x:c r="B318" s="58" t="s">
        <x:v>768</x:v>
      </x:c>
      <x:c r="C318" s="59" t="s">
        <x:v>34</x:v>
      </x:c>
      <x:c r="D318" s="58" t="s">
        <x:v>35</x:v>
      </x:c>
      <x:c r="E318" s="58" t="s">
        <x:v>36</x:v>
      </x:c>
      <x:c r="F318" s="59" t="s">
        <x:v>506</x:v>
      </x:c>
      <x:c r="G318" s="59" t="s">
        <x:v>356</x:v>
      </x:c>
      <x:c r="H318" s="59" t="s">
        <x:v>357</x:v>
      </x:c>
      <x:c r="I318" s="59" t="s">
        <x:v>112</x:v>
      </x:c>
      <x:c r="J318" s="59">
        <x:v>2015</x:v>
      </x:c>
      <x:c r="K318" s="59">
        <x:v>22</x:v>
      </x:c>
      <x:c r="L318" s="58">
        <x:v>17</x:v>
      </x:c>
      <x:c r="M318" s="59">
        <x:v>17</x:v>
      </x:c>
      <x:c r="N318" s="59" t="s">
        <x:v>48</x:v>
      </x:c>
      <x:c r="O318" s="59">
        <x:v>2023</x:v>
      </x:c>
      <x:c r="Q318" s="23" t="s">
        <x:v>43</x:v>
      </x:c>
      <x:c r="S318" s="58"/>
      <x:c r="T318" s="58"/>
      <x:c r="U318" s="58"/>
      <x:c r="V318" s="58">
        <x:v>-2.1023559999999999</x:v>
      </x:c>
      <x:c r="W318" s="58">
        <x:v>106.083191</x:v>
      </x:c>
      <x:c r="X318" s="60"/>
      <x:c r="Y318" s="60"/>
      <x:c r="Z318" s="58"/>
      <x:c r="AA318" s="60"/>
      <x:c r="AB318" s="60"/>
      <x:c r="AC318" s="61">
        <x:f t="shared" si="18"/>
        <x:v>0.77272727272727271</x:v>
      </x:c>
      <x:c r="AD318" s="61">
        <x:f t="shared" si="19"/>
        <x:v>1</x:v>
      </x:c>
    </x:row>
    <x:row r="319" s="59" customFormat="1" ht="12.5">
      <x:c r="A319" s="63">
        <x:v>314</x:v>
      </x:c>
      <x:c r="B319" s="58" t="s">
        <x:v>769</x:v>
      </x:c>
      <x:c r="C319" s="59" t="s">
        <x:v>170</x:v>
      </x:c>
      <x:c r="D319" s="58" t="s">
        <x:v>81</x:v>
      </x:c>
      <x:c r="E319" s="58" t="s">
        <x:v>122</x:v>
      </x:c>
      <x:c r="F319" s="59" t="s">
        <x:v>163</x:v>
      </x:c>
      <x:c r="G319" s="59" t="s">
        <x:v>770</x:v>
      </x:c>
      <x:c r="H319" s="59" t="s">
        <x:v>771</x:v>
      </x:c>
      <x:c r="I319" s="59" t="s">
        <x:v>86</x:v>
      </x:c>
      <x:c r="J319" s="59" t="s">
        <x:v>42</x:v>
      </x:c>
      <x:c r="K319" s="59">
        <x:v>378</x:v>
      </x:c>
      <x:c r="L319" s="58">
        <x:v>257</x:v>
      </x:c>
      <x:c r="M319" s="59">
        <x:v>174</x:v>
      </x:c>
      <x:c r="N319" s="59" t="s">
        <x:v>48</x:v>
      </x:c>
      <x:c r="O319" s="59">
        <x:v>2020</x:v>
      </x:c>
      <x:c r="Q319" s="59" t="s">
        <x:v>72</x:v>
      </x:c>
      <x:c r="R319" s="59" t="s">
        <x:v>55</x:v>
      </x:c>
      <x:c r="S319" s="58"/>
      <x:c r="T319" s="58"/>
      <x:c r="U319" s="58"/>
      <x:c r="V319" s="58"/>
      <x:c r="W319" s="58"/>
      <x:c r="X319" s="60"/>
      <x:c r="Y319" s="60"/>
      <x:c r="Z319" s="58"/>
      <x:c r="AA319" s="60"/>
      <x:c r="AB319" s="60"/>
      <x:c r="AC319" s="61">
        <x:f t="shared" si="18"/>
        <x:v>0.67989417989417988</x:v>
      </x:c>
      <x:c r="AD319" s="61">
        <x:f t="shared" si="19"/>
        <x:v>0.67704280155642027</x:v>
      </x:c>
    </x:row>
    <x:row r="320" s="59" customFormat="1" ht="12.5">
      <x:c r="A320" s="63">
        <x:v>315</x:v>
      </x:c>
      <x:c r="B320" s="58" t="s">
        <x:v>772</x:v>
      </x:c>
      <x:c r="C320" s="59" t="s">
        <x:v>34</x:v>
      </x:c>
      <x:c r="D320" s="58" t="s">
        <x:v>81</x:v>
      </x:c>
      <x:c r="E320" s="58" t="s">
        <x:v>122</x:v>
      </x:c>
      <x:c r="F320" s="59" t="s">
        <x:v>773</x:v>
      </x:c>
      <x:c r="G320" s="59" t="s">
        <x:v>774</x:v>
      </x:c>
      <x:c r="H320" s="59" t="s">
        <x:v>775</x:v>
      </x:c>
      <x:c r="I320" s="59" t="s">
        <x:v>86</x:v>
      </x:c>
      <x:c r="J320" s="59">
        <x:v>2023</x:v>
      </x:c>
      <x:c r="K320" s="59">
        <x:v>111</x:v>
      </x:c>
      <x:c r="L320" s="58">
        <x:v>33</x:v>
      </x:c>
      <x:c r="M320" s="59">
        <x:v>0</x:v>
      </x:c>
      <x:c r="N320" s="59" t="s">
        <x:v>41</x:v>
      </x:c>
      <x:c r="O320" s="59" t="s">
        <x:v>42</x:v>
      </x:c>
      <x:c r="Q320" s="23" t="s">
        <x:v>43</x:v>
      </x:c>
      <x:c r="R320" s="59" t="s">
        <x:v>88</x:v>
      </x:c>
      <x:c r="S320" s="58"/>
      <x:c r="T320" s="58"/>
      <x:c r="U320" s="58"/>
      <x:c r="V320" s="58">
        <x:v>-2.1357955</x:v>
      </x:c>
      <x:c r="W320" s="58">
        <x:v>106.157904</x:v>
      </x:c>
      <x:c r="X320" s="60"/>
      <x:c r="Y320" s="60"/>
      <x:c r="Z320" s="58"/>
      <x:c r="AA320" s="60"/>
      <x:c r="AB320" s="60"/>
      <x:c r="AC320" s="61">
        <x:f t="shared" si="18"/>
        <x:v>0.29729729729729731</x:v>
      </x:c>
      <x:c r="AD320" s="61">
        <x:f t="shared" si="19"/>
        <x:v>0</x:v>
      </x:c>
    </x:row>
    <x:row r="321" s="59" customFormat="1" ht="12.5">
      <x:c r="A321" s="63">
        <x:v>316</x:v>
      </x:c>
      <x:c r="B321" s="58" t="s">
        <x:v>776</x:v>
      </x:c>
      <x:c r="C321" s="59" t="s">
        <x:v>170</x:v>
      </x:c>
      <x:c r="D321" s="58" t="s">
        <x:v>81</x:v>
      </x:c>
      <x:c r="E321" s="58" t="s">
        <x:v>122</x:v>
      </x:c>
      <x:c r="F321" s="59" t="s">
        <x:v>777</x:v>
      </x:c>
      <x:c r="G321" s="59" t="s">
        <x:v>770</x:v>
      </x:c>
      <x:c r="H321" s="59" t="s">
        <x:v>771</x:v>
      </x:c>
      <x:c r="I321" s="59" t="s">
        <x:v>86</x:v>
      </x:c>
      <x:c r="J321" s="59" t="s">
        <x:v>42</x:v>
      </x:c>
      <x:c r="K321" s="59">
        <x:v>313</x:v>
      </x:c>
      <x:c r="L321" s="58">
        <x:v>112</x:v>
      </x:c>
      <x:c r="M321" s="59">
        <x:v>70</x:v>
      </x:c>
      <x:c r="N321" s="59" t="s">
        <x:v>48</x:v>
      </x:c>
      <x:c r="O321" s="59">
        <x:v>2020</x:v>
      </x:c>
      <x:c r="Q321" s="59" t="s">
        <x:v>72</x:v>
      </x:c>
      <x:c r="R321" s="59" t="s">
        <x:v>55</x:v>
      </x:c>
      <x:c r="S321" s="58"/>
      <x:c r="T321" s="58"/>
      <x:c r="U321" s="58"/>
      <x:c r="V321" s="58">
        <x:v>-2.1391578999999998</x:v>
      </x:c>
      <x:c r="W321" s="58">
        <x:v>106.162323</x:v>
      </x:c>
      <x:c r="X321" s="60"/>
      <x:c r="Y321" s="60"/>
      <x:c r="Z321" s="58"/>
      <x:c r="AA321" s="60"/>
      <x:c r="AB321" s="60"/>
      <x:c r="AC321" s="61">
        <x:f t="shared" si="18"/>
        <x:v>0.35782747603833864</x:v>
      </x:c>
      <x:c r="AD321" s="61">
        <x:f t="shared" si="19"/>
        <x:v>0.625</x:v>
      </x:c>
    </x:row>
    <x:row r="322" s="59" customFormat="1" ht="12.5">
      <x:c r="A322" s="63">
        <x:v>317</x:v>
      </x:c>
      <x:c r="B322" s="58" t="s">
        <x:v>778</x:v>
      </x:c>
      <x:c r="C322" s="59" t="s">
        <x:v>170</x:v>
      </x:c>
      <x:c r="D322" s="58" t="s">
        <x:v>81</x:v>
      </x:c>
      <x:c r="E322" s="58" t="s">
        <x:v>95</x:v>
      </x:c>
      <x:c r="F322" s="59" t="s">
        <x:v>583</x:v>
      </x:c>
      <x:c r="G322" s="59" t="s">
        <x:v>770</x:v>
      </x:c>
      <x:c r="H322" s="59" t="s">
        <x:v>771</x:v>
      </x:c>
      <x:c r="I322" s="59" t="s">
        <x:v>86</x:v>
      </x:c>
      <x:c r="J322" s="59" t="s">
        <x:v>42</x:v>
      </x:c>
      <x:c r="K322" s="59">
        <x:v>200</x:v>
      </x:c>
      <x:c r="L322" s="58">
        <x:v>200</x:v>
      </x:c>
      <x:c r="M322" s="59">
        <x:v>200</x:v>
      </x:c>
      <x:c r="N322" s="59" t="s">
        <x:v>41</x:v>
      </x:c>
      <x:c r="O322" s="59" t="s">
        <x:v>42</x:v>
      </x:c>
      <x:c r="Q322" s="59" t="s">
        <x:v>72</x:v>
      </x:c>
      <x:c r="S322" s="58"/>
      <x:c r="T322" s="58"/>
      <x:c r="U322" s="58"/>
      <x:c r="V322" s="58"/>
      <x:c r="W322" s="58"/>
      <x:c r="X322" s="60"/>
      <x:c r="Y322" s="60"/>
      <x:c r="Z322" s="58"/>
      <x:c r="AA322" s="60"/>
      <x:c r="AB322" s="60"/>
      <x:c r="AC322" s="61">
        <x:f t="shared" si="18"/>
        <x:v>1</x:v>
      </x:c>
      <x:c r="AD322" s="61">
        <x:f t="shared" si="19"/>
        <x:v>1</x:v>
      </x:c>
    </x:row>
    <x:row r="323" s="59" customFormat="1" ht="12.5">
      <x:c r="A323" s="63">
        <x:v>318</x:v>
      </x:c>
      <x:c r="B323" s="58" t="s">
        <x:v>779</x:v>
      </x:c>
      <x:c r="C323" s="59" t="s">
        <x:v>34</x:v>
      </x:c>
      <x:c r="D323" s="58" t="s">
        <x:v>81</x:v>
      </x:c>
      <x:c r="E323" s="58" t="s">
        <x:v>95</x:v>
      </x:c>
      <x:c r="F323" s="59" t="s">
        <x:v>583</x:v>
      </x:c>
      <x:c r="G323" s="59" t="s">
        <x:v>770</x:v>
      </x:c>
      <x:c r="H323" s="59" t="s">
        <x:v>771</x:v>
      </x:c>
      <x:c r="I323" s="59" t="s">
        <x:v>86</x:v>
      </x:c>
      <x:c r="J323" s="59">
        <x:v>2016</x:v>
      </x:c>
      <x:c r="K323" s="59">
        <x:v>59</x:v>
      </x:c>
      <x:c r="L323" s="58">
        <x:v>59</x:v>
      </x:c>
      <x:c r="M323" s="59">
        <x:v>57</x:v>
      </x:c>
      <x:c r="N323" s="59" t="s">
        <x:v>48</x:v>
      </x:c>
      <x:c r="O323" s="59">
        <x:v>2020</x:v>
      </x:c>
      <x:c r="Q323" s="23" t="s">
        <x:v>43</x:v>
      </x:c>
      <x:c r="R323" s="59" t="s">
        <x:v>88</x:v>
      </x:c>
      <x:c r="S323" s="58"/>
      <x:c r="T323" s="58"/>
      <x:c r="U323" s="58"/>
      <x:c r="V323" s="58"/>
      <x:c r="W323" s="58"/>
      <x:c r="X323" s="60"/>
      <x:c r="Y323" s="60"/>
      <x:c r="Z323" s="58"/>
      <x:c r="AA323" s="60"/>
      <x:c r="AB323" s="60"/>
      <x:c r="AC323" s="61">
        <x:f t="shared" si="18"/>
        <x:v>1</x:v>
      </x:c>
      <x:c r="AD323" s="61">
        <x:f t="shared" si="19"/>
        <x:v>0.96610169491525422</x:v>
      </x:c>
    </x:row>
    <x:row r="324" s="59" customFormat="1" ht="12.5">
      <x:c r="A324" s="63">
        <x:v>319</x:v>
      </x:c>
      <x:c r="B324" s="58" t="s">
        <x:v>780</x:v>
      </x:c>
      <x:c r="C324" s="59" t="s">
        <x:v>34</x:v>
      </x:c>
      <x:c r="D324" s="58" t="s">
        <x:v>81</x:v>
      </x:c>
      <x:c r="E324" s="58" t="s">
        <x:v>202</x:v>
      </x:c>
      <x:c r="F324" s="59" t="s">
        <x:v>777</x:v>
      </x:c>
      <x:c r="G324" s="59" t="s">
        <x:v>770</x:v>
      </x:c>
      <x:c r="H324" s="59" t="s">
        <x:v>771</x:v>
      </x:c>
      <x:c r="I324" s="59" t="s">
        <x:v>86</x:v>
      </x:c>
      <x:c r="J324" s="59">
        <x:v>2019</x:v>
      </x:c>
      <x:c r="K324" s="59">
        <x:v>305</x:v>
      </x:c>
      <x:c r="L324" s="58">
        <x:v>305</x:v>
      </x:c>
      <x:c r="M324" s="59">
        <x:v>26</x:v>
      </x:c>
      <x:c r="N324" s="59" t="s">
        <x:v>41</x:v>
      </x:c>
      <x:c r="O324" s="59" t="s">
        <x:v>42</x:v>
      </x:c>
      <x:c r="Q324" s="23" t="s">
        <x:v>43</x:v>
      </x:c>
      <x:c r="R324" s="59" t="s">
        <x:v>88</x:v>
      </x:c>
      <x:c r="S324" s="58"/>
      <x:c r="T324" s="58"/>
      <x:c r="U324" s="58"/>
      <x:c r="V324" s="58"/>
      <x:c r="W324" s="58"/>
      <x:c r="X324" s="60"/>
      <x:c r="Y324" s="60"/>
      <x:c r="Z324" s="58"/>
      <x:c r="AA324" s="60"/>
      <x:c r="AB324" s="60"/>
      <x:c r="AC324" s="61">
        <x:f t="shared" si="18"/>
        <x:v>1</x:v>
      </x:c>
      <x:c r="AD324" s="61">
        <x:f t="shared" si="19"/>
        <x:v>8.5245901639344257E-2</x:v>
      </x:c>
    </x:row>
    <x:row r="325" s="59" customFormat="1" ht="12.5">
      <x:c r="A325" s="63">
        <x:v>320</x:v>
      </x:c>
      <x:c r="B325" s="58" t="s">
        <x:v>781</x:v>
      </x:c>
      <x:c r="C325" s="59" t="s">
        <x:v>34</x:v>
      </x:c>
      <x:c r="D325" s="58" t="s">
        <x:v>60</x:v>
      </x:c>
      <x:c r="E325" s="58" t="s">
        <x:v>91</x:v>
      </x:c>
      <x:c r="F325" s="59" t="s">
        <x:v>209</x:v>
      </x:c>
      <x:c r="G325" s="59" t="s">
        <x:v>782</x:v>
      </x:c>
      <x:c r="H325" s="59" t="s">
        <x:v>783</x:v>
      </x:c>
      <x:c r="I325" s="59" t="s">
        <x:v>784</x:v>
      </x:c>
      <x:c r="J325" s="59">
        <x:v>2020</x:v>
      </x:c>
      <x:c r="K325" s="59">
        <x:v>68</x:v>
      </x:c>
      <x:c r="L325" s="58">
        <x:v>61</x:v>
      </x:c>
      <x:c r="M325" s="59">
        <x:v>12</x:v>
      </x:c>
      <x:c r="N325" s="59" t="s">
        <x:v>41</x:v>
      </x:c>
      <x:c r="O325" s="59" t="s">
        <x:v>42</x:v>
      </x:c>
      <x:c r="Q325" s="23" t="s">
        <x:v>43</x:v>
      </x:c>
      <x:c r="R325" s="23" t="s">
        <x:v>88</x:v>
      </x:c>
      <x:c r="S325" s="58"/>
      <x:c r="T325" s="58"/>
      <x:c r="U325" s="58"/>
      <x:c r="V325" s="58">
        <x:v>-2.0771199999999999</x:v>
      </x:c>
      <x:c r="W325" s="58">
        <x:v>106.1209532</x:v>
      </x:c>
      <x:c r="X325" s="60"/>
      <x:c r="Y325" s="60"/>
      <x:c r="Z325" s="58"/>
      <x:c r="AA325" s="60"/>
      <x:c r="AB325" s="60"/>
      <x:c r="AC325" s="61">
        <x:f t="shared" si="18"/>
        <x:v>0.8970588235294118</x:v>
      </x:c>
      <x:c r="AD325" s="61">
        <x:f t="shared" si="19"/>
        <x:v>0.19672131147540983</x:v>
      </x:c>
    </x:row>
    <x:row r="326" s="59" customFormat="1" ht="12.5">
      <x:c r="A326" s="63">
        <x:v>321</x:v>
      </x:c>
      <x:c r="B326" s="58" t="s">
        <x:v>785</x:v>
      </x:c>
      <x:c r="C326" s="59" t="s">
        <x:v>34</x:v>
      </x:c>
      <x:c r="D326" s="58" t="s">
        <x:v>60</x:v>
      </x:c>
      <x:c r="E326" s="58" t="s">
        <x:v>91</x:v>
      </x:c>
      <x:c r="F326" s="59" t="s">
        <x:v>786</x:v>
      </x:c>
      <x:c r="G326" s="59" t="s">
        <x:v>782</x:v>
      </x:c>
      <x:c r="H326" s="59" t="s">
        <x:v>783</x:v>
      </x:c>
      <x:c r="I326" s="59" t="s">
        <x:v>784</x:v>
      </x:c>
      <x:c r="J326" s="59">
        <x:v>2023</x:v>
      </x:c>
      <x:c r="K326" s="59">
        <x:v>25</x:v>
      </x:c>
      <x:c r="L326" s="58">
        <x:v>6</x:v>
      </x:c>
      <x:c r="M326" s="59">
        <x:v>0</x:v>
      </x:c>
      <x:c r="N326" s="59" t="s">
        <x:v>41</x:v>
      </x:c>
      <x:c r="O326" s="59" t="s">
        <x:v>42</x:v>
      </x:c>
      <x:c r="Q326" s="23" t="s">
        <x:v>43</x:v>
      </x:c>
      <x:c r="R326" s="23" t="s">
        <x:v>88</x:v>
      </x:c>
      <x:c r="S326" s="58"/>
      <x:c r="T326" s="58"/>
      <x:c r="U326" s="58"/>
      <x:c r="V326" s="58">
        <x:v>-2.075809</x:v>
      </x:c>
      <x:c r="W326" s="58">
        <x:v>106.1217353</x:v>
      </x:c>
      <x:c r="X326" s="60"/>
      <x:c r="Y326" s="60"/>
      <x:c r="Z326" s="58"/>
      <x:c r="AA326" s="60"/>
      <x:c r="AB326" s="60"/>
      <x:c r="AC326" s="61">
        <x:f t="shared" si="18"/>
        <x:v>0.24</x:v>
      </x:c>
      <x:c r="AD326" s="61">
        <x:f t="shared" si="19"/>
        <x:v>0</x:v>
      </x:c>
    </x:row>
    <x:row r="327" s="59" customFormat="1" ht="12.5">
      <x:c r="A327" s="63">
        <x:v>322</x:v>
      </x:c>
      <x:c r="B327" s="58" t="s">
        <x:v>787</x:v>
      </x:c>
      <x:c r="C327" s="59" t="s">
        <x:v>34</x:v>
      </x:c>
      <x:c r="D327" s="58" t="s">
        <x:v>81</x:v>
      </x:c>
      <x:c r="E327" s="58" t="s">
        <x:v>202</x:v>
      </x:c>
      <x:c r="F327" s="59" t="s">
        <x:v>421</x:v>
      </x:c>
      <x:c r="G327" s="59" t="s">
        <x:v>160</x:v>
      </x:c>
      <x:c r="H327" s="59" t="s">
        <x:v>42</x:v>
      </x:c>
      <x:c r="I327" s="59" t="s">
        <x:v>42</x:v>
      </x:c>
      <x:c r="J327" s="59">
        <x:v>2014</x:v>
      </x:c>
      <x:c r="K327" s="59">
        <x:v>0</x:v>
      </x:c>
      <x:c r="L327" s="58">
        <x:v>0</x:v>
      </x:c>
      <x:c r="M327" s="59">
        <x:v>0</x:v>
      </x:c>
      <x:c r="N327" s="59" t="s">
        <x:v>41</x:v>
      </x:c>
      <x:c r="O327" s="59" t="s">
        <x:v>42</x:v>
      </x:c>
      <x:c r="Q327" s="23" t="s">
        <x:v>43</x:v>
      </x:c>
      <x:c r="S327" s="58"/>
      <x:c r="T327" s="58"/>
      <x:c r="U327" s="58"/>
      <x:c r="V327" s="58"/>
      <x:c r="W327" s="58"/>
      <x:c r="X327" s="60"/>
      <x:c r="Y327" s="60"/>
      <x:c r="Z327" s="58"/>
      <x:c r="AA327" s="60"/>
      <x:c r="AB327" s="60"/>
      <x:c r="AC327" s="61">
        <x:f t="shared" si="18"/>
        <x:v>0</x:v>
      </x:c>
      <x:c r="AD327" s="61">
        <x:f t="shared" si="19"/>
        <x:v>0</x:v>
      </x:c>
    </x:row>
    <x:row r="328" s="59" customFormat="1" ht="12.5">
      <x:c r="A328" s="63">
        <x:v>323</x:v>
      </x:c>
      <x:c r="B328" s="58" t="s">
        <x:v>788</x:v>
      </x:c>
      <x:c r="C328" s="59" t="s">
        <x:v>34</x:v>
      </x:c>
      <x:c r="D328" s="58" t="s">
        <x:v>60</x:v>
      </x:c>
      <x:c r="E328" s="58" t="s">
        <x:v>91</x:v>
      </x:c>
      <x:c r="F328" s="59" t="s">
        <x:v>789</x:v>
      </x:c>
      <x:c r="G328" s="59" t="s">
        <x:v>790</x:v>
      </x:c>
      <x:c r="H328" s="59" t="s">
        <x:v>791</x:v>
      </x:c>
      <x:c r="I328" s="59" t="s">
        <x:v>112</x:v>
      </x:c>
      <x:c r="J328" s="59">
        <x:v>2017</x:v>
      </x:c>
      <x:c r="K328" s="59">
        <x:v>18</x:v>
      </x:c>
      <x:c r="L328" s="58">
        <x:v>18</x:v>
      </x:c>
      <x:c r="M328" s="59">
        <x:v>18</x:v>
      </x:c>
      <x:c r="N328" s="59" t="s">
        <x:v>41</x:v>
      </x:c>
      <x:c r="O328" s="59" t="s">
        <x:v>42</x:v>
      </x:c>
      <x:c r="Q328" s="23" t="s">
        <x:v>43</x:v>
      </x:c>
      <x:c r="R328" s="23" t="s">
        <x:v>88</x:v>
      </x:c>
      <x:c r="S328" s="58"/>
      <x:c r="T328" s="58"/>
      <x:c r="U328" s="58"/>
      <x:c r="V328" s="58">
        <x:v>-2.080425</x:v>
      </x:c>
      <x:c r="W328" s="58">
        <x:v>106.12715</x:v>
      </x:c>
      <x:c r="X328" s="60"/>
      <x:c r="Y328" s="60"/>
      <x:c r="Z328" s="58"/>
      <x:c r="AA328" s="60"/>
      <x:c r="AB328" s="60"/>
      <x:c r="AC328" s="61">
        <x:f t="shared" si="18"/>
        <x:v>1</x:v>
      </x:c>
      <x:c r="AD328" s="61">
        <x:f t="shared" si="19"/>
        <x:v>1</x:v>
      </x:c>
    </x:row>
    <x:row r="329" s="59" customFormat="1" ht="12.5">
      <x:c r="A329" s="63">
        <x:v>324</x:v>
      </x:c>
      <x:c r="B329" s="58" t="s">
        <x:v>792</x:v>
      </x:c>
      <x:c r="C329" s="59" t="s">
        <x:v>34</x:v>
      </x:c>
      <x:c r="D329" s="58" t="s">
        <x:v>60</x:v>
      </x:c>
      <x:c r="E329" s="58" t="s">
        <x:v>91</x:v>
      </x:c>
      <x:c r="F329" s="59" t="s">
        <x:v>42</x:v>
      </x:c>
      <x:c r="G329" s="59" t="s">
        <x:v>790</x:v>
      </x:c>
      <x:c r="H329" s="59" t="s">
        <x:v>42</x:v>
      </x:c>
      <x:c r="I329" s="59" t="s">
        <x:v>112</x:v>
      </x:c>
      <x:c r="J329" s="59" t="s">
        <x:v>42</x:v>
      </x:c>
      <x:c r="K329" s="59">
        <x:v>0</x:v>
      </x:c>
      <x:c r="L329" s="58">
        <x:v>0</x:v>
      </x:c>
      <x:c r="M329" s="59">
        <x:v>0</x:v>
      </x:c>
      <x:c r="N329" s="59" t="s">
        <x:v>41</x:v>
      </x:c>
      <x:c r="O329" s="59" t="s">
        <x:v>42</x:v>
      </x:c>
      <x:c r="Q329" s="23" t="s">
        <x:v>43</x:v>
      </x:c>
      <x:c r="S329" s="58"/>
      <x:c r="T329" s="58"/>
      <x:c r="U329" s="58"/>
      <x:c r="V329" s="58">
        <x:v>-2.0804089000000001</x:v>
      </x:c>
      <x:c r="W329" s="58">
        <x:v>106.1274526</x:v>
      </x:c>
      <x:c r="X329" s="60"/>
      <x:c r="Y329" s="60"/>
      <x:c r="Z329" s="58"/>
      <x:c r="AA329" s="60"/>
      <x:c r="AB329" s="60"/>
      <x:c r="AC329" s="61">
        <x:f t="shared" si="18"/>
        <x:v>0</x:v>
      </x:c>
      <x:c r="AD329" s="61">
        <x:f t="shared" si="19"/>
        <x:v>0</x:v>
      </x:c>
    </x:row>
    <x:row r="330" s="59" customFormat="1" ht="12.5">
      <x:c r="A330" s="63">
        <x:v>325</x:v>
      </x:c>
      <x:c r="B330" s="58" t="s">
        <x:v>793</x:v>
      </x:c>
      <x:c r="C330" s="59" t="s">
        <x:v>34</x:v>
      </x:c>
      <x:c r="D330" s="58" t="s">
        <x:v>60</x:v>
      </x:c>
      <x:c r="E330" s="58" t="s">
        <x:v>91</x:v>
      </x:c>
      <x:c r="F330" s="59" t="s">
        <x:v>794</x:v>
      </x:c>
      <x:c r="G330" s="59" t="s">
        <x:v>790</x:v>
      </x:c>
      <x:c r="H330" s="59" t="s">
        <x:v>795</x:v>
      </x:c>
      <x:c r="I330" s="59" t="s">
        <x:v>112</x:v>
      </x:c>
      <x:c r="J330" s="59">
        <x:v>2018</x:v>
      </x:c>
      <x:c r="K330" s="59">
        <x:v>47</x:v>
      </x:c>
      <x:c r="L330" s="58">
        <x:v>24</x:v>
      </x:c>
      <x:c r="M330" s="59">
        <x:v>24</x:v>
      </x:c>
      <x:c r="N330" s="59" t="s">
        <x:v>41</x:v>
      </x:c>
      <x:c r="O330" s="59" t="s">
        <x:v>42</x:v>
      </x:c>
      <x:c r="Q330" s="23" t="s">
        <x:v>43</x:v>
      </x:c>
      <x:c r="R330" s="23" t="s">
        <x:v>88</x:v>
      </x:c>
      <x:c r="S330" s="58"/>
      <x:c r="T330" s="58"/>
      <x:c r="U330" s="58"/>
      <x:c r="V330" s="58">
        <x:v>-2.0781331999999999</x:v>
      </x:c>
      <x:c r="W330" s="58">
        <x:v>106.12577349999999</x:v>
      </x:c>
      <x:c r="X330" s="60"/>
      <x:c r="Y330" s="60"/>
      <x:c r="Z330" s="58"/>
      <x:c r="AA330" s="60"/>
      <x:c r="AB330" s="60"/>
      <x:c r="AC330" s="61">
        <x:f t="shared" si="18"/>
        <x:v>0.51063829787234039</x:v>
      </x:c>
      <x:c r="AD330" s="61">
        <x:f t="shared" si="19"/>
        <x:v>1</x:v>
      </x:c>
    </x:row>
    <x:row r="331" s="59" customFormat="1" ht="12.5">
      <x:c r="A331" s="63">
        <x:v>326</x:v>
      </x:c>
      <x:c r="B331" s="58" t="s">
        <x:v>796</x:v>
      </x:c>
      <x:c r="C331" s="59" t="s">
        <x:v>170</x:v>
      </x:c>
      <x:c r="D331" s="58" t="s">
        <x:v>60</x:v>
      </x:c>
      <x:c r="E331" s="58" t="s">
        <x:v>267</x:v>
      </x:c>
      <x:c r="F331" s="59" t="s">
        <x:v>797</x:v>
      </x:c>
      <x:c r="G331" s="59" t="s">
        <x:v>798</x:v>
      </x:c>
      <x:c r="H331" s="59" t="s">
        <x:v>799</x:v>
      </x:c>
      <x:c r="I331" s="59" t="s">
        <x:v>86</x:v>
      </x:c>
      <x:c r="J331" s="59" t="s">
        <x:v>42</x:v>
      </x:c>
      <x:c r="K331" s="59">
        <x:v>468</x:v>
      </x:c>
      <x:c r="L331" s="58">
        <x:v>468</x:v>
      </x:c>
      <x:c r="M331" s="59">
        <x:v>468</x:v>
      </x:c>
      <x:c r="N331" s="59" t="s">
        <x:v>41</x:v>
      </x:c>
      <x:c r="O331" s="59" t="s">
        <x:v>42</x:v>
      </x:c>
      <x:c r="Q331" s="59" t="s">
        <x:v>72</x:v>
      </x:c>
      <x:c r="S331" s="58"/>
      <x:c r="T331" s="58"/>
      <x:c r="U331" s="58"/>
      <x:c r="V331" s="58">
        <x:v>-2.0850230000000001</x:v>
      </x:c>
      <x:c r="W331" s="58">
        <x:v>106.10572999999999</x:v>
      </x:c>
      <x:c r="X331" s="60"/>
      <x:c r="Y331" s="60"/>
      <x:c r="Z331" s="58"/>
      <x:c r="AA331" s="60"/>
      <x:c r="AB331" s="60"/>
      <x:c r="AC331" s="61">
        <x:f t="shared" si="18"/>
        <x:v>1</x:v>
      </x:c>
      <x:c r="AD331" s="61">
        <x:f t="shared" si="19"/>
        <x:v>1</x:v>
      </x:c>
    </x:row>
    <x:row r="332" s="59" customFormat="1" ht="12.5">
      <x:c r="A332" s="63">
        <x:v>327</x:v>
      </x:c>
      <x:c r="B332" s="58" t="s">
        <x:v>800</x:v>
      </x:c>
      <x:c r="C332" s="59" t="s">
        <x:v>34</x:v>
      </x:c>
      <x:c r="D332" s="58" t="s">
        <x:v>81</x:v>
      </x:c>
      <x:c r="E332" s="58" t="s">
        <x:v>122</x:v>
      </x:c>
      <x:c r="F332" s="59" t="s">
        <x:v>801</x:v>
      </x:c>
      <x:c r="G332" s="59" t="s">
        <x:v>802</x:v>
      </x:c>
      <x:c r="H332" s="59" t="s">
        <x:v>578</x:v>
      </x:c>
      <x:c r="I332" s="59" t="s">
        <x:v>65</x:v>
      </x:c>
      <x:c r="J332" s="59">
        <x:v>2019</x:v>
      </x:c>
      <x:c r="K332" s="59">
        <x:v>63</x:v>
      </x:c>
      <x:c r="L332" s="58">
        <x:v>59</x:v>
      </x:c>
      <x:c r="M332" s="59">
        <x:v>59</x:v>
      </x:c>
      <x:c r="N332" s="59" t="s">
        <x:v>41</x:v>
      </x:c>
      <x:c r="O332" s="59" t="s">
        <x:v>42</x:v>
      </x:c>
      <x:c r="Q332" s="59" t="s">
        <x:v>72</x:v>
      </x:c>
      <x:c r="S332" s="58"/>
      <x:c r="T332" s="58"/>
      <x:c r="U332" s="58"/>
      <x:c r="V332" s="58">
        <x:v>-2.128768</x:v>
      </x:c>
      <x:c r="W332" s="58">
        <x:v>106.160301</x:v>
      </x:c>
      <x:c r="X332" s="60"/>
      <x:c r="Y332" s="60"/>
      <x:c r="Z332" s="58"/>
      <x:c r="AA332" s="60"/>
      <x:c r="AB332" s="60"/>
      <x:c r="AC332" s="61">
        <x:f t="shared" si="18"/>
        <x:v>0.93650793650793651</x:v>
      </x:c>
      <x:c r="AD332" s="61">
        <x:f t="shared" si="19"/>
        <x:v>1</x:v>
      </x:c>
    </x:row>
    <x:row r="333" s="59" customFormat="1" ht="12.5">
      <x:c r="A333" s="63">
        <x:v>328</x:v>
      </x:c>
      <x:c r="B333" s="58" t="s">
        <x:v>803</x:v>
      </x:c>
      <x:c r="C333" s="59" t="s">
        <x:v>34</x:v>
      </x:c>
      <x:c r="D333" s="58" t="s">
        <x:v>306</x:v>
      </x:c>
      <x:c r="E333" s="58" t="s">
        <x:v>307</x:v>
      </x:c>
      <x:c r="F333" s="59" t="s">
        <x:v>635</x:v>
      </x:c>
      <x:c r="G333" s="59" t="s">
        <x:v>42</x:v>
      </x:c>
      <x:c r="H333" s="59" t="s">
        <x:v>804</x:v>
      </x:c>
      <x:c r="I333" s="59" t="s">
        <x:v>42</x:v>
      </x:c>
      <x:c r="J333" s="59">
        <x:v>2015</x:v>
      </x:c>
      <x:c r="K333" s="59">
        <x:v>78</x:v>
      </x:c>
      <x:c r="L333" s="58">
        <x:v>78</x:v>
      </x:c>
      <x:c r="M333" s="59">
        <x:v>76</x:v>
      </x:c>
      <x:c r="N333" s="59" t="s">
        <x:v>41</x:v>
      </x:c>
      <x:c r="O333" s="59" t="s">
        <x:v>42</x:v>
      </x:c>
      <x:c r="Q333" s="23" t="s">
        <x:v>43</x:v>
      </x:c>
      <x:c r="S333" s="58"/>
      <x:c r="T333" s="58"/>
      <x:c r="U333" s="58"/>
      <x:c r="V333" s="58">
        <x:v>-2.1533030000000002</x:v>
      </x:c>
      <x:c r="W333" s="58">
        <x:v>106.107823</x:v>
      </x:c>
      <x:c r="X333" s="60"/>
      <x:c r="Y333" s="60"/>
      <x:c r="Z333" s="58"/>
      <x:c r="AA333" s="60"/>
      <x:c r="AB333" s="60"/>
      <x:c r="AC333" s="61">
        <x:f t="shared" si="18"/>
        <x:v>1</x:v>
      </x:c>
      <x:c r="AD333" s="61">
        <x:f t="shared" si="19"/>
        <x:v>0.97435897435897434</x:v>
      </x:c>
    </x:row>
    <x:row r="334" s="59" customFormat="1" ht="12.5">
      <x:c r="A334" s="63">
        <x:v>329</x:v>
      </x:c>
      <x:c r="B334" s="58" t="s">
        <x:v>805</x:v>
      </x:c>
      <x:c r="C334" s="59" t="s">
        <x:v>34</x:v>
      </x:c>
      <x:c r="D334" s="58" t="s">
        <x:v>60</x:v>
      </x:c>
      <x:c r="E334" s="58" t="s">
        <x:v>91</x:v>
      </x:c>
      <x:c r="F334" s="59" t="s">
        <x:v>79</x:v>
      </x:c>
      <x:c r="G334" s="59" t="s">
        <x:v>806</x:v>
      </x:c>
      <x:c r="H334" s="59" t="s">
        <x:v>807</x:v>
      </x:c>
      <x:c r="I334" s="59" t="s">
        <x:v>40</x:v>
      </x:c>
      <x:c r="J334" s="59">
        <x:v>2015</x:v>
      </x:c>
      <x:c r="K334" s="59">
        <x:v>44</x:v>
      </x:c>
      <x:c r="L334" s="58">
        <x:v>44</x:v>
      </x:c>
      <x:c r="M334" s="59">
        <x:v>44</x:v>
      </x:c>
      <x:c r="N334" s="59" t="s">
        <x:v>41</x:v>
      </x:c>
      <x:c r="O334" s="59" t="s">
        <x:v>42</x:v>
      </x:c>
      <x:c r="Q334" s="23" t="s">
        <x:v>43</x:v>
      </x:c>
      <x:c r="S334" s="58"/>
      <x:c r="T334" s="58"/>
      <x:c r="U334" s="58"/>
      <x:c r="V334" s="58">
        <x:v>-2.0866501</x:v>
      </x:c>
      <x:c r="W334" s="58">
        <x:v>106.09902460000001</x:v>
      </x:c>
      <x:c r="X334" s="60"/>
      <x:c r="Y334" s="60"/>
      <x:c r="Z334" s="58"/>
      <x:c r="AA334" s="60"/>
      <x:c r="AB334" s="60"/>
      <x:c r="AC334" s="61">
        <x:f t="shared" si="18"/>
        <x:v>1</x:v>
      </x:c>
      <x:c r="AD334" s="61">
        <x:f t="shared" si="19"/>
        <x:v>1</x:v>
      </x:c>
    </x:row>
    <x:row r="335" s="59" customFormat="1" ht="12.5">
      <x:c r="A335" s="63">
        <x:v>330</x:v>
      </x:c>
      <x:c r="B335" s="58" t="s">
        <x:v>808</x:v>
      </x:c>
      <x:c r="C335" s="59" t="s">
        <x:v>34</x:v>
      </x:c>
      <x:c r="D335" s="58" t="s">
        <x:v>60</x:v>
      </x:c>
      <x:c r="E335" s="58" t="s">
        <x:v>70</x:v>
      </x:c>
      <x:c r="F335" s="59" t="s">
        <x:v>486</x:v>
      </x:c>
      <x:c r="G335" s="59" t="s">
        <x:v>806</x:v>
      </x:c>
      <x:c r="H335" s="59" t="s">
        <x:v>807</x:v>
      </x:c>
      <x:c r="I335" s="59" t="s">
        <x:v>40</x:v>
      </x:c>
      <x:c r="J335" s="59">
        <x:v>2019</x:v>
      </x:c>
      <x:c r="K335" s="59">
        <x:v>39</x:v>
      </x:c>
      <x:c r="L335" s="58">
        <x:v>39</x:v>
      </x:c>
      <x:c r="M335" s="59">
        <x:v>39</x:v>
      </x:c>
      <x:c r="N335" s="59" t="s">
        <x:v>41</x:v>
      </x:c>
      <x:c r="O335" s="59" t="s">
        <x:v>42</x:v>
      </x:c>
      <x:c r="Q335" s="23" t="s">
        <x:v>43</x:v>
      </x:c>
      <x:c r="S335" s="58"/>
      <x:c r="T335" s="58"/>
      <x:c r="U335" s="58"/>
      <x:c r="V335" s="58">
        <x:v>-2.0910150000000001</x:v>
      </x:c>
      <x:c r="W335" s="58">
        <x:v>106.092673</x:v>
      </x:c>
      <x:c r="X335" s="60"/>
      <x:c r="Y335" s="60"/>
      <x:c r="Z335" s="58"/>
      <x:c r="AA335" s="60"/>
      <x:c r="AB335" s="60"/>
      <x:c r="AC335" s="61">
        <x:f t="shared" si="18"/>
        <x:v>1</x:v>
      </x:c>
      <x:c r="AD335" s="61">
        <x:f t="shared" si="19"/>
        <x:v>1</x:v>
      </x:c>
    </x:row>
    <x:row r="336" s="59" customFormat="1" ht="12.5">
      <x:c r="A336" s="63">
        <x:v>331</x:v>
      </x:c>
      <x:c r="B336" s="58" t="s">
        <x:v>809</x:v>
      </x:c>
      <x:c r="C336" s="59" t="s">
        <x:v>34</x:v>
      </x:c>
      <x:c r="D336" s="58" t="s">
        <x:v>35</x:v>
      </x:c>
      <x:c r="E336" s="58" t="s">
        <x:v>36</x:v>
      </x:c>
      <x:c r="F336" s="59" t="s">
        <x:v>310</x:v>
      </x:c>
      <x:c r="G336" s="59" t="s">
        <x:v>806</x:v>
      </x:c>
      <x:c r="H336" s="59" t="s">
        <x:v>807</x:v>
      </x:c>
      <x:c r="I336" s="59" t="s">
        <x:v>40</x:v>
      </x:c>
      <x:c r="J336" s="59">
        <x:v>2018</x:v>
      </x:c>
      <x:c r="K336" s="59">
        <x:v>12</x:v>
      </x:c>
      <x:c r="L336" s="58">
        <x:v>12</x:v>
      </x:c>
      <x:c r="M336" s="59">
        <x:v>12</x:v>
      </x:c>
      <x:c r="N336" s="59" t="s">
        <x:v>41</x:v>
      </x:c>
      <x:c r="O336" s="59" t="s">
        <x:v>42</x:v>
      </x:c>
      <x:c r="Q336" s="23" t="s">
        <x:v>43</x:v>
      </x:c>
      <x:c r="S336" s="58"/>
      <x:c r="T336" s="58"/>
      <x:c r="U336" s="58"/>
      <x:c r="V336" s="58"/>
      <x:c r="W336" s="58"/>
      <x:c r="X336" s="60"/>
      <x:c r="Y336" s="60"/>
      <x:c r="Z336" s="58"/>
      <x:c r="AA336" s="60"/>
      <x:c r="AB336" s="60"/>
      <x:c r="AC336" s="61">
        <x:f t="shared" si="18"/>
        <x:v>1</x:v>
      </x:c>
      <x:c r="AD336" s="61">
        <x:f t="shared" si="19"/>
        <x:v>1</x:v>
      </x:c>
    </x:row>
    <x:row r="337" s="59" customFormat="1" ht="12.5">
      <x:c r="A337" s="63">
        <x:v>332</x:v>
      </x:c>
      <x:c r="B337" s="58" t="s">
        <x:v>810</x:v>
      </x:c>
      <x:c r="C337" s="59" t="s">
        <x:v>34</x:v>
      </x:c>
      <x:c r="D337" s="58" t="s">
        <x:v>81</x:v>
      </x:c>
      <x:c r="E337" s="58" t="s">
        <x:v>122</x:v>
      </x:c>
      <x:c r="F337" s="59" t="s">
        <x:v>163</x:v>
      </x:c>
      <x:c r="G337" s="59" t="s">
        <x:v>806</x:v>
      </x:c>
      <x:c r="H337" s="59" t="s">
        <x:v>807</x:v>
      </x:c>
      <x:c r="I337" s="59" t="s">
        <x:v>40</x:v>
      </x:c>
      <x:c r="J337" s="59">
        <x:v>2017</x:v>
      </x:c>
      <x:c r="K337" s="59">
        <x:v>21</x:v>
      </x:c>
      <x:c r="L337" s="58">
        <x:v>21</x:v>
      </x:c>
      <x:c r="M337" s="59">
        <x:v>21</x:v>
      </x:c>
      <x:c r="N337" s="59" t="s">
        <x:v>41</x:v>
      </x:c>
      <x:c r="O337" s="59" t="s">
        <x:v>42</x:v>
      </x:c>
      <x:c r="Q337" s="23" t="s">
        <x:v>43</x:v>
      </x:c>
      <x:c r="S337" s="58"/>
      <x:c r="T337" s="58"/>
      <x:c r="U337" s="58"/>
      <x:c r="V337" s="58">
        <x:v>-2.1389182999999998</x:v>
      </x:c>
      <x:c r="W337" s="58">
        <x:v>106.16784389999999</x:v>
      </x:c>
      <x:c r="X337" s="60"/>
      <x:c r="Y337" s="60"/>
      <x:c r="Z337" s="58"/>
      <x:c r="AA337" s="60"/>
      <x:c r="AB337" s="60"/>
      <x:c r="AC337" s="61">
        <x:f t="shared" si="18"/>
        <x:v>1</x:v>
      </x:c>
      <x:c r="AD337" s="61">
        <x:f t="shared" si="19"/>
        <x:v>1</x:v>
      </x:c>
    </x:row>
    <x:row r="338" s="59" customFormat="1" ht="12.5">
      <x:c r="A338" s="63">
        <x:v>333</x:v>
      </x:c>
      <x:c r="B338" s="58" t="s">
        <x:v>811</x:v>
      </x:c>
      <x:c r="C338" s="59" t="s">
        <x:v>90</x:v>
      </x:c>
      <x:c r="D338" s="58" t="s">
        <x:v>812</x:v>
      </x:c>
      <x:c r="E338" s="58" t="s">
        <x:v>813</x:v>
      </x:c>
      <x:c r="F338" s="59" t="s">
        <x:v>814</x:v>
      </x:c>
      <x:c r="G338" s="59" t="s">
        <x:v>815</x:v>
      </x:c>
      <x:c r="H338" s="59" t="s">
        <x:v>816</x:v>
      </x:c>
      <x:c r="I338" s="59" t="s">
        <x:v>86</x:v>
      </x:c>
      <x:c r="J338" s="59">
        <x:v>2021</x:v>
      </x:c>
      <x:c r="K338" s="59">
        <x:v>50</x:v>
      </x:c>
      <x:c r="L338" s="58">
        <x:v>50</x:v>
      </x:c>
      <x:c r="M338" s="59">
        <x:v>50</x:v>
      </x:c>
      <x:c r="N338" s="59" t="s">
        <x:v>41</x:v>
      </x:c>
      <x:c r="O338" s="59" t="s">
        <x:v>42</x:v>
      </x:c>
      <x:c r="Q338" s="23" t="s">
        <x:v>43</x:v>
      </x:c>
      <x:c r="S338" s="58"/>
      <x:c r="T338" s="58"/>
      <x:c r="U338" s="58"/>
      <x:c r="V338" s="58">
        <x:v>-2.1468946</x:v>
      </x:c>
      <x:c r="W338" s="58">
        <x:v>106.0942438</x:v>
      </x:c>
      <x:c r="X338" s="60"/>
      <x:c r="Y338" s="60"/>
      <x:c r="Z338" s="58"/>
      <x:c r="AA338" s="60"/>
      <x:c r="AB338" s="60"/>
      <x:c r="AC338" s="61">
        <x:f t="shared" si="18"/>
        <x:v>1</x:v>
      </x:c>
      <x:c r="AD338" s="61">
        <x:f t="shared" si="19"/>
        <x:v>1</x:v>
      </x:c>
    </x:row>
    <x:row r="339" s="59" customFormat="1" ht="12.5">
      <x:c r="A339" s="63">
        <x:v>334</x:v>
      </x:c>
      <x:c r="B339" s="58" t="s">
        <x:v>817</x:v>
      </x:c>
      <x:c r="C339" s="59" t="s">
        <x:v>34</x:v>
      </x:c>
      <x:c r="D339" s="58" t="s">
        <x:v>81</x:v>
      </x:c>
      <x:c r="E339" s="58" t="s">
        <x:v>291</x:v>
      </x:c>
      <x:c r="F339" s="59" t="s">
        <x:v>292</x:v>
      </x:c>
      <x:c r="G339" s="59" t="s">
        <x:v>815</x:v>
      </x:c>
      <x:c r="H339" s="59" t="s">
        <x:v>816</x:v>
      </x:c>
      <x:c r="I339" s="59" t="s">
        <x:v>86</x:v>
      </x:c>
      <x:c r="J339" s="59">
        <x:v>2023</x:v>
      </x:c>
      <x:c r="K339" s="59">
        <x:v>170</x:v>
      </x:c>
      <x:c r="L339" s="58">
        <x:v>102</x:v>
      </x:c>
      <x:c r="M339" s="59">
        <x:v>102</x:v>
      </x:c>
      <x:c r="N339" s="59" t="s">
        <x:v>41</x:v>
      </x:c>
      <x:c r="O339" s="59" t="s">
        <x:v>42</x:v>
      </x:c>
      <x:c r="Q339" s="23" t="s">
        <x:v>43</x:v>
      </x:c>
      <x:c r="R339" s="59" t="s">
        <x:v>88</x:v>
      </x:c>
      <x:c r="S339" s="58"/>
      <x:c r="T339" s="58"/>
      <x:c r="U339" s="58"/>
      <x:c r="V339" s="58">
        <x:v>-2.1261269999999999</x:v>
      </x:c>
      <x:c r="W339" s="58">
        <x:v>106.14223749999999</x:v>
      </x:c>
      <x:c r="X339" s="60"/>
      <x:c r="Y339" s="60"/>
      <x:c r="Z339" s="58"/>
      <x:c r="AA339" s="60"/>
      <x:c r="AB339" s="60"/>
      <x:c r="AC339" s="61">
        <x:f t="shared" si="18"/>
        <x:v>0.6</x:v>
      </x:c>
      <x:c r="AD339" s="61">
        <x:f t="shared" si="19"/>
        <x:v>1</x:v>
      </x:c>
    </x:row>
    <x:row r="340" s="59" customFormat="1" ht="12.5">
      <x:c r="A340" s="63">
        <x:v>335</x:v>
      </x:c>
      <x:c r="B340" s="58" t="s">
        <x:v>818</x:v>
      </x:c>
      <x:c r="C340" s="59" t="s">
        <x:v>34</x:v>
      </x:c>
      <x:c r="D340" s="58" t="s">
        <x:v>35</x:v>
      </x:c>
      <x:c r="E340" s="58" t="s">
        <x:v>36</x:v>
      </x:c>
      <x:c r="F340" s="59" t="s">
        <x:v>42</x:v>
      </x:c>
      <x:c r="G340" s="59" t="s">
        <x:v>42</x:v>
      </x:c>
      <x:c r="H340" s="59" t="s">
        <x:v>42</x:v>
      </x:c>
      <x:c r="I340" s="59" t="s">
        <x:v>42</x:v>
      </x:c>
      <x:c r="J340" s="59">
        <x:v>2018</x:v>
      </x:c>
      <x:c r="K340" s="59">
        <x:v>33</x:v>
      </x:c>
      <x:c r="L340" s="58">
        <x:v>33</x:v>
      </x:c>
      <x:c r="M340" s="59">
        <x:v>33</x:v>
      </x:c>
      <x:c r="N340" s="59" t="s">
        <x:v>41</x:v>
      </x:c>
      <x:c r="O340" s="59" t="s">
        <x:v>42</x:v>
      </x:c>
      <x:c r="Q340" s="23" t="s">
        <x:v>43</x:v>
      </x:c>
      <x:c r="R340" s="23" t="s">
        <x:v>88</x:v>
      </x:c>
      <x:c r="S340" s="58"/>
      <x:c r="T340" s="58"/>
      <x:c r="U340" s="58"/>
      <x:c r="V340" s="58">
        <x:v>-2.1123416000000002</x:v>
      </x:c>
      <x:c r="W340" s="58">
        <x:v>106.06992219999999</x:v>
      </x:c>
      <x:c r="X340" s="60"/>
      <x:c r="Y340" s="60"/>
      <x:c r="Z340" s="58"/>
      <x:c r="AA340" s="60"/>
      <x:c r="AB340" s="60"/>
      <x:c r="AC340" s="61">
        <x:f t="shared" si="18"/>
        <x:v>1</x:v>
      </x:c>
      <x:c r="AD340" s="61">
        <x:f t="shared" si="19"/>
        <x:v>1</x:v>
      </x:c>
    </x:row>
    <x:row r="341" s="59" customFormat="1" ht="12.5">
      <x:c r="A341" s="63">
        <x:v>336</x:v>
      </x:c>
      <x:c r="B341" s="58" t="s">
        <x:v>819</x:v>
      </x:c>
      <x:c r="C341" s="59" t="s">
        <x:v>34</x:v>
      </x:c>
      <x:c r="D341" s="58" t="s">
        <x:v>99</x:v>
      </x:c>
      <x:c r="E341" s="58" t="s">
        <x:v>820</x:v>
      </x:c>
      <x:c r="F341" s="59" t="s">
        <x:v>821</x:v>
      </x:c>
      <x:c r="G341" s="59" t="s">
        <x:v>487</x:v>
      </x:c>
      <x:c r="H341" s="59" t="s">
        <x:v>822</x:v>
      </x:c>
      <x:c r="I341" s="59" t="s">
        <x:v>166</x:v>
      </x:c>
      <x:c r="J341" s="59">
        <x:v>2020</x:v>
      </x:c>
      <x:c r="K341" s="59">
        <x:v>62</x:v>
      </x:c>
      <x:c r="L341" s="58">
        <x:v>27</x:v>
      </x:c>
      <x:c r="M341" s="59">
        <x:v>27</x:v>
      </x:c>
      <x:c r="N341" s="59" t="s">
        <x:v>41</x:v>
      </x:c>
      <x:c r="O341" s="59" t="s">
        <x:v>42</x:v>
      </x:c>
      <x:c r="Q341" s="23" t="s">
        <x:v>43</x:v>
      </x:c>
      <x:c r="R341" s="23" t="s">
        <x:v>88</x:v>
      </x:c>
      <x:c r="S341" s="58"/>
      <x:c r="T341" s="58"/>
      <x:c r="U341" s="58"/>
      <x:c r="V341" s="58">
        <x:v>-2.1102194000000001</x:v>
      </x:c>
      <x:c r="W341" s="58">
        <x:v>106.123358</x:v>
      </x:c>
      <x:c r="X341" s="60"/>
      <x:c r="Y341" s="60"/>
      <x:c r="Z341" s="58"/>
      <x:c r="AA341" s="60"/>
      <x:c r="AB341" s="60"/>
      <x:c r="AC341" s="61" t="n">
        <x:f t="shared" ref="AC341:AC351" si="20">IF(A341="","",IFERROR(L341/K341,0))</x:f>
        <x:v>0.43548387096774194</x:v>
      </x:c>
      <x:c r="AD341" s="61" t="n">
        <x:f t="shared" ref="AD341:AD351" si="21">IF(A341="","",IFERROR(M341/L341,0))</x:f>
        <x:v>1</x:v>
      </x:c>
    </x:row>
    <x:row r="342" s="59" customFormat="1" ht="12.5">
      <x:c r="A342" s="63">
        <x:v>337</x:v>
      </x:c>
      <x:c r="B342" s="58" t="s">
        <x:v>823</x:v>
      </x:c>
      <x:c r="C342" s="59" t="s">
        <x:v>34</x:v>
      </x:c>
      <x:c r="D342" s="58" t="s">
        <x:v>60</x:v>
      </x:c>
      <x:c r="E342" s="58" t="s">
        <x:v>91</x:v>
      </x:c>
      <x:c r="F342" s="59" t="s">
        <x:v>824</x:v>
      </x:c>
      <x:c r="G342" s="59" t="s">
        <x:v>825</x:v>
      </x:c>
      <x:c r="H342" s="59" t="s">
        <x:v>42</x:v>
      </x:c>
      <x:c r="I342" s="59" t="s">
        <x:v>196</x:v>
      </x:c>
      <x:c r="J342" s="59">
        <x:v>2017</x:v>
      </x:c>
      <x:c r="K342" s="59">
        <x:v>43</x:v>
      </x:c>
      <x:c r="L342" s="58">
        <x:v>40</x:v>
      </x:c>
      <x:c r="M342" s="59">
        <x:v>34</x:v>
      </x:c>
      <x:c r="N342" s="59" t="s">
        <x:v>41</x:v>
      </x:c>
      <x:c r="O342" s="59" t="s">
        <x:v>42</x:v>
      </x:c>
      <x:c r="Q342" s="23" t="s">
        <x:v>43</x:v>
      </x:c>
      <x:c r="R342" s="23" t="s">
        <x:v>88</x:v>
      </x:c>
      <x:c r="S342" s="58"/>
      <x:c r="T342" s="58"/>
      <x:c r="U342" s="58"/>
      <x:c r="V342" s="58">
        <x:v>-2.0877240000000001</x:v>
      </x:c>
      <x:c r="W342" s="58">
        <x:v>106.104771</x:v>
      </x:c>
      <x:c r="X342" s="60"/>
      <x:c r="Y342" s="60"/>
      <x:c r="Z342" s="58"/>
      <x:c r="AA342" s="60"/>
      <x:c r="AB342" s="60"/>
      <x:c r="AC342" s="61">
        <x:f t="shared" si="20"/>
        <x:v>0.93023255813953487</x:v>
      </x:c>
      <x:c r="AD342" s="61">
        <x:f t="shared" si="21"/>
        <x:v>0.85</x:v>
      </x:c>
    </x:row>
    <x:row r="343" s="59" customFormat="1" ht="12.5">
      <x:c r="A343" s="63">
        <x:v>338</x:v>
      </x:c>
      <x:c r="B343" s="58" t="s">
        <x:v>826</x:v>
      </x:c>
      <x:c r="C343" s="59" t="s">
        <x:v>34</x:v>
      </x:c>
      <x:c r="D343" s="58" t="s">
        <x:v>35</x:v>
      </x:c>
      <x:c r="E343" s="58" t="s">
        <x:v>36</x:v>
      </x:c>
      <x:c r="F343" s="59" t="s">
        <x:v>827</x:v>
      </x:c>
      <x:c r="G343" s="59" t="s">
        <x:v>828</x:v>
      </x:c>
      <x:c r="H343" s="59" t="s">
        <x:v>659</x:v>
      </x:c>
      <x:c r="I343" s="59" t="s">
        <x:v>112</x:v>
      </x:c>
      <x:c r="J343" s="59">
        <x:v>2019</x:v>
      </x:c>
      <x:c r="K343" s="59">
        <x:v>44</x:v>
      </x:c>
      <x:c r="L343" s="58">
        <x:v>44</x:v>
      </x:c>
      <x:c r="M343" s="59">
        <x:v>44</x:v>
      </x:c>
      <x:c r="N343" s="59" t="s">
        <x:v>41</x:v>
      </x:c>
      <x:c r="O343" s="59" t="s">
        <x:v>42</x:v>
      </x:c>
      <x:c r="Q343" s="23" t="s">
        <x:v>43</x:v>
      </x:c>
      <x:c r="S343" s="58"/>
      <x:c r="T343" s="58"/>
      <x:c r="U343" s="58"/>
      <x:c r="V343" s="58">
        <x:v>-2.1144664</x:v>
      </x:c>
      <x:c r="W343" s="58">
        <x:v>106.07396660000001</x:v>
      </x:c>
      <x:c r="X343" s="60"/>
      <x:c r="Y343" s="60"/>
      <x:c r="Z343" s="58"/>
      <x:c r="AA343" s="60"/>
      <x:c r="AB343" s="60"/>
      <x:c r="AC343" s="61">
        <x:f t="shared" si="20"/>
        <x:v>1</x:v>
      </x:c>
      <x:c r="AD343" s="61">
        <x:f t="shared" si="21"/>
        <x:v>1</x:v>
      </x:c>
    </x:row>
    <x:row r="344" s="59" customFormat="1" ht="12.5">
      <x:c r="A344" s="63">
        <x:v>339</x:v>
      </x:c>
      <x:c r="B344" s="58" t="s">
        <x:v>829</x:v>
      </x:c>
      <x:c r="C344" s="59" t="s">
        <x:v>34</x:v>
      </x:c>
      <x:c r="D344" s="58" t="s">
        <x:v>99</x:v>
      </x:c>
      <x:c r="E344" s="58" t="s">
        <x:v>213</x:v>
      </x:c>
      <x:c r="F344" s="59" t="s">
        <x:v>830</x:v>
      </x:c>
      <x:c r="G344" s="59" t="s">
        <x:v>831</x:v>
      </x:c>
      <x:c r="H344" s="59" t="s">
        <x:v>832</x:v>
      </x:c>
      <x:c r="I344" s="59" t="s">
        <x:v>196</x:v>
      </x:c>
      <x:c r="J344" s="59">
        <x:v>2017</x:v>
      </x:c>
      <x:c r="K344" s="59">
        <x:v>48</x:v>
      </x:c>
      <x:c r="L344" s="58">
        <x:v>42</x:v>
      </x:c>
      <x:c r="M344" s="59">
        <x:v>33</x:v>
      </x:c>
      <x:c r="N344" s="59" t="s">
        <x:v>41</x:v>
      </x:c>
      <x:c r="O344" s="59" t="s">
        <x:v>42</x:v>
      </x:c>
      <x:c r="Q344" s="23" t="s">
        <x:v>43</x:v>
      </x:c>
      <x:c r="R344" s="23" t="s">
        <x:v>88</x:v>
      </x:c>
      <x:c r="S344" s="58"/>
      <x:c r="T344" s="58"/>
      <x:c r="U344" s="58"/>
      <x:c r="V344" s="58">
        <x:v>-2.0870636999999999</x:v>
      </x:c>
      <x:c r="W344" s="58">
        <x:v>106.12246279999999</x:v>
      </x:c>
      <x:c r="X344" s="60"/>
      <x:c r="Y344" s="60"/>
      <x:c r="Z344" s="58"/>
      <x:c r="AA344" s="60"/>
      <x:c r="AB344" s="60"/>
      <x:c r="AC344" s="61">
        <x:f t="shared" si="20"/>
        <x:v>0.875</x:v>
      </x:c>
      <x:c r="AD344" s="61">
        <x:f t="shared" si="21"/>
        <x:v>0.7857142857142857</x:v>
      </x:c>
    </x:row>
    <x:row r="345" s="59" customFormat="1" ht="12.5">
      <x:c r="A345" s="63">
        <x:v>340</x:v>
      </x:c>
      <x:c r="B345" s="58" t="s">
        <x:v>833</x:v>
      </x:c>
      <x:c r="C345" s="59" t="s">
        <x:v>34</x:v>
      </x:c>
      <x:c r="D345" s="58" t="s">
        <x:v>60</x:v>
      </x:c>
      <x:c r="E345" s="58" t="s">
        <x:v>91</x:v>
      </x:c>
      <x:c r="F345" s="59" t="s">
        <x:v>834</x:v>
      </x:c>
      <x:c r="G345" s="59" t="s">
        <x:v>155</x:v>
      </x:c>
      <x:c r="H345" s="59" t="s">
        <x:v>156</x:v>
      </x:c>
      <x:c r="I345" s="59" t="s">
        <x:v>65</x:v>
      </x:c>
      <x:c r="J345" s="59">
        <x:v>2016</x:v>
      </x:c>
      <x:c r="K345" s="59">
        <x:v>56</x:v>
      </x:c>
      <x:c r="L345" s="58">
        <x:v>56</x:v>
      </x:c>
      <x:c r="M345" s="59">
        <x:v>56</x:v>
      </x:c>
      <x:c r="N345" s="59" t="s">
        <x:v>41</x:v>
      </x:c>
      <x:c r="O345" s="59" t="s">
        <x:v>42</x:v>
      </x:c>
      <x:c r="Q345" s="23" t="s">
        <x:v>43</x:v>
      </x:c>
      <x:c r="S345" s="58"/>
      <x:c r="T345" s="58"/>
      <x:c r="U345" s="58"/>
      <x:c r="V345" s="58">
        <x:v>-2.0997509999999999</x:v>
      </x:c>
      <x:c r="W345" s="58">
        <x:v>106.108549</x:v>
      </x:c>
      <x:c r="X345" s="60"/>
      <x:c r="Y345" s="60"/>
      <x:c r="Z345" s="58"/>
      <x:c r="AA345" s="60"/>
      <x:c r="AB345" s="60"/>
      <x:c r="AC345" s="61">
        <x:f t="shared" si="20"/>
        <x:v>1</x:v>
      </x:c>
      <x:c r="AD345" s="61">
        <x:f t="shared" si="21"/>
        <x:v>1</x:v>
      </x:c>
    </x:row>
    <x:row r="346" s="59" customFormat="1" ht="12.5">
      <x:c r="A346" s="63">
        <x:v>341</x:v>
      </x:c>
      <x:c r="B346" s="58" t="s">
        <x:v>835</x:v>
      </x:c>
      <x:c r="C346" s="59" t="s">
        <x:v>34</x:v>
      </x:c>
      <x:c r="D346" s="58" t="s">
        <x:v>60</x:v>
      </x:c>
      <x:c r="E346" s="58" t="s">
        <x:v>70</x:v>
      </x:c>
      <x:c r="F346" s="59" t="s">
        <x:v>836</x:v>
      </x:c>
      <x:c r="G346" s="59" t="s">
        <x:v>837</x:v>
      </x:c>
      <x:c r="H346" s="59" t="s">
        <x:v>838</x:v>
      </x:c>
      <x:c r="I346" s="59" t="s">
        <x:v>42</x:v>
      </x:c>
      <x:c r="J346" s="59">
        <x:v>2023</x:v>
      </x:c>
      <x:c r="K346" s="59">
        <x:v>77</x:v>
      </x:c>
      <x:c r="L346" s="58">
        <x:v>29</x:v>
      </x:c>
      <x:c r="M346" s="59">
        <x:v>24</x:v>
      </x:c>
      <x:c r="N346" s="59" t="s">
        <x:v>41</x:v>
      </x:c>
      <x:c r="O346" s="59" t="s">
        <x:v>42</x:v>
      </x:c>
      <x:c r="Q346" s="23" t="s">
        <x:v>43</x:v>
      </x:c>
      <x:c r="R346" s="23" t="s">
        <x:v>88</x:v>
      </x:c>
      <x:c r="S346" s="58"/>
      <x:c r="T346" s="58"/>
      <x:c r="U346" s="58"/>
      <x:c r="V346" s="58">
        <x:v>-2.0913586999999998</x:v>
      </x:c>
      <x:c r="W346" s="58">
        <x:v>106.0929603</x:v>
      </x:c>
      <x:c r="X346" s="60"/>
      <x:c r="Y346" s="60"/>
      <x:c r="Z346" s="58"/>
      <x:c r="AA346" s="60"/>
      <x:c r="AB346" s="60"/>
      <x:c r="AC346" s="61">
        <x:f t="shared" si="20"/>
        <x:v>0.37662337662337664</x:v>
      </x:c>
      <x:c r="AD346" s="61">
        <x:f t="shared" si="21"/>
        <x:v>0.82758620689655171</x:v>
      </x:c>
    </x:row>
    <x:row r="347" s="59" customFormat="1" ht="12.5">
      <x:c r="A347" s="63">
        <x:v>342</x:v>
      </x:c>
      <x:c r="B347" s="58" t="s">
        <x:v>839</x:v>
      </x:c>
      <x:c r="C347" s="59" t="s">
        <x:v>170</x:v>
      </x:c>
      <x:c r="D347" s="58" t="s">
        <x:v>812</x:v>
      </x:c>
      <x:c r="E347" s="58" t="s">
        <x:v>840</x:v>
      </x:c>
      <x:c r="F347" s="59" t="s">
        <x:v>841</x:v>
      </x:c>
      <x:c r="G347" s="59" t="s">
        <x:v>42</x:v>
      </x:c>
      <x:c r="H347" s="59" t="s">
        <x:v>42</x:v>
      </x:c>
      <x:c r="I347" s="59" t="s">
        <x:v>42</x:v>
      </x:c>
      <x:c r="J347" s="59" t="s">
        <x:v>42</x:v>
      </x:c>
      <x:c r="K347" s="59">
        <x:v>0</x:v>
      </x:c>
      <x:c r="L347" s="58">
        <x:v>0</x:v>
      </x:c>
      <x:c r="M347" s="59">
        <x:v>0</x:v>
      </x:c>
      <x:c r="N347" s="59" t="s">
        <x:v>41</x:v>
      </x:c>
      <x:c r="O347" s="59" t="s">
        <x:v>42</x:v>
      </x:c>
      <x:c r="Q347" s="23" t="s">
        <x:v>43</x:v>
      </x:c>
      <x:c r="S347" s="58"/>
      <x:c r="T347" s="58"/>
      <x:c r="U347" s="58"/>
      <x:c r="V347" s="58">
        <x:v>-2.1322789200000001</x:v>
      </x:c>
      <x:c r="W347" s="58">
        <x:v>106.0984273</x:v>
      </x:c>
      <x:c r="X347" s="60"/>
      <x:c r="Y347" s="60"/>
      <x:c r="Z347" s="58"/>
      <x:c r="AA347" s="60"/>
      <x:c r="AB347" s="60"/>
      <x:c r="AC347" s="61">
        <x:f t="shared" si="20"/>
        <x:v>0</x:v>
      </x:c>
      <x:c r="AD347" s="61">
        <x:f t="shared" si="21"/>
        <x:v>0</x:v>
      </x:c>
    </x:row>
    <x:row r="348" s="59" customFormat="1" ht="12.5">
      <x:c r="A348" s="63">
        <x:v>343</x:v>
      </x:c>
      <x:c r="B348" s="58" t="s">
        <x:v>842</x:v>
      </x:c>
      <x:c r="C348" s="59" t="s">
        <x:v>34</x:v>
      </x:c>
      <x:c r="D348" s="58" t="s">
        <x:v>60</x:v>
      </x:c>
      <x:c r="E348" s="58" t="s">
        <x:v>91</x:v>
      </x:c>
      <x:c r="F348" s="59" t="s">
        <x:v>209</x:v>
      </x:c>
      <x:c r="G348" s="59" t="s">
        <x:v>843</x:v>
      </x:c>
      <x:c r="H348" s="59" t="s">
        <x:v>844</x:v>
      </x:c>
      <x:c r="I348" s="59" t="s">
        <x:v>42</x:v>
      </x:c>
      <x:c r="J348" s="59">
        <x:v>2018</x:v>
      </x:c>
      <x:c r="K348" s="59">
        <x:v>128</x:v>
      </x:c>
      <x:c r="L348" s="58">
        <x:v>128</x:v>
      </x:c>
      <x:c r="M348" s="59">
        <x:v>128</x:v>
      </x:c>
      <x:c r="N348" s="59" t="s">
        <x:v>41</x:v>
      </x:c>
      <x:c r="O348" s="59" t="s">
        <x:v>42</x:v>
      </x:c>
      <x:c r="Q348" s="23" t="s">
        <x:v>43</x:v>
      </x:c>
      <x:c r="S348" s="58"/>
      <x:c r="T348" s="58"/>
      <x:c r="U348" s="58"/>
      <x:c r="V348" s="58">
        <x:v>-2.0771069999999998</x:v>
      </x:c>
      <x:c r="W348" s="58">
        <x:v>106.115712</x:v>
      </x:c>
      <x:c r="X348" s="60"/>
      <x:c r="Y348" s="60"/>
      <x:c r="Z348" s="58"/>
      <x:c r="AA348" s="60"/>
      <x:c r="AB348" s="60"/>
      <x:c r="AC348" s="61">
        <x:f t="shared" si="20"/>
        <x:v>1</x:v>
      </x:c>
      <x:c r="AD348" s="61">
        <x:f t="shared" si="21"/>
        <x:v>1</x:v>
      </x:c>
    </x:row>
    <x:row r="349" s="59" customFormat="1" ht="12.5">
      <x:c r="A349" s="63">
        <x:v>344</x:v>
      </x:c>
      <x:c r="B349" s="58" t="s">
        <x:v>845</x:v>
      </x:c>
      <x:c r="C349" s="59" t="s">
        <x:v>34</x:v>
      </x:c>
      <x:c r="D349" s="58" t="s">
        <x:v>60</x:v>
      </x:c>
      <x:c r="E349" s="58" t="s">
        <x:v>91</x:v>
      </x:c>
      <x:c r="F349" s="59" t="s">
        <x:v>209</x:v>
      </x:c>
      <x:c r="G349" s="59" t="s">
        <x:v>843</x:v>
      </x:c>
      <x:c r="H349" s="59" t="s">
        <x:v>844</x:v>
      </x:c>
      <x:c r="I349" s="59" t="s">
        <x:v>42</x:v>
      </x:c>
      <x:c r="J349" s="59">
        <x:v>2018</x:v>
      </x:c>
      <x:c r="K349" s="59">
        <x:v>116</x:v>
      </x:c>
      <x:c r="L349" s="58">
        <x:v>59</x:v>
      </x:c>
      <x:c r="M349" s="59">
        <x:v>59</x:v>
      </x:c>
      <x:c r="N349" s="59" t="s">
        <x:v>41</x:v>
      </x:c>
      <x:c r="O349" s="59" t="s">
        <x:v>42</x:v>
      </x:c>
      <x:c r="Q349" s="23" t="s">
        <x:v>43</x:v>
      </x:c>
      <x:c r="S349" s="58"/>
      <x:c r="T349" s="58"/>
      <x:c r="U349" s="58"/>
      <x:c r="V349" s="58">
        <x:v>-2.0771069999999998</x:v>
      </x:c>
      <x:c r="W349" s="58">
        <x:v>106.115712</x:v>
      </x:c>
      <x:c r="X349" s="60"/>
      <x:c r="Y349" s="60"/>
      <x:c r="Z349" s="58"/>
      <x:c r="AA349" s="60"/>
      <x:c r="AB349" s="60"/>
      <x:c r="AC349" s="61">
        <x:f t="shared" si="20"/>
        <x:v>0.50862068965517238</x:v>
      </x:c>
      <x:c r="AD349" s="61">
        <x:f t="shared" si="21"/>
        <x:v>1</x:v>
      </x:c>
    </x:row>
    <x:row r="350" s="59" customFormat="1" ht="12.5">
      <x:c r="A350" s="63">
        <x:v>345</x:v>
      </x:c>
      <x:c r="B350" s="58" t="s">
        <x:v>846</x:v>
      </x:c>
      <x:c r="C350" s="59" t="s">
        <x:v>34</x:v>
      </x:c>
      <x:c r="D350" s="58" t="s">
        <x:v>60</x:v>
      </x:c>
      <x:c r="E350" s="58" t="s">
        <x:v>91</x:v>
      </x:c>
      <x:c r="F350" s="59" t="s">
        <x:v>209</x:v>
      </x:c>
      <x:c r="G350" s="59" t="s">
        <x:v>843</x:v>
      </x:c>
      <x:c r="H350" s="59" t="s">
        <x:v>844</x:v>
      </x:c>
      <x:c r="I350" s="59" t="s">
        <x:v>42</x:v>
      </x:c>
      <x:c r="J350" s="59">
        <x:v>2019</x:v>
      </x:c>
      <x:c r="K350" s="59">
        <x:v>105</x:v>
      </x:c>
      <x:c r="L350" s="58">
        <x:v>9</x:v>
      </x:c>
      <x:c r="M350" s="59">
        <x:v>9</x:v>
      </x:c>
      <x:c r="N350" s="59" t="s">
        <x:v>41</x:v>
      </x:c>
      <x:c r="O350" s="59" t="s">
        <x:v>42</x:v>
      </x:c>
      <x:c r="Q350" s="23" t="s">
        <x:v>43</x:v>
      </x:c>
      <x:c r="S350" s="58"/>
      <x:c r="T350" s="58"/>
      <x:c r="U350" s="58"/>
      <x:c r="V350" s="58">
        <x:v>-2.0771069999999998</x:v>
      </x:c>
      <x:c r="W350" s="58">
        <x:v>106.115712</x:v>
      </x:c>
      <x:c r="X350" s="60"/>
      <x:c r="Y350" s="60"/>
      <x:c r="Z350" s="58"/>
      <x:c r="AA350" s="60"/>
      <x:c r="AB350" s="60"/>
      <x:c r="AC350" s="61">
        <x:f t="shared" si="20"/>
        <x:v>8.5714285714285715E-2</x:v>
      </x:c>
      <x:c r="AD350" s="61">
        <x:f t="shared" si="21"/>
        <x:v>1</x:v>
      </x:c>
    </x:row>
    <x:row r="351" s="59" customFormat="1" ht="12.5">
      <x:c r="A351" s="63">
        <x:v>346</x:v>
      </x:c>
      <x:c r="B351" s="58" t="s">
        <x:v>847</x:v>
      </x:c>
      <x:c r="C351" s="59" t="s">
        <x:v>34</x:v>
      </x:c>
      <x:c r="D351" s="58" t="s">
        <x:v>60</x:v>
      </x:c>
      <x:c r="E351" s="58" t="s">
        <x:v>91</x:v>
      </x:c>
      <x:c r="F351" s="59" t="s">
        <x:v>848</x:v>
      </x:c>
      <x:c r="G351" s="59" t="s">
        <x:v>843</x:v>
      </x:c>
      <x:c r="H351" s="59" t="s">
        <x:v>844</x:v>
      </x:c>
      <x:c r="I351" s="59" t="s">
        <x:v>42</x:v>
      </x:c>
      <x:c r="J351" s="59">
        <x:v>2019</x:v>
      </x:c>
      <x:c r="K351" s="59">
        <x:v>43</x:v>
      </x:c>
      <x:c r="L351" s="58">
        <x:v>0</x:v>
      </x:c>
      <x:c r="M351" s="59">
        <x:v>0</x:v>
      </x:c>
      <x:c r="N351" s="59" t="s">
        <x:v>41</x:v>
      </x:c>
      <x:c r="O351" s="59" t="s">
        <x:v>42</x:v>
      </x:c>
      <x:c r="Q351" s="23" t="s">
        <x:v>43</x:v>
      </x:c>
      <x:c r="S351" s="58"/>
      <x:c r="T351" s="58"/>
      <x:c r="U351" s="58"/>
      <x:c r="V351" s="58">
        <x:v>-2.0771069999999998</x:v>
      </x:c>
      <x:c r="W351" s="58">
        <x:v>106.115712</x:v>
      </x:c>
      <x:c r="X351" s="60"/>
      <x:c r="Y351" s="60"/>
      <x:c r="Z351" s="58"/>
      <x:c r="AA351" s="60"/>
      <x:c r="AB351" s="60"/>
      <x:c r="AC351" s="61">
        <x:f t="shared" si="20"/>
        <x:v>0</x:v>
      </x:c>
      <x:c r="AD351" s="61">
        <x:f t="shared" si="21"/>
        <x:v>0</x:v>
      </x:c>
    </x:row>
  </x:sheetData>
  <x:mergeCells>
    <x:mergeCell ref="A1:AD1"/>
    <x:mergeCell ref="A2:AD2"/>
    <x:mergeCell ref="A3:AD3"/>
  </x:mergeCells>
  <x:conditionalFormatting sqref="AC6:AD351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{DF34E544-7FC4-FE13-C659-99D1A02A5B09}</x14:id>
        </x:ext>
      </x:extLst>
    </x:cfRule>
  </x:conditionalFormatting>
  <x:dataValidations count="8">
    <x:dataValidation type="list" sqref="C6:C351">
      <x:formula1>"Subsidi,Komersial,Campuran,Lainnya"</x:formula1>
    </x:dataValidation>
    <x:dataValidation type="list" sqref="D6:D351">
      <x:formula1>"Bukit Intan,Gabek,Gerunggang,Girimaya,Pangkal Balam,Rangkui,Taman Sari"</x:formula1>
    </x:dataValidation>
    <x:dataValidation type="list" sqref="N6:N351">
      <x:formula1>"SUDAH DISERAHKAN,BELUM DISERAHKAN,DALAM PROSES,TIDAK DIKETAHUI"</x:formula1>
    </x:dataValidation>
    <x:dataValidation type="list" sqref="Q6:Q351">
      <x:formula1>"RTH terbangun,RTH belum terbangun,RTH beralih fungsi,Tidak tersedia,Belum terdata"</x:formula1>
    </x:dataValidation>
    <x:dataValidation type="list" sqref="R6:R351">
      <x:formula1>"Jalan belum perkerasan,Jalan rusak ringan,Jalan rusak sedang,Jalan rusak berat"</x:formula1>
    </x:dataValidation>
    <x:dataValidation type="list" sqref="S6:S351">
      <x:formula1>"Pengembang tidak aktif"</x:formula1>
    </x:dataValidation>
    <x:dataValidation type="list" sqref="T6:T351">
      <x:formula1>"Titik rawan genangan dan banjir"</x:formula1>
    </x:dataValidation>
    <x:dataValidation type="list" sqref="Z6:Z351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75ff24c4424b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F34E544-7FC4-FE13-C659-99D1A02A5B09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AC6:AD351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"/>
  <x:cols>
    <x:col min="1" max="1" width="16" customWidth="1"/>
    <x:col min="2" max="2" width="18" customWidth="1"/>
    <x:col min="3" max="4" width="22" customWidth="1"/>
    <x:col min="5" max="5" width="18" customWidth="1"/>
    <x:col min="6" max="6" width="13" customWidth="1"/>
    <x:col min="7" max="7" width="34" customWidth="1"/>
    <x:col min="8" max="8" width="20" customWidth="1"/>
    <x:col min="9" max="9" width="16" customWidth="1"/>
    <x:col min="10" max="10" width="20" customWidth="1"/>
    <x:col min="11" max="11" width="34" customWidth="1"/>
  </x:cols>
  <x:sheetData>
    <x:row r="1" ht="13.399999618530273" customHeight="1">
      <x:c r="A1" s="77" t="s">
        <x:v>849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850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852</x:v>
      </x:c>
      <x:c r="B5" s="2" t="s">
        <x:v>853</x:v>
      </x:c>
      <x:c r="C5" s="2" t="s">
        <x:v>854</x:v>
      </x:c>
      <x:c r="D5" s="2" t="s">
        <x:v>855</x:v>
      </x:c>
      <x:c r="E5" s="2" t="s">
        <x:v>856</x:v>
      </x:c>
      <x:c r="F5" s="2" t="s">
        <x:v>26</x:v>
      </x:c>
      <x:c r="G5" s="2" t="s">
        <x:v>27</x:v>
      </x:c>
      <x:c r="H5" s="2" t="s">
        <x:v>28</x:v>
      </x:c>
      <x:c r="I5" s="2" t="s">
        <x:v>29</x:v>
      </x:c>
      <x:c r="J5" s="2" t="s">
        <x:v>30</x:v>
      </x:c>
      <x:c r="K5" s="3" t="s">
        <x:v>857</x:v>
      </x:c>
    </x:row>
    <x:row r="6" ht="9.75" customHeight="1">
      <x:c r="A6" s="31" t="s">
        <x:v>858</x:v>
      </x:c>
      <x:c r="B6" s="10" t="s">
        <x:v>859</x:v>
      </x:c>
      <x:c r="C6" s="10" t="s">
        <x:v>35</x:v>
      </x:c>
      <x:c r="D6" s="16">
        <x:v>1977</x:v>
      </x:c>
      <x:c r="E6" s="16"/>
      <x:c r="F6" s="19">
        <x:v>2023</x:v>
      </x:c>
      <x:c r="G6" s="10" t="s">
        <x:v>860</x:v>
      </x:c>
      <x:c r="H6" s="10" t="s">
        <x:v>861</x:v>
      </x:c>
      <x:c r="I6" s="13"/>
      <x:c r="J6" s="10"/>
      <x:c r="K6" s="5"/>
    </x:row>
    <x:row r="7" ht="9.75" customHeight="1">
      <x:c r="A7" s="32" t="s">
        <x:v>862</x:v>
      </x:c>
      <x:c r="B7" s="11" t="s">
        <x:v>859</x:v>
      </x:c>
      <x:c r="C7" s="11" t="s">
        <x:v>81</x:v>
      </x:c>
      <x:c r="D7" s="17">
        <x:v>1420</x:v>
      </x:c>
      <x:c r="E7" s="17"/>
      <x:c r="F7" s="20">
        <x:v>2023</x:v>
      </x:c>
      <x:c r="G7" s="11" t="s">
        <x:v>860</x:v>
      </x:c>
      <x:c r="H7" s="11" t="s">
        <x:v>861</x:v>
      </x:c>
      <x:c r="I7" s="14"/>
      <x:c r="J7" s="11"/>
      <x:c r="K7" s="7"/>
    </x:row>
    <x:row r="8" ht="9.75" customHeight="1">
      <x:c r="A8" s="32" t="s">
        <x:v>863</x:v>
      </x:c>
      <x:c r="B8" s="11" t="s">
        <x:v>859</x:v>
      </x:c>
      <x:c r="C8" s="11" t="s">
        <x:v>864</x:v>
      </x:c>
      <x:c r="D8" s="17">
        <x:v>1571</x:v>
      </x:c>
      <x:c r="E8" s="17"/>
      <x:c r="F8" s="20">
        <x:v>2023</x:v>
      </x:c>
      <x:c r="G8" s="11" t="s">
        <x:v>860</x:v>
      </x:c>
      <x:c r="H8" s="11" t="s">
        <x:v>861</x:v>
      </x:c>
      <x:c r="I8" s="14"/>
      <x:c r="J8" s="11"/>
      <x:c r="K8" s="7"/>
    </x:row>
    <x:row r="9" ht="9.75" customHeight="1">
      <x:c r="A9" s="32" t="s">
        <x:v>865</x:v>
      </x:c>
      <x:c r="B9" s="11" t="s">
        <x:v>859</x:v>
      </x:c>
      <x:c r="C9" s="11" t="s">
        <x:v>60</x:v>
      </x:c>
      <x:c r="D9" s="17">
        <x:v>1322</x:v>
      </x:c>
      <x:c r="E9" s="17"/>
      <x:c r="F9" s="20">
        <x:v>2023</x:v>
      </x:c>
      <x:c r="G9" s="11" t="s">
        <x:v>860</x:v>
      </x:c>
      <x:c r="H9" s="11" t="s">
        <x:v>861</x:v>
      </x:c>
      <x:c r="I9" s="14"/>
      <x:c r="J9" s="11"/>
      <x:c r="K9" s="7"/>
    </x:row>
    <x:row r="10" ht="9.75" customHeight="1">
      <x:c r="A10" s="32" t="s">
        <x:v>866</x:v>
      </x:c>
      <x:c r="B10" s="11" t="s">
        <x:v>859</x:v>
      </x:c>
      <x:c r="C10" s="11" t="s">
        <x:v>812</x:v>
      </x:c>
      <x:c r="D10" s="17">
        <x:v>3084</x:v>
      </x:c>
      <x:c r="E10" s="17"/>
      <x:c r="F10" s="20">
        <x:v>2023</x:v>
      </x:c>
      <x:c r="G10" s="11" t="s">
        <x:v>860</x:v>
      </x:c>
      <x:c r="H10" s="11" t="s">
        <x:v>861</x:v>
      </x:c>
      <x:c r="I10" s="14"/>
      <x:c r="J10" s="11"/>
      <x:c r="K10" s="7"/>
    </x:row>
    <x:row r="11" ht="9.75" customHeight="1">
      <x:c r="A11" s="32" t="s">
        <x:v>867</x:v>
      </x:c>
      <x:c r="B11" s="11" t="s">
        <x:v>859</x:v>
      </x:c>
      <x:c r="C11" s="11" t="s">
        <x:v>99</x:v>
      </x:c>
      <x:c r="D11" s="17">
        <x:v>1450</x:v>
      </x:c>
      <x:c r="E11" s="17"/>
      <x:c r="F11" s="20">
        <x:v>2023</x:v>
      </x:c>
      <x:c r="G11" s="11" t="s">
        <x:v>860</x:v>
      </x:c>
      <x:c r="H11" s="11" t="s">
        <x:v>861</x:v>
      </x:c>
      <x:c r="I11" s="14"/>
      <x:c r="J11" s="11"/>
      <x:c r="K11" s="7"/>
    </x:row>
    <x:row r="12" ht="9.75" customHeight="1">
      <x:c r="A12" s="32" t="s">
        <x:v>868</x:v>
      </x:c>
      <x:c r="B12" s="11" t="s">
        <x:v>859</x:v>
      </x:c>
      <x:c r="C12" s="11" t="s">
        <x:v>306</x:v>
      </x:c>
      <x:c r="D12" s="17">
        <x:v>1338</x:v>
      </x:c>
      <x:c r="E12" s="17"/>
      <x:c r="F12" s="20">
        <x:v>2023</x:v>
      </x:c>
      <x:c r="G12" s="11" t="s">
        <x:v>860</x:v>
      </x:c>
      <x:c r="H12" s="11" t="s">
        <x:v>861</x:v>
      </x:c>
      <x:c r="I12" s="14"/>
      <x:c r="J12" s="11"/>
      <x:c r="K12" s="7"/>
    </x:row>
    <x:row r="13" ht="9.75" customHeight="1">
      <x:c r="A13" s="32" t="s">
        <x:v>869</x:v>
      </x:c>
      <x:c r="B13" s="11" t="s">
        <x:v>870</x:v>
      </x:c>
      <x:c r="C13" s="11"/>
      <x:c r="D13" s="17"/>
      <x:c r="E13" s="17">
        <x:v>13921</x:v>
      </x:c>
      <x:c r="F13" s="20">
        <x:v>2023</x:v>
      </x:c>
      <x:c r="G13" s="11" t="s">
        <x:v>860</x:v>
      </x:c>
      <x:c r="H13" s="11" t="s">
        <x:v>861</x:v>
      </x:c>
      <x:c r="I13" s="14"/>
      <x:c r="J13" s="11"/>
      <x:c r="K13" s="7"/>
    </x:row>
    <x:row r="14" ht="9.75" customHeight="1">
      <x:c r="A14" s="32"/>
      <x:c r="B14" s="11"/>
      <x:c r="C14" s="11"/>
      <x:c r="D14" s="17"/>
      <x:c r="E14" s="17"/>
      <x:c r="F14" s="20"/>
      <x:c r="G14" s="11"/>
      <x:c r="H14" s="11"/>
      <x:c r="I14" s="14"/>
      <x:c r="J14" s="11"/>
      <x:c r="K14" s="7"/>
    </x:row>
    <x:row r="15" ht="9.75" customHeight="1">
      <x:c r="A15" s="32"/>
      <x:c r="B15" s="11"/>
      <x:c r="C15" s="11"/>
      <x:c r="D15" s="17"/>
      <x:c r="E15" s="17"/>
      <x:c r="F15" s="20"/>
      <x:c r="G15" s="11"/>
      <x:c r="H15" s="11"/>
      <x:c r="I15" s="14"/>
      <x:c r="J15" s="11"/>
      <x:c r="K15" s="7"/>
    </x:row>
    <x:row r="16" ht="9.75" customHeight="1">
      <x:c r="A16" s="32"/>
      <x:c r="B16" s="11"/>
      <x:c r="C16" s="11"/>
      <x:c r="D16" s="17"/>
      <x:c r="E16" s="17"/>
      <x:c r="F16" s="20"/>
      <x:c r="G16" s="11"/>
      <x:c r="H16" s="11"/>
      <x:c r="I16" s="14"/>
      <x:c r="J16" s="11"/>
      <x:c r="K16" s="7"/>
    </x:row>
    <x:row r="17" ht="9.75" customHeight="1">
      <x:c r="A17" s="32"/>
      <x:c r="B17" s="11"/>
      <x:c r="C17" s="11"/>
      <x:c r="D17" s="17"/>
      <x:c r="E17" s="17"/>
      <x:c r="F17" s="20"/>
      <x:c r="G17" s="11"/>
      <x:c r="H17" s="11"/>
      <x:c r="I17" s="14"/>
      <x:c r="J17" s="11"/>
      <x:c r="K17" s="7"/>
    </x:row>
    <x:row r="18" ht="9.75" customHeight="1">
      <x:c r="A18" s="32"/>
      <x:c r="B18" s="11"/>
      <x:c r="C18" s="11"/>
      <x:c r="D18" s="17"/>
      <x:c r="E18" s="17"/>
      <x:c r="F18" s="20"/>
      <x:c r="G18" s="11"/>
      <x:c r="H18" s="11"/>
      <x:c r="I18" s="14"/>
      <x:c r="J18" s="11"/>
      <x:c r="K18" s="7"/>
    </x:row>
    <x:row r="19" ht="9.75" customHeight="1">
      <x:c r="A19" s="32"/>
      <x:c r="B19" s="11"/>
      <x:c r="C19" s="11"/>
      <x:c r="D19" s="17"/>
      <x:c r="E19" s="17"/>
      <x:c r="F19" s="20"/>
      <x:c r="G19" s="11"/>
      <x:c r="H19" s="11"/>
      <x:c r="I19" s="14"/>
      <x:c r="J19" s="11"/>
      <x:c r="K19" s="7"/>
    </x:row>
    <x:row r="20" ht="9.75" customHeight="1">
      <x:c r="A20" s="32"/>
      <x:c r="B20" s="11"/>
      <x:c r="C20" s="11"/>
      <x:c r="D20" s="17"/>
      <x:c r="E20" s="17"/>
      <x:c r="F20" s="20"/>
      <x:c r="G20" s="11"/>
      <x:c r="H20" s="11"/>
      <x:c r="I20" s="14"/>
      <x:c r="J20" s="11"/>
      <x:c r="K20" s="7"/>
    </x:row>
    <x:row r="21" ht="9.75" customHeight="1">
      <x:c r="A21" s="32"/>
      <x:c r="B21" s="11"/>
      <x:c r="C21" s="11"/>
      <x:c r="D21" s="17"/>
      <x:c r="E21" s="17"/>
      <x:c r="F21" s="20"/>
      <x:c r="G21" s="11"/>
      <x:c r="H21" s="11"/>
      <x:c r="I21" s="14"/>
      <x:c r="J21" s="11"/>
      <x:c r="K21" s="7"/>
    </x:row>
    <x:row r="22" ht="9.75" customHeight="1">
      <x:c r="A22" s="32"/>
      <x:c r="B22" s="11"/>
      <x:c r="C22" s="11"/>
      <x:c r="D22" s="17"/>
      <x:c r="E22" s="17"/>
      <x:c r="F22" s="20"/>
      <x:c r="G22" s="11"/>
      <x:c r="H22" s="11"/>
      <x:c r="I22" s="14"/>
      <x:c r="J22" s="11"/>
      <x:c r="K22" s="7"/>
    </x:row>
    <x:row r="23" ht="9.75" customHeight="1">
      <x:c r="A23" s="32"/>
      <x:c r="B23" s="11"/>
      <x:c r="C23" s="11"/>
      <x:c r="D23" s="17"/>
      <x:c r="E23" s="17"/>
      <x:c r="F23" s="20"/>
      <x:c r="G23" s="11"/>
      <x:c r="H23" s="11"/>
      <x:c r="I23" s="14"/>
      <x:c r="J23" s="11"/>
      <x:c r="K23" s="7"/>
    </x:row>
    <x:row r="24" ht="9.75" customHeight="1">
      <x:c r="A24" s="32"/>
      <x:c r="B24" s="11"/>
      <x:c r="C24" s="11"/>
      <x:c r="D24" s="17"/>
      <x:c r="E24" s="17"/>
      <x:c r="F24" s="20"/>
      <x:c r="G24" s="11"/>
      <x:c r="H24" s="11"/>
      <x:c r="I24" s="14"/>
      <x:c r="J24" s="11"/>
      <x:c r="K24" s="7"/>
    </x:row>
    <x:row r="25" ht="9.75" customHeight="1">
      <x:c r="A25" s="32"/>
      <x:c r="B25" s="11"/>
      <x:c r="C25" s="11"/>
      <x:c r="D25" s="17"/>
      <x:c r="E25" s="17"/>
      <x:c r="F25" s="20"/>
      <x:c r="G25" s="11"/>
      <x:c r="H25" s="11"/>
      <x:c r="I25" s="14"/>
      <x:c r="J25" s="11"/>
      <x:c r="K25" s="7"/>
    </x:row>
    <x:row r="26" ht="9.75" customHeight="1">
      <x:c r="A26" s="32"/>
      <x:c r="B26" s="11"/>
      <x:c r="C26" s="11"/>
      <x:c r="D26" s="17"/>
      <x:c r="E26" s="17"/>
      <x:c r="F26" s="20"/>
      <x:c r="G26" s="11"/>
      <x:c r="H26" s="11"/>
      <x:c r="I26" s="14"/>
      <x:c r="J26" s="11"/>
      <x:c r="K26" s="7"/>
    </x:row>
    <x:row r="27" ht="9.75" customHeight="1">
      <x:c r="A27" s="32"/>
      <x:c r="B27" s="11"/>
      <x:c r="C27" s="11"/>
      <x:c r="D27" s="17"/>
      <x:c r="E27" s="17"/>
      <x:c r="F27" s="20"/>
      <x:c r="G27" s="11"/>
      <x:c r="H27" s="11"/>
      <x:c r="I27" s="14"/>
      <x:c r="J27" s="11"/>
      <x:c r="K27" s="7"/>
    </x:row>
    <x:row r="28" ht="9.75" customHeight="1">
      <x:c r="A28" s="32"/>
      <x:c r="B28" s="11"/>
      <x:c r="C28" s="11"/>
      <x:c r="D28" s="17"/>
      <x:c r="E28" s="17"/>
      <x:c r="F28" s="20"/>
      <x:c r="G28" s="11"/>
      <x:c r="H28" s="11"/>
      <x:c r="I28" s="14"/>
      <x:c r="J28" s="11"/>
      <x:c r="K28" s="7"/>
    </x:row>
    <x:row r="29" ht="9.75" customHeight="1">
      <x:c r="A29" s="32"/>
      <x:c r="B29" s="11"/>
      <x:c r="C29" s="11"/>
      <x:c r="D29" s="17"/>
      <x:c r="E29" s="17"/>
      <x:c r="F29" s="20"/>
      <x:c r="G29" s="11"/>
      <x:c r="H29" s="11"/>
      <x:c r="I29" s="14"/>
      <x:c r="J29" s="11"/>
      <x:c r="K29" s="7"/>
    </x:row>
    <x:row r="30" ht="9.75" customHeight="1">
      <x:c r="A30" s="32"/>
      <x:c r="B30" s="11"/>
      <x:c r="C30" s="11"/>
      <x:c r="D30" s="17"/>
      <x:c r="E30" s="17"/>
      <x:c r="F30" s="20"/>
      <x:c r="G30" s="11"/>
      <x:c r="H30" s="11"/>
      <x:c r="I30" s="14"/>
      <x:c r="J30" s="11"/>
      <x:c r="K30" s="7"/>
    </x:row>
    <x:row r="31" ht="9.75" customHeight="1">
      <x:c r="A31" s="32"/>
      <x:c r="B31" s="11"/>
      <x:c r="C31" s="11"/>
      <x:c r="D31" s="17"/>
      <x:c r="E31" s="17"/>
      <x:c r="F31" s="20"/>
      <x:c r="G31" s="11"/>
      <x:c r="H31" s="11"/>
      <x:c r="I31" s="14"/>
      <x:c r="J31" s="11"/>
      <x:c r="K31" s="7"/>
    </x:row>
    <x:row r="32" ht="9.75" customHeight="1">
      <x:c r="A32" s="32"/>
      <x:c r="B32" s="11"/>
      <x:c r="C32" s="11"/>
      <x:c r="D32" s="17"/>
      <x:c r="E32" s="17"/>
      <x:c r="F32" s="20"/>
      <x:c r="G32" s="11"/>
      <x:c r="H32" s="11"/>
      <x:c r="I32" s="14"/>
      <x:c r="J32" s="11"/>
      <x:c r="K32" s="7"/>
    </x:row>
    <x:row r="33" ht="9.75" customHeight="1">
      <x:c r="A33" s="32"/>
      <x:c r="B33" s="11"/>
      <x:c r="C33" s="11"/>
      <x:c r="D33" s="17"/>
      <x:c r="E33" s="17"/>
      <x:c r="F33" s="20"/>
      <x:c r="G33" s="11"/>
      <x:c r="H33" s="11"/>
      <x:c r="I33" s="14"/>
      <x:c r="J33" s="11"/>
      <x:c r="K33" s="7"/>
    </x:row>
    <x:row r="34" ht="9.75" customHeight="1">
      <x:c r="A34" s="32"/>
      <x:c r="B34" s="11"/>
      <x:c r="C34" s="11"/>
      <x:c r="D34" s="17"/>
      <x:c r="E34" s="17"/>
      <x:c r="F34" s="20"/>
      <x:c r="G34" s="11"/>
      <x:c r="H34" s="11"/>
      <x:c r="I34" s="14"/>
      <x:c r="J34" s="11"/>
      <x:c r="K34" s="7"/>
    </x:row>
    <x:row r="35" ht="9.75" customHeight="1">
      <x:c r="A35" s="32"/>
      <x:c r="B35" s="11"/>
      <x:c r="C35" s="11"/>
      <x:c r="D35" s="17"/>
      <x:c r="E35" s="17"/>
      <x:c r="F35" s="20"/>
      <x:c r="G35" s="11"/>
      <x:c r="H35" s="11"/>
      <x:c r="I35" s="14"/>
      <x:c r="J35" s="11"/>
      <x:c r="K35" s="7"/>
    </x:row>
    <x:row r="36" ht="9.75" customHeight="1">
      <x:c r="A36" s="32"/>
      <x:c r="B36" s="11"/>
      <x:c r="C36" s="11"/>
      <x:c r="D36" s="17"/>
      <x:c r="E36" s="17"/>
      <x:c r="F36" s="20"/>
      <x:c r="G36" s="11"/>
      <x:c r="H36" s="11"/>
      <x:c r="I36" s="14"/>
      <x:c r="J36" s="11"/>
      <x:c r="K36" s="7"/>
    </x:row>
    <x:row r="37" ht="9.75" customHeight="1">
      <x:c r="A37" s="32"/>
      <x:c r="B37" s="11"/>
      <x:c r="C37" s="11"/>
      <x:c r="D37" s="17"/>
      <x:c r="E37" s="17"/>
      <x:c r="F37" s="20"/>
      <x:c r="G37" s="11"/>
      <x:c r="H37" s="11"/>
      <x:c r="I37" s="14"/>
      <x:c r="J37" s="11"/>
      <x:c r="K37" s="7"/>
    </x:row>
    <x:row r="38" ht="9.75" customHeight="1">
      <x:c r="A38" s="32"/>
      <x:c r="B38" s="11"/>
      <x:c r="C38" s="11"/>
      <x:c r="D38" s="17"/>
      <x:c r="E38" s="17"/>
      <x:c r="F38" s="20"/>
      <x:c r="G38" s="11"/>
      <x:c r="H38" s="11"/>
      <x:c r="I38" s="14"/>
      <x:c r="J38" s="11"/>
      <x:c r="K38" s="7"/>
    </x:row>
    <x:row r="39" ht="9.75" customHeight="1">
      <x:c r="A39" s="32"/>
      <x:c r="B39" s="11"/>
      <x:c r="C39" s="11"/>
      <x:c r="D39" s="17"/>
      <x:c r="E39" s="17"/>
      <x:c r="F39" s="20"/>
      <x:c r="G39" s="11"/>
      <x:c r="H39" s="11"/>
      <x:c r="I39" s="14"/>
      <x:c r="J39" s="11"/>
      <x:c r="K39" s="7"/>
    </x:row>
    <x:row r="40" ht="9.75" customHeight="1">
      <x:c r="A40" s="32"/>
      <x:c r="B40" s="11"/>
      <x:c r="C40" s="11"/>
      <x:c r="D40" s="17"/>
      <x:c r="E40" s="17"/>
      <x:c r="F40" s="20"/>
      <x:c r="G40" s="11"/>
      <x:c r="H40" s="11"/>
      <x:c r="I40" s="14"/>
      <x:c r="J40" s="11"/>
      <x:c r="K40" s="7"/>
    </x:row>
    <x:row r="41" ht="9.75" customHeight="1">
      <x:c r="A41" s="32"/>
      <x:c r="B41" s="11"/>
      <x:c r="C41" s="11"/>
      <x:c r="D41" s="17"/>
      <x:c r="E41" s="17"/>
      <x:c r="F41" s="20"/>
      <x:c r="G41" s="11"/>
      <x:c r="H41" s="11"/>
      <x:c r="I41" s="14"/>
      <x:c r="J41" s="11"/>
      <x:c r="K41" s="7"/>
    </x:row>
    <x:row r="42" ht="9.75" customHeight="1">
      <x:c r="A42" s="32"/>
      <x:c r="B42" s="11"/>
      <x:c r="C42" s="11"/>
      <x:c r="D42" s="17"/>
      <x:c r="E42" s="17"/>
      <x:c r="F42" s="20"/>
      <x:c r="G42" s="11"/>
      <x:c r="H42" s="11"/>
      <x:c r="I42" s="14"/>
      <x:c r="J42" s="11"/>
      <x:c r="K42" s="7"/>
    </x:row>
    <x:row r="43" ht="9.75" customHeight="1">
      <x:c r="A43" s="32"/>
      <x:c r="B43" s="11"/>
      <x:c r="C43" s="11"/>
      <x:c r="D43" s="17"/>
      <x:c r="E43" s="17"/>
      <x:c r="F43" s="20"/>
      <x:c r="G43" s="11"/>
      <x:c r="H43" s="11"/>
      <x:c r="I43" s="14"/>
      <x:c r="J43" s="11"/>
      <x:c r="K43" s="7"/>
    </x:row>
    <x:row r="44" ht="9.75" customHeight="1">
      <x:c r="A44" s="32"/>
      <x:c r="B44" s="11"/>
      <x:c r="C44" s="11"/>
      <x:c r="D44" s="17"/>
      <x:c r="E44" s="17"/>
      <x:c r="F44" s="20"/>
      <x:c r="G44" s="11"/>
      <x:c r="H44" s="11"/>
      <x:c r="I44" s="14"/>
      <x:c r="J44" s="11"/>
      <x:c r="K44" s="7"/>
    </x:row>
    <x:row r="45" ht="9.75" customHeight="1">
      <x:c r="A45" s="32"/>
      <x:c r="B45" s="11"/>
      <x:c r="C45" s="11"/>
      <x:c r="D45" s="17"/>
      <x:c r="E45" s="17"/>
      <x:c r="F45" s="20"/>
      <x:c r="G45" s="11"/>
      <x:c r="H45" s="11"/>
      <x:c r="I45" s="14"/>
      <x:c r="J45" s="11"/>
      <x:c r="K45" s="7"/>
    </x:row>
    <x:row r="46" ht="9.75" customHeight="1">
      <x:c r="A46" s="32"/>
      <x:c r="B46" s="11"/>
      <x:c r="C46" s="11"/>
      <x:c r="D46" s="17"/>
      <x:c r="E46" s="17"/>
      <x:c r="F46" s="20"/>
      <x:c r="G46" s="11"/>
      <x:c r="H46" s="11"/>
      <x:c r="I46" s="14"/>
      <x:c r="J46" s="11"/>
      <x:c r="K46" s="7"/>
    </x:row>
    <x:row r="47" ht="9.75" customHeight="1">
      <x:c r="A47" s="32"/>
      <x:c r="B47" s="11"/>
      <x:c r="C47" s="11"/>
      <x:c r="D47" s="17"/>
      <x:c r="E47" s="17"/>
      <x:c r="F47" s="20"/>
      <x:c r="G47" s="11"/>
      <x:c r="H47" s="11"/>
      <x:c r="I47" s="14"/>
      <x:c r="J47" s="11"/>
      <x:c r="K47" s="7"/>
    </x:row>
    <x:row r="48" ht="9.75" customHeight="1">
      <x:c r="A48" s="32"/>
      <x:c r="B48" s="11"/>
      <x:c r="C48" s="11"/>
      <x:c r="D48" s="17"/>
      <x:c r="E48" s="17"/>
      <x:c r="F48" s="20"/>
      <x:c r="G48" s="11"/>
      <x:c r="H48" s="11"/>
      <x:c r="I48" s="14"/>
      <x:c r="J48" s="11"/>
      <x:c r="K48" s="7"/>
    </x:row>
    <x:row r="49" ht="9.75" customHeight="1">
      <x:c r="A49" s="32"/>
      <x:c r="B49" s="11"/>
      <x:c r="C49" s="11"/>
      <x:c r="D49" s="17"/>
      <x:c r="E49" s="17"/>
      <x:c r="F49" s="20"/>
      <x:c r="G49" s="11"/>
      <x:c r="H49" s="11"/>
      <x:c r="I49" s="14"/>
      <x:c r="J49" s="11"/>
      <x:c r="K49" s="7"/>
    </x:row>
    <x:row r="50" ht="9.75" customHeight="1">
      <x:c r="A50" s="32"/>
      <x:c r="B50" s="11"/>
      <x:c r="C50" s="11"/>
      <x:c r="D50" s="17"/>
      <x:c r="E50" s="17"/>
      <x:c r="F50" s="20"/>
      <x:c r="G50" s="11"/>
      <x:c r="H50" s="11"/>
      <x:c r="I50" s="14"/>
      <x:c r="J50" s="11"/>
      <x:c r="K50" s="7"/>
    </x:row>
    <x:row r="51" ht="9.75" customHeight="1">
      <x:c r="A51" s="32"/>
      <x:c r="B51" s="11"/>
      <x:c r="C51" s="11"/>
      <x:c r="D51" s="17"/>
      <x:c r="E51" s="17"/>
      <x:c r="F51" s="20"/>
      <x:c r="G51" s="11"/>
      <x:c r="H51" s="11"/>
      <x:c r="I51" s="14"/>
      <x:c r="J51" s="11"/>
      <x:c r="K51" s="7"/>
    </x:row>
    <x:row r="52" ht="9.75" customHeight="1">
      <x:c r="A52" s="32"/>
      <x:c r="B52" s="11"/>
      <x:c r="C52" s="11"/>
      <x:c r="D52" s="17"/>
      <x:c r="E52" s="17"/>
      <x:c r="F52" s="20"/>
      <x:c r="G52" s="11"/>
      <x:c r="H52" s="11"/>
      <x:c r="I52" s="14"/>
      <x:c r="J52" s="11"/>
      <x:c r="K52" s="7"/>
    </x:row>
    <x:row r="53" ht="9.75" customHeight="1">
      <x:c r="A53" s="32"/>
      <x:c r="B53" s="11"/>
      <x:c r="C53" s="11"/>
      <x:c r="D53" s="17"/>
      <x:c r="E53" s="17"/>
      <x:c r="F53" s="20"/>
      <x:c r="G53" s="11"/>
      <x:c r="H53" s="11"/>
      <x:c r="I53" s="14"/>
      <x:c r="J53" s="11"/>
      <x:c r="K53" s="7"/>
    </x:row>
    <x:row r="54" ht="9.75" customHeight="1">
      <x:c r="A54" s="32"/>
      <x:c r="B54" s="11"/>
      <x:c r="C54" s="11"/>
      <x:c r="D54" s="17"/>
      <x:c r="E54" s="17"/>
      <x:c r="F54" s="20"/>
      <x:c r="G54" s="11"/>
      <x:c r="H54" s="11"/>
      <x:c r="I54" s="14"/>
      <x:c r="J54" s="11"/>
      <x:c r="K54" s="7"/>
    </x:row>
    <x:row r="55" ht="9.75" customHeight="1">
      <x:c r="A55" s="33"/>
      <x:c r="B55" s="12"/>
      <x:c r="C55" s="12"/>
      <x:c r="D55" s="18"/>
      <x:c r="E55" s="18"/>
      <x:c r="F55" s="21"/>
      <x:c r="G55" s="12"/>
      <x:c r="H55" s="12"/>
      <x:c r="I55" s="15"/>
      <x:c r="J55" s="12"/>
      <x:c r="K55" s="9"/>
    </x:row>
  </x:sheetData>
  <x:mergeCells>
    <x:mergeCell ref="A1:K1"/>
    <x:mergeCell ref="A2:K2"/>
    <x:mergeCell ref="A3:K3"/>
  </x:mergeCells>
  <x:conditionalFormatting sqref="D6:E55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{198728E1-1479-6937-0D78-593A886017BA}</x14:id>
        </x:ext>
      </x:extLst>
    </x:cfRule>
  </x:conditionalFormatting>
  <x:dataValidations count="3">
    <x:dataValidation type="list" sqref="B6:B55">
      <x:formula1>"Kecamatan,Kota"</x:formula1>
    </x:dataValidation>
    <x:dataValidation type="list" sqref="C6:C55">
      <x:formula1>"Bukit Intan,Gabek,Gerunggang,Girimaya,Pangkal Balam,Rangkui,Taman Sari,Kota Pangkalpinang"</x:formula1>
    </x:dataValidation>
    <x:dataValidation type="list" sqref="H6:H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2f95277d58484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98728E1-1479-6937-0D78-593A886017BA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D6:E55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"/>
  <x:cols>
    <x:col min="1" max="1" width="16" customWidth="1"/>
    <x:col min="2" max="2" width="20" customWidth="1"/>
    <x:col min="3" max="3" width="17" customWidth="1"/>
    <x:col min="4" max="5" width="12" customWidth="1"/>
    <x:col min="6" max="6" width="18" customWidth="1"/>
    <x:col min="7" max="7" width="13" customWidth="1"/>
    <x:col min="8" max="8" width="34" customWidth="1"/>
    <x:col min="9" max="9" width="20" customWidth="1"/>
    <x:col min="10" max="10" width="16" customWidth="1"/>
    <x:col min="11" max="11" width="20" customWidth="1"/>
  </x:cols>
  <x:sheetData>
    <x:row r="1" ht="13.399999618530273" customHeight="1">
      <x:c r="A1" s="77" t="s">
        <x:v>871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872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873</x:v>
      </x:c>
      <x:c r="B5" s="2" t="s">
        <x:v>6</x:v>
      </x:c>
      <x:c r="C5" s="2" t="s">
        <x:v>874</x:v>
      </x:c>
      <x:c r="D5" s="2" t="s">
        <x:v>875</x:v>
      </x:c>
      <x:c r="E5" s="2" t="s">
        <x:v>876</x:v>
      </x:c>
      <x:c r="F5" s="2" t="s">
        <x:v>877</x:v>
      </x:c>
      <x:c r="G5" s="2" t="s">
        <x:v>26</x:v>
      </x:c>
      <x:c r="H5" s="2" t="s">
        <x:v>27</x:v>
      </x:c>
      <x:c r="I5" s="2" t="s">
        <x:v>28</x:v>
      </x:c>
      <x:c r="J5" s="2" t="s">
        <x:v>29</x:v>
      </x:c>
      <x:c r="K5" s="3" t="s">
        <x:v>30</x:v>
      </x:c>
    </x:row>
    <x:row r="6" ht="9.75" customHeight="1">
      <x:c r="A6" s="31" t="s">
        <x:v>858</x:v>
      </x:c>
      <x:c r="B6" s="10" t="s">
        <x:v>35</x:v>
      </x:c>
      <x:c r="C6" s="19">
        <x:v>12049</x:v>
      </x:c>
      <x:c r="D6" s="19">
        <x:v>424</x:v>
      </x:c>
      <x:c r="E6" s="37" t="n">
        <x:f t="shared" ref="E6:E37" si="0">IF(A6="","",MAX(C6-D6,0))</x:f>
        <x:v>11625</x:v>
      </x:c>
      <x:c r="F6" s="25" t="n">
        <x:f t="shared" ref="F6:F37" si="1">IF(A6="","",IFERROR(D6/C6,0))</x:f>
        <x:v>0.0351896422939663</x:v>
      </x:c>
      <x:c r="G6" s="19">
        <x:v>2023</x:v>
      </x:c>
      <x:c r="H6" s="10" t="s">
        <x:v>860</x:v>
      </x:c>
      <x:c r="I6" s="10" t="s">
        <x:v>861</x:v>
      </x:c>
      <x:c r="J6" s="13"/>
      <x:c r="K6" s="34"/>
    </x:row>
    <x:row r="7" ht="9.75" customHeight="1">
      <x:c r="A7" s="32" t="s">
        <x:v>862</x:v>
      </x:c>
      <x:c r="B7" s="11" t="s">
        <x:v>81</x:v>
      </x:c>
      <x:c r="C7" s="20">
        <x:v>9500</x:v>
      </x:c>
      <x:c r="D7" s="20">
        <x:v>655</x:v>
      </x:c>
      <x:c r="E7" s="38">
        <x:f t="shared" si="0"/>
        <x:v>8845</x:v>
      </x:c>
      <x:c r="F7" s="26">
        <x:f t="shared" si="1"/>
        <x:v>6.8947368421052632E-2</x:v>
      </x:c>
      <x:c r="G7" s="20">
        <x:v>2023</x:v>
      </x:c>
      <x:c r="H7" s="11" t="s">
        <x:v>860</x:v>
      </x:c>
      <x:c r="I7" s="11" t="s">
        <x:v>861</x:v>
      </x:c>
      <x:c r="J7" s="14"/>
      <x:c r="K7" s="35"/>
    </x:row>
    <x:row r="8" ht="9.75" customHeight="1">
      <x:c r="A8" s="32" t="s">
        <x:v>863</x:v>
      </x:c>
      <x:c r="B8" s="11" t="s">
        <x:v>864</x:v>
      </x:c>
      <x:c r="C8" s="20">
        <x:v>4805</x:v>
      </x:c>
      <x:c r="D8" s="20">
        <x:v>183</x:v>
      </x:c>
      <x:c r="E8" s="38">
        <x:f t="shared" si="0"/>
        <x:v>4622</x:v>
      </x:c>
      <x:c r="F8" s="26">
        <x:f t="shared" si="1"/>
        <x:v>3.8085327783558796E-2</x:v>
      </x:c>
      <x:c r="G8" s="20">
        <x:v>2023</x:v>
      </x:c>
      <x:c r="H8" s="11" t="s">
        <x:v>860</x:v>
      </x:c>
      <x:c r="I8" s="11" t="s">
        <x:v>861</x:v>
      </x:c>
      <x:c r="J8" s="14"/>
      <x:c r="K8" s="35"/>
    </x:row>
    <x:row r="9" ht="9.75" customHeight="1">
      <x:c r="A9" s="32" t="s">
        <x:v>865</x:v>
      </x:c>
      <x:c r="B9" s="11" t="s">
        <x:v>60</x:v>
      </x:c>
      <x:c r="C9" s="20">
        <x:v>8982</x:v>
      </x:c>
      <x:c r="D9" s="20">
        <x:v>568</x:v>
      </x:c>
      <x:c r="E9" s="38">
        <x:f t="shared" si="0"/>
        <x:v>8414</x:v>
      </x:c>
      <x:c r="F9" s="26">
        <x:f t="shared" si="1"/>
        <x:v>6.3237586283678468E-2</x:v>
      </x:c>
      <x:c r="G9" s="20">
        <x:v>2023</x:v>
      </x:c>
      <x:c r="H9" s="11" t="s">
        <x:v>860</x:v>
      </x:c>
      <x:c r="I9" s="11" t="s">
        <x:v>861</x:v>
      </x:c>
      <x:c r="J9" s="14"/>
      <x:c r="K9" s="35"/>
    </x:row>
    <x:row r="10" ht="9.75" customHeight="1">
      <x:c r="A10" s="32" t="s">
        <x:v>866</x:v>
      </x:c>
      <x:c r="B10" s="11" t="s">
        <x:v>812</x:v>
      </x:c>
      <x:c r="C10" s="20">
        <x:v>9679</x:v>
      </x:c>
      <x:c r="D10" s="20">
        <x:v>362</x:v>
      </x:c>
      <x:c r="E10" s="38">
        <x:f t="shared" si="0"/>
        <x:v>9317</x:v>
      </x:c>
      <x:c r="F10" s="26">
        <x:f t="shared" si="1"/>
        <x:v>3.7400557908874886E-2</x:v>
      </x:c>
      <x:c r="G10" s="20">
        <x:v>2023</x:v>
      </x:c>
      <x:c r="H10" s="11" t="s">
        <x:v>860</x:v>
      </x:c>
      <x:c r="I10" s="11" t="s">
        <x:v>861</x:v>
      </x:c>
      <x:c r="J10" s="14"/>
      <x:c r="K10" s="35"/>
    </x:row>
    <x:row r="11" ht="9.75" customHeight="1">
      <x:c r="A11" s="32" t="s">
        <x:v>867</x:v>
      </x:c>
      <x:c r="B11" s="11" t="s">
        <x:v>99</x:v>
      </x:c>
      <x:c r="C11" s="20">
        <x:v>5789</x:v>
      </x:c>
      <x:c r="D11" s="20">
        <x:v>757</x:v>
      </x:c>
      <x:c r="E11" s="38">
        <x:f t="shared" si="0"/>
        <x:v>5032</x:v>
      </x:c>
      <x:c r="F11" s="26">
        <x:f t="shared" si="1"/>
        <x:v>0.13076524442908966</x:v>
      </x:c>
      <x:c r="G11" s="20">
        <x:v>2023</x:v>
      </x:c>
      <x:c r="H11" s="11" t="s">
        <x:v>860</x:v>
      </x:c>
      <x:c r="I11" s="11" t="s">
        <x:v>861</x:v>
      </x:c>
      <x:c r="J11" s="14"/>
      <x:c r="K11" s="35"/>
    </x:row>
    <x:row r="12" ht="9.75" customHeight="1">
      <x:c r="A12" s="32" t="s">
        <x:v>868</x:v>
      </x:c>
      <x:c r="B12" s="11" t="s">
        <x:v>306</x:v>
      </x:c>
      <x:c r="C12" s="20">
        <x:v>4979</x:v>
      </x:c>
      <x:c r="D12" s="20">
        <x:v>49</x:v>
      </x:c>
      <x:c r="E12" s="38">
        <x:f t="shared" si="0"/>
        <x:v>4930</x:v>
      </x:c>
      <x:c r="F12" s="26">
        <x:f t="shared" si="1"/>
        <x:v>9.8413336011247236E-3</x:v>
      </x:c>
      <x:c r="G12" s="20">
        <x:v>2023</x:v>
      </x:c>
      <x:c r="H12" s="11" t="s">
        <x:v>860</x:v>
      </x:c>
      <x:c r="I12" s="11" t="s">
        <x:v>861</x:v>
      </x:c>
      <x:c r="J12" s="14"/>
      <x:c r="K12" s="35"/>
    </x:row>
    <x:row r="13" ht="9.75" customHeight="1">
      <x:c r="A13" s="32"/>
      <x:c r="B13" s="11"/>
      <x:c r="C13" s="20"/>
      <x:c r="D13" s="20"/>
      <x:c r="E13" s="38" t="str">
        <x:f t="shared" si="0"/>
      </x:c>
      <x:c r="F13" s="26" t="str">
        <x:f t="shared" si="1"/>
      </x:c>
      <x:c r="G13" s="20"/>
      <x:c r="H13" s="11"/>
      <x:c r="I13" s="11"/>
      <x:c r="J13" s="14"/>
      <x:c r="K13" s="35"/>
    </x:row>
    <x:row r="14" ht="9.75" customHeight="1">
      <x:c r="A14" s="32"/>
      <x:c r="B14" s="11"/>
      <x:c r="C14" s="20"/>
      <x:c r="D14" s="20"/>
      <x:c r="E14" s="38" t="str">
        <x:f t="shared" si="0"/>
      </x:c>
      <x:c r="F14" s="26" t="str">
        <x:f t="shared" si="1"/>
      </x:c>
      <x:c r="G14" s="20"/>
      <x:c r="H14" s="11"/>
      <x:c r="I14" s="11"/>
      <x:c r="J14" s="14"/>
      <x:c r="K14" s="35"/>
    </x:row>
    <x:row r="15" ht="9.75" customHeight="1">
      <x:c r="A15" s="32"/>
      <x:c r="B15" s="11"/>
      <x:c r="C15" s="20"/>
      <x:c r="D15" s="20"/>
      <x:c r="E15" s="38" t="str">
        <x:f t="shared" si="0"/>
      </x:c>
      <x:c r="F15" s="26" t="str">
        <x:f t="shared" si="1"/>
      </x:c>
      <x:c r="G15" s="20"/>
      <x:c r="H15" s="11"/>
      <x:c r="I15" s="11"/>
      <x:c r="J15" s="14"/>
      <x:c r="K15" s="35"/>
    </x:row>
    <x:row r="16" ht="9.75" customHeight="1">
      <x:c r="A16" s="32"/>
      <x:c r="B16" s="11"/>
      <x:c r="C16" s="20"/>
      <x:c r="D16" s="20"/>
      <x:c r="E16" s="38" t="str">
        <x:f t="shared" si="0"/>
      </x:c>
      <x:c r="F16" s="26" t="str">
        <x:f t="shared" si="1"/>
      </x:c>
      <x:c r="G16" s="20"/>
      <x:c r="H16" s="11"/>
      <x:c r="I16" s="11"/>
      <x:c r="J16" s="14"/>
      <x:c r="K16" s="35"/>
    </x:row>
    <x:row r="17" ht="9.75" customHeight="1">
      <x:c r="A17" s="32"/>
      <x:c r="B17" s="11"/>
      <x:c r="C17" s="20"/>
      <x:c r="D17" s="20"/>
      <x:c r="E17" s="38" t="str">
        <x:f t="shared" si="0"/>
      </x:c>
      <x:c r="F17" s="26" t="str">
        <x:f t="shared" si="1"/>
      </x:c>
      <x:c r="G17" s="20"/>
      <x:c r="H17" s="11"/>
      <x:c r="I17" s="11"/>
      <x:c r="J17" s="14"/>
      <x:c r="K17" s="35"/>
    </x:row>
    <x:row r="18" ht="9.75" customHeight="1">
      <x:c r="A18" s="32"/>
      <x:c r="B18" s="11"/>
      <x:c r="C18" s="20"/>
      <x:c r="D18" s="20"/>
      <x:c r="E18" s="38" t="str">
        <x:f t="shared" si="0"/>
      </x:c>
      <x:c r="F18" s="26" t="str">
        <x:f t="shared" si="1"/>
      </x:c>
      <x:c r="G18" s="20"/>
      <x:c r="H18" s="11"/>
      <x:c r="I18" s="11"/>
      <x:c r="J18" s="14"/>
      <x:c r="K18" s="35"/>
    </x:row>
    <x:row r="19" ht="9.75" customHeight="1">
      <x:c r="A19" s="32"/>
      <x:c r="B19" s="11"/>
      <x:c r="C19" s="20"/>
      <x:c r="D19" s="20"/>
      <x:c r="E19" s="38" t="str">
        <x:f t="shared" si="0"/>
      </x:c>
      <x:c r="F19" s="26" t="str">
        <x:f t="shared" si="1"/>
      </x:c>
      <x:c r="G19" s="20"/>
      <x:c r="H19" s="11"/>
      <x:c r="I19" s="11"/>
      <x:c r="J19" s="14"/>
      <x:c r="K19" s="35"/>
    </x:row>
    <x:row r="20" ht="9.75" customHeight="1">
      <x:c r="A20" s="32"/>
      <x:c r="B20" s="11"/>
      <x:c r="C20" s="20"/>
      <x:c r="D20" s="20"/>
      <x:c r="E20" s="38" t="str">
        <x:f t="shared" si="0"/>
      </x:c>
      <x:c r="F20" s="26" t="str">
        <x:f t="shared" si="1"/>
      </x:c>
      <x:c r="G20" s="20"/>
      <x:c r="H20" s="11"/>
      <x:c r="I20" s="11"/>
      <x:c r="J20" s="14"/>
      <x:c r="K20" s="35"/>
    </x:row>
    <x:row r="21" ht="9.75" customHeight="1">
      <x:c r="A21" s="32"/>
      <x:c r="B21" s="11"/>
      <x:c r="C21" s="20"/>
      <x:c r="D21" s="20"/>
      <x:c r="E21" s="38" t="str">
        <x:f t="shared" si="0"/>
      </x:c>
      <x:c r="F21" s="26" t="str">
        <x:f t="shared" si="1"/>
      </x:c>
      <x:c r="G21" s="20"/>
      <x:c r="H21" s="11"/>
      <x:c r="I21" s="11"/>
      <x:c r="J21" s="14"/>
      <x:c r="K21" s="35"/>
    </x:row>
    <x:row r="22" ht="9.75" customHeight="1">
      <x:c r="A22" s="32"/>
      <x:c r="B22" s="11"/>
      <x:c r="C22" s="20"/>
      <x:c r="D22" s="20"/>
      <x:c r="E22" s="38" t="str">
        <x:f t="shared" si="0"/>
      </x:c>
      <x:c r="F22" s="26" t="str">
        <x:f t="shared" si="1"/>
      </x:c>
      <x:c r="G22" s="20"/>
      <x:c r="H22" s="11"/>
      <x:c r="I22" s="11"/>
      <x:c r="J22" s="14"/>
      <x:c r="K22" s="35"/>
    </x:row>
    <x:row r="23" ht="9.75" customHeight="1">
      <x:c r="A23" s="32"/>
      <x:c r="B23" s="11"/>
      <x:c r="C23" s="20"/>
      <x:c r="D23" s="20"/>
      <x:c r="E23" s="38" t="str">
        <x:f t="shared" si="0"/>
      </x:c>
      <x:c r="F23" s="26" t="str">
        <x:f t="shared" si="1"/>
      </x:c>
      <x:c r="G23" s="20"/>
      <x:c r="H23" s="11"/>
      <x:c r="I23" s="11"/>
      <x:c r="J23" s="14"/>
      <x:c r="K23" s="35"/>
    </x:row>
    <x:row r="24" ht="9.75" customHeight="1">
      <x:c r="A24" s="32"/>
      <x:c r="B24" s="11"/>
      <x:c r="C24" s="20"/>
      <x:c r="D24" s="20"/>
      <x:c r="E24" s="38" t="str">
        <x:f t="shared" si="0"/>
      </x:c>
      <x:c r="F24" s="26" t="str">
        <x:f t="shared" si="1"/>
      </x:c>
      <x:c r="G24" s="20"/>
      <x:c r="H24" s="11"/>
      <x:c r="I24" s="11"/>
      <x:c r="J24" s="14"/>
      <x:c r="K24" s="35"/>
    </x:row>
    <x:row r="25" ht="9.75" customHeight="1">
      <x:c r="A25" s="32"/>
      <x:c r="B25" s="11"/>
      <x:c r="C25" s="20"/>
      <x:c r="D25" s="20"/>
      <x:c r="E25" s="38" t="str">
        <x:f t="shared" si="0"/>
      </x:c>
      <x:c r="F25" s="26" t="str">
        <x:f t="shared" si="1"/>
      </x:c>
      <x:c r="G25" s="20"/>
      <x:c r="H25" s="11"/>
      <x:c r="I25" s="11"/>
      <x:c r="J25" s="14"/>
      <x:c r="K25" s="35"/>
    </x:row>
    <x:row r="26" ht="9.75" customHeight="1">
      <x:c r="A26" s="32"/>
      <x:c r="B26" s="11"/>
      <x:c r="C26" s="20"/>
      <x:c r="D26" s="20"/>
      <x:c r="E26" s="38" t="str">
        <x:f t="shared" si="0"/>
      </x:c>
      <x:c r="F26" s="26" t="str">
        <x:f t="shared" si="1"/>
      </x:c>
      <x:c r="G26" s="20"/>
      <x:c r="H26" s="11"/>
      <x:c r="I26" s="11"/>
      <x:c r="J26" s="14"/>
      <x:c r="K26" s="35"/>
    </x:row>
    <x:row r="27" ht="9.75" customHeight="1">
      <x:c r="A27" s="32"/>
      <x:c r="B27" s="11"/>
      <x:c r="C27" s="20"/>
      <x:c r="D27" s="20"/>
      <x:c r="E27" s="38" t="str">
        <x:f t="shared" si="0"/>
      </x:c>
      <x:c r="F27" s="26" t="str">
        <x:f t="shared" si="1"/>
      </x:c>
      <x:c r="G27" s="20"/>
      <x:c r="H27" s="11"/>
      <x:c r="I27" s="11"/>
      <x:c r="J27" s="14"/>
      <x:c r="K27" s="35"/>
    </x:row>
    <x:row r="28" ht="9.75" customHeight="1">
      <x:c r="A28" s="32"/>
      <x:c r="B28" s="11"/>
      <x:c r="C28" s="20"/>
      <x:c r="D28" s="20"/>
      <x:c r="E28" s="38" t="str">
        <x:f t="shared" si="0"/>
      </x:c>
      <x:c r="F28" s="26" t="str">
        <x:f t="shared" si="1"/>
      </x:c>
      <x:c r="G28" s="20"/>
      <x:c r="H28" s="11"/>
      <x:c r="I28" s="11"/>
      <x:c r="J28" s="14"/>
      <x:c r="K28" s="35"/>
    </x:row>
    <x:row r="29" ht="9.75" customHeight="1">
      <x:c r="A29" s="32"/>
      <x:c r="B29" s="11"/>
      <x:c r="C29" s="20"/>
      <x:c r="D29" s="20"/>
      <x:c r="E29" s="38" t="str">
        <x:f t="shared" si="0"/>
      </x:c>
      <x:c r="F29" s="26" t="str">
        <x:f t="shared" si="1"/>
      </x:c>
      <x:c r="G29" s="20"/>
      <x:c r="H29" s="11"/>
      <x:c r="I29" s="11"/>
      <x:c r="J29" s="14"/>
      <x:c r="K29" s="35"/>
    </x:row>
    <x:row r="30" ht="9.75" customHeight="1">
      <x:c r="A30" s="32"/>
      <x:c r="B30" s="11"/>
      <x:c r="C30" s="20"/>
      <x:c r="D30" s="20"/>
      <x:c r="E30" s="38" t="str">
        <x:f t="shared" si="0"/>
      </x:c>
      <x:c r="F30" s="26" t="str">
        <x:f t="shared" si="1"/>
      </x:c>
      <x:c r="G30" s="20"/>
      <x:c r="H30" s="11"/>
      <x:c r="I30" s="11"/>
      <x:c r="J30" s="14"/>
      <x:c r="K30" s="35"/>
    </x:row>
    <x:row r="31" ht="9.75" customHeight="1">
      <x:c r="A31" s="32"/>
      <x:c r="B31" s="11"/>
      <x:c r="C31" s="20"/>
      <x:c r="D31" s="20"/>
      <x:c r="E31" s="38" t="str">
        <x:f t="shared" si="0"/>
      </x:c>
      <x:c r="F31" s="26" t="str">
        <x:f t="shared" si="1"/>
      </x:c>
      <x:c r="G31" s="20"/>
      <x:c r="H31" s="11"/>
      <x:c r="I31" s="11"/>
      <x:c r="J31" s="14"/>
      <x:c r="K31" s="35"/>
    </x:row>
    <x:row r="32" ht="9.75" customHeight="1">
      <x:c r="A32" s="32"/>
      <x:c r="B32" s="11"/>
      <x:c r="C32" s="20"/>
      <x:c r="D32" s="20"/>
      <x:c r="E32" s="38" t="str">
        <x:f t="shared" si="0"/>
      </x:c>
      <x:c r="F32" s="26" t="str">
        <x:f t="shared" si="1"/>
      </x:c>
      <x:c r="G32" s="20"/>
      <x:c r="H32" s="11"/>
      <x:c r="I32" s="11"/>
      <x:c r="J32" s="14"/>
      <x:c r="K32" s="35"/>
    </x:row>
    <x:row r="33" ht="9.75" customHeight="1">
      <x:c r="A33" s="32"/>
      <x:c r="B33" s="11"/>
      <x:c r="C33" s="20"/>
      <x:c r="D33" s="20"/>
      <x:c r="E33" s="38" t="str">
        <x:f t="shared" si="0"/>
      </x:c>
      <x:c r="F33" s="26" t="str">
        <x:f t="shared" si="1"/>
      </x:c>
      <x:c r="G33" s="20"/>
      <x:c r="H33" s="11"/>
      <x:c r="I33" s="11"/>
      <x:c r="J33" s="14"/>
      <x:c r="K33" s="35"/>
    </x:row>
    <x:row r="34" ht="9.75" customHeight="1">
      <x:c r="A34" s="32"/>
      <x:c r="B34" s="11"/>
      <x:c r="C34" s="20"/>
      <x:c r="D34" s="20"/>
      <x:c r="E34" s="38" t="str">
        <x:f t="shared" si="0"/>
      </x:c>
      <x:c r="F34" s="26" t="str">
        <x:f t="shared" si="1"/>
      </x:c>
      <x:c r="G34" s="20"/>
      <x:c r="H34" s="11"/>
      <x:c r="I34" s="11"/>
      <x:c r="J34" s="14"/>
      <x:c r="K34" s="35"/>
    </x:row>
    <x:row r="35" ht="9.75" customHeight="1">
      <x:c r="A35" s="32"/>
      <x:c r="B35" s="11"/>
      <x:c r="C35" s="20"/>
      <x:c r="D35" s="20"/>
      <x:c r="E35" s="38" t="str">
        <x:f t="shared" si="0"/>
      </x:c>
      <x:c r="F35" s="26" t="str">
        <x:f t="shared" si="1"/>
      </x:c>
      <x:c r="G35" s="20"/>
      <x:c r="H35" s="11"/>
      <x:c r="I35" s="11"/>
      <x:c r="J35" s="14"/>
      <x:c r="K35" s="35"/>
    </x:row>
    <x:row r="36" ht="9.75" customHeight="1">
      <x:c r="A36" s="32"/>
      <x:c r="B36" s="11"/>
      <x:c r="C36" s="20"/>
      <x:c r="D36" s="20"/>
      <x:c r="E36" s="38" t="str">
        <x:f t="shared" si="0"/>
      </x:c>
      <x:c r="F36" s="26" t="str">
        <x:f t="shared" si="1"/>
      </x:c>
      <x:c r="G36" s="20"/>
      <x:c r="H36" s="11"/>
      <x:c r="I36" s="11"/>
      <x:c r="J36" s="14"/>
      <x:c r="K36" s="35"/>
    </x:row>
    <x:row r="37" ht="9.75" customHeight="1">
      <x:c r="A37" s="32"/>
      <x:c r="B37" s="11"/>
      <x:c r="C37" s="20"/>
      <x:c r="D37" s="20"/>
      <x:c r="E37" s="38" t="str">
        <x:f t="shared" si="0"/>
      </x:c>
      <x:c r="F37" s="26" t="str">
        <x:f t="shared" si="1"/>
      </x:c>
      <x:c r="G37" s="20"/>
      <x:c r="H37" s="11"/>
      <x:c r="I37" s="11"/>
      <x:c r="J37" s="14"/>
      <x:c r="K37" s="35"/>
    </x:row>
    <x:row r="38" ht="9.75" customHeight="1">
      <x:c r="A38" s="32"/>
      <x:c r="B38" s="11"/>
      <x:c r="C38" s="20"/>
      <x:c r="D38" s="20"/>
      <x:c r="E38" s="38" t="str">
        <x:f t="shared" ref="E38:E55" si="2">IF(A38="","",MAX(C38-D38,0))</x:f>
      </x:c>
      <x:c r="F38" s="26" t="str">
        <x:f t="shared" ref="F38:F55" si="3">IF(A38="","",IFERROR(D38/C38,0))</x:f>
      </x:c>
      <x:c r="G38" s="20"/>
      <x:c r="H38" s="11"/>
      <x:c r="I38" s="11"/>
      <x:c r="J38" s="14"/>
      <x:c r="K38" s="35"/>
    </x:row>
    <x:row r="39" ht="9.75" customHeight="1">
      <x:c r="A39" s="32"/>
      <x:c r="B39" s="11"/>
      <x:c r="C39" s="20"/>
      <x:c r="D39" s="20"/>
      <x:c r="E39" s="38" t="str">
        <x:f t="shared" si="2"/>
      </x:c>
      <x:c r="F39" s="26" t="str">
        <x:f t="shared" si="3"/>
      </x:c>
      <x:c r="G39" s="20"/>
      <x:c r="H39" s="11"/>
      <x:c r="I39" s="11"/>
      <x:c r="J39" s="14"/>
      <x:c r="K39" s="35"/>
    </x:row>
    <x:row r="40" ht="9.75" customHeight="1">
      <x:c r="A40" s="32"/>
      <x:c r="B40" s="11"/>
      <x:c r="C40" s="20"/>
      <x:c r="D40" s="20"/>
      <x:c r="E40" s="38" t="str">
        <x:f t="shared" si="2"/>
      </x:c>
      <x:c r="F40" s="26" t="str">
        <x:f t="shared" si="3"/>
      </x:c>
      <x:c r="G40" s="20"/>
      <x:c r="H40" s="11"/>
      <x:c r="I40" s="11"/>
      <x:c r="J40" s="14"/>
      <x:c r="K40" s="35"/>
    </x:row>
    <x:row r="41" ht="9.75" customHeight="1">
      <x:c r="A41" s="32"/>
      <x:c r="B41" s="11"/>
      <x:c r="C41" s="20"/>
      <x:c r="D41" s="20"/>
      <x:c r="E41" s="38" t="str">
        <x:f t="shared" si="2"/>
      </x:c>
      <x:c r="F41" s="26" t="str">
        <x:f t="shared" si="3"/>
      </x:c>
      <x:c r="G41" s="20"/>
      <x:c r="H41" s="11"/>
      <x:c r="I41" s="11"/>
      <x:c r="J41" s="14"/>
      <x:c r="K41" s="35"/>
    </x:row>
    <x:row r="42" ht="9.75" customHeight="1">
      <x:c r="A42" s="32"/>
      <x:c r="B42" s="11"/>
      <x:c r="C42" s="20"/>
      <x:c r="D42" s="20"/>
      <x:c r="E42" s="38" t="str">
        <x:f t="shared" si="2"/>
      </x:c>
      <x:c r="F42" s="26" t="str">
        <x:f t="shared" si="3"/>
      </x:c>
      <x:c r="G42" s="20"/>
      <x:c r="H42" s="11"/>
      <x:c r="I42" s="11"/>
      <x:c r="J42" s="14"/>
      <x:c r="K42" s="35"/>
    </x:row>
    <x:row r="43" ht="9.75" customHeight="1">
      <x:c r="A43" s="32"/>
      <x:c r="B43" s="11"/>
      <x:c r="C43" s="20"/>
      <x:c r="D43" s="20"/>
      <x:c r="E43" s="38" t="str">
        <x:f t="shared" si="2"/>
      </x:c>
      <x:c r="F43" s="26" t="str">
        <x:f t="shared" si="3"/>
      </x:c>
      <x:c r="G43" s="20"/>
      <x:c r="H43" s="11"/>
      <x:c r="I43" s="11"/>
      <x:c r="J43" s="14"/>
      <x:c r="K43" s="35"/>
    </x:row>
    <x:row r="44" ht="9.75" customHeight="1">
      <x:c r="A44" s="32"/>
      <x:c r="B44" s="11"/>
      <x:c r="C44" s="20"/>
      <x:c r="D44" s="20"/>
      <x:c r="E44" s="38" t="str">
        <x:f t="shared" si="2"/>
      </x:c>
      <x:c r="F44" s="26" t="str">
        <x:f t="shared" si="3"/>
      </x:c>
      <x:c r="G44" s="20"/>
      <x:c r="H44" s="11"/>
      <x:c r="I44" s="11"/>
      <x:c r="J44" s="14"/>
      <x:c r="K44" s="35"/>
    </x:row>
    <x:row r="45" ht="9.75" customHeight="1">
      <x:c r="A45" s="32"/>
      <x:c r="B45" s="11"/>
      <x:c r="C45" s="20"/>
      <x:c r="D45" s="20"/>
      <x:c r="E45" s="38" t="str">
        <x:f t="shared" si="2"/>
      </x:c>
      <x:c r="F45" s="26" t="str">
        <x:f t="shared" si="3"/>
      </x:c>
      <x:c r="G45" s="20"/>
      <x:c r="H45" s="11"/>
      <x:c r="I45" s="11"/>
      <x:c r="J45" s="14"/>
      <x:c r="K45" s="35"/>
    </x:row>
    <x:row r="46" ht="9.75" customHeight="1">
      <x:c r="A46" s="32"/>
      <x:c r="B46" s="11"/>
      <x:c r="C46" s="20"/>
      <x:c r="D46" s="20"/>
      <x:c r="E46" s="38" t="str">
        <x:f t="shared" si="2"/>
      </x:c>
      <x:c r="F46" s="26" t="str">
        <x:f t="shared" si="3"/>
      </x:c>
      <x:c r="G46" s="20"/>
      <x:c r="H46" s="11"/>
      <x:c r="I46" s="11"/>
      <x:c r="J46" s="14"/>
      <x:c r="K46" s="35"/>
    </x:row>
    <x:row r="47" ht="9.75" customHeight="1">
      <x:c r="A47" s="32"/>
      <x:c r="B47" s="11"/>
      <x:c r="C47" s="20"/>
      <x:c r="D47" s="20"/>
      <x:c r="E47" s="38" t="str">
        <x:f t="shared" si="2"/>
      </x:c>
      <x:c r="F47" s="26" t="str">
        <x:f t="shared" si="3"/>
      </x:c>
      <x:c r="G47" s="20"/>
      <x:c r="H47" s="11"/>
      <x:c r="I47" s="11"/>
      <x:c r="J47" s="14"/>
      <x:c r="K47" s="35"/>
    </x:row>
    <x:row r="48" ht="9.75" customHeight="1">
      <x:c r="A48" s="32"/>
      <x:c r="B48" s="11"/>
      <x:c r="C48" s="20"/>
      <x:c r="D48" s="20"/>
      <x:c r="E48" s="38" t="str">
        <x:f t="shared" si="2"/>
      </x:c>
      <x:c r="F48" s="26" t="str">
        <x:f t="shared" si="3"/>
      </x:c>
      <x:c r="G48" s="20"/>
      <x:c r="H48" s="11"/>
      <x:c r="I48" s="11"/>
      <x:c r="J48" s="14"/>
      <x:c r="K48" s="35"/>
    </x:row>
    <x:row r="49" ht="9.75" customHeight="1">
      <x:c r="A49" s="32"/>
      <x:c r="B49" s="11"/>
      <x:c r="C49" s="20"/>
      <x:c r="D49" s="20"/>
      <x:c r="E49" s="38" t="str">
        <x:f t="shared" si="2"/>
      </x:c>
      <x:c r="F49" s="26" t="str">
        <x:f t="shared" si="3"/>
      </x:c>
      <x:c r="G49" s="20"/>
      <x:c r="H49" s="11"/>
      <x:c r="I49" s="11"/>
      <x:c r="J49" s="14"/>
      <x:c r="K49" s="35"/>
    </x:row>
    <x:row r="50" ht="9.75" customHeight="1">
      <x:c r="A50" s="32"/>
      <x:c r="B50" s="11"/>
      <x:c r="C50" s="20"/>
      <x:c r="D50" s="20"/>
      <x:c r="E50" s="38" t="str">
        <x:f t="shared" si="2"/>
      </x:c>
      <x:c r="F50" s="26" t="str">
        <x:f t="shared" si="3"/>
      </x:c>
      <x:c r="G50" s="20"/>
      <x:c r="H50" s="11"/>
      <x:c r="I50" s="11"/>
      <x:c r="J50" s="14"/>
      <x:c r="K50" s="35"/>
    </x:row>
    <x:row r="51" ht="9.75" customHeight="1">
      <x:c r="A51" s="32"/>
      <x:c r="B51" s="11"/>
      <x:c r="C51" s="20"/>
      <x:c r="D51" s="20"/>
      <x:c r="E51" s="38" t="str">
        <x:f t="shared" si="2"/>
      </x:c>
      <x:c r="F51" s="26" t="str">
        <x:f t="shared" si="3"/>
      </x:c>
      <x:c r="G51" s="20"/>
      <x:c r="H51" s="11"/>
      <x:c r="I51" s="11"/>
      <x:c r="J51" s="14"/>
      <x:c r="K51" s="35"/>
    </x:row>
    <x:row r="52" ht="9.75" customHeight="1">
      <x:c r="A52" s="32"/>
      <x:c r="B52" s="11"/>
      <x:c r="C52" s="20"/>
      <x:c r="D52" s="20"/>
      <x:c r="E52" s="38" t="str">
        <x:f t="shared" si="2"/>
      </x:c>
      <x:c r="F52" s="26" t="str">
        <x:f t="shared" si="3"/>
      </x:c>
      <x:c r="G52" s="20"/>
      <x:c r="H52" s="11"/>
      <x:c r="I52" s="11"/>
      <x:c r="J52" s="14"/>
      <x:c r="K52" s="35"/>
    </x:row>
    <x:row r="53" ht="9.75" customHeight="1">
      <x:c r="A53" s="32"/>
      <x:c r="B53" s="11"/>
      <x:c r="C53" s="20"/>
      <x:c r="D53" s="20"/>
      <x:c r="E53" s="38" t="str">
        <x:f t="shared" si="2"/>
      </x:c>
      <x:c r="F53" s="26" t="str">
        <x:f t="shared" si="3"/>
      </x:c>
      <x:c r="G53" s="20"/>
      <x:c r="H53" s="11"/>
      <x:c r="I53" s="11"/>
      <x:c r="J53" s="14"/>
      <x:c r="K53" s="35"/>
    </x:row>
    <x:row r="54" ht="9.75" customHeight="1">
      <x:c r="A54" s="32"/>
      <x:c r="B54" s="11"/>
      <x:c r="C54" s="20"/>
      <x:c r="D54" s="20"/>
      <x:c r="E54" s="38" t="str">
        <x:f t="shared" si="2"/>
      </x:c>
      <x:c r="F54" s="26" t="str">
        <x:f t="shared" si="3"/>
      </x:c>
      <x:c r="G54" s="20"/>
      <x:c r="H54" s="11"/>
      <x:c r="I54" s="11"/>
      <x:c r="J54" s="14"/>
      <x:c r="K54" s="35"/>
    </x:row>
    <x:row r="55" ht="9.75" customHeight="1">
      <x:c r="A55" s="33"/>
      <x:c r="B55" s="12"/>
      <x:c r="C55" s="21"/>
      <x:c r="D55" s="21"/>
      <x:c r="E55" s="39" t="str">
        <x:f t="shared" si="2"/>
      </x:c>
      <x:c r="F55" s="27" t="str">
        <x:f t="shared" si="3"/>
      </x:c>
      <x:c r="G55" s="21"/>
      <x:c r="H55" s="12"/>
      <x:c r="I55" s="12"/>
      <x:c r="J55" s="15"/>
      <x:c r="K55" s="36"/>
    </x:row>
  </x:sheetData>
  <x:mergeCells>
    <x:mergeCell ref="A1:K1"/>
    <x:mergeCell ref="A2:K2"/>
    <x:mergeCell ref="A3:K3"/>
  </x:mergeCells>
  <x:conditionalFormatting sqref="F6:F5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dataValidations count="2">
    <x:dataValidation type="list" sqref="B6:B55">
      <x:formula1>"Bukit Intan,Gabek,Gerunggang,Girimaya,Pangkal Balam,Rangkui,Taman Sari"</x:formula1>
    </x:dataValidation>
    <x:dataValidation type="list" sqref="I6:I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4d8c6b2be54633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5" hidden="0" customWidth="1"/>
    <x:col min="2" max="2" width="24" hidden="0" customWidth="1"/>
    <x:col min="3" max="4" width="20" customWidth="1"/>
    <x:col min="5" max="5" width="34" hidden="0" customWidth="1"/>
    <x:col min="6" max="6" width="18" hidden="0" customWidth="1"/>
    <x:col min="7" max="7" width="18" hidden="0" customWidth="1"/>
    <x:col min="8" max="8" width="22" hidden="0" customWidth="1"/>
    <x:col min="9" max="9" width="42" hidden="0" customWidth="1"/>
    <x:col min="10" max="10" width="23" hidden="0" customWidth="1"/>
    <x:col min="11" max="11" width="22" hidden="0" customWidth="1"/>
    <x:col min="12" max="13" width="18" customWidth="1"/>
    <x:col min="14" max="14" width="18" hidden="0" customWidth="1"/>
    <x:col min="15" max="15" width="21" hidden="0" customWidth="1"/>
    <x:col min="16" max="16" width="18" hidden="0" customWidth="1"/>
    <x:col min="17" max="17" width="19" hidden="0" customWidth="1"/>
    <x:col min="18" max="18" width="14" hidden="0" customWidth="1"/>
    <x:col min="19" max="19" width="21" hidden="0" customWidth="1"/>
    <x:col min="20" max="20" width="21" hidden="0" customWidth="1"/>
    <x:col min="3" max="3" width="19" hidden="0" customWidth="1"/>
    <x:col min="4" max="4" width="19" hidden="0" customWidth="1"/>
    <x:col min="12" max="12" width="18" hidden="0" customWidth="1"/>
    <x:col min="13" max="13" width="31" hidden="0" customWidth="1"/>
    <x:col min="21" max="21" width="18" hidden="0" customWidth="1"/>
    <x:col min="22" max="22" width="16" hidden="0" customWidth="1"/>
    <x:col min="23" max="23" width="24" hidden="0" customWidth="1"/>
    <x:col min="24" max="24" width="18" hidden="0" customWidth="1"/>
    <x:col min="25" max="25" width="16" hidden="0" customWidth="1"/>
    <x:col min="26" max="26" width="13" hidden="0" customWidth="1"/>
    <x:col min="27" max="27" width="30" hidden="0" customWidth="1"/>
    <x:col min="28" max="28" width="16" hidden="0" customWidth="1"/>
    <x:col min="29" max="29" width="28" hidden="0" customWidth="1"/>
    <x:col min="31" max="31" width="24" hidden="0" customWidth="1"/>
    <x:col min="32" max="32" width="72" hidden="0" customWidth="1"/>
  </x:cols>
  <x:sheetData>
    <x:row r="1" ht="28" customHeight="1">
      <x:c r="A1" s="461" t="str">
        <x:v>TEMPLATE RESMI DATABASE SIRUMAH — DATA INDIVIDU RTLH</x:v>
      </x:c>
      <x:c r="B1" s="461"/>
      <x:c r="C1" s="461"/>
      <x:c r="D1" s="461"/>
      <x:c r="E1" s="461"/>
      <x:c r="F1" s="461"/>
      <x:c r="G1" s="461"/>
      <x:c r="H1" s="461"/>
      <x:c r="I1" s="461"/>
      <x:c r="J1" s="461"/>
      <x:c r="K1" s="461"/>
      <x:c r="L1" s="461"/>
      <x:c r="M1" s="461"/>
      <x:c r="N1" s="461"/>
      <x:c r="O1" s="461"/>
      <x:c r="P1" s="461"/>
      <x:c r="Q1" s="461"/>
      <x:c r="R1" s="461"/>
      <x:c r="S1" s="461"/>
      <x:c r="T1" s="461"/>
      <x:c r="U1" s="462"/>
      <x:c r="V1" s="462"/>
      <x:c r="W1" s="462"/>
      <x:c r="X1" s="462"/>
      <x:c r="Y1" s="462"/>
      <x:c r="Z1" s="462"/>
      <x:c r="AA1" s="462"/>
      <x:c r="AB1" s="462"/>
      <x:c r="AC1" s="462"/>
      <x:c r="AE1" s="462"/>
      <x:c r="AF1" s="462"/>
      <x:c r="AG1" s="462"/>
      <x:c r="AH1" s="462"/>
      <x:c r="AI1" s="462"/>
      <x:c r="AJ1" s="462"/>
      <x:c r="AK1" s="462"/>
      <x:c r="AL1" s="462"/>
      <x:c r="AM1" s="462"/>
    </x:row>
    <x:row r="2" ht="32" customHeight="1">
      <x:c r="A2" s="466" t="str">
        <x:v>DATA INTERNAL. Berisi usulan Musrenbang dan Pokir DPRD. Lindungi NIK, No. KK, alamat lengkap, dan nomor telepon; dashboard publik hanya menampilkan data agregat.</x:v>
      </x:c>
      <x:c r="B2" s="466"/>
      <x:c r="C2" s="466"/>
      <x:c r="D2" s="466"/>
      <x:c r="E2" s="466"/>
      <x:c r="F2" s="466"/>
      <x:c r="G2" s="466"/>
      <x:c r="H2" s="466"/>
      <x:c r="I2" s="466"/>
      <x:c r="J2" s="466"/>
      <x:c r="K2" s="466"/>
      <x:c r="L2" s="466"/>
      <x:c r="M2" s="466"/>
      <x:c r="N2" s="466"/>
      <x:c r="O2" s="466"/>
      <x:c r="P2" s="466"/>
      <x:c r="Q2" s="466"/>
      <x:c r="R2" s="466"/>
      <x:c r="S2" s="466"/>
      <x:c r="T2" s="466"/>
      <x:c r="U2" s="467"/>
      <x:c r="V2" s="467"/>
      <x:c r="W2" s="467"/>
      <x:c r="X2" s="467"/>
      <x:c r="Y2" s="467"/>
      <x:c r="Z2" s="467"/>
      <x:c r="AA2" s="467"/>
      <x:c r="AB2" s="467"/>
      <x:c r="AC2" s="467"/>
      <x:c r="AE2" s="467"/>
      <x:c r="AF2" s="467"/>
      <x:c r="AG2" s="467"/>
      <x:c r="AH2" s="467"/>
      <x:c r="AI2" s="467"/>
      <x:c r="AJ2" s="467"/>
      <x:c r="AK2" s="467"/>
      <x:c r="AL2" s="467"/>
      <x:c r="AM2" s="467"/>
    </x:row>
    <x:row r="3" ht="38" customHeight="1">
      <x:c r="A3" s="472" t="str">
        <x:v>PETUNJUK: Isi CATATAN_VERIFIKASI sesuai hasil lapangan. Pilih TIPE_KONSTRUKSI_RUMAH, material, dan kondisi setiap komponen melalui dropdown. Jangan menganggap kondisi baik apabila catatan hanya menyebutkan material.</x:v>
      </x:c>
      <x:c r="B3" s="472"/>
      <x:c r="C3" s="472"/>
      <x:c r="D3" s="472"/>
      <x:c r="E3" s="472"/>
      <x:c r="F3" s="472"/>
      <x:c r="G3" s="472"/>
      <x:c r="H3" s="472"/>
      <x:c r="I3" s="472"/>
      <x:c r="J3" s="472"/>
      <x:c r="K3" s="472"/>
      <x:c r="L3" s="472"/>
      <x:c r="M3" s="472"/>
      <x:c r="N3" s="472"/>
      <x:c r="O3" s="472"/>
      <x:c r="P3" s="472"/>
      <x:c r="Q3" s="472"/>
      <x:c r="R3" s="472"/>
      <x:c r="S3" s="472"/>
      <x:c r="T3" s="472"/>
      <x:c r="U3" s="473"/>
      <x:c r="V3" s="473"/>
      <x:c r="W3" s="473"/>
      <x:c r="X3" s="473"/>
      <x:c r="Y3" s="473"/>
      <x:c r="Z3" s="473"/>
      <x:c r="AA3" s="473"/>
      <x:c r="AB3" s="473"/>
      <x:c r="AC3" s="473"/>
    </x:row>
    <x:row r="4">
      <x:c r="AE4" s="531"/>
      <x:c r="AF4" s="483"/>
    </x:row>
    <x:row r="5" ht="44" customHeight="1">
      <x:c r="A5" s="479" t="str">
        <x:v>ID_RTLH*</x:v>
      </x:c>
      <x:c r="B5" s="480" t="str">
        <x:v>NAMA_KEPALA_KELUARGA*</x:v>
      </x:c>
      <x:c r="C5" s="480" t="str">
        <x:v>NIK</x:v>
      </x:c>
      <x:c r="D5" s="480" t="str">
        <x:v>NO_KK</x:v>
      </x:c>
      <x:c r="E5" s="480" t="str">
        <x:v>ALAMAT*</x:v>
      </x:c>
      <x:c r="F5" s="480" t="str">
        <x:v>KELURAHAN*</x:v>
      </x:c>
      <x:c r="G5" s="480" t="str">
        <x:v>KECAMATAN*</x:v>
      </x:c>
      <x:c r="H5" s="480" t="str">
        <x:v>JENIS_USULAN*</x:v>
      </x:c>
      <x:c r="I5" s="480" t="str">
        <x:v>CATATAN_VERIFIKASI*</x:v>
      </x:c>
      <x:c r="J5" s="480" t="str">
        <x:v>TIPE_KONSTRUKSI_RUMAH*</x:v>
      </x:c>
      <x:c r="K5" s="480" t="str">
        <x:v>MATERIAL_ATAP</x:v>
      </x:c>
      <x:c r="L5" s="480" t="str">
        <x:v>KONDISI_ATAP</x:v>
      </x:c>
      <x:c r="M5" s="480" t="str">
        <x:v>MATERIAL_DINDING</x:v>
      </x:c>
      <x:c r="N5" s="480" t="str">
        <x:v>KONDISI_DINDING</x:v>
      </x:c>
      <x:c r="O5" s="480" t="str">
        <x:v>MATERIAL_LANTAI</x:v>
      </x:c>
      <x:c r="P5" s="480" t="str">
        <x:v>KONDISI_LANTAI</x:v>
      </x:c>
      <x:c r="Q5" s="480" t="str">
        <x:v>STATUS_ADMINISTRASI*</x:v>
      </x:c>
      <x:c r="R5" s="480" t="str">
        <x:v>SKOR_PRIORITAS</x:v>
      </x:c>
      <x:c r="S5" s="480" t="str">
        <x:v>STATUS_VERIFIKASI*</x:v>
      </x:c>
      <x:c r="T5" s="481" t="str">
        <x:v>STATUS_PENANGANAN*</x:v>
      </x:c>
      <x:c r="U5" s="482" t="str">
        <x:v>SUMBER_DANA</x:v>
      </x:c>
      <x:c r="V5" s="482" t="str">
        <x:v>TAHUN_PENANGANAN</x:v>
      </x:c>
      <x:c r="W5" s="482" t="str">
        <x:v>STATUS_KEPEMILIKAN_TANAH</x:v>
      </x:c>
      <x:c r="X5" s="483" t="str">
        <x:v>NOMOR_HP</x:v>
      </x:c>
      <x:c r="Y5" s="482" t="str">
        <x:v>TANGGAL_SURVEI</x:v>
      </x:c>
      <x:c r="Z5" s="482" t="str">
        <x:v>TAHUN_DATA*</x:v>
      </x:c>
      <x:c r="AA5" s="482" t="str">
        <x:v>SUMBER_DATA*</x:v>
      </x:c>
      <x:c r="AB5" s="482" t="str">
        <x:v>TANGGAL_UPDATE*</x:v>
      </x:c>
      <x:c r="AC5" s="483" t="str">
        <x:v>OPERATOR*</x:v>
      </x:c>
      <x:c r="AE5" s="534"/>
      <x:c r="AF5" s="534"/>
    </x:row>
    <x:row r="6" ht="32" customHeight="1">
      <x:c r="A6" s="492" t="str">
        <x:v>RTLH-0001</x:v>
      </x:c>
      <x:c r="B6" s="493" t="str">
        <x:v>WAHYU KURNIADI</x:v>
      </x:c>
      <x:c r="C6" s="494"/>
      <x:c r="D6" s="494"/>
      <x:c r="E6" s="493" t="str">
        <x:v>JL. BATU RUBI XI RT.003 RW.001</x:v>
      </x:c>
      <x:c r="F6" s="493" t="str">
        <x:v>BUKIT BESAR</x:v>
      </x:c>
      <x:c r="G6" s="493" t="str">
        <x:v>GIRIMAYA</x:v>
      </x:c>
      <x:c r="H6" s="493" t="str">
        <x:v>Pembangunan Baru</x:v>
      </x:c>
      <x:c r="I6" s="495" t="str">
        <x:v>RUMAH BAGIAN UTAMA FULL PAPAN, BAGIAN DAPUR BARU DI RENOVASI (PERMANEN), ATAP ASBES,</x:v>
      </x:c>
      <x:c r="J6" s="504" t="str">
        <x:v>Semipermanen</x:v>
      </x:c>
      <x:c r="K6" s="504" t="str">
        <x:v>Asbes/Fiber Semen</x:v>
      </x:c>
      <x:c r="L6" s="504" t="str">
        <x:v>Belum Dinilai</x:v>
      </x:c>
      <x:c r="M6" s="505" t="str">
        <x:v>Papan/Kayu</x:v>
      </x:c>
      <x:c r="N6" s="504" t="str">
        <x:v>Belum Dinilai</x:v>
      </x:c>
      <x:c r="O6" s="506" t="str">
        <x:v>Belum Diidentifikasi</x:v>
      </x:c>
      <x:c r="P6" s="507" t="str">
        <x:v>Belum Dinilai</x:v>
      </x:c>
      <x:c r="Q6" s="516" t="str">
        <x:v>Lengkap</x:v>
      </x:c>
      <x:c r="R6" s="516"/>
      <x:c r="S6" s="517" t="str">
        <x:v>Sudah Diverifikasi</x:v>
      </x:c>
      <x:c r="T6" s="518" t="str">
        <x:v>Belum Ditangani</x:v>
      </x:c>
      <x:c r="U6" s="519"/>
      <x:c r="V6" s="519"/>
      <x:c r="W6" s="521" t="str">
        <x:v>Belum Diverifikasi</x:v>
      </x:c>
      <x:c r="X6" s="520"/>
      <x:c r="Y6" s="521"/>
      <x:c r="Z6" s="519" t="n">
        <x:v>2026</x:v>
      </x:c>
      <x:c r="AA6" s="520" t="str">
        <x:v>Usulan Musrenbang/Pokir DPRD</x:v>
      </x:c>
      <x:c r="AB6" s="521" t="n">
        <x:v>46218</x:v>
      </x:c>
      <x:c r="AC6" s="520" t="str">
        <x:v>Dinas Perkim Kota Pangkalpinang</x:v>
      </x:c>
      <x:c r="AE6" s="534"/>
      <x:c r="AF6" s="534"/>
    </x:row>
    <x:row r="7" ht="32" customHeight="1">
      <x:c r="A7" s="496" t="str">
        <x:v>RTLH-0002</x:v>
      </x:c>
      <x:c r="B7" s="497" t="str">
        <x:v>SUSANTO</x:v>
      </x:c>
      <x:c r="C7" s="498"/>
      <x:c r="D7" s="498"/>
      <x:c r="E7" s="497" t="str">
        <x:v>JL. AIR MAWAR DALAM RT.003 RW.002</x:v>
      </x:c>
      <x:c r="F7" s="497" t="str">
        <x:v>AIR MAWAR</x:v>
      </x:c>
      <x:c r="G7" s="497" t="str">
        <x:v>BUKIT INTAN</x:v>
      </x:c>
      <x:c r="H7" s="497" t="str">
        <x:v>Pembangunan Baru</x:v>
      </x:c>
      <x:c r="I7" s="499" t="str">
        <x:v>RUMAH FULL PAPAN</x:v>
      </x:c>
      <x:c r="J7" s="508" t="str">
        <x:v>Nonpermanen</x:v>
      </x:c>
      <x:c r="K7" s="508" t="str">
        <x:v>Belum Diidentifikasi</x:v>
      </x:c>
      <x:c r="L7" s="508" t="str">
        <x:v>Belum Dinilai</x:v>
      </x:c>
      <x:c r="M7" s="509" t="str">
        <x:v>Papan/Kayu</x:v>
      </x:c>
      <x:c r="N7" s="508" t="str">
        <x:v>Belum Dinilai</x:v>
      </x:c>
      <x:c r="O7" s="510" t="str">
        <x:v>Belum Diidentifikasi</x:v>
      </x:c>
      <x:c r="P7" s="511" t="str">
        <x:v>Belum Dinilai</x:v>
      </x:c>
      <x:c r="Q7" s="522" t="str">
        <x:v>Lengkap</x:v>
      </x:c>
      <x:c r="R7" s="522"/>
      <x:c r="S7" s="523" t="str">
        <x:v>Sudah Diverifikasi</x:v>
      </x:c>
      <x:c r="T7" s="524" t="str">
        <x:v>Belum Ditangani</x:v>
      </x:c>
      <x:c r="U7" s="519"/>
      <x:c r="V7" s="519"/>
      <x:c r="W7" s="521" t="str">
        <x:v>Belum Diverifikasi</x:v>
      </x:c>
      <x:c r="X7" s="520"/>
      <x:c r="Y7" s="521"/>
      <x:c r="Z7" s="519" t="n">
        <x:v>2026</x:v>
      </x:c>
      <x:c r="AA7" s="520" t="str">
        <x:v>Usulan Musrenbang/Pokir DPRD</x:v>
      </x:c>
      <x:c r="AB7" s="521" t="n">
        <x:v>46218</x:v>
      </x:c>
      <x:c r="AC7" s="520" t="str">
        <x:v>Dinas Perkim Kota Pangkalpinang</x:v>
      </x:c>
      <x:c r="AE7" s="534"/>
      <x:c r="AF7" s="534"/>
    </x:row>
    <x:row r="8" ht="32" customHeight="1">
      <x:c r="A8" s="496" t="str">
        <x:v>RTLH-0003</x:v>
      </x:c>
      <x:c r="B8" s="497" t="str">
        <x:v>MOIFA</x:v>
      </x:c>
      <x:c r="C8" s="498"/>
      <x:c r="D8" s="498"/>
      <x:c r="E8" s="497" t="str">
        <x:v>JL. ARUS DALAM RT.003 RW.002</x:v>
      </x:c>
      <x:c r="F8" s="497" t="str">
        <x:v>AIR MAWAR</x:v>
      </x:c>
      <x:c r="G8" s="497" t="str">
        <x:v>BUKIT INTAN</x:v>
      </x:c>
      <x:c r="H8" s="497" t="str">
        <x:v>Pembangunan Baru</x:v>
      </x:c>
      <x:c r="I8" s="499" t="str">
        <x:v>RUMAH FULL PAPAN,DINDING PAPAN RUSAK SEDANG,ATAP SENG,</x:v>
      </x:c>
      <x:c r="J8" s="508" t="str">
        <x:v>Nonpermanen</x:v>
      </x:c>
      <x:c r="K8" s="508" t="str">
        <x:v>Seng</x:v>
      </x:c>
      <x:c r="L8" s="508" t="str">
        <x:v>Rusak Sedang</x:v>
      </x:c>
      <x:c r="M8" s="509" t="str">
        <x:v>Papan/Kayu</x:v>
      </x:c>
      <x:c r="N8" s="508" t="str">
        <x:v>Rusak Sedang</x:v>
      </x:c>
      <x:c r="O8" s="510" t="str">
        <x:v>Belum Diidentifikasi</x:v>
      </x:c>
      <x:c r="P8" s="511" t="str">
        <x:v>Belum Dinilai</x:v>
      </x:c>
      <x:c r="Q8" s="522" t="str">
        <x:v>Lengkap</x:v>
      </x:c>
      <x:c r="R8" s="522"/>
      <x:c r="S8" s="523" t="str">
        <x:v>Sudah Diverifikasi</x:v>
      </x:c>
      <x:c r="T8" s="524" t="str">
        <x:v>Selesai</x:v>
      </x:c>
      <x:c r="U8" s="519" t="str">
        <x:v>APBD Kota</x:v>
      </x:c>
      <x:c r="V8" s="519" t="n">
        <x:v>2023</x:v>
      </x:c>
      <x:c r="W8" s="521" t="str">
        <x:v>Belum Diverifikasi</x:v>
      </x:c>
      <x:c r="X8" s="520"/>
      <x:c r="Y8" s="521"/>
      <x:c r="Z8" s="519" t="n">
        <x:v>2026</x:v>
      </x:c>
      <x:c r="AA8" s="520" t="str">
        <x:v>Usulan Musrenbang/Pokir DPRD</x:v>
      </x:c>
      <x:c r="AB8" s="521" t="n">
        <x:v>46218</x:v>
      </x:c>
      <x:c r="AC8" s="520" t="str">
        <x:v>Dinas Perkim Kota Pangkalpinang</x:v>
      </x:c>
      <x:c r="AE8" s="534"/>
      <x:c r="AF8" s="534"/>
    </x:row>
    <x:row r="9" ht="32" customHeight="1">
      <x:c r="A9" s="496" t="str">
        <x:v>RTLH-0004</x:v>
      </x:c>
      <x:c r="B9" s="497" t="str">
        <x:v>ERLY TAHAR</x:v>
      </x:c>
      <x:c r="C9" s="498"/>
      <x:c r="D9" s="498"/>
      <x:c r="E9" s="497" t="str">
        <x:v>JL RATNA RAYA RT.002 RW.001</x:v>
      </x:c>
      <x:c r="F9" s="497" t="str">
        <x:v>SEMABUNG BARU</x:v>
      </x:c>
      <x:c r="G9" s="497" t="str">
        <x:v>GIRIMAYA</x:v>
      </x:c>
      <x:c r="H9" s="497" t="str">
        <x:v>Pembangunan Baru</x:v>
      </x:c>
      <x:c r="I9" s="499" t="str">
        <x:v>RUMAH SEMI PERMANEN,DINGDING PAPAN, RUSAK RINGAN,ATAP SENG</x:v>
      </x:c>
      <x:c r="J9" s="508" t="str">
        <x:v>Semipermanen</x:v>
      </x:c>
      <x:c r="K9" s="508" t="str">
        <x:v>Seng</x:v>
      </x:c>
      <x:c r="L9" s="508" t="str">
        <x:v>Rusak Ringan</x:v>
      </x:c>
      <x:c r="M9" s="509" t="str">
        <x:v>Papan/Kayu</x:v>
      </x:c>
      <x:c r="N9" s="508" t="str">
        <x:v>Rusak Ringan</x:v>
      </x:c>
      <x:c r="O9" s="510" t="str">
        <x:v>Belum Diidentifikasi</x:v>
      </x:c>
      <x:c r="P9" s="511" t="str">
        <x:v>Belum Dinilai</x:v>
      </x:c>
      <x:c r="Q9" s="522" t="str">
        <x:v>Belum Lengkap</x:v>
      </x:c>
      <x:c r="R9" s="522"/>
      <x:c r="S9" s="523" t="str">
        <x:v>Sudah Diverifikasi</x:v>
      </x:c>
      <x:c r="T9" s="524" t="str">
        <x:v>Belum Ditangani</x:v>
      </x:c>
      <x:c r="U9" s="519"/>
      <x:c r="V9" s="519"/>
      <x:c r="W9" s="521" t="str">
        <x:v>Belum Diverifikasi</x:v>
      </x:c>
      <x:c r="X9" s="520"/>
      <x:c r="Y9" s="521"/>
      <x:c r="Z9" s="519" t="n">
        <x:v>2026</x:v>
      </x:c>
      <x:c r="AA9" s="520" t="str">
        <x:v>Usulan Musrenbang/Pokir DPRD</x:v>
      </x:c>
      <x:c r="AB9" s="521" t="n">
        <x:v>46218</x:v>
      </x:c>
      <x:c r="AC9" s="520" t="str">
        <x:v>Dinas Perkim Kota Pangkalpinang</x:v>
      </x:c>
      <x:c r="AE9" s="261"/>
      <x:c r="AF9" s="261"/>
    </x:row>
    <x:row r="10" ht="32" customHeight="1">
      <x:c r="A10" s="496" t="str">
        <x:v>RTLH-0005</x:v>
      </x:c>
      <x:c r="B10" s="497" t="str">
        <x:v>SULAEHA SUNDARI</x:v>
      </x:c>
      <x:c r="C10" s="498"/>
      <x:c r="D10" s="498"/>
      <x:c r="E10" s="497" t="str">
        <x:v>JL. DEPATI HAMZAH RT.001 RW.001</x:v>
      </x:c>
      <x:c r="F10" s="497" t="str">
        <x:v>GAJAH MADA</x:v>
      </x:c>
      <x:c r="G10" s="497" t="str">
        <x:v>RANGKUI</x:v>
      </x:c>
      <x:c r="H10" s="497" t="str">
        <x:v>Peningkatan Kualitas</x:v>
      </x:c>
      <x:c r="I10" s="499" t="str">
        <x:v>RUMAH PERMANEN,KENDALA ( BANJIR SAAT HUJAN) BANGUNAN RUMAH DI ATAS SALURAN AIR (BANDAR)</x:v>
      </x:c>
      <x:c r="J10" s="508" t="str">
        <x:v>Permanen</x:v>
      </x:c>
      <x:c r="K10" s="508" t="str">
        <x:v>Belum Diidentifikasi</x:v>
      </x:c>
      <x:c r="L10" s="508" t="str">
        <x:v>Belum Dinilai</x:v>
      </x:c>
      <x:c r="M10" s="509" t="str">
        <x:v>Dinding Permanen (Material tidak dirinci)</x:v>
      </x:c>
      <x:c r="N10" s="508" t="str">
        <x:v>Belum Dinilai</x:v>
      </x:c>
      <x:c r="O10" s="510" t="str">
        <x:v>Belum Diidentifikasi</x:v>
      </x:c>
      <x:c r="P10" s="511" t="str">
        <x:v>Belum Dinilai</x:v>
      </x:c>
      <x:c r="Q10" s="522" t="str">
        <x:v>Lengkap</x:v>
      </x:c>
      <x:c r="R10" s="522"/>
      <x:c r="S10" s="523" t="str">
        <x:v>Sudah Diverifikasi</x:v>
      </x:c>
      <x:c r="T10" s="524" t="str">
        <x:v>Belum Ditangani</x:v>
      </x:c>
      <x:c r="U10" s="519"/>
      <x:c r="V10" s="519"/>
      <x:c r="W10" s="521" t="str">
        <x:v>Belum Diverifikasi</x:v>
      </x:c>
      <x:c r="X10" s="520"/>
      <x:c r="Y10" s="521"/>
      <x:c r="Z10" s="519" t="n">
        <x:v>2026</x:v>
      </x:c>
      <x:c r="AA10" s="520" t="str">
        <x:v>Usulan Musrenbang/Pokir DPRD</x:v>
      </x:c>
      <x:c r="AB10" s="521" t="n">
        <x:v>46218</x:v>
      </x:c>
      <x:c r="AC10" s="520" t="str">
        <x:v>Dinas Perkim Kota Pangkalpinang</x:v>
      </x:c>
      <x:c r="AE10" s="532"/>
      <x:c r="AF10" s="533"/>
    </x:row>
    <x:row r="11" ht="32" customHeight="1">
      <x:c r="A11" s="496" t="str">
        <x:v>RTLH-0006</x:v>
      </x:c>
      <x:c r="B11" s="497" t="str">
        <x:v>MUTROFIN</x:v>
      </x:c>
      <x:c r="C11" s="498"/>
      <x:c r="D11" s="498"/>
      <x:c r="E11" s="497" t="str">
        <x:v>JL. MUSTIKA 4 RT.008 RW.002</x:v>
      </x:c>
      <x:c r="F11" s="497" t="str">
        <x:v>SEMABUNG LAMA</x:v>
      </x:c>
      <x:c r="G11" s="497" t="str">
        <x:v>BUKIT INTAN</x:v>
      </x:c>
      <x:c r="H11" s="497" t="str">
        <x:v>Pembangunan Baru</x:v>
      </x:c>
      <x:c r="I11" s="499" t="str">
        <x:v>RUMAH BAGIAN UTAMA FULL PAPAN, BAGIAN DAPUR BARU DI RENOVASI (PERMANEN), ATAP ASBES,</x:v>
      </x:c>
      <x:c r="J11" s="508" t="str">
        <x:v>Semipermanen</x:v>
      </x:c>
      <x:c r="K11" s="508" t="str">
        <x:v>Asbes/Fiber Semen</x:v>
      </x:c>
      <x:c r="L11" s="508" t="str">
        <x:v>Belum Dinilai</x:v>
      </x:c>
      <x:c r="M11" s="509" t="str">
        <x:v>Papan/Kayu</x:v>
      </x:c>
      <x:c r="N11" s="508" t="str">
        <x:v>Belum Dinilai</x:v>
      </x:c>
      <x:c r="O11" s="510" t="str">
        <x:v>Belum Diidentifikasi</x:v>
      </x:c>
      <x:c r="P11" s="511" t="str">
        <x:v>Belum Dinilai</x:v>
      </x:c>
      <x:c r="Q11" s="522" t="str">
        <x:v>Lengkap</x:v>
      </x:c>
      <x:c r="R11" s="522"/>
      <x:c r="S11" s="523" t="str">
        <x:v>Sudah Diverifikasi</x:v>
      </x:c>
      <x:c r="T11" s="524" t="str">
        <x:v>Selesai</x:v>
      </x:c>
      <x:c r="U11" s="519" t="str">
        <x:v>APBD Kota</x:v>
      </x:c>
      <x:c r="V11" s="519" t="n">
        <x:v>2023</x:v>
      </x:c>
      <x:c r="W11" s="521" t="str">
        <x:v>Belum Diverifikasi</x:v>
      </x:c>
      <x:c r="X11" s="520"/>
      <x:c r="Y11" s="521"/>
      <x:c r="Z11" s="519" t="n">
        <x:v>2026</x:v>
      </x:c>
      <x:c r="AA11" s="520" t="str">
        <x:v>Usulan Musrenbang/Pokir DPRD</x:v>
      </x:c>
      <x:c r="AB11" s="521" t="n">
        <x:v>46218</x:v>
      </x:c>
      <x:c r="AC11" s="520" t="str">
        <x:v>Dinas Perkim Kota Pangkalpinang</x:v>
      </x:c>
      <x:c r="AE11" s="535"/>
      <x:c r="AF11" s="535"/>
    </x:row>
    <x:row r="12" ht="32" customHeight="1">
      <x:c r="A12" s="496" t="str">
        <x:v>RTLH-0007</x:v>
      </x:c>
      <x:c r="B12" s="497" t="str">
        <x:v>LAIJ TJHUN MOIJ</x:v>
      </x:c>
      <x:c r="C12" s="498"/>
      <x:c r="D12" s="498"/>
      <x:c r="E12" s="497" t="str">
        <x:v>JL. NIPAH III RT.006 RW.002</x:v>
      </x:c>
      <x:c r="F12" s="497" t="str">
        <x:v>PASIR PUTIH</x:v>
      </x:c>
      <x:c r="G12" s="497" t="str">
        <x:v>BUKIT INTAN</x:v>
      </x:c>
      <x:c r="H12" s="497" t="str">
        <x:v>Pembangunan Baru</x:v>
      </x:c>
      <x:c r="I12" s="499" t="str">
        <x:v>RUMAH RUSAK PARAH, RUMAH DAERAH RAWA-RAWA,</x:v>
      </x:c>
      <x:c r="J12" s="508" t="str">
        <x:v>Belum Dapat Ditentukan</x:v>
      </x:c>
      <x:c r="K12" s="508" t="str">
        <x:v>Belum Diidentifikasi</x:v>
      </x:c>
      <x:c r="L12" s="508" t="str">
        <x:v>Belum Dinilai</x:v>
      </x:c>
      <x:c r="M12" s="509" t="str">
        <x:v>Belum Diidentifikasi</x:v>
      </x:c>
      <x:c r="N12" s="508" t="str">
        <x:v>Belum Dinilai</x:v>
      </x:c>
      <x:c r="O12" s="510" t="str">
        <x:v>Belum Diidentifikasi</x:v>
      </x:c>
      <x:c r="P12" s="511" t="str">
        <x:v>Belum Dinilai</x:v>
      </x:c>
      <x:c r="Q12" s="522" t="str">
        <x:v>Lengkap</x:v>
      </x:c>
      <x:c r="R12" s="522"/>
      <x:c r="S12" s="523" t="str">
        <x:v>Sudah Diverifikasi</x:v>
      </x:c>
      <x:c r="T12" s="524" t="str">
        <x:v>Belum Ditangani</x:v>
      </x:c>
      <x:c r="U12" s="519"/>
      <x:c r="V12" s="519"/>
      <x:c r="W12" s="521" t="str">
        <x:v>Belum Diverifikasi</x:v>
      </x:c>
      <x:c r="X12" s="520"/>
      <x:c r="Y12" s="521"/>
      <x:c r="Z12" s="519" t="n">
        <x:v>2026</x:v>
      </x:c>
      <x:c r="AA12" s="520" t="str">
        <x:v>Usulan Musrenbang/Pokir DPRD</x:v>
      </x:c>
      <x:c r="AB12" s="521" t="n">
        <x:v>46218</x:v>
      </x:c>
      <x:c r="AC12" s="520" t="str">
        <x:v>Dinas Perkim Kota Pangkalpinang</x:v>
      </x:c>
      <x:c r="AE12" s="535"/>
      <x:c r="AF12" s="535"/>
    </x:row>
    <x:row r="13" ht="32" customHeight="1">
      <x:c r="A13" s="496" t="str">
        <x:v>RTLH-0008</x:v>
      </x:c>
      <x:c r="B13" s="497" t="str">
        <x:v>FIKA RAMADHANI</x:v>
      </x:c>
      <x:c r="C13" s="498"/>
      <x:c r="D13" s="498"/>
      <x:c r="E13" s="497" t="str">
        <x:v>JL. NILA DAAM NO.74</x:v>
      </x:c>
      <x:c r="F13" s="497" t="str">
        <x:v>REJOSARI</x:v>
      </x:c>
      <x:c r="G13" s="497" t="str">
        <x:v>PANGKAL BALAM</x:v>
      </x:c>
      <x:c r="H13" s="497" t="str">
        <x:v>Pembangunan Baru</x:v>
      </x:c>
      <x:c r="I13" s="499" t="str">
        <x:v>RUMAH RUSAK SEDANG ,BAGIAN DINDING DAN ATAP RUSAK BERAT SEBAGIAN</x:v>
      </x:c>
      <x:c r="J13" s="508" t="str">
        <x:v>Belum Dapat Ditentukan</x:v>
      </x:c>
      <x:c r="K13" s="508" t="str">
        <x:v>Belum Diidentifikasi</x:v>
      </x:c>
      <x:c r="L13" s="508" t="str">
        <x:v>Rusak Berat</x:v>
      </x:c>
      <x:c r="M13" s="509" t="str">
        <x:v>Belum Diidentifikasi</x:v>
      </x:c>
      <x:c r="N13" s="508" t="str">
        <x:v>Rusak Berat</x:v>
      </x:c>
      <x:c r="O13" s="510" t="str">
        <x:v>Belum Diidentifikasi</x:v>
      </x:c>
      <x:c r="P13" s="511" t="str">
        <x:v>Belum Dinilai</x:v>
      </x:c>
      <x:c r="Q13" s="522" t="str">
        <x:v>Lengkap</x:v>
      </x:c>
      <x:c r="R13" s="522"/>
      <x:c r="S13" s="523" t="str">
        <x:v>Sudah Diverifikasi</x:v>
      </x:c>
      <x:c r="T13" s="524" t="str">
        <x:v>Belum Ditangani</x:v>
      </x:c>
      <x:c r="U13" s="519"/>
      <x:c r="V13" s="519"/>
      <x:c r="W13" s="521" t="str">
        <x:v>Belum Diverifikasi</x:v>
      </x:c>
      <x:c r="X13" s="520"/>
      <x:c r="Y13" s="521"/>
      <x:c r="Z13" s="519" t="n">
        <x:v>2026</x:v>
      </x:c>
      <x:c r="AA13" s="520" t="str">
        <x:v>Usulan Musrenbang/Pokir DPRD</x:v>
      </x:c>
      <x:c r="AB13" s="521" t="n">
        <x:v>46218</x:v>
      </x:c>
      <x:c r="AC13" s="520" t="str">
        <x:v>Dinas Perkim Kota Pangkalpinang</x:v>
      </x:c>
      <x:c r="AE13" s="535"/>
      <x:c r="AF13" s="535"/>
    </x:row>
    <x:row r="14" ht="32" customHeight="1">
      <x:c r="A14" s="496" t="str">
        <x:v>RTLH-0009</x:v>
      </x:c>
      <x:c r="B14" s="497" t="str">
        <x:v>MARIYATI</x:v>
      </x:c>
      <x:c r="C14" s="498"/>
      <x:c r="D14" s="498"/>
      <x:c r="E14" s="497" t="str">
        <x:v>GG. LOHAN II NO.47</x:v>
      </x:c>
      <x:c r="F14" s="497" t="str">
        <x:v>GABEK I</x:v>
      </x:c>
      <x:c r="G14" s="497" t="str">
        <x:v>GABEK</x:v>
      </x:c>
      <x:c r="H14" s="497" t="str">
        <x:v>Pembangunan Baru</x:v>
      </x:c>
      <x:c r="I14" s="499" t="str">
        <x:v>RUMAH KONDISI MASIH BAGUS</x:v>
      </x:c>
      <x:c r="J14" s="508" t="str">
        <x:v>Belum Dapat Ditentukan</x:v>
      </x:c>
      <x:c r="K14" s="508" t="str">
        <x:v>Belum Diidentifikasi</x:v>
      </x:c>
      <x:c r="L14" s="508" t="str">
        <x:v>Belum Dinilai</x:v>
      </x:c>
      <x:c r="M14" s="509" t="str">
        <x:v>Belum Diidentifikasi</x:v>
      </x:c>
      <x:c r="N14" s="508" t="str">
        <x:v>Belum Dinilai</x:v>
      </x:c>
      <x:c r="O14" s="510" t="str">
        <x:v>Belum Diidentifikasi</x:v>
      </x:c>
      <x:c r="P14" s="511" t="str">
        <x:v>Belum Dinilai</x:v>
      </x:c>
      <x:c r="Q14" s="522" t="str">
        <x:v>Lengkap</x:v>
      </x:c>
      <x:c r="R14" s="522"/>
      <x:c r="S14" s="523" t="str">
        <x:v>Sudah Diverifikasi</x:v>
      </x:c>
      <x:c r="T14" s="524" t="str">
        <x:v>Belum Ditangani</x:v>
      </x:c>
      <x:c r="U14" s="519"/>
      <x:c r="V14" s="519"/>
      <x:c r="W14" s="521" t="str">
        <x:v>Belum Diverifikasi</x:v>
      </x:c>
      <x:c r="X14" s="520"/>
      <x:c r="Y14" s="521"/>
      <x:c r="Z14" s="519" t="n">
        <x:v>2026</x:v>
      </x:c>
      <x:c r="AA14" s="520" t="str">
        <x:v>Usulan Musrenbang/Pokir DPRD</x:v>
      </x:c>
      <x:c r="AB14" s="521" t="n">
        <x:v>46218</x:v>
      </x:c>
      <x:c r="AC14" s="520" t="str">
        <x:v>Dinas Perkim Kota Pangkalpinang</x:v>
      </x:c>
      <x:c r="AE14" s="535"/>
      <x:c r="AF14" s="535"/>
    </x:row>
    <x:row r="15" ht="32" customHeight="1">
      <x:c r="A15" s="496" t="str">
        <x:v>RTLH-0010</x:v>
      </x:c>
      <x:c r="B15" s="497" t="str">
        <x:v>SADUANTO</x:v>
      </x:c>
      <x:c r="C15" s="498"/>
      <x:c r="D15" s="498"/>
      <x:c r="E15" s="497" t="str">
        <x:v>GG YOS SUDARSO III</x:v>
      </x:c>
      <x:c r="F15" s="497" t="str">
        <x:v>GABEK II</x:v>
      </x:c>
      <x:c r="G15" s="497" t="str">
        <x:v>GABEK</x:v>
      </x:c>
      <x:c r="H15" s="497" t="str">
        <x:v>Pembangunan Baru</x:v>
      </x:c>
      <x:c r="I15" s="499" t="str">
        <x:v>KONDISI KESELURUHAN RUMAH RUSAK SEDANG ,CUMA ATAP RUSAK BERAT</x:v>
      </x:c>
      <x:c r="J15" s="508" t="str">
        <x:v>Belum Dapat Ditentukan</x:v>
      </x:c>
      <x:c r="K15" s="508" t="str">
        <x:v>Belum Diidentifikasi</x:v>
      </x:c>
      <x:c r="L15" s="508" t="str">
        <x:v>Rusak Berat</x:v>
      </x:c>
      <x:c r="M15" s="509" t="str">
        <x:v>Belum Diidentifikasi</x:v>
      </x:c>
      <x:c r="N15" s="508" t="str">
        <x:v>Belum Dinilai</x:v>
      </x:c>
      <x:c r="O15" s="510" t="str">
        <x:v>Belum Diidentifikasi</x:v>
      </x:c>
      <x:c r="P15" s="511" t="str">
        <x:v>Belum Dinilai</x:v>
      </x:c>
      <x:c r="Q15" s="522" t="str">
        <x:v>Lengkap</x:v>
      </x:c>
      <x:c r="R15" s="522"/>
      <x:c r="S15" s="523" t="str">
        <x:v>Sudah Diverifikasi</x:v>
      </x:c>
      <x:c r="T15" s="524" t="str">
        <x:v>Belum Ditangani</x:v>
      </x:c>
      <x:c r="U15" s="519"/>
      <x:c r="V15" s="519"/>
      <x:c r="W15" s="521" t="str">
        <x:v>Belum Diverifikasi</x:v>
      </x:c>
      <x:c r="X15" s="520"/>
      <x:c r="Y15" s="521"/>
      <x:c r="Z15" s="519" t="n">
        <x:v>2026</x:v>
      </x:c>
      <x:c r="AA15" s="520" t="str">
        <x:v>Usulan Musrenbang/Pokir DPRD</x:v>
      </x:c>
      <x:c r="AB15" s="521" t="n">
        <x:v>46218</x:v>
      </x:c>
      <x:c r="AC15" s="520" t="str">
        <x:v>Dinas Perkim Kota Pangkalpinang</x:v>
      </x:c>
      <x:c r="AE15" s="535"/>
      <x:c r="AF15" s="535"/>
    </x:row>
    <x:row r="16" ht="32" customHeight="1">
      <x:c r="A16" s="496" t="str">
        <x:v>RTLH-0011</x:v>
      </x:c>
      <x:c r="B16" s="497" t="str">
        <x:v>JANUAR FIKRI</x:v>
      </x:c>
      <x:c r="C16" s="498"/>
      <x:c r="D16" s="498"/>
      <x:c r="E16" s="497" t="str">
        <x:v>JL. FATMAWATI DALAM</x:v>
      </x:c>
      <x:c r="F16" s="497" t="str">
        <x:v>JERAMBAH GANTUNG</x:v>
      </x:c>
      <x:c r="G16" s="497" t="str">
        <x:v>GABEK</x:v>
      </x:c>
      <x:c r="H16" s="497" t="str">
        <x:v>Pembangunan Baru</x:v>
      </x:c>
      <x:c r="I16" s="499" t="str">
        <x:v>KESELURUHAN RUMAH RUSAK SEDANG</x:v>
      </x:c>
      <x:c r="J16" s="508" t="str">
        <x:v>Belum Dapat Ditentukan</x:v>
      </x:c>
      <x:c r="K16" s="508" t="str">
        <x:v>Belum Diidentifikasi</x:v>
      </x:c>
      <x:c r="L16" s="508" t="str">
        <x:v>Belum Dinilai</x:v>
      </x:c>
      <x:c r="M16" s="509" t="str">
        <x:v>Belum Diidentifikasi</x:v>
      </x:c>
      <x:c r="N16" s="508" t="str">
        <x:v>Belum Dinilai</x:v>
      </x:c>
      <x:c r="O16" s="510" t="str">
        <x:v>Belum Diidentifikasi</x:v>
      </x:c>
      <x:c r="P16" s="511" t="str">
        <x:v>Belum Dinilai</x:v>
      </x:c>
      <x:c r="Q16" s="522" t="str">
        <x:v>Lengkap</x:v>
      </x:c>
      <x:c r="R16" s="522"/>
      <x:c r="S16" s="523" t="str">
        <x:v>Sudah Diverifikasi</x:v>
      </x:c>
      <x:c r="T16" s="524" t="str">
        <x:v>Belum Ditangani</x:v>
      </x:c>
      <x:c r="U16" s="519"/>
      <x:c r="V16" s="519"/>
      <x:c r="W16" s="521" t="str">
        <x:v>Belum Diverifikasi</x:v>
      </x:c>
      <x:c r="X16" s="520"/>
      <x:c r="Y16" s="521"/>
      <x:c r="Z16" s="519" t="n">
        <x:v>2026</x:v>
      </x:c>
      <x:c r="AA16" s="520" t="str">
        <x:v>Usulan Musrenbang/Pokir DPRD</x:v>
      </x:c>
      <x:c r="AB16" s="521" t="n">
        <x:v>46218</x:v>
      </x:c>
      <x:c r="AC16" s="520" t="str">
        <x:v>Dinas Perkim Kota Pangkalpinang</x:v>
      </x:c>
      <x:c r="AE16" s="535"/>
      <x:c r="AF16" s="535"/>
    </x:row>
    <x:row r="17" ht="32" customHeight="1">
      <x:c r="A17" s="496" t="str">
        <x:v>RTLH-0012</x:v>
      </x:c>
      <x:c r="B17" s="497" t="str">
        <x:v>MARTOYAH</x:v>
      </x:c>
      <x:c r="C17" s="498"/>
      <x:c r="D17" s="498"/>
      <x:c r="E17" s="497" t="str">
        <x:v>JL. EKOR KUNING VI</x:v>
      </x:c>
      <x:c r="F17" s="497" t="str">
        <x:v>Belum tersedia</x:v>
      </x:c>
      <x:c r="G17" s="497" t="str">
        <x:v>PANGKAL BALAM</x:v>
      </x:c>
      <x:c r="H17" s="497" t="str">
        <x:v>Pembangunan Baru</x:v>
      </x:c>
      <x:c r="I17" s="499" t="str">
        <x:v>KONDISI RUMAH RUSAK PARAH TERMASUK DINDING ,ATAP</x:v>
      </x:c>
      <x:c r="J17" s="508" t="str">
        <x:v>Belum Dapat Ditentukan</x:v>
      </x:c>
      <x:c r="K17" s="508" t="str">
        <x:v>Belum Diidentifikasi</x:v>
      </x:c>
      <x:c r="L17" s="508" t="str">
        <x:v>Rusak Berat</x:v>
      </x:c>
      <x:c r="M17" s="509" t="str">
        <x:v>Belum Diidentifikasi</x:v>
      </x:c>
      <x:c r="N17" s="508" t="str">
        <x:v>Rusak Berat</x:v>
      </x:c>
      <x:c r="O17" s="510" t="str">
        <x:v>Belum Diidentifikasi</x:v>
      </x:c>
      <x:c r="P17" s="511" t="str">
        <x:v>Belum Dinilai</x:v>
      </x:c>
      <x:c r="Q17" s="522" t="str">
        <x:v>Belum Lengkap</x:v>
      </x:c>
      <x:c r="R17" s="522"/>
      <x:c r="S17" s="523" t="str">
        <x:v>Sudah Diverifikasi</x:v>
      </x:c>
      <x:c r="T17" s="524" t="str">
        <x:v>Belum Ditangani</x:v>
      </x:c>
      <x:c r="U17" s="519"/>
      <x:c r="V17" s="519"/>
      <x:c r="W17" s="521" t="str">
        <x:v>Belum Diverifikasi</x:v>
      </x:c>
      <x:c r="X17" s="520"/>
      <x:c r="Y17" s="521"/>
      <x:c r="Z17" s="519" t="n">
        <x:v>2026</x:v>
      </x:c>
      <x:c r="AA17" s="520" t="str">
        <x:v>Usulan Musrenbang/Pokir DPRD</x:v>
      </x:c>
      <x:c r="AB17" s="521" t="n">
        <x:v>46218</x:v>
      </x:c>
      <x:c r="AC17" s="520" t="str">
        <x:v>Dinas Perkim Kota Pangkalpinang</x:v>
      </x:c>
      <x:c r="AE17" s="535"/>
      <x:c r="AF17" s="535"/>
    </x:row>
    <x:row r="18" ht="32" customHeight="1">
      <x:c r="A18" s="496" t="str">
        <x:v>RTLH-0013</x:v>
      </x:c>
      <x:c r="B18" s="497" t="str">
        <x:v>M.YAMIN</x:v>
      </x:c>
      <x:c r="C18" s="498"/>
      <x:c r="D18" s="498"/>
      <x:c r="E18" s="497" t="str">
        <x:v>JL. A YANI GG.17</x:v>
      </x:c>
      <x:c r="F18" s="497" t="str">
        <x:v>KEJAKSAAN</x:v>
      </x:c>
      <x:c r="G18" s="497" t="str">
        <x:v>TAMAN SARI</x:v>
      </x:c>
      <x:c r="H18" s="497" t="str">
        <x:v>Peningkatan Kualitas</x:v>
      </x:c>
      <x:c r="I18" s="499" t="str">
        <x:v>KESELURUHAN RUMAH RUSAK PARAH , ATAP DAN DNDING BOCOR</x:v>
      </x:c>
      <x:c r="J18" s="508" t="str">
        <x:v>Belum Dapat Ditentukan</x:v>
      </x:c>
      <x:c r="K18" s="508" t="str">
        <x:v>Belum Diidentifikasi</x:v>
      </x:c>
      <x:c r="L18" s="508" t="str">
        <x:v>Rusak Berat</x:v>
      </x:c>
      <x:c r="M18" s="509" t="str">
        <x:v>Belum Diidentifikasi</x:v>
      </x:c>
      <x:c r="N18" s="508" t="str">
        <x:v>Belum Dinilai</x:v>
      </x:c>
      <x:c r="O18" s="510" t="str">
        <x:v>Belum Diidentifikasi</x:v>
      </x:c>
      <x:c r="P18" s="511" t="str">
        <x:v>Belum Dinilai</x:v>
      </x:c>
      <x:c r="Q18" s="522" t="str">
        <x:v>Lengkap</x:v>
      </x:c>
      <x:c r="R18" s="522"/>
      <x:c r="S18" s="523" t="str">
        <x:v>Sudah Diverifikasi</x:v>
      </x:c>
      <x:c r="T18" s="524" t="str">
        <x:v>Belum Ditangani</x:v>
      </x:c>
      <x:c r="U18" s="519"/>
      <x:c r="V18" s="519"/>
      <x:c r="W18" s="521" t="str">
        <x:v>Belum Diverifikasi</x:v>
      </x:c>
      <x:c r="X18" s="520"/>
      <x:c r="Y18" s="521"/>
      <x:c r="Z18" s="519" t="n">
        <x:v>2026</x:v>
      </x:c>
      <x:c r="AA18" s="520" t="str">
        <x:v>Usulan Musrenbang/Pokir DPRD</x:v>
      </x:c>
      <x:c r="AB18" s="521" t="n">
        <x:v>46218</x:v>
      </x:c>
      <x:c r="AC18" s="520" t="str">
        <x:v>Dinas Perkim Kota Pangkalpinang</x:v>
      </x:c>
      <x:c r="AE18" s="261"/>
      <x:c r="AF18" s="261"/>
    </x:row>
    <x:row r="19" ht="32" customHeight="1">
      <x:c r="A19" s="496" t="str">
        <x:v>RTLH-0016</x:v>
      </x:c>
      <x:c r="B19" s="497" t="str">
        <x:v>KASMAH</x:v>
      </x:c>
      <x:c r="C19" s="498"/>
      <x:c r="D19" s="498"/>
      <x:c r="E19" s="497" t="str">
        <x:v>GG. BANDES RT.007 RW.003</x:v>
      </x:c>
      <x:c r="F19" s="497" t="str">
        <x:v>AIR ITAM</x:v>
      </x:c>
      <x:c r="G19" s="497" t="str">
        <x:v>BUKIT INTAN</x:v>
      </x:c>
      <x:c r="H19" s="497" t="str">
        <x:v>Pembangunan Baru</x:v>
      </x:c>
      <x:c r="I19" s="499" t="str">
        <x:v>RUMAH FULL PAPAN</x:v>
      </x:c>
      <x:c r="J19" s="508" t="str">
        <x:v>Nonpermanen</x:v>
      </x:c>
      <x:c r="K19" s="508" t="str">
        <x:v>Belum Diidentifikasi</x:v>
      </x:c>
      <x:c r="L19" s="508" t="str">
        <x:v>Belum Dinilai</x:v>
      </x:c>
      <x:c r="M19" s="509" t="str">
        <x:v>Papan/Kayu</x:v>
      </x:c>
      <x:c r="N19" s="508" t="str">
        <x:v>Belum Dinilai</x:v>
      </x:c>
      <x:c r="O19" s="510" t="str">
        <x:v>Belum Diidentifikasi</x:v>
      </x:c>
      <x:c r="P19" s="511" t="str">
        <x:v>Belum Dinilai</x:v>
      </x:c>
      <x:c r="Q19" s="522" t="str">
        <x:v>Lengkap</x:v>
      </x:c>
      <x:c r="R19" s="522"/>
      <x:c r="S19" s="523" t="str">
        <x:v>Sudah Diverifikasi</x:v>
      </x:c>
      <x:c r="T19" s="524" t="str">
        <x:v>Belum Ditangani</x:v>
      </x:c>
      <x:c r="U19" s="519"/>
      <x:c r="V19" s="519"/>
      <x:c r="W19" s="521" t="str">
        <x:v>Belum Diverifikasi</x:v>
      </x:c>
      <x:c r="X19" s="520"/>
      <x:c r="Y19" s="521"/>
      <x:c r="Z19" s="519" t="n">
        <x:v>2026</x:v>
      </x:c>
      <x:c r="AA19" s="520" t="str">
        <x:v>Usulan Musrenbang/Pokir DPRD</x:v>
      </x:c>
      <x:c r="AB19" s="521" t="n">
        <x:v>46218</x:v>
      </x:c>
      <x:c r="AC19" s="520" t="str">
        <x:v>Dinas Perkim Kota Pangkalpinang</x:v>
      </x:c>
      <x:c r="AE19" s="532"/>
      <x:c r="AF19" s="533"/>
    </x:row>
    <x:row r="20" ht="32" customHeight="1">
      <x:c r="A20" s="496" t="str">
        <x:v>RTLH-0018</x:v>
      </x:c>
      <x:c r="B20" s="497" t="str">
        <x:v>USMAN</x:v>
      </x:c>
      <x:c r="C20" s="498"/>
      <x:c r="D20" s="498"/>
      <x:c r="E20" s="497" t="str">
        <x:v>JL. MENGKUDU RT.008 RW.003</x:v>
      </x:c>
      <x:c r="F20" s="497" t="str">
        <x:v>TUATUNU</x:v>
      </x:c>
      <x:c r="G20" s="497" t="str">
        <x:v>GERUNGGANG</x:v>
      </x:c>
      <x:c r="H20" s="497" t="str">
        <x:v>Pembangunan Baru</x:v>
      </x:c>
      <x:c r="I20" s="499" t="str">
        <x:v>SURAT TANAH ATAS NAMA SENDIRI.RUMAH FULL PAPAN.ATAP ASBES.LANTAI SEMEN.</x:v>
      </x:c>
      <x:c r="J20" s="508" t="str">
        <x:v>Nonpermanen</x:v>
      </x:c>
      <x:c r="K20" s="508" t="str">
        <x:v>Asbes/Fiber Semen</x:v>
      </x:c>
      <x:c r="L20" s="508" t="str">
        <x:v>Belum Dinilai</x:v>
      </x:c>
      <x:c r="M20" s="509" t="str">
        <x:v>Papan/Kayu</x:v>
      </x:c>
      <x:c r="N20" s="508" t="str">
        <x:v>Belum Dinilai</x:v>
      </x:c>
      <x:c r="O20" s="510" t="str">
        <x:v>Semen/Plester</x:v>
      </x:c>
      <x:c r="P20" s="511" t="str">
        <x:v>Belum Dinilai</x:v>
      </x:c>
      <x:c r="Q20" s="522" t="str">
        <x:v>Belum Lengkap</x:v>
      </x:c>
      <x:c r="R20" s="522"/>
      <x:c r="S20" s="523" t="str">
        <x:v>Sudah Diverifikasi</x:v>
      </x:c>
      <x:c r="T20" s="524" t="str">
        <x:v>Selesai</x:v>
      </x:c>
      <x:c r="U20" s="519" t="str">
        <x:v>BSPS</x:v>
      </x:c>
      <x:c r="V20" s="519" t="n">
        <x:v>2024</x:v>
      </x:c>
      <x:c r="W20" s="521" t="str">
        <x:v>Milik Sendiri</x:v>
      </x:c>
      <x:c r="X20" s="520"/>
      <x:c r="Y20" s="521"/>
      <x:c r="Z20" s="519" t="n">
        <x:v>2026</x:v>
      </x:c>
      <x:c r="AA20" s="520" t="str">
        <x:v>Usulan Musrenbang/Pokir DPRD</x:v>
      </x:c>
      <x:c r="AB20" s="521" t="n">
        <x:v>46218</x:v>
      </x:c>
      <x:c r="AC20" s="520" t="str">
        <x:v>Dinas Perkim Kota Pangkalpinang</x:v>
      </x:c>
      <x:c r="AE20" s="468"/>
      <x:c r="AF20" s="468"/>
    </x:row>
    <x:row r="21" ht="32" customHeight="1">
      <x:c r="A21" s="496" t="str">
        <x:v>RTLH-0019</x:v>
      </x:c>
      <x:c r="B21" s="497" t="str">
        <x:v>ROHANA</x:v>
      </x:c>
      <x:c r="C21" s="498"/>
      <x:c r="D21" s="498"/>
      <x:c r="E21" s="497" t="str">
        <x:v>JL.KURMA RT.003 RW.001</x:v>
      </x:c>
      <x:c r="F21" s="497" t="str">
        <x:v>AIR KEPALA TUJUH</x:v>
      </x:c>
      <x:c r="G21" s="497" t="str">
        <x:v>GERUNGGANG</x:v>
      </x:c>
      <x:c r="H21" s="497" t="str">
        <x:v>Pembangunan Baru</x:v>
      </x:c>
      <x:c r="I21" s="499" t="str">
        <x:v>SURAT TANAH Lengkap. RUMAH FULL PAPAN. ATAP ASBES.</x:v>
      </x:c>
      <x:c r="J21" s="508" t="str">
        <x:v>Nonpermanen</x:v>
      </x:c>
      <x:c r="K21" s="508" t="str">
        <x:v>Asbes/Fiber Semen</x:v>
      </x:c>
      <x:c r="L21" s="508" t="str">
        <x:v>Belum Dinilai</x:v>
      </x:c>
      <x:c r="M21" s="509" t="str">
        <x:v>Papan/Kayu</x:v>
      </x:c>
      <x:c r="N21" s="508" t="str">
        <x:v>Belum Dinilai</x:v>
      </x:c>
      <x:c r="O21" s="510" t="str">
        <x:v>Belum Diidentifikasi</x:v>
      </x:c>
      <x:c r="P21" s="511" t="str">
        <x:v>Belum Dinilai</x:v>
      </x:c>
      <x:c r="Q21" s="522" t="str">
        <x:v>Lengkap</x:v>
      </x:c>
      <x:c r="R21" s="522"/>
      <x:c r="S21" s="523" t="str">
        <x:v>Sudah Diverifikasi</x:v>
      </x:c>
      <x:c r="T21" s="524" t="str">
        <x:v>Belum Ditangani</x:v>
      </x:c>
      <x:c r="U21" s="519"/>
      <x:c r="V21" s="519"/>
      <x:c r="W21" s="521" t="str">
        <x:v>Belum Diverifikasi</x:v>
      </x:c>
      <x:c r="X21" s="520"/>
      <x:c r="Y21" s="521"/>
      <x:c r="Z21" s="519" t="n">
        <x:v>2026</x:v>
      </x:c>
      <x:c r="AA21" s="520" t="str">
        <x:v>Usulan Musrenbang/Pokir DPRD</x:v>
      </x:c>
      <x:c r="AB21" s="521" t="n">
        <x:v>46218</x:v>
      </x:c>
      <x:c r="AC21" s="520" t="str">
        <x:v>Dinas Perkim Kota Pangkalpinang</x:v>
      </x:c>
    </x:row>
    <x:row r="22" ht="32" customHeight="1">
      <x:c r="A22" s="496" t="str">
        <x:v>RTLH-0020</x:v>
      </x:c>
      <x:c r="B22" s="497" t="str">
        <x:v>BONG A THIN</x:v>
      </x:c>
      <x:c r="C22" s="498"/>
      <x:c r="D22" s="498"/>
      <x:c r="E22" s="497" t="str">
        <x:v>JL. TELUK BAYUR</x:v>
      </x:c>
      <x:c r="F22" s="497" t="str">
        <x:v>PASIR PUTIH</x:v>
      </x:c>
      <x:c r="G22" s="497" t="str">
        <x:v>BUKIT INTAN</x:v>
      </x:c>
      <x:c r="H22" s="497" t="str">
        <x:v>Pembangunan Baru</x:v>
      </x:c>
      <x:c r="I22" s="499" t="str">
        <x:v>RUMAH FULL PAPAN,ATAP GENTENG,SEBAGIAN ASBES, DINDING RUSAK RINGAN, KEADAAN DAPUR RUSAK PARAH, LANTAI FULL FLOOR,</x:v>
      </x:c>
      <x:c r="J22" s="508" t="str">
        <x:v>Nonpermanen</x:v>
      </x:c>
      <x:c r="K22" s="508" t="str">
        <x:v>Campuran</x:v>
      </x:c>
      <x:c r="L22" s="508" t="str">
        <x:v>Belum Dinilai</x:v>
      </x:c>
      <x:c r="M22" s="509" t="str">
        <x:v>Papan/Kayu</x:v>
      </x:c>
      <x:c r="N22" s="508" t="str">
        <x:v>Rusak Berat</x:v>
      </x:c>
      <x:c r="O22" s="510" t="str">
        <x:v>Semen/Plester</x:v>
      </x:c>
      <x:c r="P22" s="511" t="str">
        <x:v>Rusak Berat</x:v>
      </x:c>
      <x:c r="Q22" s="522" t="str">
        <x:v>Lengkap</x:v>
      </x:c>
      <x:c r="R22" s="522"/>
      <x:c r="S22" s="523" t="str">
        <x:v>Sudah Diverifikasi</x:v>
      </x:c>
      <x:c r="T22" s="524" t="str">
        <x:v>Belum Ditangani</x:v>
      </x:c>
      <x:c r="U22" s="519"/>
      <x:c r="V22" s="519"/>
      <x:c r="W22" s="521" t="str">
        <x:v>Belum Diverifikasi</x:v>
      </x:c>
      <x:c r="X22" s="520"/>
      <x:c r="Y22" s="521"/>
      <x:c r="Z22" s="519" t="n">
        <x:v>2026</x:v>
      </x:c>
      <x:c r="AA22" s="520" t="str">
        <x:v>Usulan Musrenbang/Pokir DPRD</x:v>
      </x:c>
      <x:c r="AB22" s="521" t="n">
        <x:v>46218</x:v>
      </x:c>
      <x:c r="AC22" s="520" t="str">
        <x:v>Dinas Perkim Kota Pangkalpinang</x:v>
      </x:c>
    </x:row>
    <x:row r="23" ht="32" customHeight="1">
      <x:c r="A23" s="496" t="str">
        <x:v>RTLH-0022</x:v>
      </x:c>
      <x:c r="B23" s="497" t="str">
        <x:v>NASIR</x:v>
      </x:c>
      <x:c r="C23" s="498"/>
      <x:c r="D23" s="498"/>
      <x:c r="E23" s="497" t="str">
        <x:v>JL. PADANG LAMA RT.009 RW.003</x:v>
      </x:c>
      <x:c r="F23" s="497" t="str">
        <x:v>AIR ITAM</x:v>
      </x:c>
      <x:c r="G23" s="497" t="str">
        <x:v>BUKIT INTAN</x:v>
      </x:c>
      <x:c r="H23" s="497" t="str">
        <x:v>Pembangunan Baru</x:v>
      </x:c>
      <x:c r="I23" s="499" t="str">
        <x:v>RUMAH FULL PAPAN, ATAP SENG ,DINDING PAPAN RUSAK SEDANG, LANTAI FLOOR</x:v>
      </x:c>
      <x:c r="J23" s="508" t="str">
        <x:v>Nonpermanen</x:v>
      </x:c>
      <x:c r="K23" s="508" t="str">
        <x:v>Seng</x:v>
      </x:c>
      <x:c r="L23" s="508" t="str">
        <x:v>Rusak Sedang</x:v>
      </x:c>
      <x:c r="M23" s="509" t="str">
        <x:v>Papan/Kayu</x:v>
      </x:c>
      <x:c r="N23" s="508" t="str">
        <x:v>Rusak Sedang</x:v>
      </x:c>
      <x:c r="O23" s="510" t="str">
        <x:v>Semen/Plester</x:v>
      </x:c>
      <x:c r="P23" s="511" t="str">
        <x:v>Rusak Sedang</x:v>
      </x:c>
      <x:c r="Q23" s="522" t="str">
        <x:v>Lengkap</x:v>
      </x:c>
      <x:c r="R23" s="522"/>
      <x:c r="S23" s="523" t="str">
        <x:v>Sudah Diverifikasi</x:v>
      </x:c>
      <x:c r="T23" s="524" t="str">
        <x:v>Belum Ditangani</x:v>
      </x:c>
      <x:c r="U23" s="519"/>
      <x:c r="V23" s="519"/>
      <x:c r="W23" s="521" t="str">
        <x:v>Belum Diverifikasi</x:v>
      </x:c>
      <x:c r="X23" s="520"/>
      <x:c r="Y23" s="521"/>
      <x:c r="Z23" s="519" t="n">
        <x:v>2026</x:v>
      </x:c>
      <x:c r="AA23" s="520" t="str">
        <x:v>Usulan Musrenbang/Pokir DPRD</x:v>
      </x:c>
      <x:c r="AB23" s="521" t="n">
        <x:v>46218</x:v>
      </x:c>
      <x:c r="AC23" s="520" t="str">
        <x:v>Dinas Perkim Kota Pangkalpinang</x:v>
      </x:c>
    </x:row>
    <x:row r="24" ht="32" customHeight="1">
      <x:c r="A24" s="496" t="str">
        <x:v>RTLH-0023</x:v>
      </x:c>
      <x:c r="B24" s="497" t="str">
        <x:v>JONI</x:v>
      </x:c>
      <x:c r="C24" s="498"/>
      <x:c r="D24" s="498"/>
      <x:c r="E24" s="497" t="str">
        <x:v>GG. MERAH DELIMA RT.004 RW.002</x:v>
      </x:c>
      <x:c r="F24" s="497" t="str">
        <x:v>TEMBERAN</x:v>
      </x:c>
      <x:c r="G24" s="497" t="str">
        <x:v>BUKIT INTAN</x:v>
      </x:c>
      <x:c r="H24" s="497" t="str">
        <x:v>Peningkatan Kualitas</x:v>
      </x:c>
      <x:c r="I24" s="499" t="str">
        <x:v>RUMAH SEMI PERMANEN, SEBAGIAN DINDING PAPAN, ATAP SENG, BAGIAN DAPUR PERMANEN</x:v>
      </x:c>
      <x:c r="J24" s="508" t="str">
        <x:v>Semipermanen</x:v>
      </x:c>
      <x:c r="K24" s="508" t="str">
        <x:v>Seng</x:v>
      </x:c>
      <x:c r="L24" s="508" t="str">
        <x:v>Belum Dinilai</x:v>
      </x:c>
      <x:c r="M24" s="509" t="str">
        <x:v>Papan/Kayu</x:v>
      </x:c>
      <x:c r="N24" s="508" t="str">
        <x:v>Belum Dinilai</x:v>
      </x:c>
      <x:c r="O24" s="510" t="str">
        <x:v>Belum Diidentifikasi</x:v>
      </x:c>
      <x:c r="P24" s="511" t="str">
        <x:v>Belum Dinilai</x:v>
      </x:c>
      <x:c r="Q24" s="522" t="str">
        <x:v>Belum Lengkap</x:v>
      </x:c>
      <x:c r="R24" s="522"/>
      <x:c r="S24" s="523" t="str">
        <x:v>Sudah Diverifikasi</x:v>
      </x:c>
      <x:c r="T24" s="524" t="str">
        <x:v>Belum Ditangani</x:v>
      </x:c>
      <x:c r="U24" s="519"/>
      <x:c r="V24" s="519"/>
      <x:c r="W24" s="521" t="str">
        <x:v>Belum Diverifikasi</x:v>
      </x:c>
      <x:c r="X24" s="520"/>
      <x:c r="Y24" s="521"/>
      <x:c r="Z24" s="519" t="n">
        <x:v>2026</x:v>
      </x:c>
      <x:c r="AA24" s="520" t="str">
        <x:v>Usulan Musrenbang/Pokir DPRD</x:v>
      </x:c>
      <x:c r="AB24" s="521" t="n">
        <x:v>46218</x:v>
      </x:c>
      <x:c r="AC24" s="520" t="str">
        <x:v>Dinas Perkim Kota Pangkalpinang</x:v>
      </x:c>
    </x:row>
    <x:row r="25" ht="32" customHeight="1">
      <x:c r="A25" s="496" t="str">
        <x:v>RTLH-0024</x:v>
      </x:c>
      <x:c r="B25" s="497" t="str">
        <x:v>WIDYA</x:v>
      </x:c>
      <x:c r="C25" s="498"/>
      <x:c r="D25" s="498"/>
      <x:c r="E25" s="497" t="str">
        <x:v>GG. INTAN III RT.006</x:v>
      </x:c>
      <x:c r="F25" s="497" t="str">
        <x:v>BATU INTAN</x:v>
      </x:c>
      <x:c r="G25" s="497" t="str">
        <x:v>GIRIMAYA</x:v>
      </x:c>
      <x:c r="H25" s="497" t="str">
        <x:v>Peningkatan Kualitas</x:v>
      </x:c>
      <x:c r="I25" s="499" t="str">
        <x:v>RUMAH PERMANEN, MINTA REHAB ATAP BAGIAN DAPUR</x:v>
      </x:c>
      <x:c r="J25" s="508" t="str">
        <x:v>Permanen</x:v>
      </x:c>
      <x:c r="K25" s="508" t="str">
        <x:v>Belum Diidentifikasi</x:v>
      </x:c>
      <x:c r="L25" s="508" t="str">
        <x:v>Rusak Ringan</x:v>
      </x:c>
      <x:c r="M25" s="509" t="str">
        <x:v>Dinding Permanen (Material tidak dirinci)</x:v>
      </x:c>
      <x:c r="N25" s="508" t="str">
        <x:v>Belum Dinilai</x:v>
      </x:c>
      <x:c r="O25" s="510" t="str">
        <x:v>Belum Diidentifikasi</x:v>
      </x:c>
      <x:c r="P25" s="511" t="str">
        <x:v>Belum Dinilai</x:v>
      </x:c>
      <x:c r="Q25" s="522" t="str">
        <x:v>Belum Lengkap</x:v>
      </x:c>
      <x:c r="R25" s="522"/>
      <x:c r="S25" s="523" t="str">
        <x:v>Sudah Diverifikasi</x:v>
      </x:c>
      <x:c r="T25" s="524" t="str">
        <x:v>Belum Ditangani</x:v>
      </x:c>
      <x:c r="U25" s="519"/>
      <x:c r="V25" s="519"/>
      <x:c r="W25" s="521" t="str">
        <x:v>Belum Diverifikasi</x:v>
      </x:c>
      <x:c r="X25" s="520"/>
      <x:c r="Y25" s="521"/>
      <x:c r="Z25" s="519" t="n">
        <x:v>2026</x:v>
      </x:c>
      <x:c r="AA25" s="520" t="str">
        <x:v>Usulan Musrenbang/Pokir DPRD</x:v>
      </x:c>
      <x:c r="AB25" s="521" t="n">
        <x:v>46218</x:v>
      </x:c>
      <x:c r="AC25" s="520" t="str">
        <x:v>Dinas Perkim Kota Pangkalpinang</x:v>
      </x:c>
    </x:row>
    <x:row r="26" ht="32" customHeight="1">
      <x:c r="A26" s="496" t="str">
        <x:v>RTLH-0025</x:v>
      </x:c>
      <x:c r="B26" s="497" t="str">
        <x:v>MUNG SULLAH / ATET</x:v>
      </x:c>
      <x:c r="C26" s="498"/>
      <x:c r="D26" s="498"/>
      <x:c r="E26" s="497" t="str">
        <x:v>GG. NILAM VI RT.004 RW.001</x:v>
      </x:c>
      <x:c r="F26" s="497" t="str">
        <x:v>BACANG</x:v>
      </x:c>
      <x:c r="G26" s="497" t="str">
        <x:v>BUKIT INTAN</x:v>
      </x:c>
      <x:c r="H26" s="497" t="str">
        <x:v>Peningkatan Kualitas</x:v>
      </x:c>
      <x:c r="I26" s="499" t="str">
        <x:v>RUMAH SEBAGIAN BETON</x:v>
      </x:c>
      <x:c r="J26" s="508" t="str">
        <x:v>Permanen</x:v>
      </x:c>
      <x:c r="K26" s="508" t="str">
        <x:v>Belum Diidentifikasi</x:v>
      </x:c>
      <x:c r="L26" s="508" t="str">
        <x:v>Belum Dinilai</x:v>
      </x:c>
      <x:c r="M26" s="509" t="str">
        <x:v>Beton</x:v>
      </x:c>
      <x:c r="N26" s="508" t="str">
        <x:v>Belum Dinilai</x:v>
      </x:c>
      <x:c r="O26" s="510" t="str">
        <x:v>Belum Diidentifikasi</x:v>
      </x:c>
      <x:c r="P26" s="511" t="str">
        <x:v>Belum Dinilai</x:v>
      </x:c>
      <x:c r="Q26" s="522" t="str">
        <x:v>Lengkap</x:v>
      </x:c>
      <x:c r="R26" s="522"/>
      <x:c r="S26" s="523" t="str">
        <x:v>Sudah Diverifikasi</x:v>
      </x:c>
      <x:c r="T26" s="524" t="str">
        <x:v>Belum Ditangani</x:v>
      </x:c>
      <x:c r="U26" s="519"/>
      <x:c r="V26" s="519"/>
      <x:c r="W26" s="521" t="str">
        <x:v>Belum Diverifikasi</x:v>
      </x:c>
      <x:c r="X26" s="520"/>
      <x:c r="Y26" s="521"/>
      <x:c r="Z26" s="519" t="n">
        <x:v>2026</x:v>
      </x:c>
      <x:c r="AA26" s="520" t="str">
        <x:v>Usulan Musrenbang/Pokir DPRD</x:v>
      </x:c>
      <x:c r="AB26" s="521" t="n">
        <x:v>46218</x:v>
      </x:c>
      <x:c r="AC26" s="520" t="str">
        <x:v>Dinas Perkim Kota Pangkalpinang</x:v>
      </x:c>
    </x:row>
    <x:row r="27" ht="32" customHeight="1">
      <x:c r="A27" s="496" t="str">
        <x:v>RTLH-0027</x:v>
      </x:c>
      <x:c r="B27" s="497" t="str">
        <x:v>BONG A THIN</x:v>
      </x:c>
      <x:c r="C27" s="498"/>
      <x:c r="D27" s="498"/>
      <x:c r="E27" s="497" t="str">
        <x:v>JL. TELUK BAYUR RT.009 RW.003</x:v>
      </x:c>
      <x:c r="F27" s="497" t="str">
        <x:v>PASIR PUTIH</x:v>
      </x:c>
      <x:c r="G27" s="497" t="str">
        <x:v>BUKIT INTAN</x:v>
      </x:c>
      <x:c r="H27" s="497" t="str">
        <x:v>Pembangunan Baru</x:v>
      </x:c>
      <x:c r="I27" s="499" t="str">
        <x:v>RUMAH FULL PAPAN, ATAP GENTENG.LANTAI PLASTER.WC DILUAR.</x:v>
      </x:c>
      <x:c r="J27" s="508" t="str">
        <x:v>Nonpermanen</x:v>
      </x:c>
      <x:c r="K27" s="508" t="str">
        <x:v>Genteng</x:v>
      </x:c>
      <x:c r="L27" s="508" t="str">
        <x:v>Belum Dinilai</x:v>
      </x:c>
      <x:c r="M27" s="509" t="str">
        <x:v>Papan/Kayu</x:v>
      </x:c>
      <x:c r="N27" s="508" t="str">
        <x:v>Belum Dinilai</x:v>
      </x:c>
      <x:c r="O27" s="510" t="str">
        <x:v>Semen/Plester</x:v>
      </x:c>
      <x:c r="P27" s="511" t="str">
        <x:v>Belum Dinilai</x:v>
      </x:c>
      <x:c r="Q27" s="522" t="str">
        <x:v>Lengkap</x:v>
      </x:c>
      <x:c r="R27" s="522"/>
      <x:c r="S27" s="523" t="str">
        <x:v>Sudah Diverifikasi</x:v>
      </x:c>
      <x:c r="T27" s="524" t="str">
        <x:v>Belum Ditangani</x:v>
      </x:c>
      <x:c r="U27" s="519"/>
      <x:c r="V27" s="519"/>
      <x:c r="W27" s="521" t="str">
        <x:v>Belum Diverifikasi</x:v>
      </x:c>
      <x:c r="X27" s="520"/>
      <x:c r="Y27" s="521"/>
      <x:c r="Z27" s="519" t="n">
        <x:v>2026</x:v>
      </x:c>
      <x:c r="AA27" s="520" t="str">
        <x:v>Usulan Musrenbang/Pokir DPRD</x:v>
      </x:c>
      <x:c r="AB27" s="521" t="n">
        <x:v>46218</x:v>
      </x:c>
      <x:c r="AC27" s="520" t="str">
        <x:v>Dinas Perkim Kota Pangkalpinang</x:v>
      </x:c>
    </x:row>
    <x:row r="28" ht="32" customHeight="1">
      <x:c r="A28" s="496" t="str">
        <x:v>RTLH-0029</x:v>
      </x:c>
      <x:c r="B28" s="497" t="str">
        <x:v>YUHANA HANSI</x:v>
      </x:c>
      <x:c r="C28" s="498"/>
      <x:c r="D28" s="498"/>
      <x:c r="E28" s="497" t="str">
        <x:v>JL. AKASIA DALAM RT.009 RW.003</x:v>
      </x:c>
      <x:c r="F28" s="497" t="str">
        <x:v>BUKIT MERAPIN</x:v>
      </x:c>
      <x:c r="G28" s="497" t="str">
        <x:v>GERUNGGANG</x:v>
      </x:c>
      <x:c r="H28" s="497" t="str">
        <x:v>Pembangunan Baru</x:v>
      </x:c>
      <x:c r="I28" s="499" t="str">
        <x:v>RUMAH FULL PAPAN, ATAP SENG ,DINDING PAPAN RUSAK SEDANG,LANTAI PLASTERAN. RUMAH BOCOR RINGAN.</x:v>
      </x:c>
      <x:c r="J28" s="508" t="str">
        <x:v>Nonpermanen</x:v>
      </x:c>
      <x:c r="K28" s="508" t="str">
        <x:v>Seng</x:v>
      </x:c>
      <x:c r="L28" s="508" t="str">
        <x:v>Rusak Sedang</x:v>
      </x:c>
      <x:c r="M28" s="509" t="str">
        <x:v>Papan/Kayu</x:v>
      </x:c>
      <x:c r="N28" s="508" t="str">
        <x:v>Rusak Sedang</x:v>
      </x:c>
      <x:c r="O28" s="510" t="str">
        <x:v>Semen/Plester</x:v>
      </x:c>
      <x:c r="P28" s="511" t="str">
        <x:v>Rusak Sedang</x:v>
      </x:c>
      <x:c r="Q28" s="522" t="str">
        <x:v>Lengkap</x:v>
      </x:c>
      <x:c r="R28" s="522"/>
      <x:c r="S28" s="523" t="str">
        <x:v>Sudah Diverifikasi</x:v>
      </x:c>
      <x:c r="T28" s="524" t="str">
        <x:v>Belum Ditangani</x:v>
      </x:c>
      <x:c r="U28" s="519"/>
      <x:c r="V28" s="519"/>
      <x:c r="W28" s="521" t="str">
        <x:v>Belum Diverifikasi</x:v>
      </x:c>
      <x:c r="X28" s="520"/>
      <x:c r="Y28" s="521"/>
      <x:c r="Z28" s="519" t="n">
        <x:v>2026</x:v>
      </x:c>
      <x:c r="AA28" s="520" t="str">
        <x:v>Usulan Musrenbang/Pokir DPRD</x:v>
      </x:c>
      <x:c r="AB28" s="521" t="n">
        <x:v>46218</x:v>
      </x:c>
      <x:c r="AC28" s="520" t="str">
        <x:v>Dinas Perkim Kota Pangkalpinang</x:v>
      </x:c>
    </x:row>
    <x:row r="29" ht="32" customHeight="1">
      <x:c r="A29" s="496" t="str">
        <x:v>RTLH-0030</x:v>
      </x:c>
      <x:c r="B29" s="497" t="str">
        <x:v>RUSTAM EFENDI</x:v>
      </x:c>
      <x:c r="C29" s="498"/>
      <x:c r="D29" s="498"/>
      <x:c r="E29" s="497" t="str">
        <x:v>JL. SUMEDANG GG.PIPIT RT.006 RW.002</x:v>
      </x:c>
      <x:c r="F29" s="497" t="str">
        <x:v>KACANG PEDANG</x:v>
      </x:c>
      <x:c r="G29" s="497" t="str">
        <x:v>GERUNGGANG</x:v>
      </x:c>
      <x:c r="H29" s="497" t="str">
        <x:v>Peningkatan Kualitas</x:v>
      </x:c>
      <x:c r="I29" s="499" t="str">
        <x:v>RUMAH PERMANEN, DAPUR RUSAK RINGAN. ATAP RUSAK RINGAN</x:v>
      </x:c>
      <x:c r="J29" s="508" t="str">
        <x:v>Permanen</x:v>
      </x:c>
      <x:c r="K29" s="508" t="str">
        <x:v>Belum Diidentifikasi</x:v>
      </x:c>
      <x:c r="L29" s="508" t="str">
        <x:v>Rusak Ringan</x:v>
      </x:c>
      <x:c r="M29" s="509" t="str">
        <x:v>Dinding Permanen (Material tidak dirinci)</x:v>
      </x:c>
      <x:c r="N29" s="508" t="str">
        <x:v>Belum Dinilai</x:v>
      </x:c>
      <x:c r="O29" s="510" t="str">
        <x:v>Belum Diidentifikasi</x:v>
      </x:c>
      <x:c r="P29" s="511" t="str">
        <x:v>Belum Dinilai</x:v>
      </x:c>
      <x:c r="Q29" s="522" t="str">
        <x:v>Lengkap</x:v>
      </x:c>
      <x:c r="R29" s="522"/>
      <x:c r="S29" s="523" t="str">
        <x:v>Sudah Diverifikasi</x:v>
      </x:c>
      <x:c r="T29" s="524" t="str">
        <x:v>Belum Ditangani</x:v>
      </x:c>
      <x:c r="U29" s="519"/>
      <x:c r="V29" s="519"/>
      <x:c r="W29" s="521" t="str">
        <x:v>Belum Diverifikasi</x:v>
      </x:c>
      <x:c r="X29" s="520"/>
      <x:c r="Y29" s="521"/>
      <x:c r="Z29" s="519" t="n">
        <x:v>2026</x:v>
      </x:c>
      <x:c r="AA29" s="520" t="str">
        <x:v>Usulan Musrenbang/Pokir DPRD</x:v>
      </x:c>
      <x:c r="AB29" s="521" t="n">
        <x:v>46218</x:v>
      </x:c>
      <x:c r="AC29" s="520" t="str">
        <x:v>Dinas Perkim Kota Pangkalpinang</x:v>
      </x:c>
    </x:row>
    <x:row r="30" ht="32" customHeight="1">
      <x:c r="A30" s="496" t="str">
        <x:v>RTLH-0031</x:v>
      </x:c>
      <x:c r="B30" s="497" t="str">
        <x:v>LIM JIT SEN</x:v>
      </x:c>
      <x:c r="C30" s="498"/>
      <x:c r="D30" s="498"/>
      <x:c r="E30" s="497" t="str">
        <x:v>JL. MATRI URIP DALAM 1 NO.06 RT.001 RW.001</x:v>
      </x:c>
      <x:c r="F30" s="497" t="str">
        <x:v>TAMAN BUNGA</x:v>
      </x:c>
      <x:c r="G30" s="497" t="str">
        <x:v>GERUNGGANG</x:v>
      </x:c>
      <x:c r="H30" s="497" t="str">
        <x:v>Pembangunan Baru</x:v>
      </x:c>
      <x:c r="I30" s="499" t="str">
        <x:v>RUMAH FULL PAPAN, ATAP SENG ,DINDING PAPAN RUSAK SEDANG,LANTAI PLASTERAN. RUMAH BOCOR RINGAN.</x:v>
      </x:c>
      <x:c r="J30" s="508" t="str">
        <x:v>Nonpermanen</x:v>
      </x:c>
      <x:c r="K30" s="508" t="str">
        <x:v>Seng</x:v>
      </x:c>
      <x:c r="L30" s="508" t="str">
        <x:v>Rusak Sedang</x:v>
      </x:c>
      <x:c r="M30" s="509" t="str">
        <x:v>Papan/Kayu</x:v>
      </x:c>
      <x:c r="N30" s="508" t="str">
        <x:v>Rusak Sedang</x:v>
      </x:c>
      <x:c r="O30" s="510" t="str">
        <x:v>Semen/Plester</x:v>
      </x:c>
      <x:c r="P30" s="511" t="str">
        <x:v>Rusak Sedang</x:v>
      </x:c>
      <x:c r="Q30" s="522" t="str">
        <x:v>Lengkap</x:v>
      </x:c>
      <x:c r="R30" s="522"/>
      <x:c r="S30" s="523" t="str">
        <x:v>Sudah Diverifikasi</x:v>
      </x:c>
      <x:c r="T30" s="524" t="str">
        <x:v>Belum Ditangani</x:v>
      </x:c>
      <x:c r="U30" s="519"/>
      <x:c r="V30" s="519"/>
      <x:c r="W30" s="521" t="str">
        <x:v>Belum Diverifikasi</x:v>
      </x:c>
      <x:c r="X30" s="520"/>
      <x:c r="Y30" s="521"/>
      <x:c r="Z30" s="519" t="n">
        <x:v>2026</x:v>
      </x:c>
      <x:c r="AA30" s="520" t="str">
        <x:v>Usulan Musrenbang/Pokir DPRD</x:v>
      </x:c>
      <x:c r="AB30" s="521" t="n">
        <x:v>46218</x:v>
      </x:c>
      <x:c r="AC30" s="520" t="str">
        <x:v>Dinas Perkim Kota Pangkalpinang</x:v>
      </x:c>
    </x:row>
    <x:row r="31" ht="32" customHeight="1">
      <x:c r="A31" s="496" t="str">
        <x:v>RTLH-0032</x:v>
      </x:c>
      <x:c r="B31" s="497" t="str">
        <x:v>RASIDI</x:v>
      </x:c>
      <x:c r="C31" s="498"/>
      <x:c r="D31" s="498"/>
      <x:c r="E31" s="497" t="str">
        <x:v>JL. DELIMA DALAM RT.004</x:v>
      </x:c>
      <x:c r="F31" s="497" t="str">
        <x:v>TAMAN BUNGA</x:v>
      </x:c>
      <x:c r="G31" s="497" t="str">
        <x:v>GERUNGGANG</x:v>
      </x:c>
      <x:c r="H31" s="497" t="str">
        <x:v>Pembangunan Baru</x:v>
      </x:c>
      <x:c r="I31" s="499" t="str">
        <x:v>RUMAH SEMI PERMANEN,DINGDING PAPAN, RUSAK RINGAN,ATAP ASBES. LANTAI PLASTERAN.</x:v>
      </x:c>
      <x:c r="J31" s="508" t="str">
        <x:v>Semipermanen</x:v>
      </x:c>
      <x:c r="K31" s="508" t="str">
        <x:v>Asbes/Fiber Semen</x:v>
      </x:c>
      <x:c r="L31" s="508" t="str">
        <x:v>Rusak Ringan</x:v>
      </x:c>
      <x:c r="M31" s="509" t="str">
        <x:v>Papan/Kayu</x:v>
      </x:c>
      <x:c r="N31" s="508" t="str">
        <x:v>Rusak Ringan</x:v>
      </x:c>
      <x:c r="O31" s="510" t="str">
        <x:v>Semen/Plester</x:v>
      </x:c>
      <x:c r="P31" s="511" t="str">
        <x:v>Rusak Ringan</x:v>
      </x:c>
      <x:c r="Q31" s="522" t="str">
        <x:v>Lengkap</x:v>
      </x:c>
      <x:c r="R31" s="522"/>
      <x:c r="S31" s="523" t="str">
        <x:v>Sudah Diverifikasi</x:v>
      </x:c>
      <x:c r="T31" s="524" t="str">
        <x:v>Belum Ditangani</x:v>
      </x:c>
      <x:c r="U31" s="519"/>
      <x:c r="V31" s="519"/>
      <x:c r="W31" s="521" t="str">
        <x:v>Belum Diverifikasi</x:v>
      </x:c>
      <x:c r="X31" s="520"/>
      <x:c r="Y31" s="521"/>
      <x:c r="Z31" s="519" t="n">
        <x:v>2026</x:v>
      </x:c>
      <x:c r="AA31" s="520" t="str">
        <x:v>Usulan Musrenbang/Pokir DPRD</x:v>
      </x:c>
      <x:c r="AB31" s="521" t="n">
        <x:v>46218</x:v>
      </x:c>
      <x:c r="AC31" s="520" t="str">
        <x:v>Dinas Perkim Kota Pangkalpinang</x:v>
      </x:c>
    </x:row>
    <x:row r="32" ht="32" customHeight="1">
      <x:c r="A32" s="496" t="str">
        <x:v>RTLH-0034</x:v>
      </x:c>
      <x:c r="B32" s="497" t="str">
        <x:v>BAHARUDIN</x:v>
      </x:c>
      <x:c r="C32" s="498"/>
      <x:c r="D32" s="498"/>
      <x:c r="E32" s="497" t="str">
        <x:v>JL. NYATOH RT.006 RW.002</x:v>
      </x:c>
      <x:c r="F32" s="497" t="str">
        <x:v>BUKIT SARI</x:v>
      </x:c>
      <x:c r="G32" s="497" t="str">
        <x:v>GERUNGGANG</x:v>
      </x:c>
      <x:c r="H32" s="497" t="str">
        <x:v>Peningkatan Kualitas</x:v>
      </x:c>
      <x:c r="I32" s="499" t="str">
        <x:v>RUMAH PERMANEN</x:v>
      </x:c>
      <x:c r="J32" s="508" t="str">
        <x:v>Permanen</x:v>
      </x:c>
      <x:c r="K32" s="508" t="str">
        <x:v>Belum Diidentifikasi</x:v>
      </x:c>
      <x:c r="L32" s="508" t="str">
        <x:v>Belum Dinilai</x:v>
      </x:c>
      <x:c r="M32" s="509" t="str">
        <x:v>Dinding Permanen (Material tidak dirinci)</x:v>
      </x:c>
      <x:c r="N32" s="508" t="str">
        <x:v>Belum Dinilai</x:v>
      </x:c>
      <x:c r="O32" s="510" t="str">
        <x:v>Belum Diidentifikasi</x:v>
      </x:c>
      <x:c r="P32" s="511" t="str">
        <x:v>Belum Dinilai</x:v>
      </x:c>
      <x:c r="Q32" s="522" t="str">
        <x:v>Belum Lengkap</x:v>
      </x:c>
      <x:c r="R32" s="522"/>
      <x:c r="S32" s="523" t="str">
        <x:v>Sudah Diverifikasi</x:v>
      </x:c>
      <x:c r="T32" s="524" t="str">
        <x:v>Belum Ditangani</x:v>
      </x:c>
      <x:c r="U32" s="519"/>
      <x:c r="V32" s="519"/>
      <x:c r="W32" s="521" t="str">
        <x:v>Belum Diverifikasi</x:v>
      </x:c>
      <x:c r="X32" s="520"/>
      <x:c r="Y32" s="521"/>
      <x:c r="Z32" s="519" t="n">
        <x:v>2026</x:v>
      </x:c>
      <x:c r="AA32" s="520" t="str">
        <x:v>Usulan Musrenbang/Pokir DPRD</x:v>
      </x:c>
      <x:c r="AB32" s="521" t="n">
        <x:v>46218</x:v>
      </x:c>
      <x:c r="AC32" s="520" t="str">
        <x:v>Dinas Perkim Kota Pangkalpinang</x:v>
      </x:c>
    </x:row>
    <x:row r="33" ht="32" customHeight="1">
      <x:c r="A33" s="496" t="str">
        <x:v>RTLH-0035</x:v>
      </x:c>
      <x:c r="B33" s="497" t="str">
        <x:v>MARSIDA</x:v>
      </x:c>
      <x:c r="C33" s="498"/>
      <x:c r="D33" s="498"/>
      <x:c r="E33" s="497" t="str">
        <x:v>JL. H JUMAT YAHYA DALAM RT.006 RW.002</x:v>
      </x:c>
      <x:c r="F33" s="497" t="str">
        <x:v>BUKIT SARI</x:v>
      </x:c>
      <x:c r="G33" s="497" t="str">
        <x:v>GERUNGGANG</x:v>
      </x:c>
      <x:c r="H33" s="497" t="str">
        <x:v>Peningkatan Kualitas</x:v>
      </x:c>
      <x:c r="I33" s="499" t="str">
        <x:v>RUMAH PERMANEN</x:v>
      </x:c>
      <x:c r="J33" s="508" t="str">
        <x:v>Permanen</x:v>
      </x:c>
      <x:c r="K33" s="508" t="str">
        <x:v>Belum Diidentifikasi</x:v>
      </x:c>
      <x:c r="L33" s="508" t="str">
        <x:v>Belum Dinilai</x:v>
      </x:c>
      <x:c r="M33" s="509" t="str">
        <x:v>Dinding Permanen (Material tidak dirinci)</x:v>
      </x:c>
      <x:c r="N33" s="508" t="str">
        <x:v>Belum Dinilai</x:v>
      </x:c>
      <x:c r="O33" s="510" t="str">
        <x:v>Belum Diidentifikasi</x:v>
      </x:c>
      <x:c r="P33" s="511" t="str">
        <x:v>Belum Dinilai</x:v>
      </x:c>
      <x:c r="Q33" s="522" t="str">
        <x:v>Lengkap</x:v>
      </x:c>
      <x:c r="R33" s="522"/>
      <x:c r="S33" s="523" t="str">
        <x:v>Sudah Diverifikasi</x:v>
      </x:c>
      <x:c r="T33" s="524" t="str">
        <x:v>Belum Ditangani</x:v>
      </x:c>
      <x:c r="U33" s="519"/>
      <x:c r="V33" s="519"/>
      <x:c r="W33" s="521" t="str">
        <x:v>Belum Diverifikasi</x:v>
      </x:c>
      <x:c r="X33" s="520"/>
      <x:c r="Y33" s="521"/>
      <x:c r="Z33" s="519" t="n">
        <x:v>2026</x:v>
      </x:c>
      <x:c r="AA33" s="520" t="str">
        <x:v>Usulan Musrenbang/Pokir DPRD</x:v>
      </x:c>
      <x:c r="AB33" s="521" t="n">
        <x:v>46218</x:v>
      </x:c>
      <x:c r="AC33" s="520" t="str">
        <x:v>Dinas Perkim Kota Pangkalpinang</x:v>
      </x:c>
    </x:row>
    <x:row r="34" ht="32" customHeight="1">
      <x:c r="A34" s="496" t="str">
        <x:v>RTLH-0036</x:v>
      </x:c>
      <x:c r="B34" s="497" t="str">
        <x:v>NURSINAH</x:v>
      </x:c>
      <x:c r="C34" s="498"/>
      <x:c r="D34" s="498"/>
      <x:c r="E34" s="497" t="str">
        <x:v>JL KAMPUNG MELAYU RT.008 RW.003</x:v>
      </x:c>
      <x:c r="F34" s="497" t="str">
        <x:v>BUKIT SARI</x:v>
      </x:c>
      <x:c r="G34" s="497" t="str">
        <x:v>GERUNGGANG</x:v>
      </x:c>
      <x:c r="H34" s="497" t="str">
        <x:v>Pembangunan Baru</x:v>
      </x:c>
      <x:c r="I34" s="499" t="str">
        <x:v>RUMAH FULL PAPAN, ATAP SENG ,DINDING PAPAN RUSAK SEDANG,LANTAI PLASTERAN. RUMAH BOCOR RINGAN.</x:v>
      </x:c>
      <x:c r="J34" s="508" t="str">
        <x:v>Nonpermanen</x:v>
      </x:c>
      <x:c r="K34" s="508" t="str">
        <x:v>Seng</x:v>
      </x:c>
      <x:c r="L34" s="508" t="str">
        <x:v>Rusak Sedang</x:v>
      </x:c>
      <x:c r="M34" s="509" t="str">
        <x:v>Papan/Kayu</x:v>
      </x:c>
      <x:c r="N34" s="508" t="str">
        <x:v>Rusak Sedang</x:v>
      </x:c>
      <x:c r="O34" s="510" t="str">
        <x:v>Semen/Plester</x:v>
      </x:c>
      <x:c r="P34" s="511" t="str">
        <x:v>Rusak Sedang</x:v>
      </x:c>
      <x:c r="Q34" s="522" t="str">
        <x:v>Lengkap</x:v>
      </x:c>
      <x:c r="R34" s="522"/>
      <x:c r="S34" s="523" t="str">
        <x:v>Sudah Diverifikasi</x:v>
      </x:c>
      <x:c r="T34" s="524" t="str">
        <x:v>Belum Ditangani</x:v>
      </x:c>
      <x:c r="U34" s="519"/>
      <x:c r="V34" s="519"/>
      <x:c r="W34" s="521" t="str">
        <x:v>Belum Diverifikasi</x:v>
      </x:c>
      <x:c r="X34" s="520"/>
      <x:c r="Y34" s="521"/>
      <x:c r="Z34" s="519" t="n">
        <x:v>2026</x:v>
      </x:c>
      <x:c r="AA34" s="520" t="str">
        <x:v>Usulan Musrenbang/Pokir DPRD</x:v>
      </x:c>
      <x:c r="AB34" s="521" t="n">
        <x:v>46218</x:v>
      </x:c>
      <x:c r="AC34" s="520" t="str">
        <x:v>Dinas Perkim Kota Pangkalpinang</x:v>
      </x:c>
    </x:row>
    <x:row r="35" ht="32" customHeight="1">
      <x:c r="A35" s="496" t="str">
        <x:v>RTLH-0037</x:v>
      </x:c>
      <x:c r="B35" s="497" t="str">
        <x:v>LIM MUK SUAN</x:v>
      </x:c>
      <x:c r="C35" s="498"/>
      <x:c r="D35" s="498"/>
      <x:c r="E35" s="497" t="str">
        <x:v>Belum tersedia</x:v>
      </x:c>
      <x:c r="F35" s="497" t="str">
        <x:v>Belum tersedia</x:v>
      </x:c>
      <x:c r="G35" s="497" t="str">
        <x:v>Belum tersedia</x:v>
      </x:c>
      <x:c r="H35" s="497" t="str">
        <x:v>Pembangunan Baru</x:v>
      </x:c>
      <x:c r="I35" s="499" t="str">
        <x:v>RUMAH FULL PAPAN, ATAP SENG ,DINDING PAPAN RUSAK SEDANG,LANTAI PLASTERAN. RUMAH BOCOR RINGAN.</x:v>
      </x:c>
      <x:c r="J35" s="508" t="str">
        <x:v>Nonpermanen</x:v>
      </x:c>
      <x:c r="K35" s="508" t="str">
        <x:v>Seng</x:v>
      </x:c>
      <x:c r="L35" s="508" t="str">
        <x:v>Rusak Sedang</x:v>
      </x:c>
      <x:c r="M35" s="509" t="str">
        <x:v>Papan/Kayu</x:v>
      </x:c>
      <x:c r="N35" s="508" t="str">
        <x:v>Rusak Sedang</x:v>
      </x:c>
      <x:c r="O35" s="510" t="str">
        <x:v>Semen/Plester</x:v>
      </x:c>
      <x:c r="P35" s="511" t="str">
        <x:v>Rusak Sedang</x:v>
      </x:c>
      <x:c r="Q35" s="522" t="str">
        <x:v>Belum Lengkap</x:v>
      </x:c>
      <x:c r="R35" s="522"/>
      <x:c r="S35" s="523" t="str">
        <x:v>Sudah Diverifikasi</x:v>
      </x:c>
      <x:c r="T35" s="524" t="str">
        <x:v>Belum Ditangani</x:v>
      </x:c>
      <x:c r="U35" s="519"/>
      <x:c r="V35" s="519"/>
      <x:c r="W35" s="521" t="str">
        <x:v>Belum Diverifikasi</x:v>
      </x:c>
      <x:c r="X35" s="520"/>
      <x:c r="Y35" s="521"/>
      <x:c r="Z35" s="519" t="n">
        <x:v>2026</x:v>
      </x:c>
      <x:c r="AA35" s="520" t="str">
        <x:v>Usulan Musrenbang/Pokir DPRD</x:v>
      </x:c>
      <x:c r="AB35" s="521" t="n">
        <x:v>46218</x:v>
      </x:c>
      <x:c r="AC35" s="520" t="str">
        <x:v>Dinas Perkim Kota Pangkalpinang</x:v>
      </x:c>
    </x:row>
    <x:row r="36" ht="32" customHeight="1">
      <x:c r="A36" s="496" t="str">
        <x:v>RTLH-0038</x:v>
      </x:c>
      <x:c r="B36" s="497" t="str">
        <x:v>SOLMI</x:v>
      </x:c>
      <x:c r="C36" s="498"/>
      <x:c r="D36" s="498"/>
      <x:c r="E36" s="497" t="str">
        <x:v>GG . SEMPAYO 1 RT.003 RW.001</x:v>
      </x:c>
      <x:c r="F36" s="497" t="str">
        <x:v>ASAM</x:v>
      </x:c>
      <x:c r="G36" s="497" t="str">
        <x:v>RANGKUI</x:v>
      </x:c>
      <x:c r="H36" s="497" t="str">
        <x:v>Pembangunan Baru</x:v>
      </x:c>
      <x:c r="I36" s="499" t="str">
        <x:v>RUMAH FULL PAPAN, ATAP SENG ,DINDING PAPAN RUSAK SEDANG,LANTAI PLASTERAN. ATAP BOCOR RINGAN.</x:v>
      </x:c>
      <x:c r="J36" s="508" t="str">
        <x:v>Nonpermanen</x:v>
      </x:c>
      <x:c r="K36" s="508" t="str">
        <x:v>Seng</x:v>
      </x:c>
      <x:c r="L36" s="508" t="str">
        <x:v>Rusak Sedang</x:v>
      </x:c>
      <x:c r="M36" s="509" t="str">
        <x:v>Papan/Kayu</x:v>
      </x:c>
      <x:c r="N36" s="508" t="str">
        <x:v>Rusak Sedang</x:v>
      </x:c>
      <x:c r="O36" s="510" t="str">
        <x:v>Semen/Plester</x:v>
      </x:c>
      <x:c r="P36" s="511" t="str">
        <x:v>Rusak Sedang</x:v>
      </x:c>
      <x:c r="Q36" s="522" t="str">
        <x:v>Lengkap</x:v>
      </x:c>
      <x:c r="R36" s="522"/>
      <x:c r="S36" s="523" t="str">
        <x:v>Sudah Diverifikasi</x:v>
      </x:c>
      <x:c r="T36" s="524" t="str">
        <x:v>Belum Ditangani</x:v>
      </x:c>
      <x:c r="U36" s="519"/>
      <x:c r="V36" s="519"/>
      <x:c r="W36" s="521" t="str">
        <x:v>Belum Diverifikasi</x:v>
      </x:c>
      <x:c r="X36" s="520"/>
      <x:c r="Y36" s="521"/>
      <x:c r="Z36" s="519" t="n">
        <x:v>2026</x:v>
      </x:c>
      <x:c r="AA36" s="520" t="str">
        <x:v>Usulan Musrenbang/Pokir DPRD</x:v>
      </x:c>
      <x:c r="AB36" s="521" t="n">
        <x:v>46218</x:v>
      </x:c>
      <x:c r="AC36" s="520" t="str">
        <x:v>Dinas Perkim Kota Pangkalpinang</x:v>
      </x:c>
    </x:row>
    <x:row r="37" ht="32" customHeight="1">
      <x:c r="A37" s="496" t="str">
        <x:v>RTLH-0041</x:v>
      </x:c>
      <x:c r="B37" s="497" t="str">
        <x:v>SENAH</x:v>
      </x:c>
      <x:c r="C37" s="498"/>
      <x:c r="D37" s="498"/>
      <x:c r="E37" s="497" t="str">
        <x:v>JL. BATIN ISO RT.005 RW.002</x:v>
      </x:c>
      <x:c r="F37" s="497" t="str">
        <x:v>PINTU AIR</x:v>
      </x:c>
      <x:c r="G37" s="497" t="str">
        <x:v>RANGKUI</x:v>
      </x:c>
      <x:c r="H37" s="497" t="str">
        <x:v>Pembangunan Baru</x:v>
      </x:c>
      <x:c r="I37" s="499" t="str">
        <x:v>RUMAH FULL PAPAN RUSAK BERAT, ATAP SENG RUSAK RINGAN, LANTAI PAPAN RUSAK BERAT ( MINTA REHAB KESELURUHAN)</x:v>
      </x:c>
      <x:c r="J37" s="508" t="str">
        <x:v>Nonpermanen</x:v>
      </x:c>
      <x:c r="K37" s="508" t="str">
        <x:v>Seng</x:v>
      </x:c>
      <x:c r="L37" s="508" t="str">
        <x:v>Rusak Berat</x:v>
      </x:c>
      <x:c r="M37" s="509" t="str">
        <x:v>Papan/Kayu</x:v>
      </x:c>
      <x:c r="N37" s="508" t="str">
        <x:v>Rusak Berat</x:v>
      </x:c>
      <x:c r="O37" s="510" t="str">
        <x:v>Papan/Kayu</x:v>
      </x:c>
      <x:c r="P37" s="511" t="str">
        <x:v>Rusak Berat</x:v>
      </x:c>
      <x:c r="Q37" s="522" t="str">
        <x:v>Lengkap</x:v>
      </x:c>
      <x:c r="R37" s="522"/>
      <x:c r="S37" s="523" t="str">
        <x:v>Sudah Diverifikasi</x:v>
      </x:c>
      <x:c r="T37" s="524" t="str">
        <x:v>Selesai</x:v>
      </x:c>
      <x:c r="U37" s="519" t="str">
        <x:v>APBD Kota</x:v>
      </x:c>
      <x:c r="V37" s="519" t="n">
        <x:v>2023</x:v>
      </x:c>
      <x:c r="W37" s="521" t="str">
        <x:v>Belum Diverifikasi</x:v>
      </x:c>
      <x:c r="X37" s="520"/>
      <x:c r="Y37" s="521"/>
      <x:c r="Z37" s="519" t="n">
        <x:v>2026</x:v>
      </x:c>
      <x:c r="AA37" s="520" t="str">
        <x:v>Usulan Musrenbang/Pokir DPRD</x:v>
      </x:c>
      <x:c r="AB37" s="521" t="n">
        <x:v>46218</x:v>
      </x:c>
      <x:c r="AC37" s="520" t="str">
        <x:v>Dinas Perkim Kota Pangkalpinang</x:v>
      </x:c>
    </x:row>
    <x:row r="38" ht="32" customHeight="1">
      <x:c r="A38" s="496" t="str">
        <x:v>RTLH-0042</x:v>
      </x:c>
      <x:c r="B38" s="497" t="str">
        <x:v>AJIJAH</x:v>
      </x:c>
      <x:c r="C38" s="498"/>
      <x:c r="D38" s="498"/>
      <x:c r="E38" s="497" t="str">
        <x:v>JL. JAKFAR YUSUF RT.008 RW.003</x:v>
      </x:c>
      <x:c r="F38" s="497" t="str">
        <x:v>PINTU AIR</x:v>
      </x:c>
      <x:c r="G38" s="497" t="str">
        <x:v>RANGKUI</x:v>
      </x:c>
      <x:c r="H38" s="497" t="str">
        <x:v>Pembangunan Baru</x:v>
      </x:c>
      <x:c r="I38" s="499" t="str">
        <x:v>RUMAH SEMI PERMANEN, ATAP GENTENG RUSAK RINGAN, DINDING PAPAN RUSAK RINGAN, LANTAI FLOOR, ATAP DAPUR RUSAK BERAT,DINDING DAPUR RUSAK BERAT</x:v>
      </x:c>
      <x:c r="J38" s="508" t="str">
        <x:v>Semipermanen</x:v>
      </x:c>
      <x:c r="K38" s="508" t="str">
        <x:v>Genteng</x:v>
      </x:c>
      <x:c r="L38" s="508" t="str">
        <x:v>Rusak Berat</x:v>
      </x:c>
      <x:c r="M38" s="509" t="str">
        <x:v>Papan/Kayu</x:v>
      </x:c>
      <x:c r="N38" s="508" t="str">
        <x:v>Rusak Berat</x:v>
      </x:c>
      <x:c r="O38" s="510" t="str">
        <x:v>Semen/Plester</x:v>
      </x:c>
      <x:c r="P38" s="511" t="str">
        <x:v>Rusak Berat</x:v>
      </x:c>
      <x:c r="Q38" s="522" t="str">
        <x:v>Belum Lengkap</x:v>
      </x:c>
      <x:c r="R38" s="522"/>
      <x:c r="S38" s="523" t="str">
        <x:v>Sudah Diverifikasi</x:v>
      </x:c>
      <x:c r="T38" s="524" t="str">
        <x:v>Belum Ditangani</x:v>
      </x:c>
      <x:c r="U38" s="519"/>
      <x:c r="V38" s="519"/>
      <x:c r="W38" s="521" t="str">
        <x:v>Belum Diverifikasi</x:v>
      </x:c>
      <x:c r="X38" s="520"/>
      <x:c r="Y38" s="521"/>
      <x:c r="Z38" s="519" t="n">
        <x:v>2026</x:v>
      </x:c>
      <x:c r="AA38" s="520" t="str">
        <x:v>Usulan Musrenbang/Pokir DPRD</x:v>
      </x:c>
      <x:c r="AB38" s="521" t="n">
        <x:v>46218</x:v>
      </x:c>
      <x:c r="AC38" s="520" t="str">
        <x:v>Dinas Perkim Kota Pangkalpinang</x:v>
      </x:c>
    </x:row>
    <x:row r="39" ht="32" customHeight="1">
      <x:c r="A39" s="496" t="str">
        <x:v>RTLH-0043</x:v>
      </x:c>
      <x:c r="B39" s="497" t="str">
        <x:v>MUSLIM</x:v>
      </x:c>
      <x:c r="C39" s="498"/>
      <x:c r="D39" s="498"/>
      <x:c r="E39" s="497" t="str">
        <x:v>Belum tersedia</x:v>
      </x:c>
      <x:c r="F39" s="497" t="str">
        <x:v>PINTU AIR</x:v>
      </x:c>
      <x:c r="G39" s="497" t="str">
        <x:v>RANGKUI</x:v>
      </x:c>
      <x:c r="H39" s="497" t="str">
        <x:v>Pembangunan Baru</x:v>
      </x:c>
      <x:c r="I39" s="499" t="str">
        <x:v>RUMAH FULL PAPAN, ATAP ASBES, DINDING PAPAN RUSAK RINGAN, LANTAI FLOOR</x:v>
      </x:c>
      <x:c r="J39" s="508" t="str">
        <x:v>Nonpermanen</x:v>
      </x:c>
      <x:c r="K39" s="508" t="str">
        <x:v>Asbes/Fiber Semen</x:v>
      </x:c>
      <x:c r="L39" s="508" t="str">
        <x:v>Rusak Ringan</x:v>
      </x:c>
      <x:c r="M39" s="509" t="str">
        <x:v>Papan/Kayu</x:v>
      </x:c>
      <x:c r="N39" s="508" t="str">
        <x:v>Rusak Ringan</x:v>
      </x:c>
      <x:c r="O39" s="510" t="str">
        <x:v>Semen/Plester</x:v>
      </x:c>
      <x:c r="P39" s="511" t="str">
        <x:v>Rusak Ringan</x:v>
      </x:c>
      <x:c r="Q39" s="522" t="str">
        <x:v>Belum Lengkap</x:v>
      </x:c>
      <x:c r="R39" s="522"/>
      <x:c r="S39" s="523" t="str">
        <x:v>Sudah Diverifikasi</x:v>
      </x:c>
      <x:c r="T39" s="524" t="str">
        <x:v>Belum Ditangani</x:v>
      </x:c>
      <x:c r="U39" s="519"/>
      <x:c r="V39" s="519"/>
      <x:c r="W39" s="521" t="str">
        <x:v>Belum Diverifikasi</x:v>
      </x:c>
      <x:c r="X39" s="520"/>
      <x:c r="Y39" s="521"/>
      <x:c r="Z39" s="519" t="n">
        <x:v>2026</x:v>
      </x:c>
      <x:c r="AA39" s="520" t="str">
        <x:v>Usulan Musrenbang/Pokir DPRD</x:v>
      </x:c>
      <x:c r="AB39" s="521" t="n">
        <x:v>46218</x:v>
      </x:c>
      <x:c r="AC39" s="520" t="str">
        <x:v>Dinas Perkim Kota Pangkalpinang</x:v>
      </x:c>
    </x:row>
    <x:row r="40" ht="32" customHeight="1">
      <x:c r="A40" s="496" t="str">
        <x:v>RTLH-0044</x:v>
      </x:c>
      <x:c r="B40" s="497" t="str">
        <x:v>UJANG ANDI WIJAYA</x:v>
      </x:c>
      <x:c r="C40" s="498"/>
      <x:c r="D40" s="498"/>
      <x:c r="E40" s="497" t="str">
        <x:v>JL. MARICA RT.008 RW.003</x:v>
      </x:c>
      <x:c r="F40" s="497" t="str">
        <x:v>PINTU AIR</x:v>
      </x:c>
      <x:c r="G40" s="497" t="str">
        <x:v>RANGKUI</x:v>
      </x:c>
      <x:c r="H40" s="497" t="str">
        <x:v>Pembangunan Baru</x:v>
      </x:c>
      <x:c r="I40" s="499" t="str">
        <x:v>RUMAH BAGI DUA DENGAN SAUDARA ( SATU ATAP), DINDING PAPAN,LANTAI FLOOR, ATAP SENG RUSAK RINGAN ( SAUDARA DARI RESKY RANGKUTI)</x:v>
      </x:c>
      <x:c r="J40" s="508" t="str">
        <x:v>Nonpermanen</x:v>
      </x:c>
      <x:c r="K40" s="508" t="str">
        <x:v>Seng</x:v>
      </x:c>
      <x:c r="L40" s="508" t="str">
        <x:v>Rusak Ringan</x:v>
      </x:c>
      <x:c r="M40" s="509" t="str">
        <x:v>Papan/Kayu</x:v>
      </x:c>
      <x:c r="N40" s="508" t="str">
        <x:v>Rusak Ringan</x:v>
      </x:c>
      <x:c r="O40" s="510" t="str">
        <x:v>Semen/Plester</x:v>
      </x:c>
      <x:c r="P40" s="511" t="str">
        <x:v>Rusak Ringan</x:v>
      </x:c>
      <x:c r="Q40" s="522" t="str">
        <x:v>Lengkap</x:v>
      </x:c>
      <x:c r="R40" s="522"/>
      <x:c r="S40" s="523" t="str">
        <x:v>Sudah Diverifikasi</x:v>
      </x:c>
      <x:c r="T40" s="524" t="str">
        <x:v>Selesai</x:v>
      </x:c>
      <x:c r="U40" s="519" t="str">
        <x:v>BSPS</x:v>
      </x:c>
      <x:c r="V40" s="519" t="n">
        <x:v>2023</x:v>
      </x:c>
      <x:c r="W40" s="521" t="str">
        <x:v>Kepemilikan Keluarga</x:v>
      </x:c>
      <x:c r="X40" s="520"/>
      <x:c r="Y40" s="521"/>
      <x:c r="Z40" s="519" t="n">
        <x:v>2026</x:v>
      </x:c>
      <x:c r="AA40" s="520" t="str">
        <x:v>Usulan Musrenbang/Pokir DPRD</x:v>
      </x:c>
      <x:c r="AB40" s="521" t="n">
        <x:v>46218</x:v>
      </x:c>
      <x:c r="AC40" s="520" t="str">
        <x:v>Dinas Perkim Kota Pangkalpinang</x:v>
      </x:c>
    </x:row>
    <x:row r="41" ht="32" customHeight="1">
      <x:c r="A41" s="496" t="str">
        <x:v>RTLH-0045</x:v>
      </x:c>
      <x:c r="B41" s="497" t="str">
        <x:v>RESKY RANGKUTI</x:v>
      </x:c>
      <x:c r="C41" s="498"/>
      <x:c r="D41" s="498"/>
      <x:c r="E41" s="497" t="str">
        <x:v>JL. MARICA RT.008 RW.003</x:v>
      </x:c>
      <x:c r="F41" s="497" t="str">
        <x:v>PINTU AIR</x:v>
      </x:c>
      <x:c r="G41" s="497" t="str">
        <x:v>RANGKUI</x:v>
      </x:c>
      <x:c r="H41" s="497" t="str">
        <x:v>Pembangunan Baru</x:v>
      </x:c>
      <x:c r="I41" s="499" t="str">
        <x:v>RUMAH BAGI DUA DENGAN SAUDARA ( SATU ATAP), DINDING PAPAN,LANTAI FLOOR, ATAP SENG RUSAK RINGAN ( SAUDARA DARI RESKY RANGKUTI)</x:v>
      </x:c>
      <x:c r="J41" s="508" t="str">
        <x:v>Nonpermanen</x:v>
      </x:c>
      <x:c r="K41" s="508" t="str">
        <x:v>Seng</x:v>
      </x:c>
      <x:c r="L41" s="508" t="str">
        <x:v>Rusak Ringan</x:v>
      </x:c>
      <x:c r="M41" s="509" t="str">
        <x:v>Papan/Kayu</x:v>
      </x:c>
      <x:c r="N41" s="508" t="str">
        <x:v>Rusak Ringan</x:v>
      </x:c>
      <x:c r="O41" s="510" t="str">
        <x:v>Semen/Plester</x:v>
      </x:c>
      <x:c r="P41" s="511" t="str">
        <x:v>Rusak Ringan</x:v>
      </x:c>
      <x:c r="Q41" s="522" t="str">
        <x:v>Lengkap</x:v>
      </x:c>
      <x:c r="R41" s="522"/>
      <x:c r="S41" s="523" t="str">
        <x:v>Sudah Diverifikasi</x:v>
      </x:c>
      <x:c r="T41" s="524" t="str">
        <x:v>Selesai</x:v>
      </x:c>
      <x:c r="U41" s="519" t="str">
        <x:v>APBD Kota</x:v>
      </x:c>
      <x:c r="V41" s="519" t="n">
        <x:v>2024</x:v>
      </x:c>
      <x:c r="W41" s="521" t="str">
        <x:v>Kepemilikan Keluarga</x:v>
      </x:c>
      <x:c r="X41" s="520"/>
      <x:c r="Y41" s="521"/>
      <x:c r="Z41" s="519" t="n">
        <x:v>2026</x:v>
      </x:c>
      <x:c r="AA41" s="520" t="str">
        <x:v>Usulan Musrenbang/Pokir DPRD</x:v>
      </x:c>
      <x:c r="AB41" s="521" t="n">
        <x:v>46218</x:v>
      </x:c>
      <x:c r="AC41" s="520" t="str">
        <x:v>Dinas Perkim Kota Pangkalpinang</x:v>
      </x:c>
    </x:row>
    <x:row r="42" ht="32" customHeight="1">
      <x:c r="A42" s="496" t="str">
        <x:v>RTLH-0046</x:v>
      </x:c>
      <x:c r="B42" s="497" t="str">
        <x:v>BUIKA M.AA</x:v>
      </x:c>
      <x:c r="C42" s="498"/>
      <x:c r="D42" s="498"/>
      <x:c r="E42" s="497" t="str">
        <x:v>JL. ABDURRACHMAN NO.58 RT.003 RW.001</x:v>
      </x:c>
      <x:c r="F42" s="497" t="str">
        <x:v>PINTU AIR</x:v>
      </x:c>
      <x:c r="G42" s="497" t="str">
        <x:v>RANGKUI</x:v>
      </x:c>
      <x:c r="H42" s="497" t="str">
        <x:v>Peningkatan Kualitas</x:v>
      </x:c>
      <x:c r="I42" s="499" t="str">
        <x:v>RUMAH,SEMI PERMANEN, LANTAI KERAMIK, ATAP SENG RUSAK SEDANG, DINDING RUSAK RINGAN</x:v>
      </x:c>
      <x:c r="J42" s="508" t="str">
        <x:v>Semipermanen</x:v>
      </x:c>
      <x:c r="K42" s="508" t="str">
        <x:v>Seng</x:v>
      </x:c>
      <x:c r="L42" s="508" t="str">
        <x:v>Rusak Sedang</x:v>
      </x:c>
      <x:c r="M42" s="509" t="str">
        <x:v>Campuran Permanen dan Papan</x:v>
      </x:c>
      <x:c r="N42" s="508" t="str">
        <x:v>Rusak Sedang</x:v>
      </x:c>
      <x:c r="O42" s="510" t="str">
        <x:v>Keramik</x:v>
      </x:c>
      <x:c r="P42" s="511" t="str">
        <x:v>Rusak Sedang</x:v>
      </x:c>
      <x:c r="Q42" s="522" t="str">
        <x:v>Belum Lengkap</x:v>
      </x:c>
      <x:c r="R42" s="522"/>
      <x:c r="S42" s="523" t="str">
        <x:v>Sudah Diverifikasi</x:v>
      </x:c>
      <x:c r="T42" s="524" t="str">
        <x:v>Selesai</x:v>
      </x:c>
      <x:c r="U42" s="519" t="str">
        <x:v>BSPS</x:v>
      </x:c>
      <x:c r="V42" s="519" t="n">
        <x:v>2023</x:v>
      </x:c>
      <x:c r="W42" s="521" t="str">
        <x:v>Belum Diverifikasi</x:v>
      </x:c>
      <x:c r="X42" s="520"/>
      <x:c r="Y42" s="521"/>
      <x:c r="Z42" s="519" t="n">
        <x:v>2026</x:v>
      </x:c>
      <x:c r="AA42" s="520" t="str">
        <x:v>Usulan Musrenbang/Pokir DPRD</x:v>
      </x:c>
      <x:c r="AB42" s="521" t="n">
        <x:v>46218</x:v>
      </x:c>
      <x:c r="AC42" s="520" t="str">
        <x:v>Dinas Perkim Kota Pangkalpinang</x:v>
      </x:c>
    </x:row>
    <x:row r="43" ht="32" customHeight="1">
      <x:c r="A43" s="496" t="str">
        <x:v>RTLH-0047</x:v>
      </x:c>
      <x:c r="B43" s="497" t="str">
        <x:v>IRWAN RIZALI</x:v>
      </x:c>
      <x:c r="C43" s="498"/>
      <x:c r="D43" s="498"/>
      <x:c r="E43" s="497" t="str">
        <x:v>JL. KH MOESLIMIN MANAB NO.04 RT.006 RW.002</x:v>
      </x:c>
      <x:c r="F43" s="497" t="str">
        <x:v>PINTU AIR</x:v>
      </x:c>
      <x:c r="G43" s="497" t="str">
        <x:v>RANGKUI</x:v>
      </x:c>
      <x:c r="H43" s="497" t="str">
        <x:v>Pembangunan Baru</x:v>
      </x:c>
      <x:c r="I43" s="499" t="str">
        <x:v>RUMAH SEMI PERMANEN, ATAP GENTENG RUSAK BERAT, LANTAI FLOOR RUSAK RINGAN, DINDING PAPAN RUSAK SEDANG,</x:v>
      </x:c>
      <x:c r="J43" s="508" t="str">
        <x:v>Semipermanen</x:v>
      </x:c>
      <x:c r="K43" s="508" t="str">
        <x:v>Genteng</x:v>
      </x:c>
      <x:c r="L43" s="508" t="str">
        <x:v>Rusak Berat</x:v>
      </x:c>
      <x:c r="M43" s="509" t="str">
        <x:v>Papan/Kayu</x:v>
      </x:c>
      <x:c r="N43" s="508" t="str">
        <x:v>Rusak Berat</x:v>
      </x:c>
      <x:c r="O43" s="510" t="str">
        <x:v>Semen/Plester</x:v>
      </x:c>
      <x:c r="P43" s="511" t="str">
        <x:v>Rusak Berat</x:v>
      </x:c>
      <x:c r="Q43" s="522" t="str">
        <x:v>Belum Lengkap</x:v>
      </x:c>
      <x:c r="R43" s="522"/>
      <x:c r="S43" s="523" t="str">
        <x:v>Sudah Diverifikasi</x:v>
      </x:c>
      <x:c r="T43" s="524" t="str">
        <x:v>Selesai</x:v>
      </x:c>
      <x:c r="U43" s="519" t="str">
        <x:v>BSPS</x:v>
      </x:c>
      <x:c r="V43" s="519" t="n">
        <x:v>2023</x:v>
      </x:c>
      <x:c r="W43" s="521" t="str">
        <x:v>Belum Diverifikasi</x:v>
      </x:c>
      <x:c r="X43" s="520"/>
      <x:c r="Y43" s="521"/>
      <x:c r="Z43" s="519" t="n">
        <x:v>2026</x:v>
      </x:c>
      <x:c r="AA43" s="520" t="str">
        <x:v>Usulan Musrenbang/Pokir DPRD</x:v>
      </x:c>
      <x:c r="AB43" s="521" t="n">
        <x:v>46218</x:v>
      </x:c>
      <x:c r="AC43" s="520" t="str">
        <x:v>Dinas Perkim Kota Pangkalpinang</x:v>
      </x:c>
    </x:row>
    <x:row r="44" ht="32" customHeight="1">
      <x:c r="A44" s="496" t="str">
        <x:v>RTLH-0048</x:v>
      </x:c>
      <x:c r="B44" s="497" t="str">
        <x:v>AGUS CIK</x:v>
      </x:c>
      <x:c r="C44" s="498"/>
      <x:c r="D44" s="498"/>
      <x:c r="E44" s="497" t="str">
        <x:v>GG. RUKAM IV NO.166 RT.005 RW.002</x:v>
      </x:c>
      <x:c r="F44" s="497" t="str">
        <x:v>ASAM</x:v>
      </x:c>
      <x:c r="G44" s="497" t="str">
        <x:v>RANGKUI</x:v>
      </x:c>
      <x:c r="H44" s="497" t="str">
        <x:v>Peningkatan Kualitas</x:v>
      </x:c>
      <x:c r="I44" s="499" t="str">
        <x:v>RUMAH PERMANEN, LANTAI FLOOR, ATAP SENG, KELAYAKAN 80% MINTA REHAB BAGIAN ATAP</x:v>
      </x:c>
      <x:c r="J44" s="508" t="str">
        <x:v>Permanen</x:v>
      </x:c>
      <x:c r="K44" s="508" t="str">
        <x:v>Seng</x:v>
      </x:c>
      <x:c r="L44" s="508" t="str">
        <x:v>Belum Dinilai</x:v>
      </x:c>
      <x:c r="M44" s="509" t="str">
        <x:v>Dinding Permanen (Material tidak dirinci)</x:v>
      </x:c>
      <x:c r="N44" s="508" t="str">
        <x:v>Belum Dinilai</x:v>
      </x:c>
      <x:c r="O44" s="510" t="str">
        <x:v>Semen/Plester</x:v>
      </x:c>
      <x:c r="P44" s="511" t="str">
        <x:v>Belum Dinilai</x:v>
      </x:c>
      <x:c r="Q44" s="522" t="str">
        <x:v>Lengkap</x:v>
      </x:c>
      <x:c r="R44" s="522"/>
      <x:c r="S44" s="523" t="str">
        <x:v>Sudah Diverifikasi</x:v>
      </x:c>
      <x:c r="T44" s="524" t="str">
        <x:v>Selesai</x:v>
      </x:c>
      <x:c r="U44" s="519" t="str">
        <x:v>BSPS</x:v>
      </x:c>
      <x:c r="V44" s="519" t="n">
        <x:v>2024</x:v>
      </x:c>
      <x:c r="W44" s="521" t="str">
        <x:v>Belum Diverifikasi</x:v>
      </x:c>
      <x:c r="X44" s="520"/>
      <x:c r="Y44" s="521"/>
      <x:c r="Z44" s="519" t="n">
        <x:v>2026</x:v>
      </x:c>
      <x:c r="AA44" s="520" t="str">
        <x:v>Usulan Musrenbang/Pokir DPRD</x:v>
      </x:c>
      <x:c r="AB44" s="521" t="n">
        <x:v>46218</x:v>
      </x:c>
      <x:c r="AC44" s="520" t="str">
        <x:v>Dinas Perkim Kota Pangkalpinang</x:v>
      </x:c>
    </x:row>
    <x:row r="45" ht="32" customHeight="1">
      <x:c r="A45" s="496" t="str">
        <x:v>RTLH-0050</x:v>
      </x:c>
      <x:c r="B45" s="497" t="str">
        <x:v>RIMA</x:v>
      </x:c>
      <x:c r="C45" s="498"/>
      <x:c r="D45" s="498"/>
      <x:c r="E45" s="497" t="str">
        <x:v>JL. BANGKALAN NO.25 RT.009 RW.003</x:v>
      </x:c>
      <x:c r="F45" s="497" t="str">
        <x:v>MELINTANG</x:v>
      </x:c>
      <x:c r="G45" s="497" t="str">
        <x:v>RANGKUI</x:v>
      </x:c>
      <x:c r="H45" s="497" t="str">
        <x:v>Pembangunan Baru</x:v>
      </x:c>
      <x:c r="I45" s="499" t="str">
        <x:v>RUMAH FULL PAPAN, ATAP GENTENG,DINDING PAPAN, ATAP RUSAK SEDANG,DINDING RUSAK RINGAN,</x:v>
      </x:c>
      <x:c r="J45" s="508" t="str">
        <x:v>Nonpermanen</x:v>
      </x:c>
      <x:c r="K45" s="508" t="str">
        <x:v>Genteng</x:v>
      </x:c>
      <x:c r="L45" s="508" t="str">
        <x:v>Rusak Sedang</x:v>
      </x:c>
      <x:c r="M45" s="509" t="str">
        <x:v>Papan/Kayu</x:v>
      </x:c>
      <x:c r="N45" s="508" t="str">
        <x:v>Rusak Sedang</x:v>
      </x:c>
      <x:c r="O45" s="510" t="str">
        <x:v>Belum Diidentifikasi</x:v>
      </x:c>
      <x:c r="P45" s="511" t="str">
        <x:v>Belum Dinilai</x:v>
      </x:c>
      <x:c r="Q45" s="522" t="str">
        <x:v>Lengkap</x:v>
      </x:c>
      <x:c r="R45" s="522"/>
      <x:c r="S45" s="523" t="str">
        <x:v>Sudah Diverifikasi</x:v>
      </x:c>
      <x:c r="T45" s="524" t="str">
        <x:v>Selesai</x:v>
      </x:c>
      <x:c r="U45" s="519" t="str">
        <x:v>APBD Kota</x:v>
      </x:c>
      <x:c r="V45" s="519" t="n">
        <x:v>2023</x:v>
      </x:c>
      <x:c r="W45" s="521" t="str">
        <x:v>Belum Diverifikasi</x:v>
      </x:c>
      <x:c r="X45" s="520"/>
      <x:c r="Y45" s="521"/>
      <x:c r="Z45" s="519" t="n">
        <x:v>2026</x:v>
      </x:c>
      <x:c r="AA45" s="520" t="str">
        <x:v>Usulan Musrenbang/Pokir DPRD</x:v>
      </x:c>
      <x:c r="AB45" s="521" t="n">
        <x:v>46218</x:v>
      </x:c>
      <x:c r="AC45" s="520" t="str">
        <x:v>Dinas Perkim Kota Pangkalpinang</x:v>
      </x:c>
    </x:row>
    <x:row r="46" ht="32" customHeight="1">
      <x:c r="A46" s="496" t="str">
        <x:v>RTLH-0051</x:v>
      </x:c>
      <x:c r="B46" s="497" t="str">
        <x:v>SANKA</x:v>
      </x:c>
      <x:c r="C46" s="498"/>
      <x:c r="D46" s="498"/>
      <x:c r="E46" s="497" t="str">
        <x:v>JL. SRIWIJAYA RT.005 RW.002</x:v>
      </x:c>
      <x:c r="F46" s="497" t="str">
        <x:v>ASAM</x:v>
      </x:c>
      <x:c r="G46" s="497" t="str">
        <x:v>RANGKUI</x:v>
      </x:c>
      <x:c r="H46" s="497" t="str">
        <x:v>BELUM PRIORITAS</x:v>
      </x:c>
      <x:c r="I46" s="499" t="str">
        <x:v>RUMAH SEMI PERMANEN, ATAP SENG RUSAK RINGAN,DIDING PAPAN RUSAK RINGAN, LANTAI KERAMIK</x:v>
      </x:c>
      <x:c r="J46" s="508" t="str">
        <x:v>Semipermanen</x:v>
      </x:c>
      <x:c r="K46" s="508" t="str">
        <x:v>Seng</x:v>
      </x:c>
      <x:c r="L46" s="508" t="str">
        <x:v>Rusak Ringan</x:v>
      </x:c>
      <x:c r="M46" s="509" t="str">
        <x:v>Papan/Kayu</x:v>
      </x:c>
      <x:c r="N46" s="508" t="str">
        <x:v>Rusak Ringan</x:v>
      </x:c>
      <x:c r="O46" s="510" t="str">
        <x:v>Keramik</x:v>
      </x:c>
      <x:c r="P46" s="511" t="str">
        <x:v>Rusak Ringan</x:v>
      </x:c>
      <x:c r="Q46" s="522" t="str">
        <x:v>Lengkap</x:v>
      </x:c>
      <x:c r="R46" s="522"/>
      <x:c r="S46" s="523" t="str">
        <x:v>Sudah Diverifikasi</x:v>
      </x:c>
      <x:c r="T46" s="524" t="str">
        <x:v>Selesai</x:v>
      </x:c>
      <x:c r="U46" s="519" t="str">
        <x:v>BSPS</x:v>
      </x:c>
      <x:c r="V46" s="519" t="n">
        <x:v>2024</x:v>
      </x:c>
      <x:c r="W46" s="521" t="str">
        <x:v>Belum Diverifikasi</x:v>
      </x:c>
      <x:c r="X46" s="520"/>
      <x:c r="Y46" s="521"/>
      <x:c r="Z46" s="519" t="n">
        <x:v>2026</x:v>
      </x:c>
      <x:c r="AA46" s="520" t="str">
        <x:v>Usulan Musrenbang/Pokir DPRD</x:v>
      </x:c>
      <x:c r="AB46" s="521" t="n">
        <x:v>46218</x:v>
      </x:c>
      <x:c r="AC46" s="520" t="str">
        <x:v>Dinas Perkim Kota Pangkalpinang</x:v>
      </x:c>
    </x:row>
    <x:row r="47" ht="32" customHeight="1">
      <x:c r="A47" s="496" t="str">
        <x:v>RTLH-0052</x:v>
      </x:c>
      <x:c r="B47" s="497" t="str">
        <x:v>SITANIA</x:v>
      </x:c>
      <x:c r="C47" s="498"/>
      <x:c r="D47" s="498"/>
      <x:c r="E47" s="497" t="str">
        <x:v>JL. SRIWIJAYA RT.005 RW.002</x:v>
      </x:c>
      <x:c r="F47" s="497" t="str">
        <x:v>ASAM</x:v>
      </x:c>
      <x:c r="G47" s="497" t="str">
        <x:v>RANGKUI</x:v>
      </x:c>
      <x:c r="H47" s="497" t="str">
        <x:v>BELUM PRIORITAS</x:v>
      </x:c>
      <x:c r="I47" s="499" t="str">
        <x:v>DINDING PERMANEN, LANTAI FLOOR,ATAP SENG, ( MINTA REHAB BAGIAN ATAP)</x:v>
      </x:c>
      <x:c r="J47" s="508" t="str">
        <x:v>Permanen</x:v>
      </x:c>
      <x:c r="K47" s="508" t="str">
        <x:v>Seng</x:v>
      </x:c>
      <x:c r="L47" s="508" t="str">
        <x:v>Belum Dinilai</x:v>
      </x:c>
      <x:c r="M47" s="509" t="str">
        <x:v>Dinding Permanen (Material tidak dirinci)</x:v>
      </x:c>
      <x:c r="N47" s="508" t="str">
        <x:v>Belum Dinilai</x:v>
      </x:c>
      <x:c r="O47" s="510" t="str">
        <x:v>Semen/Plester</x:v>
      </x:c>
      <x:c r="P47" s="511" t="str">
        <x:v>Belum Dinilai</x:v>
      </x:c>
      <x:c r="Q47" s="522" t="str">
        <x:v>Lengkap</x:v>
      </x:c>
      <x:c r="R47" s="522"/>
      <x:c r="S47" s="523" t="str">
        <x:v>Sudah Diverifikasi</x:v>
      </x:c>
      <x:c r="T47" s="524" t="str">
        <x:v>Belum Ditangani</x:v>
      </x:c>
      <x:c r="U47" s="519"/>
      <x:c r="V47" s="519"/>
      <x:c r="W47" s="521" t="str">
        <x:v>Belum Diverifikasi</x:v>
      </x:c>
      <x:c r="X47" s="520"/>
      <x:c r="Y47" s="521"/>
      <x:c r="Z47" s="519" t="n">
        <x:v>2026</x:v>
      </x:c>
      <x:c r="AA47" s="520" t="str">
        <x:v>Usulan Musrenbang/Pokir DPRD</x:v>
      </x:c>
      <x:c r="AB47" s="521" t="n">
        <x:v>46218</x:v>
      </x:c>
      <x:c r="AC47" s="520" t="str">
        <x:v>Dinas Perkim Kota Pangkalpinang</x:v>
      </x:c>
    </x:row>
    <x:row r="48" ht="32" customHeight="1">
      <x:c r="A48" s="496" t="str">
        <x:v>RTLH-0053</x:v>
      </x:c>
      <x:c r="B48" s="497" t="str">
        <x:v>SRIWATI</x:v>
      </x:c>
      <x:c r="C48" s="498"/>
      <x:c r="D48" s="498"/>
      <x:c r="E48" s="497" t="str">
        <x:v>Belum tersedia</x:v>
      </x:c>
      <x:c r="F48" s="497" t="str">
        <x:v>ASAM</x:v>
      </x:c>
      <x:c r="G48" s="497" t="str">
        <x:v>RANGKUI</x:v>
      </x:c>
      <x:c r="H48" s="497" t="str">
        <x:v>Pembangunan Baru</x:v>
      </x:c>
      <x:c r="I48" s="499" t="str">
        <x:v>RUMAH FULL PAPAN</x:v>
      </x:c>
      <x:c r="J48" s="508" t="str">
        <x:v>Nonpermanen</x:v>
      </x:c>
      <x:c r="K48" s="508" t="str">
        <x:v>Belum Diidentifikasi</x:v>
      </x:c>
      <x:c r="L48" s="508" t="str">
        <x:v>Belum Dinilai</x:v>
      </x:c>
      <x:c r="M48" s="509" t="str">
        <x:v>Papan/Kayu</x:v>
      </x:c>
      <x:c r="N48" s="508" t="str">
        <x:v>Belum Dinilai</x:v>
      </x:c>
      <x:c r="O48" s="510" t="str">
        <x:v>Belum Diidentifikasi</x:v>
      </x:c>
      <x:c r="P48" s="511" t="str">
        <x:v>Belum Dinilai</x:v>
      </x:c>
      <x:c r="Q48" s="522" t="str">
        <x:v>Lengkap</x:v>
      </x:c>
      <x:c r="R48" s="522"/>
      <x:c r="S48" s="523" t="str">
        <x:v>Sudah Diverifikasi</x:v>
      </x:c>
      <x:c r="T48" s="524" t="str">
        <x:v>Selesai</x:v>
      </x:c>
      <x:c r="U48" s="519" t="str">
        <x:v>BSPS</x:v>
      </x:c>
      <x:c r="V48" s="519" t="n">
        <x:v>2024</x:v>
      </x:c>
      <x:c r="W48" s="521" t="str">
        <x:v>Belum Diverifikasi</x:v>
      </x:c>
      <x:c r="X48" s="520"/>
      <x:c r="Y48" s="521"/>
      <x:c r="Z48" s="519" t="n">
        <x:v>2026</x:v>
      </x:c>
      <x:c r="AA48" s="520" t="str">
        <x:v>Usulan Musrenbang/Pokir DPRD</x:v>
      </x:c>
      <x:c r="AB48" s="521" t="n">
        <x:v>46218</x:v>
      </x:c>
      <x:c r="AC48" s="520" t="str">
        <x:v>Dinas Perkim Kota Pangkalpinang</x:v>
      </x:c>
    </x:row>
    <x:row r="49" ht="32" customHeight="1">
      <x:c r="A49" s="496" t="str">
        <x:v>RTLH-0054</x:v>
      </x:c>
      <x:c r="B49" s="497" t="str">
        <x:v>ROSMAH</x:v>
      </x:c>
      <x:c r="C49" s="498"/>
      <x:c r="D49" s="498"/>
      <x:c r="E49" s="497" t="str">
        <x:v>Belum tersedia</x:v>
      </x:c>
      <x:c r="F49" s="497" t="str">
        <x:v>ASAM</x:v>
      </x:c>
      <x:c r="G49" s="497" t="str">
        <x:v>RANGKUI</x:v>
      </x:c>
      <x:c r="H49" s="497" t="str">
        <x:v>Peningkatan Kualitas</x:v>
      </x:c>
      <x:c r="I49" s="499" t="str">
        <x:v>RUMAH PERMANEN, ( MINTA REHAB BAGIAN ATAP)</x:v>
      </x:c>
      <x:c r="J49" s="508" t="str">
        <x:v>Permanen</x:v>
      </x:c>
      <x:c r="K49" s="508" t="str">
        <x:v>Belum Diidentifikasi</x:v>
      </x:c>
      <x:c r="L49" s="508" t="str">
        <x:v>Belum Dinilai</x:v>
      </x:c>
      <x:c r="M49" s="509" t="str">
        <x:v>Dinding Permanen (Material tidak dirinci)</x:v>
      </x:c>
      <x:c r="N49" s="508" t="str">
        <x:v>Belum Dinilai</x:v>
      </x:c>
      <x:c r="O49" s="510" t="str">
        <x:v>Belum Diidentifikasi</x:v>
      </x:c>
      <x:c r="P49" s="511" t="str">
        <x:v>Belum Dinilai</x:v>
      </x:c>
      <x:c r="Q49" s="522" t="str">
        <x:v>Lengkap</x:v>
      </x:c>
      <x:c r="R49" s="522"/>
      <x:c r="S49" s="523" t="str">
        <x:v>Sudah Diverifikasi</x:v>
      </x:c>
      <x:c r="T49" s="524" t="str">
        <x:v>Selesai</x:v>
      </x:c>
      <x:c r="U49" s="519" t="str">
        <x:v>BSPS</x:v>
      </x:c>
      <x:c r="V49" s="519" t="n">
        <x:v>2024</x:v>
      </x:c>
      <x:c r="W49" s="521" t="str">
        <x:v>Belum Diverifikasi</x:v>
      </x:c>
      <x:c r="X49" s="520"/>
      <x:c r="Y49" s="521"/>
      <x:c r="Z49" s="519" t="n">
        <x:v>2026</x:v>
      </x:c>
      <x:c r="AA49" s="520" t="str">
        <x:v>Usulan Musrenbang/Pokir DPRD</x:v>
      </x:c>
      <x:c r="AB49" s="521" t="n">
        <x:v>46218</x:v>
      </x:c>
      <x:c r="AC49" s="520" t="str">
        <x:v>Dinas Perkim Kota Pangkalpinang</x:v>
      </x:c>
    </x:row>
    <x:row r="50" ht="32" customHeight="1">
      <x:c r="A50" s="496" t="str">
        <x:v>RTLH-0055</x:v>
      </x:c>
      <x:c r="B50" s="497" t="str">
        <x:v>BASTIAR</x:v>
      </x:c>
      <x:c r="C50" s="498"/>
      <x:c r="D50" s="498"/>
      <x:c r="E50" s="497" t="str">
        <x:v>Belum tersedia</x:v>
      </x:c>
      <x:c r="F50" s="497" t="str">
        <x:v>PARITLALANG</x:v>
      </x:c>
      <x:c r="G50" s="497" t="str">
        <x:v>RANGKUI</x:v>
      </x:c>
      <x:c r="H50" s="497" t="str">
        <x:v>Pembangunan Baru</x:v>
      </x:c>
      <x:c r="I50" s="499" t="str">
        <x:v>RUMAH FULL PAPAN,LANTAI FLOOR, ATAP SENG, DINDING RUSAK BERAT, LANTAI RUSAK SEDANG, ATAP RUSAK SEDANG.</x:v>
      </x:c>
      <x:c r="J50" s="508" t="str">
        <x:v>Nonpermanen</x:v>
      </x:c>
      <x:c r="K50" s="508" t="str">
        <x:v>Seng</x:v>
      </x:c>
      <x:c r="L50" s="508" t="str">
        <x:v>Rusak Berat</x:v>
      </x:c>
      <x:c r="M50" s="509" t="str">
        <x:v>Papan/Kayu</x:v>
      </x:c>
      <x:c r="N50" s="508" t="str">
        <x:v>Rusak Berat</x:v>
      </x:c>
      <x:c r="O50" s="510" t="str">
        <x:v>Semen/Plester</x:v>
      </x:c>
      <x:c r="P50" s="511" t="str">
        <x:v>Rusak Berat</x:v>
      </x:c>
      <x:c r="Q50" s="522" t="str">
        <x:v>Lengkap</x:v>
      </x:c>
      <x:c r="R50" s="522"/>
      <x:c r="S50" s="523" t="str">
        <x:v>Sudah Diverifikasi</x:v>
      </x:c>
      <x:c r="T50" s="524" t="str">
        <x:v>Selesai</x:v>
      </x:c>
      <x:c r="U50" s="519" t="str">
        <x:v>BSPS</x:v>
      </x:c>
      <x:c r="V50" s="519" t="n">
        <x:v>2023</x:v>
      </x:c>
      <x:c r="W50" s="521" t="str">
        <x:v>Belum Diverifikasi</x:v>
      </x:c>
      <x:c r="X50" s="520"/>
      <x:c r="Y50" s="521"/>
      <x:c r="Z50" s="519" t="n">
        <x:v>2026</x:v>
      </x:c>
      <x:c r="AA50" s="520" t="str">
        <x:v>Usulan Musrenbang/Pokir DPRD</x:v>
      </x:c>
      <x:c r="AB50" s="521" t="n">
        <x:v>46218</x:v>
      </x:c>
      <x:c r="AC50" s="520" t="str">
        <x:v>Dinas Perkim Kota Pangkalpinang</x:v>
      </x:c>
    </x:row>
    <x:row r="51" ht="32" customHeight="1">
      <x:c r="A51" s="496" t="str">
        <x:v>RTLH-0056</x:v>
      </x:c>
      <x:c r="B51" s="497" t="str">
        <x:v>HATIMAH</x:v>
      </x:c>
      <x:c r="C51" s="498"/>
      <x:c r="D51" s="498"/>
      <x:c r="E51" s="497" t="str">
        <x:v>JL. PAMEKASAN RT.002 RW.002</x:v>
      </x:c>
      <x:c r="F51" s="497" t="str">
        <x:v>PARITLALANG</x:v>
      </x:c>
      <x:c r="G51" s="497" t="str">
        <x:v>RANGKUI</x:v>
      </x:c>
      <x:c r="H51" s="497" t="str">
        <x:v>BELUM PRIORITAS</x:v>
      </x:c>
      <x:c r="I51" s="499" t="str">
        <x:v>RUMAH SEMI PERMANEN, BAGIAN BELAKANG PERMANEN, ATAP GENTENG,LANTAI FLOOR ( PERNAH MENDAPATKAN BANTUAN SWADAYA )</x:v>
      </x:c>
      <x:c r="J51" s="508" t="str">
        <x:v>Semipermanen</x:v>
      </x:c>
      <x:c r="K51" s="508" t="str">
        <x:v>Genteng</x:v>
      </x:c>
      <x:c r="L51" s="508" t="str">
        <x:v>Belum Dinilai</x:v>
      </x:c>
      <x:c r="M51" s="509" t="str">
        <x:v>Campuran Permanen dan Papan</x:v>
      </x:c>
      <x:c r="N51" s="508" t="str">
        <x:v>Belum Dinilai</x:v>
      </x:c>
      <x:c r="O51" s="510" t="str">
        <x:v>Semen/Plester</x:v>
      </x:c>
      <x:c r="P51" s="511" t="str">
        <x:v>Belum Dinilai</x:v>
      </x:c>
      <x:c r="Q51" s="522" t="str">
        <x:v>Lengkap</x:v>
      </x:c>
      <x:c r="R51" s="522"/>
      <x:c r="S51" s="523" t="str">
        <x:v>Sudah Diverifikasi</x:v>
      </x:c>
      <x:c r="T51" s="524" t="str">
        <x:v>Selesai</x:v>
      </x:c>
      <x:c r="U51" s="519" t="str">
        <x:v>APBD Provinsi</x:v>
      </x:c>
      <x:c r="V51" s="519" t="n">
        <x:v>2023</x:v>
      </x:c>
      <x:c r="W51" s="521" t="str">
        <x:v>Belum Diverifikasi</x:v>
      </x:c>
      <x:c r="X51" s="520"/>
      <x:c r="Y51" s="521"/>
      <x:c r="Z51" s="519" t="n">
        <x:v>2026</x:v>
      </x:c>
      <x:c r="AA51" s="520" t="str">
        <x:v>Usulan Musrenbang/Pokir DPRD</x:v>
      </x:c>
      <x:c r="AB51" s="521" t="n">
        <x:v>46218</x:v>
      </x:c>
      <x:c r="AC51" s="520" t="str">
        <x:v>Dinas Perkim Kota Pangkalpinang</x:v>
      </x:c>
    </x:row>
    <x:row r="52" ht="32" customHeight="1">
      <x:c r="A52" s="496" t="str">
        <x:v>RTLH-0057</x:v>
      </x:c>
      <x:c r="B52" s="497" t="str">
        <x:v>YULIA ANJANI</x:v>
      </x:c>
      <x:c r="C52" s="498"/>
      <x:c r="D52" s="498"/>
      <x:c r="E52" s="497" t="str">
        <x:v>JL. VETERAN NO.8 RT.002 RW.001</x:v>
      </x:c>
      <x:c r="F52" s="497" t="str">
        <x:v>PARITLALANG</x:v>
      </x:c>
      <x:c r="G52" s="497" t="str">
        <x:v>RANGKUI</x:v>
      </x:c>
      <x:c r="H52" s="497" t="str">
        <x:v>Pembangunan Baru</x:v>
      </x:c>
      <x:c r="I52" s="499" t="str">
        <x:v>RUMAH SEMI PERMANEN, BAGIAN DAPUR PERMANEN, BAGIAN UTAMA FULL PAPAN, ATAP ASBES, DINDING PAPAN RUSAK RINGAN, LANTAI FLOOR</x:v>
      </x:c>
      <x:c r="J52" s="508" t="str">
        <x:v>Semipermanen</x:v>
      </x:c>
      <x:c r="K52" s="508" t="str">
        <x:v>Asbes/Fiber Semen</x:v>
      </x:c>
      <x:c r="L52" s="508" t="str">
        <x:v>Rusak Ringan</x:v>
      </x:c>
      <x:c r="M52" s="509" t="str">
        <x:v>Papan/Kayu</x:v>
      </x:c>
      <x:c r="N52" s="508" t="str">
        <x:v>Rusak Ringan</x:v>
      </x:c>
      <x:c r="O52" s="510" t="str">
        <x:v>Semen/Plester</x:v>
      </x:c>
      <x:c r="P52" s="511" t="str">
        <x:v>Rusak Ringan</x:v>
      </x:c>
      <x:c r="Q52" s="522" t="str">
        <x:v>Lengkap</x:v>
      </x:c>
      <x:c r="R52" s="522"/>
      <x:c r="S52" s="523" t="str">
        <x:v>Sudah Diverifikasi</x:v>
      </x:c>
      <x:c r="T52" s="524" t="str">
        <x:v>Selesai</x:v>
      </x:c>
      <x:c r="U52" s="519" t="str">
        <x:v>APBD Kota</x:v>
      </x:c>
      <x:c r="V52" s="519" t="n">
        <x:v>2023</x:v>
      </x:c>
      <x:c r="W52" s="521" t="str">
        <x:v>Belum Diverifikasi</x:v>
      </x:c>
      <x:c r="X52" s="520"/>
      <x:c r="Y52" s="521"/>
      <x:c r="Z52" s="519" t="n">
        <x:v>2026</x:v>
      </x:c>
      <x:c r="AA52" s="520" t="str">
        <x:v>Usulan Musrenbang/Pokir DPRD</x:v>
      </x:c>
      <x:c r="AB52" s="521" t="n">
        <x:v>46218</x:v>
      </x:c>
      <x:c r="AC52" s="520" t="str">
        <x:v>Dinas Perkim Kota Pangkalpinang</x:v>
      </x:c>
    </x:row>
    <x:row r="53" ht="32" customHeight="1">
      <x:c r="A53" s="496" t="str">
        <x:v>RTLH-0060</x:v>
      </x:c>
      <x:c r="B53" s="497" t="str">
        <x:v>LIONG NGIAT FUN</x:v>
      </x:c>
      <x:c r="C53" s="498"/>
      <x:c r="D53" s="498"/>
      <x:c r="E53" s="497" t="str">
        <x:v>JL.BATU KADERA RT.011 RW.003</x:v>
      </x:c>
      <x:c r="F53" s="497" t="str">
        <x:v>SEMABUNG LAMA</x:v>
      </x:c>
      <x:c r="G53" s="497" t="str">
        <x:v>BUKIT INTAN</x:v>
      </x:c>
      <x:c r="H53" s="497" t="str">
        <x:v>Pembangunan Baru</x:v>
      </x:c>
      <x:c r="I53" s="499" t="str">
        <x:v>RUMAH FULL PAPAN, DINDING RUSAK BERAT,ATAP GENTENG RUSAK BERAT,LANTAI FLOOR RUSAK RINGAN</x:v>
      </x:c>
      <x:c r="J53" s="508" t="str">
        <x:v>Nonpermanen</x:v>
      </x:c>
      <x:c r="K53" s="508" t="str">
        <x:v>Genteng</x:v>
      </x:c>
      <x:c r="L53" s="508" t="str">
        <x:v>Rusak Berat</x:v>
      </x:c>
      <x:c r="M53" s="509" t="str">
        <x:v>Papan/Kayu</x:v>
      </x:c>
      <x:c r="N53" s="508" t="str">
        <x:v>Rusak Berat</x:v>
      </x:c>
      <x:c r="O53" s="510" t="str">
        <x:v>Semen/Plester</x:v>
      </x:c>
      <x:c r="P53" s="511" t="str">
        <x:v>Rusak Berat</x:v>
      </x:c>
      <x:c r="Q53" s="522" t="str">
        <x:v>Lengkap</x:v>
      </x:c>
      <x:c r="R53" s="522"/>
      <x:c r="S53" s="523" t="str">
        <x:v>Sudah Diverifikasi</x:v>
      </x:c>
      <x:c r="T53" s="524" t="str">
        <x:v>Selesai</x:v>
      </x:c>
      <x:c r="U53" s="519" t="str">
        <x:v>APBD Provinsi</x:v>
      </x:c>
      <x:c r="V53" s="519"/>
      <x:c r="W53" s="521" t="str">
        <x:v>Belum Diverifikasi</x:v>
      </x:c>
      <x:c r="X53" s="520"/>
      <x:c r="Y53" s="521"/>
      <x:c r="Z53" s="519" t="n">
        <x:v>2026</x:v>
      </x:c>
      <x:c r="AA53" s="520" t="str">
        <x:v>Usulan Musrenbang/Pokir DPRD</x:v>
      </x:c>
      <x:c r="AB53" s="521" t="n">
        <x:v>46218</x:v>
      </x:c>
      <x:c r="AC53" s="520" t="str">
        <x:v>Dinas Perkim Kota Pangkalpinang</x:v>
      </x:c>
    </x:row>
    <x:row r="54" ht="32" customHeight="1">
      <x:c r="A54" s="496" t="str">
        <x:v>RTLH-0063</x:v>
      </x:c>
      <x:c r="B54" s="497" t="str">
        <x:v>RIRIN</x:v>
      </x:c>
      <x:c r="C54" s="498"/>
      <x:c r="D54" s="498"/>
      <x:c r="E54" s="497" t="str">
        <x:v>JL. AIR MAWAR DALAM RT.002 RW.001</x:v>
      </x:c>
      <x:c r="F54" s="497" t="str">
        <x:v>AIR MAWAR</x:v>
      </x:c>
      <x:c r="G54" s="497" t="str">
        <x:v>BUKIT INTAN</x:v>
      </x:c>
      <x:c r="H54" s="497" t="str">
        <x:v>Pembangunan Baru</x:v>
      </x:c>
      <x:c r="I54" s="499" t="str">
        <x:v>RUMAH FULL PAPAN</x:v>
      </x:c>
      <x:c r="J54" s="508" t="str">
        <x:v>Nonpermanen</x:v>
      </x:c>
      <x:c r="K54" s="508" t="str">
        <x:v>Belum Diidentifikasi</x:v>
      </x:c>
      <x:c r="L54" s="508" t="str">
        <x:v>Belum Dinilai</x:v>
      </x:c>
      <x:c r="M54" s="509" t="str">
        <x:v>Papan/Kayu</x:v>
      </x:c>
      <x:c r="N54" s="508" t="str">
        <x:v>Belum Dinilai</x:v>
      </x:c>
      <x:c r="O54" s="510" t="str">
        <x:v>Belum Diidentifikasi</x:v>
      </x:c>
      <x:c r="P54" s="511" t="str">
        <x:v>Belum Dinilai</x:v>
      </x:c>
      <x:c r="Q54" s="522" t="str">
        <x:v>Lengkap</x:v>
      </x:c>
      <x:c r="R54" s="522"/>
      <x:c r="S54" s="523" t="str">
        <x:v>Sudah Diverifikasi</x:v>
      </x:c>
      <x:c r="T54" s="524" t="str">
        <x:v>Selesai</x:v>
      </x:c>
      <x:c r="U54" s="519" t="str">
        <x:v>APBD Kota</x:v>
      </x:c>
      <x:c r="V54" s="519" t="n">
        <x:v>2023</x:v>
      </x:c>
      <x:c r="W54" s="521" t="str">
        <x:v>Belum Diverifikasi</x:v>
      </x:c>
      <x:c r="X54" s="520"/>
      <x:c r="Y54" s="521"/>
      <x:c r="Z54" s="519" t="n">
        <x:v>2026</x:v>
      </x:c>
      <x:c r="AA54" s="520" t="str">
        <x:v>Usulan Musrenbang/Pokir DPRD</x:v>
      </x:c>
      <x:c r="AB54" s="521" t="n">
        <x:v>46218</x:v>
      </x:c>
      <x:c r="AC54" s="520" t="str">
        <x:v>Dinas Perkim Kota Pangkalpinang</x:v>
      </x:c>
    </x:row>
    <x:row r="55" ht="32" customHeight="1">
      <x:c r="A55" s="496" t="str">
        <x:v>RTLH-0064</x:v>
      </x:c>
      <x:c r="B55" s="497" t="str">
        <x:v>UYAN SOPIANDI</x:v>
      </x:c>
      <x:c r="C55" s="498"/>
      <x:c r="D55" s="498"/>
      <x:c r="E55" s="497" t="str">
        <x:v>GG. HAJI LAUT RT.006 RW.002</x:v>
      </x:c>
      <x:c r="F55" s="497" t="str">
        <x:v>AIR ITAM</x:v>
      </x:c>
      <x:c r="G55" s="497" t="str">
        <x:v>BUKIT INTAN</x:v>
      </x:c>
      <x:c r="H55" s="497" t="str">
        <x:v>Pembangunan Baru</x:v>
      </x:c>
      <x:c r="I55" s="499" t="str">
        <x:v>RUMAH SEMI PERMANEN TANPA PONDASI, DINDING PAPAN, ATAP ASBES, LANTAI FLOOR</x:v>
      </x:c>
      <x:c r="J55" s="508" t="str">
        <x:v>Semipermanen</x:v>
      </x:c>
      <x:c r="K55" s="508" t="str">
        <x:v>Asbes/Fiber Semen</x:v>
      </x:c>
      <x:c r="L55" s="508" t="str">
        <x:v>Belum Dinilai</x:v>
      </x:c>
      <x:c r="M55" s="509" t="str">
        <x:v>Papan/Kayu</x:v>
      </x:c>
      <x:c r="N55" s="508" t="str">
        <x:v>Belum Dinilai</x:v>
      </x:c>
      <x:c r="O55" s="510" t="str">
        <x:v>Semen/Plester</x:v>
      </x:c>
      <x:c r="P55" s="511" t="str">
        <x:v>Belum Dinilai</x:v>
      </x:c>
      <x:c r="Q55" s="522" t="str">
        <x:v>Belum Lengkap</x:v>
      </x:c>
      <x:c r="R55" s="522"/>
      <x:c r="S55" s="523" t="str">
        <x:v>Sudah Diverifikasi</x:v>
      </x:c>
      <x:c r="T55" s="524" t="str">
        <x:v>Belum Ditangani</x:v>
      </x:c>
      <x:c r="U55" s="519"/>
      <x:c r="V55" s="519"/>
      <x:c r="W55" s="521" t="str">
        <x:v>Belum Diverifikasi</x:v>
      </x:c>
      <x:c r="X55" s="520"/>
      <x:c r="Y55" s="521"/>
      <x:c r="Z55" s="519" t="n">
        <x:v>2026</x:v>
      </x:c>
      <x:c r="AA55" s="520" t="str">
        <x:v>Usulan Musrenbang/Pokir DPRD</x:v>
      </x:c>
      <x:c r="AB55" s="521" t="n">
        <x:v>46218</x:v>
      </x:c>
      <x:c r="AC55" s="520" t="str">
        <x:v>Dinas Perkim Kota Pangkalpinang</x:v>
      </x:c>
    </x:row>
    <x:row r="56" ht="32" customHeight="1">
      <x:c r="A56" s="496" t="str">
        <x:v>RTLH-0065</x:v>
      </x:c>
      <x:c r="B56" s="497" t="str">
        <x:v>KUSLINA</x:v>
      </x:c>
      <x:c r="C56" s="498"/>
      <x:c r="D56" s="498"/>
      <x:c r="E56" s="497" t="str">
        <x:v>GG. H.SALEH RT.003 RW.001</x:v>
      </x:c>
      <x:c r="F56" s="497" t="str">
        <x:v>AIR ITAM</x:v>
      </x:c>
      <x:c r="G56" s="497" t="str">
        <x:v>BUKIT INTAN</x:v>
      </x:c>
      <x:c r="H56" s="497" t="str">
        <x:v>Peningkatan Kualitas</x:v>
      </x:c>
      <x:c r="I56" s="499" t="str">
        <x:v>RUMAH KEBAKARAN</x:v>
      </x:c>
      <x:c r="J56" s="508" t="str">
        <x:v>Belum Dapat Ditentukan</x:v>
      </x:c>
      <x:c r="K56" s="508" t="str">
        <x:v>Belum Diidentifikasi</x:v>
      </x:c>
      <x:c r="L56" s="508" t="str">
        <x:v>Belum Dinilai</x:v>
      </x:c>
      <x:c r="M56" s="509" t="str">
        <x:v>Belum Diidentifikasi</x:v>
      </x:c>
      <x:c r="N56" s="508" t="str">
        <x:v>Belum Dinilai</x:v>
      </x:c>
      <x:c r="O56" s="510" t="str">
        <x:v>Belum Diidentifikasi</x:v>
      </x:c>
      <x:c r="P56" s="511" t="str">
        <x:v>Belum Dinilai</x:v>
      </x:c>
      <x:c r="Q56" s="522" t="str">
        <x:v>Belum Lengkap</x:v>
      </x:c>
      <x:c r="R56" s="522"/>
      <x:c r="S56" s="523" t="str">
        <x:v>Sudah Diverifikasi</x:v>
      </x:c>
      <x:c r="T56" s="524" t="str">
        <x:v>Belum Ditangani</x:v>
      </x:c>
      <x:c r="U56" s="519"/>
      <x:c r="V56" s="519"/>
      <x:c r="W56" s="521" t="str">
        <x:v>Belum Diverifikasi</x:v>
      </x:c>
      <x:c r="X56" s="520"/>
      <x:c r="Y56" s="521"/>
      <x:c r="Z56" s="519" t="n">
        <x:v>2026</x:v>
      </x:c>
      <x:c r="AA56" s="520" t="str">
        <x:v>Usulan Musrenbang/Pokir DPRD</x:v>
      </x:c>
      <x:c r="AB56" s="521" t="n">
        <x:v>46218</x:v>
      </x:c>
      <x:c r="AC56" s="520" t="str">
        <x:v>Dinas Perkim Kota Pangkalpinang</x:v>
      </x:c>
    </x:row>
    <x:row r="57" ht="32" customHeight="1">
      <x:c r="A57" s="496" t="str">
        <x:v>RTLH-0066</x:v>
      </x:c>
      <x:c r="B57" s="497" t="str">
        <x:v>AHMAD YANTO</x:v>
      </x:c>
      <x:c r="C57" s="498"/>
      <x:c r="D57" s="498"/>
      <x:c r="E57" s="497" t="str">
        <x:v>JL. TANJUNG GUNUNG II RT.001 RW.001</x:v>
      </x:c>
      <x:c r="F57" s="497" t="str">
        <x:v>TEMBERAN</x:v>
      </x:c>
      <x:c r="G57" s="497" t="str">
        <x:v>BUKIT INTAN</x:v>
      </x:c>
      <x:c r="H57" s="497" t="str">
        <x:v>Pembangunan Baru</x:v>
      </x:c>
      <x:c r="I57" s="499" t="str">
        <x:v>DINDING ASBES, LANTAI FLOOR, ATAP SENG, WC TIDAK ADA</x:v>
      </x:c>
      <x:c r="J57" s="508" t="str">
        <x:v>Belum Dapat Ditentukan</x:v>
      </x:c>
      <x:c r="K57" s="508" t="str">
        <x:v>Campuran</x:v>
      </x:c>
      <x:c r="L57" s="508" t="str">
        <x:v>Belum Dinilai</x:v>
      </x:c>
      <x:c r="M57" s="509" t="str">
        <x:v>Belum Diidentifikasi</x:v>
      </x:c>
      <x:c r="N57" s="508" t="str">
        <x:v>Belum Dinilai</x:v>
      </x:c>
      <x:c r="O57" s="510" t="str">
        <x:v>Semen/Plester</x:v>
      </x:c>
      <x:c r="P57" s="511" t="str">
        <x:v>Belum Dinilai</x:v>
      </x:c>
      <x:c r="Q57" s="522" t="str">
        <x:v>Belum Lengkap</x:v>
      </x:c>
      <x:c r="R57" s="522"/>
      <x:c r="S57" s="523" t="str">
        <x:v>Sudah Diverifikasi</x:v>
      </x:c>
      <x:c r="T57" s="524" t="str">
        <x:v>Belum Ditangani</x:v>
      </x:c>
      <x:c r="U57" s="519"/>
      <x:c r="V57" s="519"/>
      <x:c r="W57" s="521" t="str">
        <x:v>Belum Diverifikasi</x:v>
      </x:c>
      <x:c r="X57" s="520"/>
      <x:c r="Y57" s="521"/>
      <x:c r="Z57" s="519" t="n">
        <x:v>2026</x:v>
      </x:c>
      <x:c r="AA57" s="520" t="str">
        <x:v>Usulan Musrenbang/Pokir DPRD</x:v>
      </x:c>
      <x:c r="AB57" s="521" t="n">
        <x:v>46218</x:v>
      </x:c>
      <x:c r="AC57" s="520" t="str">
        <x:v>Dinas Perkim Kota Pangkalpinang</x:v>
      </x:c>
    </x:row>
    <x:row r="58" ht="32" customHeight="1">
      <x:c r="A58" s="496" t="str">
        <x:v>RTLH-0067</x:v>
      </x:c>
      <x:c r="B58" s="497" t="str">
        <x:v>ROYADI</x:v>
      </x:c>
      <x:c r="C58" s="498"/>
      <x:c r="D58" s="498"/>
      <x:c r="E58" s="497" t="str">
        <x:v>JL. KASIR RT.009 RW.003</x:v>
      </x:c>
      <x:c r="F58" s="497" t="str">
        <x:v>SINAR BULAN</x:v>
      </x:c>
      <x:c r="G58" s="497" t="str">
        <x:v>BUKIT INTAN</x:v>
      </x:c>
      <x:c r="H58" s="497" t="str">
        <x:v>Peningkatan Kualitas</x:v>
      </x:c>
      <x:c r="I58" s="499" t="str">
        <x:v>RUMAH PERMANEN, (MINTA REHAB BAGIAN DEPAN )</x:v>
      </x:c>
      <x:c r="J58" s="508" t="str">
        <x:v>Permanen</x:v>
      </x:c>
      <x:c r="K58" s="508" t="str">
        <x:v>Belum Diidentifikasi</x:v>
      </x:c>
      <x:c r="L58" s="508" t="str">
        <x:v>Belum Dinilai</x:v>
      </x:c>
      <x:c r="M58" s="509" t="str">
        <x:v>Dinding Permanen (Material tidak dirinci)</x:v>
      </x:c>
      <x:c r="N58" s="508" t="str">
        <x:v>Belum Dinilai</x:v>
      </x:c>
      <x:c r="O58" s="510" t="str">
        <x:v>Belum Diidentifikasi</x:v>
      </x:c>
      <x:c r="P58" s="511" t="str">
        <x:v>Belum Dinilai</x:v>
      </x:c>
      <x:c r="Q58" s="522" t="str">
        <x:v>Belum Lengkap</x:v>
      </x:c>
      <x:c r="R58" s="522"/>
      <x:c r="S58" s="523" t="str">
        <x:v>Sudah Diverifikasi</x:v>
      </x:c>
      <x:c r="T58" s="524" t="str">
        <x:v>Belum Ditangani</x:v>
      </x:c>
      <x:c r="U58" s="519"/>
      <x:c r="V58" s="519"/>
      <x:c r="W58" s="521" t="str">
        <x:v>Belum Diverifikasi</x:v>
      </x:c>
      <x:c r="X58" s="520"/>
      <x:c r="Y58" s="521"/>
      <x:c r="Z58" s="519" t="n">
        <x:v>2026</x:v>
      </x:c>
      <x:c r="AA58" s="520" t="str">
        <x:v>Usulan Musrenbang/Pokir DPRD</x:v>
      </x:c>
      <x:c r="AB58" s="521" t="n">
        <x:v>46218</x:v>
      </x:c>
      <x:c r="AC58" s="520" t="str">
        <x:v>Dinas Perkim Kota Pangkalpinang</x:v>
      </x:c>
    </x:row>
    <x:row r="59" ht="32" customHeight="1">
      <x:c r="A59" s="496" t="str">
        <x:v>RTLH-0069</x:v>
      </x:c>
      <x:c r="B59" s="497" t="str">
        <x:v>ASNI</x:v>
      </x:c>
      <x:c r="C59" s="498"/>
      <x:c r="D59" s="498"/>
      <x:c r="E59" s="497" t="str">
        <x:v>JL. SINAR BULAN RT.005 RW.003</x:v>
      </x:c>
      <x:c r="F59" s="497" t="str">
        <x:v>SINAR BULAN</x:v>
      </x:c>
      <x:c r="G59" s="497" t="str">
        <x:v>BUKIT INTAN</x:v>
      </x:c>
      <x:c r="H59" s="497" t="str">
        <x:v>Peningkatan Kualitas</x:v>
      </x:c>
      <x:c r="I59" s="499" t="str">
        <x:v>RUMAH SEMI PERMANEN , LANTAI FLOOR, DINDING PAPAN RUSAK RINGAN, ATAP GENTENG RUSAK SEDANG )</x:v>
      </x:c>
      <x:c r="J59" s="508" t="str">
        <x:v>Semipermanen</x:v>
      </x:c>
      <x:c r="K59" s="508" t="str">
        <x:v>Genteng</x:v>
      </x:c>
      <x:c r="L59" s="508" t="str">
        <x:v>Rusak Sedang</x:v>
      </x:c>
      <x:c r="M59" s="509" t="str">
        <x:v>Papan/Kayu</x:v>
      </x:c>
      <x:c r="N59" s="508" t="str">
        <x:v>Rusak Sedang</x:v>
      </x:c>
      <x:c r="O59" s="510" t="str">
        <x:v>Semen/Plester</x:v>
      </x:c>
      <x:c r="P59" s="511" t="str">
        <x:v>Rusak Ringan</x:v>
      </x:c>
      <x:c r="Q59" s="522" t="str">
        <x:v>Lengkap</x:v>
      </x:c>
      <x:c r="R59" s="522"/>
      <x:c r="S59" s="523" t="str">
        <x:v>Sudah Diverifikasi</x:v>
      </x:c>
      <x:c r="T59" s="524" t="str">
        <x:v>Belum Ditangani</x:v>
      </x:c>
      <x:c r="U59" s="519"/>
      <x:c r="V59" s="519"/>
      <x:c r="W59" s="521" t="str">
        <x:v>Belum Diverifikasi</x:v>
      </x:c>
      <x:c r="X59" s="520"/>
      <x:c r="Y59" s="521"/>
      <x:c r="Z59" s="519" t="n">
        <x:v>2026</x:v>
      </x:c>
      <x:c r="AA59" s="520" t="str">
        <x:v>Usulan Musrenbang/Pokir DPRD</x:v>
      </x:c>
      <x:c r="AB59" s="521" t="n">
        <x:v>46218</x:v>
      </x:c>
      <x:c r="AC59" s="520" t="str">
        <x:v>Dinas Perkim Kota Pangkalpinang</x:v>
      </x:c>
    </x:row>
    <x:row r="60" ht="32" customHeight="1">
      <x:c r="A60" s="496" t="str">
        <x:v>RTLH-0070</x:v>
      </x:c>
      <x:c r="B60" s="497" t="str">
        <x:v>RIZKA</x:v>
      </x:c>
      <x:c r="C60" s="498"/>
      <x:c r="D60" s="498"/>
      <x:c r="E60" s="497" t="str">
        <x:v>JL. KASIR RT.009 RW.003</x:v>
      </x:c>
      <x:c r="F60" s="497" t="str">
        <x:v>SINAR BULAN</x:v>
      </x:c>
      <x:c r="G60" s="497" t="str">
        <x:v>BUKIT INTAN</x:v>
      </x:c>
      <x:c r="H60" s="497" t="str">
        <x:v>Pembangunan Baru</x:v>
      </x:c>
      <x:c r="I60" s="499" t="str">
        <x:v>RUMAH SEMI PERMANEN, LANTAI FLOOR, BAGIAN DAPUR PERMANEN LANTAI KERAMIK, DINDING PAPAN, ATAP SENG RUSAK SEDANG )\</x:v>
      </x:c>
      <x:c r="J60" s="508" t="str">
        <x:v>Semipermanen</x:v>
      </x:c>
      <x:c r="K60" s="508" t="str">
        <x:v>Seng</x:v>
      </x:c>
      <x:c r="L60" s="508" t="str">
        <x:v>Rusak Sedang</x:v>
      </x:c>
      <x:c r="M60" s="509" t="str">
        <x:v>Papan/Kayu</x:v>
      </x:c>
      <x:c r="N60" s="508" t="str">
        <x:v>Rusak Sedang</x:v>
      </x:c>
      <x:c r="O60" s="510" t="str">
        <x:v>Campuran</x:v>
      </x:c>
      <x:c r="P60" s="511" t="str">
        <x:v>Rusak Sedang</x:v>
      </x:c>
      <x:c r="Q60" s="522" t="str">
        <x:v>Belum Lengkap</x:v>
      </x:c>
      <x:c r="R60" s="522"/>
      <x:c r="S60" s="523" t="str">
        <x:v>Sudah Diverifikasi</x:v>
      </x:c>
      <x:c r="T60" s="524" t="str">
        <x:v>Belum Ditangani</x:v>
      </x:c>
      <x:c r="U60" s="519"/>
      <x:c r="V60" s="519"/>
      <x:c r="W60" s="521" t="str">
        <x:v>Belum Diverifikasi</x:v>
      </x:c>
      <x:c r="X60" s="520"/>
      <x:c r="Y60" s="521"/>
      <x:c r="Z60" s="519" t="n">
        <x:v>2026</x:v>
      </x:c>
      <x:c r="AA60" s="520" t="str">
        <x:v>Usulan Musrenbang/Pokir DPRD</x:v>
      </x:c>
      <x:c r="AB60" s="521" t="n">
        <x:v>46218</x:v>
      </x:c>
      <x:c r="AC60" s="520" t="str">
        <x:v>Dinas Perkim Kota Pangkalpinang</x:v>
      </x:c>
    </x:row>
    <x:row r="61" ht="32" customHeight="1">
      <x:c r="A61" s="496" t="str">
        <x:v>RTLH-0071</x:v>
      </x:c>
      <x:c r="B61" s="497" t="str">
        <x:v>NOVITA SARI</x:v>
      </x:c>
      <x:c r="C61" s="498"/>
      <x:c r="D61" s="498"/>
      <x:c r="E61" s="497" t="str">
        <x:v>Belum tersedia</x:v>
      </x:c>
      <x:c r="F61" s="497" t="str">
        <x:v>SINAR BULAN</x:v>
      </x:c>
      <x:c r="G61" s="497" t="str">
        <x:v>BUKIT INTAN</x:v>
      </x:c>
      <x:c r="H61" s="497" t="str">
        <x:v>Pembangunan Baru</x:v>
      </x:c>
      <x:c r="I61" s="499" t="str">
        <x:v>RUMAH SEMI PERMANEN, TANPA PONDASI, DINDING PAPAN RUSAK SEDANG, ATAP ASBES</x:v>
      </x:c>
      <x:c r="J61" s="508" t="str">
        <x:v>Semipermanen</x:v>
      </x:c>
      <x:c r="K61" s="508" t="str">
        <x:v>Asbes/Fiber Semen</x:v>
      </x:c>
      <x:c r="L61" s="508" t="str">
        <x:v>Rusak Sedang</x:v>
      </x:c>
      <x:c r="M61" s="509" t="str">
        <x:v>Papan/Kayu</x:v>
      </x:c>
      <x:c r="N61" s="508" t="str">
        <x:v>Rusak Sedang</x:v>
      </x:c>
      <x:c r="O61" s="510" t="str">
        <x:v>Belum Diidentifikasi</x:v>
      </x:c>
      <x:c r="P61" s="511" t="str">
        <x:v>Belum Dinilai</x:v>
      </x:c>
      <x:c r="Q61" s="522" t="str">
        <x:v>Belum Lengkap</x:v>
      </x:c>
      <x:c r="R61" s="522"/>
      <x:c r="S61" s="523" t="str">
        <x:v>Sudah Diverifikasi</x:v>
      </x:c>
      <x:c r="T61" s="524" t="str">
        <x:v>Belum Ditangani</x:v>
      </x:c>
      <x:c r="U61" s="519"/>
      <x:c r="V61" s="519"/>
      <x:c r="W61" s="521" t="str">
        <x:v>Belum Diverifikasi</x:v>
      </x:c>
      <x:c r="X61" s="520"/>
      <x:c r="Y61" s="521"/>
      <x:c r="Z61" s="519" t="n">
        <x:v>2026</x:v>
      </x:c>
      <x:c r="AA61" s="520" t="str">
        <x:v>Usulan Musrenbang/Pokir DPRD</x:v>
      </x:c>
      <x:c r="AB61" s="521" t="n">
        <x:v>46218</x:v>
      </x:c>
      <x:c r="AC61" s="520" t="str">
        <x:v>Dinas Perkim Kota Pangkalpinang</x:v>
      </x:c>
    </x:row>
    <x:row r="62" ht="32" customHeight="1">
      <x:c r="A62" s="496" t="str">
        <x:v>RTLH-0072</x:v>
      </x:c>
      <x:c r="B62" s="497" t="str">
        <x:v>EKO</x:v>
      </x:c>
      <x:c r="C62" s="498"/>
      <x:c r="D62" s="498"/>
      <x:c r="E62" s="497" t="str">
        <x:v>GG.MAJID AL IHSAN RT/RW 003/001</x:v>
      </x:c>
      <x:c r="F62" s="497" t="str">
        <x:v>LONTONG PANCUR</x:v>
      </x:c>
      <x:c r="G62" s="497" t="str">
        <x:v>PANGKAL BALAM</x:v>
      </x:c>
      <x:c r="H62" s="497" t="str">
        <x:v>Peningkatan Kualitas</x:v>
      </x:c>
      <x:c r="I62" s="499" t="str">
        <x:v>RUMAH FULL DINDING, ATAS ASBES DAN TIDAK AD KAMAR MANDI</x:v>
      </x:c>
      <x:c r="J62" s="508" t="str">
        <x:v>Belum Dapat Ditentukan</x:v>
      </x:c>
      <x:c r="K62" s="508" t="str">
        <x:v>Asbes/Fiber Semen</x:v>
      </x:c>
      <x:c r="L62" s="508" t="str">
        <x:v>Belum Dinilai</x:v>
      </x:c>
      <x:c r="M62" s="509" t="str">
        <x:v>Belum Diidentifikasi</x:v>
      </x:c>
      <x:c r="N62" s="508" t="str">
        <x:v>Belum Dinilai</x:v>
      </x:c>
      <x:c r="O62" s="510" t="str">
        <x:v>Belum Diidentifikasi</x:v>
      </x:c>
      <x:c r="P62" s="511" t="str">
        <x:v>Belum Dinilai</x:v>
      </x:c>
      <x:c r="Q62" s="522" t="str">
        <x:v>Belum Lengkap</x:v>
      </x:c>
      <x:c r="R62" s="522"/>
      <x:c r="S62" s="523" t="str">
        <x:v>Sudah Diverifikasi</x:v>
      </x:c>
      <x:c r="T62" s="524" t="str">
        <x:v>Belum Ditangani</x:v>
      </x:c>
      <x:c r="U62" s="519"/>
      <x:c r="V62" s="519"/>
      <x:c r="W62" s="521" t="str">
        <x:v>Belum Diverifikasi</x:v>
      </x:c>
      <x:c r="X62" s="520"/>
      <x:c r="Y62" s="521"/>
      <x:c r="Z62" s="519" t="n">
        <x:v>2026</x:v>
      </x:c>
      <x:c r="AA62" s="520" t="str">
        <x:v>Usulan Musrenbang/Pokir DPRD</x:v>
      </x:c>
      <x:c r="AB62" s="521" t="n">
        <x:v>46218</x:v>
      </x:c>
      <x:c r="AC62" s="520" t="str">
        <x:v>Dinas Perkim Kota Pangkalpinang</x:v>
      </x:c>
    </x:row>
    <x:row r="63" ht="32" customHeight="1">
      <x:c r="A63" s="496" t="str">
        <x:v>RTLH-0073</x:v>
      </x:c>
      <x:c r="B63" s="497" t="str">
        <x:v>YUNI RETNO WATI</x:v>
      </x:c>
      <x:c r="C63" s="498"/>
      <x:c r="D63" s="498"/>
      <x:c r="E63" s="497" t="str">
        <x:v>JL.KAYU PUTIH.RT/RW. 002/001</x:v>
      </x:c>
      <x:c r="F63" s="497" t="str">
        <x:v>BUKIT SARI</x:v>
      </x:c>
      <x:c r="G63" s="497" t="str">
        <x:v>GERUNGGANG</x:v>
      </x:c>
      <x:c r="H63" s="497" t="str">
        <x:v>Peningkatan Kualitas</x:v>
      </x:c>
      <x:c r="I63" s="499" t="str">
        <x:v>RUMAH FULL DINDING , ATAP ASBES RUSAK BERAT (BOCOR)</x:v>
      </x:c>
      <x:c r="J63" s="508" t="str">
        <x:v>Belum Dapat Ditentukan</x:v>
      </x:c>
      <x:c r="K63" s="508" t="str">
        <x:v>Asbes/Fiber Semen</x:v>
      </x:c>
      <x:c r="L63" s="508" t="str">
        <x:v>Rusak Berat</x:v>
      </x:c>
      <x:c r="M63" s="509" t="str">
        <x:v>Belum Diidentifikasi</x:v>
      </x:c>
      <x:c r="N63" s="508" t="str">
        <x:v>Rusak Berat</x:v>
      </x:c>
      <x:c r="O63" s="510" t="str">
        <x:v>Belum Diidentifikasi</x:v>
      </x:c>
      <x:c r="P63" s="511" t="str">
        <x:v>Belum Dinilai</x:v>
      </x:c>
      <x:c r="Q63" s="522" t="str">
        <x:v>Belum Lengkap</x:v>
      </x:c>
      <x:c r="R63" s="522"/>
      <x:c r="S63" s="523" t="str">
        <x:v>Sudah Diverifikasi</x:v>
      </x:c>
      <x:c r="T63" s="524" t="str">
        <x:v>Selesai</x:v>
      </x:c>
      <x:c r="U63" s="519" t="str">
        <x:v>APBD Kota</x:v>
      </x:c>
      <x:c r="V63" s="519" t="n">
        <x:v>2024</x:v>
      </x:c>
      <x:c r="W63" s="521" t="str">
        <x:v>Belum Diverifikasi</x:v>
      </x:c>
      <x:c r="X63" s="520"/>
      <x:c r="Y63" s="521"/>
      <x:c r="Z63" s="519" t="n">
        <x:v>2026</x:v>
      </x:c>
      <x:c r="AA63" s="520" t="str">
        <x:v>Usulan Musrenbang/Pokir DPRD</x:v>
      </x:c>
      <x:c r="AB63" s="521" t="n">
        <x:v>46218</x:v>
      </x:c>
      <x:c r="AC63" s="520" t="str">
        <x:v>Dinas Perkim Kota Pangkalpinang</x:v>
      </x:c>
    </x:row>
    <x:row r="64" ht="32" customHeight="1">
      <x:c r="A64" s="496" t="str">
        <x:v>RTLH-0074</x:v>
      </x:c>
      <x:c r="B64" s="497" t="str">
        <x:v>BEENISHYA UKHRA NAJWA NURLAILA</x:v>
      </x:c>
      <x:c r="C64" s="498"/>
      <x:c r="D64" s="498"/>
      <x:c r="E64" s="497" t="str">
        <x:v>JL.VETERAN RT/RW 002/003</x:v>
      </x:c>
      <x:c r="F64" s="497" t="str">
        <x:v>PARITLALANG</x:v>
      </x:c>
      <x:c r="G64" s="497" t="str">
        <x:v>RANGKUI</x:v>
      </x:c>
      <x:c r="H64" s="497" t="str">
        <x:v>Pembangunan Baru</x:v>
      </x:c>
      <x:c r="I64" s="499" t="str">
        <x:v>RUMAH TIADK LAYAK HUNI, DINDING ASBES/SENG, ATAP SENG,</x:v>
      </x:c>
      <x:c r="J64" s="508" t="str">
        <x:v>Belum Dapat Ditentukan</x:v>
      </x:c>
      <x:c r="K64" s="508" t="str">
        <x:v>Campuran</x:v>
      </x:c>
      <x:c r="L64" s="508" t="str">
        <x:v>Belum Dinilai</x:v>
      </x:c>
      <x:c r="M64" s="509" t="str">
        <x:v>Seng</x:v>
      </x:c>
      <x:c r="N64" s="508" t="str">
        <x:v>Belum Dinilai</x:v>
      </x:c>
      <x:c r="O64" s="510" t="str">
        <x:v>Belum Diidentifikasi</x:v>
      </x:c>
      <x:c r="P64" s="511" t="str">
        <x:v>Belum Dinilai</x:v>
      </x:c>
      <x:c r="Q64" s="522" t="str">
        <x:v>Belum Lengkap</x:v>
      </x:c>
      <x:c r="R64" s="522"/>
      <x:c r="S64" s="523" t="str">
        <x:v>Sudah Diverifikasi</x:v>
      </x:c>
      <x:c r="T64" s="524" t="str">
        <x:v>Belum Ditangani</x:v>
      </x:c>
      <x:c r="U64" s="519"/>
      <x:c r="V64" s="519"/>
      <x:c r="W64" s="521" t="str">
        <x:v>Belum Diverifikasi</x:v>
      </x:c>
      <x:c r="X64" s="520"/>
      <x:c r="Y64" s="521"/>
      <x:c r="Z64" s="519" t="n">
        <x:v>2026</x:v>
      </x:c>
      <x:c r="AA64" s="520" t="str">
        <x:v>Usulan Musrenbang/Pokir DPRD</x:v>
      </x:c>
      <x:c r="AB64" s="521" t="n">
        <x:v>46218</x:v>
      </x:c>
      <x:c r="AC64" s="520" t="str">
        <x:v>Dinas Perkim Kota Pangkalpinang</x:v>
      </x:c>
    </x:row>
    <x:row r="65" ht="32" customHeight="1">
      <x:c r="A65" s="496" t="str">
        <x:v>RTLH-0075</x:v>
      </x:c>
      <x:c r="B65" s="497" t="str">
        <x:v>MAUN RASIMA</x:v>
      </x:c>
      <x:c r="C65" s="498"/>
      <x:c r="D65" s="498"/>
      <x:c r="E65" s="497" t="str">
        <x:v>JL.ARUS DALAM RT/RW 003/002</x:v>
      </x:c>
      <x:c r="F65" s="497" t="str">
        <x:v>AIR MAWAR</x:v>
      </x:c>
      <x:c r="G65" s="497" t="str">
        <x:v>BUKIT INTAN</x:v>
      </x:c>
      <x:c r="H65" s="497" t="str">
        <x:v>Pembangunan Baru</x:v>
      </x:c>
      <x:c r="I65" s="499" t="str">
        <x:v>RUMAH FULL PAPAN, ATAP ASBES,TIDAK MEMILIKI WC PRIBADI, LISTIRIK NYAMBUNG DENGAN SAUDARA, LANTAI FLOOR</x:v>
      </x:c>
      <x:c r="J65" s="508" t="str">
        <x:v>Nonpermanen</x:v>
      </x:c>
      <x:c r="K65" s="508" t="str">
        <x:v>Asbes/Fiber Semen</x:v>
      </x:c>
      <x:c r="L65" s="508" t="str">
        <x:v>Belum Dinilai</x:v>
      </x:c>
      <x:c r="M65" s="509" t="str">
        <x:v>Papan/Kayu</x:v>
      </x:c>
      <x:c r="N65" s="508" t="str">
        <x:v>Belum Dinilai</x:v>
      </x:c>
      <x:c r="O65" s="510" t="str">
        <x:v>Semen/Plester</x:v>
      </x:c>
      <x:c r="P65" s="511" t="str">
        <x:v>Belum Dinilai</x:v>
      </x:c>
      <x:c r="Q65" s="522" t="str">
        <x:v>Lengkap</x:v>
      </x:c>
      <x:c r="R65" s="522"/>
      <x:c r="S65" s="523" t="str">
        <x:v>Sudah Diverifikasi</x:v>
      </x:c>
      <x:c r="T65" s="524" t="str">
        <x:v>Belum Ditangani</x:v>
      </x:c>
      <x:c r="U65" s="519"/>
      <x:c r="V65" s="519"/>
      <x:c r="W65" s="521" t="str">
        <x:v>Kepemilikan Keluarga</x:v>
      </x:c>
      <x:c r="X65" s="520"/>
      <x:c r="Y65" s="521"/>
      <x:c r="Z65" s="519" t="n">
        <x:v>2026</x:v>
      </x:c>
      <x:c r="AA65" s="520" t="str">
        <x:v>Usulan Musrenbang/Pokir DPRD</x:v>
      </x:c>
      <x:c r="AB65" s="521" t="n">
        <x:v>46218</x:v>
      </x:c>
      <x:c r="AC65" s="520" t="str">
        <x:v>Dinas Perkim Kota Pangkalpinang</x:v>
      </x:c>
    </x:row>
    <x:row r="66" ht="32" customHeight="1">
      <x:c r="A66" s="496" t="str">
        <x:v>RTLH-0083</x:v>
      </x:c>
      <x:c r="B66" s="497" t="str">
        <x:v>DAVINDRA</x:v>
      </x:c>
      <x:c r="C66" s="498"/>
      <x:c r="D66" s="498"/>
      <x:c r="E66" s="497" t="str">
        <x:v>JL. TREM SEBRANG</x:v>
      </x:c>
      <x:c r="F66" s="497" t="str">
        <x:v>GEDUNG NASIONAL</x:v>
      </x:c>
      <x:c r="G66" s="497" t="str">
        <x:v>TAMAN SARI</x:v>
      </x:c>
      <x:c r="H66" s="497" t="str">
        <x:v>Peningkatan Kualitas</x:v>
      </x:c>
      <x:c r="I66" s="499" t="str">
        <x:v>RUMAH DAN TANAH MILIK KELURGA DAN HNYA REHAB WC</x:v>
      </x:c>
      <x:c r="J66" s="508" t="str">
        <x:v>Belum Dapat Ditentukan</x:v>
      </x:c>
      <x:c r="K66" s="508" t="str">
        <x:v>Belum Diidentifikasi</x:v>
      </x:c>
      <x:c r="L66" s="508" t="str">
        <x:v>Belum Dinilai</x:v>
      </x:c>
      <x:c r="M66" s="509" t="str">
        <x:v>Belum Diidentifikasi</x:v>
      </x:c>
      <x:c r="N66" s="508" t="str">
        <x:v>Belum Dinilai</x:v>
      </x:c>
      <x:c r="O66" s="510" t="str">
        <x:v>Belum Diidentifikasi</x:v>
      </x:c>
      <x:c r="P66" s="511" t="str">
        <x:v>Belum Dinilai</x:v>
      </x:c>
      <x:c r="Q66" s="522" t="str">
        <x:v>Belum Lengkap</x:v>
      </x:c>
      <x:c r="R66" s="522"/>
      <x:c r="S66" s="523" t="str">
        <x:v>Sudah Diverifikasi</x:v>
      </x:c>
      <x:c r="T66" s="524" t="str">
        <x:v>Belum Ditangani</x:v>
      </x:c>
      <x:c r="U66" s="519"/>
      <x:c r="V66" s="519"/>
      <x:c r="W66" s="521" t="str">
        <x:v>Belum Diverifikasi</x:v>
      </x:c>
      <x:c r="X66" s="520"/>
      <x:c r="Y66" s="521"/>
      <x:c r="Z66" s="519" t="n">
        <x:v>2026</x:v>
      </x:c>
      <x:c r="AA66" s="520" t="str">
        <x:v>Usulan Musrenbang/Pokir DPRD</x:v>
      </x:c>
      <x:c r="AB66" s="521" t="n">
        <x:v>46218</x:v>
      </x:c>
      <x:c r="AC66" s="520" t="str">
        <x:v>Dinas Perkim Kota Pangkalpinang</x:v>
      </x:c>
    </x:row>
    <x:row r="67" ht="32" customHeight="1">
      <x:c r="A67" s="496" t="str">
        <x:v>RTLH-0084</x:v>
      </x:c>
      <x:c r="B67" s="497" t="str">
        <x:v>NAYARA/FITRA LATIFA</x:v>
      </x:c>
      <x:c r="C67" s="498"/>
      <x:c r="D67" s="498"/>
      <x:c r="E67" s="497" t="str">
        <x:v>JL. AHMAD YANI</x:v>
      </x:c>
      <x:c r="F67" s="497" t="str">
        <x:v>BATIN TIKAL</x:v>
      </x:c>
      <x:c r="G67" s="497" t="str">
        <x:v>TAMAN SARI</x:v>
      </x:c>
      <x:c r="H67" s="497" t="str">
        <x:v>Peningkatan Kualitas</x:v>
      </x:c>
      <x:c r="I67" s="499" t="str">
        <x:v>RUMAH DAN TANAH MILIK KELURGA DAN HNYA REHAB WC</x:v>
      </x:c>
      <x:c r="J67" s="508" t="str">
        <x:v>Belum Dapat Ditentukan</x:v>
      </x:c>
      <x:c r="K67" s="508" t="str">
        <x:v>Belum Diidentifikasi</x:v>
      </x:c>
      <x:c r="L67" s="508" t="str">
        <x:v>Belum Dinilai</x:v>
      </x:c>
      <x:c r="M67" s="509" t="str">
        <x:v>Belum Diidentifikasi</x:v>
      </x:c>
      <x:c r="N67" s="508" t="str">
        <x:v>Belum Dinilai</x:v>
      </x:c>
      <x:c r="O67" s="510" t="str">
        <x:v>Belum Diidentifikasi</x:v>
      </x:c>
      <x:c r="P67" s="511" t="str">
        <x:v>Belum Dinilai</x:v>
      </x:c>
      <x:c r="Q67" s="522" t="str">
        <x:v>Belum Lengkap</x:v>
      </x:c>
      <x:c r="R67" s="522"/>
      <x:c r="S67" s="523" t="str">
        <x:v>Sudah Diverifikasi</x:v>
      </x:c>
      <x:c r="T67" s="524" t="str">
        <x:v>Belum Ditangani</x:v>
      </x:c>
      <x:c r="U67" s="519"/>
      <x:c r="V67" s="519"/>
      <x:c r="W67" s="521" t="str">
        <x:v>Belum Diverifikasi</x:v>
      </x:c>
      <x:c r="X67" s="520"/>
      <x:c r="Y67" s="521"/>
      <x:c r="Z67" s="519" t="n">
        <x:v>2026</x:v>
      </x:c>
      <x:c r="AA67" s="520" t="str">
        <x:v>Usulan Musrenbang/Pokir DPRD</x:v>
      </x:c>
      <x:c r="AB67" s="521" t="n">
        <x:v>46218</x:v>
      </x:c>
      <x:c r="AC67" s="520" t="str">
        <x:v>Dinas Perkim Kota Pangkalpinang</x:v>
      </x:c>
    </x:row>
    <x:row r="68" ht="32" customHeight="1">
      <x:c r="A68" s="496" t="str">
        <x:v>RTLH-0085</x:v>
      </x:c>
      <x:c r="B68" s="497" t="str">
        <x:v>RAHMA SHOLEHA</x:v>
      </x:c>
      <x:c r="C68" s="498"/>
      <x:c r="D68" s="498"/>
      <x:c r="E68" s="497" t="str">
        <x:v>JL. AHMAD YANI</x:v>
      </x:c>
      <x:c r="F68" s="497" t="str">
        <x:v>BATIN TIKAL</x:v>
      </x:c>
      <x:c r="G68" s="497" t="str">
        <x:v>TAMAN SARI</x:v>
      </x:c>
      <x:c r="H68" s="497" t="str">
        <x:v>Peningkatan Kualitas</x:v>
      </x:c>
      <x:c r="I68" s="499" t="str">
        <x:v>RUMAH DAN TANAH MILIK KELURGA DAN HNYA REHAB WC</x:v>
      </x:c>
      <x:c r="J68" s="508" t="str">
        <x:v>Belum Dapat Ditentukan</x:v>
      </x:c>
      <x:c r="K68" s="508" t="str">
        <x:v>Belum Diidentifikasi</x:v>
      </x:c>
      <x:c r="L68" s="508" t="str">
        <x:v>Belum Dinilai</x:v>
      </x:c>
      <x:c r="M68" s="509" t="str">
        <x:v>Belum Diidentifikasi</x:v>
      </x:c>
      <x:c r="N68" s="508" t="str">
        <x:v>Belum Dinilai</x:v>
      </x:c>
      <x:c r="O68" s="510" t="str">
        <x:v>Belum Diidentifikasi</x:v>
      </x:c>
      <x:c r="P68" s="511" t="str">
        <x:v>Belum Dinilai</x:v>
      </x:c>
      <x:c r="Q68" s="522" t="str">
        <x:v>Belum Lengkap</x:v>
      </x:c>
      <x:c r="R68" s="522"/>
      <x:c r="S68" s="523" t="str">
        <x:v>Sudah Diverifikasi</x:v>
      </x:c>
      <x:c r="T68" s="524" t="str">
        <x:v>Belum Ditangani</x:v>
      </x:c>
      <x:c r="U68" s="519"/>
      <x:c r="V68" s="519"/>
      <x:c r="W68" s="521" t="str">
        <x:v>Belum Diverifikasi</x:v>
      </x:c>
      <x:c r="X68" s="520"/>
      <x:c r="Y68" s="521"/>
      <x:c r="Z68" s="519" t="n">
        <x:v>2026</x:v>
      </x:c>
      <x:c r="AA68" s="520" t="str">
        <x:v>Usulan Musrenbang/Pokir DPRD</x:v>
      </x:c>
      <x:c r="AB68" s="521" t="n">
        <x:v>46218</x:v>
      </x:c>
      <x:c r="AC68" s="520" t="str">
        <x:v>Dinas Perkim Kota Pangkalpinang</x:v>
      </x:c>
    </x:row>
    <x:row r="69" ht="32" customHeight="1">
      <x:c r="A69" s="496" t="str">
        <x:v>RTLH-0088</x:v>
      </x:c>
      <x:c r="B69" s="497" t="str">
        <x:v>AGUSTOMO</x:v>
      </x:c>
      <x:c r="C69" s="498"/>
      <x:c r="D69" s="498"/>
      <x:c r="E69" s="497" t="str">
        <x:v>JL. NILA RAYA NO 30, RT/RW 008/003</x:v>
      </x:c>
      <x:c r="F69" s="497" t="str">
        <x:v>REJOSARI</x:v>
      </x:c>
      <x:c r="G69" s="497" t="str">
        <x:v>PANGKAL BALAM</x:v>
      </x:c>
      <x:c r="H69" s="497" t="str">
        <x:v>Peningkatan Kualitas</x:v>
      </x:c>
      <x:c r="I69" s="499" t="str">
        <x:v>RUMAH ADA 2. TERLETAK DIBELAKANG RUMAH, DINDING SETENGAH BATA, ATAP GENTENG</x:v>
      </x:c>
      <x:c r="J69" s="508" t="str">
        <x:v>Permanen</x:v>
      </x:c>
      <x:c r="K69" s="508" t="str">
        <x:v>Genteng</x:v>
      </x:c>
      <x:c r="L69" s="508" t="str">
        <x:v>Belum Dinilai</x:v>
      </x:c>
      <x:c r="M69" s="509" t="str">
        <x:v>Bata/Batako Diplester</x:v>
      </x:c>
      <x:c r="N69" s="508" t="str">
        <x:v>Belum Dinilai</x:v>
      </x:c>
      <x:c r="O69" s="510" t="str">
        <x:v>Belum Diidentifikasi</x:v>
      </x:c>
      <x:c r="P69" s="511" t="str">
        <x:v>Belum Dinilai</x:v>
      </x:c>
      <x:c r="Q69" s="522" t="str">
        <x:v>Lengkap</x:v>
      </x:c>
      <x:c r="R69" s="522"/>
      <x:c r="S69" s="523" t="str">
        <x:v>Sudah Diverifikasi</x:v>
      </x:c>
      <x:c r="T69" s="524" t="str">
        <x:v>Belum Ditangani</x:v>
      </x:c>
      <x:c r="U69" s="519"/>
      <x:c r="V69" s="519"/>
      <x:c r="W69" s="521" t="str">
        <x:v>Belum Diverifikasi</x:v>
      </x:c>
      <x:c r="X69" s="520"/>
      <x:c r="Y69" s="521"/>
      <x:c r="Z69" s="519" t="n">
        <x:v>2026</x:v>
      </x:c>
      <x:c r="AA69" s="520" t="str">
        <x:v>Usulan Musrenbang/Pokir DPRD</x:v>
      </x:c>
      <x:c r="AB69" s="521" t="n">
        <x:v>46218</x:v>
      </x:c>
      <x:c r="AC69" s="520" t="str">
        <x:v>Dinas Perkim Kota Pangkalpinang</x:v>
      </x:c>
    </x:row>
    <x:row r="70" ht="32" customHeight="1">
      <x:c r="A70" s="496" t="str">
        <x:v>RTLH-0089</x:v>
      </x:c>
      <x:c r="B70" s="497" t="str">
        <x:v>NAMIWATI</x:v>
      </x:c>
      <x:c r="C70" s="498"/>
      <x:c r="D70" s="498"/>
      <x:c r="E70" s="497" t="str">
        <x:v>JL. NILA RAYA NO 153, RT/RW 005/003</x:v>
      </x:c>
      <x:c r="F70" s="497" t="str">
        <x:v>REJOSARI</x:v>
      </x:c>
      <x:c r="G70" s="497" t="str">
        <x:v>PANGKAL BALAM</x:v>
      </x:c>
      <x:c r="H70" s="497" t="str">
        <x:v>Peningkatan Kualitas</x:v>
      </x:c>
      <x:c r="I70" s="499" t="str">
        <x:v>DINDING SETENGAH BATA, ATAP GENTENG</x:v>
      </x:c>
      <x:c r="J70" s="508" t="str">
        <x:v>Permanen</x:v>
      </x:c>
      <x:c r="K70" s="508" t="str">
        <x:v>Genteng</x:v>
      </x:c>
      <x:c r="L70" s="508" t="str">
        <x:v>Belum Dinilai</x:v>
      </x:c>
      <x:c r="M70" s="509" t="str">
        <x:v>Bata/Batako Diplester</x:v>
      </x:c>
      <x:c r="N70" s="508" t="str">
        <x:v>Belum Dinilai</x:v>
      </x:c>
      <x:c r="O70" s="510" t="str">
        <x:v>Belum Diidentifikasi</x:v>
      </x:c>
      <x:c r="P70" s="511" t="str">
        <x:v>Belum Dinilai</x:v>
      </x:c>
      <x:c r="Q70" s="522" t="str">
        <x:v>Lengkap</x:v>
      </x:c>
      <x:c r="R70" s="522"/>
      <x:c r="S70" s="523" t="str">
        <x:v>Sudah Diverifikasi</x:v>
      </x:c>
      <x:c r="T70" s="524" t="str">
        <x:v>Belum Ditangani</x:v>
      </x:c>
      <x:c r="U70" s="519"/>
      <x:c r="V70" s="519"/>
      <x:c r="W70" s="521" t="str">
        <x:v>Belum Diverifikasi</x:v>
      </x:c>
      <x:c r="X70" s="520"/>
      <x:c r="Y70" s="521"/>
      <x:c r="Z70" s="519" t="n">
        <x:v>2026</x:v>
      </x:c>
      <x:c r="AA70" s="520" t="str">
        <x:v>Usulan Musrenbang/Pokir DPRD</x:v>
      </x:c>
      <x:c r="AB70" s="521" t="n">
        <x:v>46218</x:v>
      </x:c>
      <x:c r="AC70" s="520" t="str">
        <x:v>Dinas Perkim Kota Pangkalpinang</x:v>
      </x:c>
    </x:row>
    <x:row r="71" ht="32" customHeight="1">
      <x:c r="A71" s="496" t="str">
        <x:v>RTLH-0090</x:v>
      </x:c>
      <x:c r="B71" s="497" t="str">
        <x:v>BUDI</x:v>
      </x:c>
      <x:c r="C71" s="498"/>
      <x:c r="D71" s="498"/>
      <x:c r="E71" s="497" t="str">
        <x:v>JL. BEDUKANG DALAM , RT/RW 002/001</x:v>
      </x:c>
      <x:c r="F71" s="497" t="str">
        <x:v>PASIR GARAM</x:v>
      </x:c>
      <x:c r="G71" s="497" t="str">
        <x:v>PANGKAL BALAM</x:v>
      </x:c>
      <x:c r="H71" s="497" t="str">
        <x:v>Peningkatan Kualitas</x:v>
      </x:c>
      <x:c r="I71" s="499" t="str">
        <x:v>RUMAH RUSAK SEDANG.DINDING PAPAN, LANTAIO PLASTER,ATAP SENG,</x:v>
      </x:c>
      <x:c r="J71" s="508" t="str">
        <x:v>Nonpermanen</x:v>
      </x:c>
      <x:c r="K71" s="508" t="str">
        <x:v>Seng</x:v>
      </x:c>
      <x:c r="L71" s="508" t="str">
        <x:v>Belum Dinilai</x:v>
      </x:c>
      <x:c r="M71" s="509" t="str">
        <x:v>Papan/Kayu</x:v>
      </x:c>
      <x:c r="N71" s="508" t="str">
        <x:v>Rusak Sedang</x:v>
      </x:c>
      <x:c r="O71" s="510" t="str">
        <x:v>Belum Diidentifikasi</x:v>
      </x:c>
      <x:c r="P71" s="511" t="str">
        <x:v>Rusak Sedang</x:v>
      </x:c>
      <x:c r="Q71" s="522" t="str">
        <x:v>Lengkap</x:v>
      </x:c>
      <x:c r="R71" s="522"/>
      <x:c r="S71" s="523" t="str">
        <x:v>Sudah Diverifikasi</x:v>
      </x:c>
      <x:c r="T71" s="524" t="str">
        <x:v>Selesai</x:v>
      </x:c>
      <x:c r="U71" s="519" t="str">
        <x:v>APBD Kota</x:v>
      </x:c>
      <x:c r="V71" s="519" t="n">
        <x:v>2024</x:v>
      </x:c>
      <x:c r="W71" s="521" t="str">
        <x:v>Belum Diverifikasi</x:v>
      </x:c>
      <x:c r="X71" s="520"/>
      <x:c r="Y71" s="521"/>
      <x:c r="Z71" s="519" t="n">
        <x:v>2026</x:v>
      </x:c>
      <x:c r="AA71" s="520" t="str">
        <x:v>Usulan Musrenbang/Pokir DPRD</x:v>
      </x:c>
      <x:c r="AB71" s="521" t="n">
        <x:v>46218</x:v>
      </x:c>
      <x:c r="AC71" s="520" t="str">
        <x:v>Dinas Perkim Kota Pangkalpinang</x:v>
      </x:c>
    </x:row>
    <x:row r="72" ht="32" customHeight="1">
      <x:c r="A72" s="496" t="str">
        <x:v>RTLH-0091</x:v>
      </x:c>
      <x:c r="B72" s="497" t="str">
        <x:v>ROZALI</x:v>
      </x:c>
      <x:c r="C72" s="498"/>
      <x:c r="D72" s="498"/>
      <x:c r="E72" s="497" t="str">
        <x:v>JL. SUMEDANG , RT/RW 002/001</x:v>
      </x:c>
      <x:c r="F72" s="497" t="str">
        <x:v>KEJAKSAAN</x:v>
      </x:c>
      <x:c r="G72" s="497" t="str">
        <x:v>TAMAN SARI</x:v>
      </x:c>
      <x:c r="H72" s="497" t="str">
        <x:v>Peningkatan Kualitas</x:v>
      </x:c>
      <x:c r="I72" s="499" t="str">
        <x:v>RUMAH RUSAK SEDANG,ATAP SENG.DINDING BETON.LANTAI EKRAMIK.</x:v>
      </x:c>
      <x:c r="J72" s="508" t="str">
        <x:v>Permanen</x:v>
      </x:c>
      <x:c r="K72" s="508" t="str">
        <x:v>Seng</x:v>
      </x:c>
      <x:c r="L72" s="508" t="str">
        <x:v>Rusak Sedang</x:v>
      </x:c>
      <x:c r="M72" s="509" t="str">
        <x:v>Beton</x:v>
      </x:c>
      <x:c r="N72" s="508" t="str">
        <x:v>Rusak Sedang</x:v>
      </x:c>
      <x:c r="O72" s="510" t="str">
        <x:v>Belum Diidentifikasi</x:v>
      </x:c>
      <x:c r="P72" s="511" t="str">
        <x:v>Rusak Sedang</x:v>
      </x:c>
      <x:c r="Q72" s="522" t="str">
        <x:v>Lengkap</x:v>
      </x:c>
      <x:c r="R72" s="522"/>
      <x:c r="S72" s="523" t="str">
        <x:v>Sudah Diverifikasi</x:v>
      </x:c>
      <x:c r="T72" s="524" t="str">
        <x:v>Belum Ditangani</x:v>
      </x:c>
      <x:c r="U72" s="519"/>
      <x:c r="V72" s="519"/>
      <x:c r="W72" s="521" t="str">
        <x:v>Belum Diverifikasi</x:v>
      </x:c>
      <x:c r="X72" s="520"/>
      <x:c r="Y72" s="521"/>
      <x:c r="Z72" s="519" t="n">
        <x:v>2026</x:v>
      </x:c>
      <x:c r="AA72" s="520" t="str">
        <x:v>Usulan Musrenbang/Pokir DPRD</x:v>
      </x:c>
      <x:c r="AB72" s="521" t="n">
        <x:v>46218</x:v>
      </x:c>
      <x:c r="AC72" s="520" t="str">
        <x:v>Dinas Perkim Kota Pangkalpinang</x:v>
      </x:c>
    </x:row>
    <x:row r="73" ht="32" customHeight="1">
      <x:c r="A73" s="496" t="str">
        <x:v>RTLH-0092</x:v>
      </x:c>
      <x:c r="B73" s="497" t="str">
        <x:v>ACHMAD HASIBIN</x:v>
      </x:c>
      <x:c r="C73" s="498"/>
      <x:c r="D73" s="498"/>
      <x:c r="E73" s="497" t="str">
        <x:v>JL.DELIMA SIAM IV RT/RW . 005/002</x:v>
      </x:c>
      <x:c r="F73" s="497" t="str">
        <x:v>SRIWIJAYA</x:v>
      </x:c>
      <x:c r="G73" s="497" t="str">
        <x:v>GIRIMAYA</x:v>
      </x:c>
      <x:c r="H73" s="497" t="str">
        <x:v>Peningkatan Kualitas</x:v>
      </x:c>
      <x:c r="I73" s="499" t="str">
        <x:v>RUMAH BANTUAN DARI DINSOS (10 THN LALU), ATAP BOCOR, DINDING RETAK,LANTAI FLOOR, YBS SEKARANG TINGGAL DI RUMAH SAUDARA</x:v>
      </x:c>
      <x:c r="J73" s="508" t="str">
        <x:v>Belum Dapat Ditentukan</x:v>
      </x:c>
      <x:c r="K73" s="508" t="str">
        <x:v>Belum Diidentifikasi</x:v>
      </x:c>
      <x:c r="L73" s="508" t="str">
        <x:v>Rusak Ringan</x:v>
      </x:c>
      <x:c r="M73" s="509" t="str">
        <x:v>Belum Diidentifikasi</x:v>
      </x:c>
      <x:c r="N73" s="508" t="str">
        <x:v>Belum Dinilai</x:v>
      </x:c>
      <x:c r="O73" s="510" t="str">
        <x:v>Semen/Plester</x:v>
      </x:c>
      <x:c r="P73" s="511" t="str">
        <x:v>Belum Dinilai</x:v>
      </x:c>
      <x:c r="Q73" s="522" t="str">
        <x:v>Lengkap</x:v>
      </x:c>
      <x:c r="R73" s="522"/>
      <x:c r="S73" s="523" t="str">
        <x:v>Sudah Diverifikasi</x:v>
      </x:c>
      <x:c r="T73" s="524" t="str">
        <x:v>Belum Ditangani</x:v>
      </x:c>
      <x:c r="U73" s="519"/>
      <x:c r="V73" s="519"/>
      <x:c r="W73" s="521" t="str">
        <x:v>Kepemilikan Keluarga</x:v>
      </x:c>
      <x:c r="X73" s="520"/>
      <x:c r="Y73" s="521"/>
      <x:c r="Z73" s="519" t="n">
        <x:v>2026</x:v>
      </x:c>
      <x:c r="AA73" s="520" t="str">
        <x:v>Usulan Musrenbang/Pokir DPRD</x:v>
      </x:c>
      <x:c r="AB73" s="521" t="n">
        <x:v>46218</x:v>
      </x:c>
      <x:c r="AC73" s="520" t="str">
        <x:v>Dinas Perkim Kota Pangkalpinang</x:v>
      </x:c>
    </x:row>
    <x:row r="74" ht="32" customHeight="1">
      <x:c r="A74" s="496" t="str">
        <x:v>RTLH-0093</x:v>
      </x:c>
      <x:c r="B74" s="497" t="str">
        <x:v>ROSIAH</x:v>
      </x:c>
      <x:c r="C74" s="498"/>
      <x:c r="D74" s="498"/>
      <x:c r="E74" s="497" t="str">
        <x:v>GG, MUTIARA II</x:v>
      </x:c>
      <x:c r="F74" s="497" t="str">
        <x:v>BUKIT BESAR</x:v>
      </x:c>
      <x:c r="G74" s="497" t="str">
        <x:v>GIRIMAYA</x:v>
      </x:c>
      <x:c r="H74" s="497" t="str">
        <x:v>Pembangunan Baru</x:v>
      </x:c>
      <x:c r="I74" s="499" t="str">
        <x:v>RUMAH FULL PAPAN, DINDING RUSAK BERAT, ATAP SENG RUSAK RINGAN, RUMAH BAGI DUA DENGAN SAUDARA</x:v>
      </x:c>
      <x:c r="J74" s="508" t="str">
        <x:v>Nonpermanen</x:v>
      </x:c>
      <x:c r="K74" s="508" t="str">
        <x:v>Seng</x:v>
      </x:c>
      <x:c r="L74" s="508" t="str">
        <x:v>Rusak Berat</x:v>
      </x:c>
      <x:c r="M74" s="509" t="str">
        <x:v>Papan/Kayu</x:v>
      </x:c>
      <x:c r="N74" s="508" t="str">
        <x:v>Rusak Berat</x:v>
      </x:c>
      <x:c r="O74" s="510" t="str">
        <x:v>Belum Diidentifikasi</x:v>
      </x:c>
      <x:c r="P74" s="511" t="str">
        <x:v>Belum Dinilai</x:v>
      </x:c>
      <x:c r="Q74" s="522" t="str">
        <x:v>Lengkap</x:v>
      </x:c>
      <x:c r="R74" s="522"/>
      <x:c r="S74" s="523" t="str">
        <x:v>Sudah Diverifikasi</x:v>
      </x:c>
      <x:c r="T74" s="524" t="str">
        <x:v>Belum Ditangani</x:v>
      </x:c>
      <x:c r="U74" s="519"/>
      <x:c r="V74" s="519"/>
      <x:c r="W74" s="521" t="str">
        <x:v>Kepemilikan Keluarga</x:v>
      </x:c>
      <x:c r="X74" s="520"/>
      <x:c r="Y74" s="521"/>
      <x:c r="Z74" s="519" t="n">
        <x:v>2026</x:v>
      </x:c>
      <x:c r="AA74" s="520" t="str">
        <x:v>Usulan Musrenbang/Pokir DPRD</x:v>
      </x:c>
      <x:c r="AB74" s="521" t="n">
        <x:v>46218</x:v>
      </x:c>
      <x:c r="AC74" s="520" t="str">
        <x:v>Dinas Perkim Kota Pangkalpinang</x:v>
      </x:c>
    </x:row>
    <x:row r="75" ht="32" customHeight="1">
      <x:c r="A75" s="496" t="str">
        <x:v>RTLH-0094</x:v>
      </x:c>
      <x:c r="B75" s="497" t="str">
        <x:v>NINA</x:v>
      </x:c>
      <x:c r="C75" s="498"/>
      <x:c r="D75" s="498"/>
      <x:c r="E75" s="497" t="str">
        <x:v>JL. BASUKI RACHMAN, RT/RW 003/001</x:v>
      </x:c>
      <x:c r="F75" s="497" t="str">
        <x:v>BATU INTAN</x:v>
      </x:c>
      <x:c r="G75" s="497" t="str">
        <x:v>GIRIMAYA</x:v>
      </x:c>
      <x:c r="H75" s="497" t="str">
        <x:v>Pembangunan Baru</x:v>
      </x:c>
      <x:c r="I75" s="499" t="str">
        <x:v>RUMAH SEMI PERMANEN, LANTAI FLOOR RUSAK RINGAN, ATAP GENTENG RUSAK SEDANG, RUMAH BAGI DUA DENGAN SAUDARA</x:v>
      </x:c>
      <x:c r="J75" s="508" t="str">
        <x:v>Semipermanen</x:v>
      </x:c>
      <x:c r="K75" s="508" t="str">
        <x:v>Genteng</x:v>
      </x:c>
      <x:c r="L75" s="508" t="str">
        <x:v>Rusak Sedang</x:v>
      </x:c>
      <x:c r="M75" s="509" t="str">
        <x:v>Campuran Permanen dan Papan</x:v>
      </x:c>
      <x:c r="N75" s="508" t="str">
        <x:v>Belum Dinilai</x:v>
      </x:c>
      <x:c r="O75" s="510" t="str">
        <x:v>Semen/Plester</x:v>
      </x:c>
      <x:c r="P75" s="511" t="str">
        <x:v>Rusak Sedang</x:v>
      </x:c>
      <x:c r="Q75" s="522" t="str">
        <x:v>Lengkap</x:v>
      </x:c>
      <x:c r="R75" s="522"/>
      <x:c r="S75" s="523" t="str">
        <x:v>Sudah Diverifikasi</x:v>
      </x:c>
      <x:c r="T75" s="524" t="str">
        <x:v>Belum Ditangani</x:v>
      </x:c>
      <x:c r="U75" s="519"/>
      <x:c r="V75" s="519"/>
      <x:c r="W75" s="521" t="str">
        <x:v>Kepemilikan Keluarga</x:v>
      </x:c>
      <x:c r="X75" s="520"/>
      <x:c r="Y75" s="521"/>
      <x:c r="Z75" s="519" t="n">
        <x:v>2026</x:v>
      </x:c>
      <x:c r="AA75" s="520" t="str">
        <x:v>Usulan Musrenbang/Pokir DPRD</x:v>
      </x:c>
      <x:c r="AB75" s="521" t="n">
        <x:v>46218</x:v>
      </x:c>
      <x:c r="AC75" s="520" t="str">
        <x:v>Dinas Perkim Kota Pangkalpinang</x:v>
      </x:c>
    </x:row>
    <x:row r="76" ht="32" customHeight="1">
      <x:c r="A76" s="496" t="str">
        <x:v>RTLH-0095</x:v>
      </x:c>
      <x:c r="B76" s="497" t="str">
        <x:v>KANDAR SUNARWAN</x:v>
      </x:c>
      <x:c r="C76" s="498"/>
      <x:c r="D76" s="498"/>
      <x:c r="E76" s="497" t="str">
        <x:v>JL. BASUKI RACHMAN RT/RW OO2/001</x:v>
      </x:c>
      <x:c r="F76" s="497" t="str">
        <x:v>BATU INTAN</x:v>
      </x:c>
      <x:c r="G76" s="497" t="str">
        <x:v>GIRIMAYA</x:v>
      </x:c>
      <x:c r="H76" s="497" t="str">
        <x:v>Pembangunan Baru</x:v>
      </x:c>
      <x:c r="I76" s="499" t="str">
        <x:v>RUMAH SEMI PERMANEN, LANTAI FLOOR RUSAK RINGAN, ATAP GENTENG RUSAK SEDANG, RUMAH BAGI DUA DENGAN SAUDARA</x:v>
      </x:c>
      <x:c r="J76" s="508" t="str">
        <x:v>Semipermanen</x:v>
      </x:c>
      <x:c r="K76" s="508" t="str">
        <x:v>Genteng</x:v>
      </x:c>
      <x:c r="L76" s="508" t="str">
        <x:v>Rusak Sedang</x:v>
      </x:c>
      <x:c r="M76" s="509" t="str">
        <x:v>Campuran Permanen dan Papan</x:v>
      </x:c>
      <x:c r="N76" s="508" t="str">
        <x:v>Belum Dinilai</x:v>
      </x:c>
      <x:c r="O76" s="510" t="str">
        <x:v>Semen/Plester</x:v>
      </x:c>
      <x:c r="P76" s="511" t="str">
        <x:v>Rusak Sedang</x:v>
      </x:c>
      <x:c r="Q76" s="522" t="str">
        <x:v>Lengkap</x:v>
      </x:c>
      <x:c r="R76" s="522"/>
      <x:c r="S76" s="523" t="str">
        <x:v>Sudah Diverifikasi</x:v>
      </x:c>
      <x:c r="T76" s="524" t="str">
        <x:v>Selesai</x:v>
      </x:c>
      <x:c r="U76" s="519" t="str">
        <x:v>APBD Kota</x:v>
      </x:c>
      <x:c r="V76" s="519" t="n">
        <x:v>2024</x:v>
      </x:c>
      <x:c r="W76" s="521" t="str">
        <x:v>Kepemilikan Keluarga</x:v>
      </x:c>
      <x:c r="X76" s="520"/>
      <x:c r="Y76" s="521"/>
      <x:c r="Z76" s="519" t="n">
        <x:v>2026</x:v>
      </x:c>
      <x:c r="AA76" s="520" t="str">
        <x:v>Usulan Musrenbang/Pokir DPRD</x:v>
      </x:c>
      <x:c r="AB76" s="521" t="n">
        <x:v>46218</x:v>
      </x:c>
      <x:c r="AC76" s="520" t="str">
        <x:v>Dinas Perkim Kota Pangkalpinang</x:v>
      </x:c>
    </x:row>
    <x:row r="77" ht="32" customHeight="1">
      <x:c r="A77" s="496" t="str">
        <x:v>RTLH-0096</x:v>
      </x:c>
      <x:c r="B77" s="497" t="str">
        <x:v>RITA</x:v>
      </x:c>
      <x:c r="C77" s="498"/>
      <x:c r="D77" s="498"/>
      <x:c r="E77" s="497" t="str">
        <x:v>GG,BATU AKIK V, RT/RW 006/002</x:v>
      </x:c>
      <x:c r="F77" s="497" t="str">
        <x:v>BUKIT BESAR</x:v>
      </x:c>
      <x:c r="G77" s="497" t="str">
        <x:v>GIRIMAYA</x:v>
      </x:c>
      <x:c r="H77" s="497" t="str">
        <x:v>Peningkatan Kualitas</x:v>
      </x:c>
      <x:c r="I77" s="499" t="str">
        <x:v>RUMAH PERMANEN, LANTAI RUSAK SEDANG BAGIAN DAPUR, ATAP SENG BOCOR, MINTA REHAB BAGIAN ATAP</x:v>
      </x:c>
      <x:c r="J77" s="508" t="str">
        <x:v>Permanen</x:v>
      </x:c>
      <x:c r="K77" s="508" t="str">
        <x:v>Seng</x:v>
      </x:c>
      <x:c r="L77" s="508" t="str">
        <x:v>Rusak Sedang</x:v>
      </x:c>
      <x:c r="M77" s="509" t="str">
        <x:v>Dinding Permanen (Material tidak dirinci)</x:v>
      </x:c>
      <x:c r="N77" s="508" t="str">
        <x:v>Belum Dinilai</x:v>
      </x:c>
      <x:c r="O77" s="510" t="str">
        <x:v>Belum Diidentifikasi</x:v>
      </x:c>
      <x:c r="P77" s="511" t="str">
        <x:v>Rusak Sedang</x:v>
      </x:c>
      <x:c r="Q77" s="522" t="str">
        <x:v>Lengkap</x:v>
      </x:c>
      <x:c r="R77" s="522"/>
      <x:c r="S77" s="523" t="str">
        <x:v>Sudah Diverifikasi</x:v>
      </x:c>
      <x:c r="T77" s="524" t="str">
        <x:v>Belum Ditangani</x:v>
      </x:c>
      <x:c r="U77" s="519"/>
      <x:c r="V77" s="519"/>
      <x:c r="W77" s="521" t="str">
        <x:v>Belum Diverifikasi</x:v>
      </x:c>
      <x:c r="X77" s="520"/>
      <x:c r="Y77" s="521"/>
      <x:c r="Z77" s="519" t="n">
        <x:v>2026</x:v>
      </x:c>
      <x:c r="AA77" s="520" t="str">
        <x:v>Usulan Musrenbang/Pokir DPRD</x:v>
      </x:c>
      <x:c r="AB77" s="521" t="n">
        <x:v>46218</x:v>
      </x:c>
      <x:c r="AC77" s="520" t="str">
        <x:v>Dinas Perkim Kota Pangkalpinang</x:v>
      </x:c>
    </x:row>
    <x:row r="78" ht="32" customHeight="1">
      <x:c r="A78" s="496" t="str">
        <x:v>RTLH-0097</x:v>
      </x:c>
      <x:c r="B78" s="497" t="str">
        <x:v>ZULIANA</x:v>
      </x:c>
      <x:c r="C78" s="498"/>
      <x:c r="D78" s="498"/>
      <x:c r="E78" s="497" t="str">
        <x:v>JL. RAYA PASIR PADI RT/RW 006/002</x:v>
      </x:c>
      <x:c r="F78" s="497" t="str">
        <x:v>AIR ITAM</x:v>
      </x:c>
      <x:c r="G78" s="497" t="str">
        <x:v>BUKIT INTAN</x:v>
      </x:c>
      <x:c r="H78" s="497" t="str">
        <x:v>Peningkatan Kualitas</x:v>
      </x:c>
      <x:c r="I78" s="499" t="str">
        <x:v>RUMAH PERMANEN, TANPA, STRUKTUR PEMBESIAN</x:v>
      </x:c>
      <x:c r="J78" s="508" t="str">
        <x:v>Permanen</x:v>
      </x:c>
      <x:c r="K78" s="508" t="str">
        <x:v>Belum Diidentifikasi</x:v>
      </x:c>
      <x:c r="L78" s="508" t="str">
        <x:v>Belum Dinilai</x:v>
      </x:c>
      <x:c r="M78" s="509" t="str">
        <x:v>Dinding Permanen (Material tidak dirinci)</x:v>
      </x:c>
      <x:c r="N78" s="508" t="str">
        <x:v>Belum Dinilai</x:v>
      </x:c>
      <x:c r="O78" s="510" t="str">
        <x:v>Belum Diidentifikasi</x:v>
      </x:c>
      <x:c r="P78" s="511" t="str">
        <x:v>Belum Dinilai</x:v>
      </x:c>
      <x:c r="Q78" s="522" t="str">
        <x:v>Lengkap</x:v>
      </x:c>
      <x:c r="R78" s="522"/>
      <x:c r="S78" s="523" t="str">
        <x:v>Sudah Diverifikasi</x:v>
      </x:c>
      <x:c r="T78" s="524" t="str">
        <x:v>Belum Ditangani</x:v>
      </x:c>
      <x:c r="U78" s="519"/>
      <x:c r="V78" s="519"/>
      <x:c r="W78" s="521" t="str">
        <x:v>Belum Diverifikasi</x:v>
      </x:c>
      <x:c r="X78" s="520"/>
      <x:c r="Y78" s="521"/>
      <x:c r="Z78" s="519" t="n">
        <x:v>2026</x:v>
      </x:c>
      <x:c r="AA78" s="520" t="str">
        <x:v>Usulan Musrenbang/Pokir DPRD</x:v>
      </x:c>
      <x:c r="AB78" s="521" t="n">
        <x:v>46218</x:v>
      </x:c>
      <x:c r="AC78" s="520" t="str">
        <x:v>Dinas Perkim Kota Pangkalpinang</x:v>
      </x:c>
    </x:row>
    <x:row r="79" ht="32" customHeight="1">
      <x:c r="A79" s="496" t="str">
        <x:v>RTLH-0098</x:v>
      </x:c>
      <x:c r="B79" s="497" t="str">
        <x:v>GUSTI MARIN</x:v>
      </x:c>
      <x:c r="C79" s="498"/>
      <x:c r="D79" s="498"/>
      <x:c r="E79" s="497" t="str">
        <x:v>JL. PASIR PADI RT/RW 006/002</x:v>
      </x:c>
      <x:c r="F79" s="497" t="str">
        <x:v>AIR ITAM</x:v>
      </x:c>
      <x:c r="G79" s="497" t="str">
        <x:v>BUKIT INTAN</x:v>
      </x:c>
      <x:c r="H79" s="497" t="str">
        <x:v>Pembangunan Baru</x:v>
      </x:c>
      <x:c r="I79" s="499" t="str">
        <x:v>RUMAH FULL PAPAN, DINDING RUSAK BERAT, ATAP ASBES RUSAK RINGAN</x:v>
      </x:c>
      <x:c r="J79" s="508" t="str">
        <x:v>Nonpermanen</x:v>
      </x:c>
      <x:c r="K79" s="508" t="str">
        <x:v>Asbes/Fiber Semen</x:v>
      </x:c>
      <x:c r="L79" s="508" t="str">
        <x:v>Rusak Berat</x:v>
      </x:c>
      <x:c r="M79" s="509" t="str">
        <x:v>Papan/Kayu</x:v>
      </x:c>
      <x:c r="N79" s="508" t="str">
        <x:v>Rusak Berat</x:v>
      </x:c>
      <x:c r="O79" s="510" t="str">
        <x:v>Belum Diidentifikasi</x:v>
      </x:c>
      <x:c r="P79" s="511" t="str">
        <x:v>Belum Dinilai</x:v>
      </x:c>
      <x:c r="Q79" s="522" t="str">
        <x:v>Lengkap</x:v>
      </x:c>
      <x:c r="R79" s="522"/>
      <x:c r="S79" s="523" t="str">
        <x:v>Sudah Diverifikasi</x:v>
      </x:c>
      <x:c r="T79" s="524" t="str">
        <x:v>Belum Ditangani</x:v>
      </x:c>
      <x:c r="U79" s="519"/>
      <x:c r="V79" s="519"/>
      <x:c r="W79" s="521" t="str">
        <x:v>Belum Diverifikasi</x:v>
      </x:c>
      <x:c r="X79" s="520"/>
      <x:c r="Y79" s="521"/>
      <x:c r="Z79" s="519" t="n">
        <x:v>2026</x:v>
      </x:c>
      <x:c r="AA79" s="520" t="str">
        <x:v>Usulan Musrenbang/Pokir DPRD</x:v>
      </x:c>
      <x:c r="AB79" s="521" t="n">
        <x:v>46218</x:v>
      </x:c>
      <x:c r="AC79" s="520" t="str">
        <x:v>Dinas Perkim Kota Pangkalpinang</x:v>
      </x:c>
    </x:row>
    <x:row r="80" ht="32" customHeight="1">
      <x:c r="A80" s="496" t="str">
        <x:v>RTLH-0099</x:v>
      </x:c>
      <x:c r="B80" s="497" t="str">
        <x:v>BURHAN UDIN / ROSINTAN</x:v>
      </x:c>
      <x:c r="C80" s="498"/>
      <x:c r="D80" s="498"/>
      <x:c r="E80" s="497" t="str">
        <x:v>JL.PASIR PADI GG.BAROKAH RT/RW . 006/002</x:v>
      </x:c>
      <x:c r="F80" s="497" t="str">
        <x:v>AIR ITAM</x:v>
      </x:c>
      <x:c r="G80" s="497" t="str">
        <x:v>BUKIT INTAN</x:v>
      </x:c>
      <x:c r="H80" s="497" t="str">
        <x:v>Pembangunan Baru</x:v>
      </x:c>
      <x:c r="I80" s="499" t="str">
        <x:v>RUMAH DINDING TRIPLEK, ATAP ASBES, LANTAI FLOOR</x:v>
      </x:c>
      <x:c r="J80" s="508" t="str">
        <x:v>Belum Dapat Ditentukan</x:v>
      </x:c>
      <x:c r="K80" s="508" t="str">
        <x:v>Asbes/Fiber Semen</x:v>
      </x:c>
      <x:c r="L80" s="508" t="str">
        <x:v>Belum Dinilai</x:v>
      </x:c>
      <x:c r="M80" s="509" t="str">
        <x:v>Belum Diidentifikasi</x:v>
      </x:c>
      <x:c r="N80" s="508" t="str">
        <x:v>Belum Dinilai</x:v>
      </x:c>
      <x:c r="O80" s="510" t="str">
        <x:v>Semen/Plester</x:v>
      </x:c>
      <x:c r="P80" s="511" t="str">
        <x:v>Belum Dinilai</x:v>
      </x:c>
      <x:c r="Q80" s="522" t="str">
        <x:v>Lengkap</x:v>
      </x:c>
      <x:c r="R80" s="522"/>
      <x:c r="S80" s="523" t="str">
        <x:v>Sudah Diverifikasi</x:v>
      </x:c>
      <x:c r="T80" s="524" t="str">
        <x:v>Belum Ditangani</x:v>
      </x:c>
      <x:c r="U80" s="519"/>
      <x:c r="V80" s="519"/>
      <x:c r="W80" s="521" t="str">
        <x:v>Belum Diverifikasi</x:v>
      </x:c>
      <x:c r="X80" s="520"/>
      <x:c r="Y80" s="521"/>
      <x:c r="Z80" s="519" t="n">
        <x:v>2026</x:v>
      </x:c>
      <x:c r="AA80" s="520" t="str">
        <x:v>Usulan Musrenbang/Pokir DPRD</x:v>
      </x:c>
      <x:c r="AB80" s="521" t="n">
        <x:v>46218</x:v>
      </x:c>
      <x:c r="AC80" s="520" t="str">
        <x:v>Dinas Perkim Kota Pangkalpinang</x:v>
      </x:c>
    </x:row>
    <x:row r="81" ht="32" customHeight="1">
      <x:c r="A81" s="496" t="str">
        <x:v>RTLH-0100</x:v>
      </x:c>
      <x:c r="B81" s="497" t="str">
        <x:v>KUANNIE HASAN</x:v>
      </x:c>
      <x:c r="C81" s="498"/>
      <x:c r="D81" s="498"/>
      <x:c r="E81" s="497" t="str">
        <x:v>JL. RE.MARTADINATA NO.75.RT/RW.005/003</x:v>
      </x:c>
      <x:c r="F81" s="497" t="str">
        <x:v>GEDUNG NASIONAL</x:v>
      </x:c>
      <x:c r="G81" s="497" t="str">
        <x:v>TAMAN SARI</x:v>
      </x:c>
      <x:c r="H81" s="497" t="str">
        <x:v>Pembangunan Baru</x:v>
      </x:c>
      <x:c r="I81" s="499" t="str">
        <x:v>DINDING FULL PAPAN,ATAP GENTENG,LANTAI PLASTERAN, RUMAH RUSAK SEDANG</x:v>
      </x:c>
      <x:c r="J81" s="508" t="str">
        <x:v>Nonpermanen</x:v>
      </x:c>
      <x:c r="K81" s="508" t="str">
        <x:v>Genteng</x:v>
      </x:c>
      <x:c r="L81" s="508" t="str">
        <x:v>Belum Dinilai</x:v>
      </x:c>
      <x:c r="M81" s="509" t="str">
        <x:v>Papan/Kayu</x:v>
      </x:c>
      <x:c r="N81" s="508" t="str">
        <x:v>Belum Dinilai</x:v>
      </x:c>
      <x:c r="O81" s="510" t="str">
        <x:v>Semen/Plester</x:v>
      </x:c>
      <x:c r="P81" s="511" t="str">
        <x:v>Rusak Sedang</x:v>
      </x:c>
      <x:c r="Q81" s="522" t="str">
        <x:v>Lengkap</x:v>
      </x:c>
      <x:c r="R81" s="522"/>
      <x:c r="S81" s="523" t="str">
        <x:v>Sudah Diverifikasi</x:v>
      </x:c>
      <x:c r="T81" s="524" t="str">
        <x:v>Belum Ditangani</x:v>
      </x:c>
      <x:c r="U81" s="519"/>
      <x:c r="V81" s="519"/>
      <x:c r="W81" s="521" t="str">
        <x:v>Belum Diverifikasi</x:v>
      </x:c>
      <x:c r="X81" s="520"/>
      <x:c r="Y81" s="521"/>
      <x:c r="Z81" s="519" t="n">
        <x:v>2026</x:v>
      </x:c>
      <x:c r="AA81" s="520" t="str">
        <x:v>Usulan Musrenbang/Pokir DPRD</x:v>
      </x:c>
      <x:c r="AB81" s="521" t="n">
        <x:v>46218</x:v>
      </x:c>
      <x:c r="AC81" s="520" t="str">
        <x:v>Dinas Perkim Kota Pangkalpinang</x:v>
      </x:c>
    </x:row>
    <x:row r="82" ht="32" customHeight="1">
      <x:c r="A82" s="496" t="str">
        <x:v>RTLH-0101</x:v>
      </x:c>
      <x:c r="B82" s="497" t="str">
        <x:v>MAMAN RACHMANSYAH</x:v>
      </x:c>
      <x:c r="C82" s="498"/>
      <x:c r="D82" s="498"/>
      <x:c r="E82" s="497" t="str">
        <x:v>JL. RE .MARTADINATA. RT/RW.002/001</x:v>
      </x:c>
      <x:c r="F82" s="497" t="str">
        <x:v>AMPUI</x:v>
      </x:c>
      <x:c r="G82" s="497" t="str">
        <x:v>PANGKAL BALAM</x:v>
      </x:c>
      <x:c r="H82" s="497" t="str">
        <x:v>Pembangunan Baru</x:v>
      </x:c>
      <x:c r="I82" s="499" t="str">
        <x:v>DINDING FULL PAPAN,ATAP SENG,LANTAI PLASTERAN, RUMAH RUSAK SEDANG</x:v>
      </x:c>
      <x:c r="J82" s="508" t="str">
        <x:v>Nonpermanen</x:v>
      </x:c>
      <x:c r="K82" s="508" t="str">
        <x:v>Seng</x:v>
      </x:c>
      <x:c r="L82" s="508" t="str">
        <x:v>Belum Dinilai</x:v>
      </x:c>
      <x:c r="M82" s="509" t="str">
        <x:v>Papan/Kayu</x:v>
      </x:c>
      <x:c r="N82" s="508" t="str">
        <x:v>Belum Dinilai</x:v>
      </x:c>
      <x:c r="O82" s="510" t="str">
        <x:v>Semen/Plester</x:v>
      </x:c>
      <x:c r="P82" s="511" t="str">
        <x:v>Rusak Sedang</x:v>
      </x:c>
      <x:c r="Q82" s="522" t="str">
        <x:v>Lengkap</x:v>
      </x:c>
      <x:c r="R82" s="522"/>
      <x:c r="S82" s="523" t="str">
        <x:v>Sudah Diverifikasi</x:v>
      </x:c>
      <x:c r="T82" s="524" t="str">
        <x:v>Belum Ditangani</x:v>
      </x:c>
      <x:c r="U82" s="519"/>
      <x:c r="V82" s="519"/>
      <x:c r="W82" s="521" t="str">
        <x:v>Belum Diverifikasi</x:v>
      </x:c>
      <x:c r="X82" s="520"/>
      <x:c r="Y82" s="521"/>
      <x:c r="Z82" s="519" t="n">
        <x:v>2026</x:v>
      </x:c>
      <x:c r="AA82" s="520" t="str">
        <x:v>Usulan Musrenbang/Pokir DPRD</x:v>
      </x:c>
      <x:c r="AB82" s="521" t="n">
        <x:v>46218</x:v>
      </x:c>
      <x:c r="AC82" s="520" t="str">
        <x:v>Dinas Perkim Kota Pangkalpinang</x:v>
      </x:c>
    </x:row>
    <x:row r="83" ht="32" customHeight="1">
      <x:c r="A83" s="496" t="str">
        <x:v>RTLH-0102</x:v>
      </x:c>
      <x:c r="B83" s="497" t="str">
        <x:v>TAMSIR</x:v>
      </x:c>
      <x:c r="C83" s="498"/>
      <x:c r="D83" s="498"/>
      <x:c r="E83" s="497" t="str">
        <x:v>JL. RE .MARTADINATA. RT/RW.002/001</x:v>
      </x:c>
      <x:c r="F83" s="497" t="str">
        <x:v>AMPUI</x:v>
      </x:c>
      <x:c r="G83" s="497" t="str">
        <x:v>PANGKAL BALAM</x:v>
      </x:c>
      <x:c r="H83" s="497" t="str">
        <x:v>Peningkatan Kualitas</x:v>
      </x:c>
      <x:c r="I83" s="499" t="str">
        <x:v>RUMAH ADA 2,</x:v>
      </x:c>
      <x:c r="J83" s="508" t="str">
        <x:v>Belum Dapat Ditentukan</x:v>
      </x:c>
      <x:c r="K83" s="508" t="str">
        <x:v>Belum Diidentifikasi</x:v>
      </x:c>
      <x:c r="L83" s="508" t="str">
        <x:v>Belum Dinilai</x:v>
      </x:c>
      <x:c r="M83" s="509" t="str">
        <x:v>Belum Diidentifikasi</x:v>
      </x:c>
      <x:c r="N83" s="508" t="str">
        <x:v>Belum Dinilai</x:v>
      </x:c>
      <x:c r="O83" s="510" t="str">
        <x:v>Belum Diidentifikasi</x:v>
      </x:c>
      <x:c r="P83" s="511" t="str">
        <x:v>Belum Dinilai</x:v>
      </x:c>
      <x:c r="Q83" s="522" t="str">
        <x:v>Lengkap</x:v>
      </x:c>
      <x:c r="R83" s="522"/>
      <x:c r="S83" s="523" t="str">
        <x:v>Sudah Diverifikasi</x:v>
      </x:c>
      <x:c r="T83" s="524" t="str">
        <x:v>Belum Ditangani</x:v>
      </x:c>
      <x:c r="U83" s="519"/>
      <x:c r="V83" s="519"/>
      <x:c r="W83" s="521" t="str">
        <x:v>Belum Diverifikasi</x:v>
      </x:c>
      <x:c r="X83" s="520"/>
      <x:c r="Y83" s="521"/>
      <x:c r="Z83" s="519" t="n">
        <x:v>2026</x:v>
      </x:c>
      <x:c r="AA83" s="520" t="str">
        <x:v>Usulan Musrenbang/Pokir DPRD</x:v>
      </x:c>
      <x:c r="AB83" s="521" t="n">
        <x:v>46218</x:v>
      </x:c>
      <x:c r="AC83" s="520" t="str">
        <x:v>Dinas Perkim Kota Pangkalpinang</x:v>
      </x:c>
    </x:row>
    <x:row r="84" ht="32" customHeight="1">
      <x:c r="A84" s="496" t="str">
        <x:v>RTLH-0103</x:v>
      </x:c>
      <x:c r="B84" s="497" t="str">
        <x:v>MUS MULYADI NURDIN</x:v>
      </x:c>
      <x:c r="C84" s="498"/>
      <x:c r="D84" s="498"/>
      <x:c r="E84" s="497" t="str">
        <x:v>JL. TENGGIRI 1. RT/RT.007/003</x:v>
      </x:c>
      <x:c r="F84" s="497" t="str">
        <x:v>KETAPANG</x:v>
      </x:c>
      <x:c r="G84" s="497" t="str">
        <x:v>PANGKAL BALAM</x:v>
      </x:c>
      <x:c r="H84" s="497" t="str">
        <x:v>Pembangunan Baru</x:v>
      </x:c>
      <x:c r="I84" s="499" t="str">
        <x:v>RUMAH FULL.TRIPLEK,SENG,ASBES BEKAS.</x:v>
      </x:c>
      <x:c r="J84" s="508" t="str">
        <x:v>Belum Dapat Ditentukan</x:v>
      </x:c>
      <x:c r="K84" s="508" t="str">
        <x:v>Campuran</x:v>
      </x:c>
      <x:c r="L84" s="508" t="str">
        <x:v>Belum Dinilai</x:v>
      </x:c>
      <x:c r="M84" s="509" t="str">
        <x:v>Belum Diidentifikasi</x:v>
      </x:c>
      <x:c r="N84" s="508" t="str">
        <x:v>Belum Dinilai</x:v>
      </x:c>
      <x:c r="O84" s="510" t="str">
        <x:v>Belum Diidentifikasi</x:v>
      </x:c>
      <x:c r="P84" s="511" t="str">
        <x:v>Belum Dinilai</x:v>
      </x:c>
      <x:c r="Q84" s="522" t="str">
        <x:v>Belum Lengkap</x:v>
      </x:c>
      <x:c r="R84" s="522"/>
      <x:c r="S84" s="523" t="str">
        <x:v>Sudah Diverifikasi</x:v>
      </x:c>
      <x:c r="T84" s="524" t="str">
        <x:v>Selesai</x:v>
      </x:c>
      <x:c r="U84" s="519" t="str">
        <x:v>CSR</x:v>
      </x:c>
      <x:c r="V84" s="519" t="n">
        <x:v>2024</x:v>
      </x:c>
      <x:c r="W84" s="521" t="str">
        <x:v>Belum Diverifikasi</x:v>
      </x:c>
      <x:c r="X84" s="520"/>
      <x:c r="Y84" s="521"/>
      <x:c r="Z84" s="519" t="n">
        <x:v>2026</x:v>
      </x:c>
      <x:c r="AA84" s="520" t="str">
        <x:v>Usulan Musrenbang/Pokir DPRD</x:v>
      </x:c>
      <x:c r="AB84" s="521" t="n">
        <x:v>46218</x:v>
      </x:c>
      <x:c r="AC84" s="520" t="str">
        <x:v>Dinas Perkim Kota Pangkalpinang</x:v>
      </x:c>
    </x:row>
    <x:row r="85" ht="32" customHeight="1">
      <x:c r="A85" s="496" t="str">
        <x:v>RTLH-0104</x:v>
      </x:c>
      <x:c r="B85" s="497" t="str">
        <x:v>ZUNIAR</x:v>
      </x:c>
      <x:c r="C85" s="498"/>
      <x:c r="D85" s="498"/>
      <x:c r="E85" s="497" t="str">
        <x:v>JL.VETERAN RT/RW 002/003</x:v>
      </x:c>
      <x:c r="F85" s="497" t="str">
        <x:v>PARITLALANG</x:v>
      </x:c>
      <x:c r="G85" s="497" t="str">
        <x:v>RANGKUI</x:v>
      </x:c>
      <x:c r="H85" s="497" t="str">
        <x:v>Peningkatan Kualitas</x:v>
      </x:c>
      <x:c r="I85" s="499" t="str">
        <x:v>RUMAH SEBAGIAN PAPAN, DAN LANTAI KERAMIK</x:v>
      </x:c>
      <x:c r="J85" s="508" t="str">
        <x:v>Belum Dapat Ditentukan</x:v>
      </x:c>
      <x:c r="K85" s="508" t="str">
        <x:v>Belum Diidentifikasi</x:v>
      </x:c>
      <x:c r="L85" s="508" t="str">
        <x:v>Belum Dinilai</x:v>
      </x:c>
      <x:c r="M85" s="509" t="str">
        <x:v>Belum Diidentifikasi</x:v>
      </x:c>
      <x:c r="N85" s="508" t="str">
        <x:v>Belum Dinilai</x:v>
      </x:c>
      <x:c r="O85" s="510" t="str">
        <x:v>Keramik</x:v>
      </x:c>
      <x:c r="P85" s="511" t="str">
        <x:v>Belum Dinilai</x:v>
      </x:c>
      <x:c r="Q85" s="522" t="str">
        <x:v>Lengkap</x:v>
      </x:c>
      <x:c r="R85" s="522"/>
      <x:c r="S85" s="523" t="str">
        <x:v>Sudah Diverifikasi</x:v>
      </x:c>
      <x:c r="T85" s="524" t="str">
        <x:v>Belum Ditangani</x:v>
      </x:c>
      <x:c r="U85" s="519"/>
      <x:c r="V85" s="519"/>
      <x:c r="W85" s="521" t="str">
        <x:v>Belum Diverifikasi</x:v>
      </x:c>
      <x:c r="X85" s="520"/>
      <x:c r="Y85" s="521"/>
      <x:c r="Z85" s="519" t="n">
        <x:v>2026</x:v>
      </x:c>
      <x:c r="AA85" s="520" t="str">
        <x:v>Usulan Musrenbang/Pokir DPRD</x:v>
      </x:c>
      <x:c r="AB85" s="521" t="n">
        <x:v>46218</x:v>
      </x:c>
      <x:c r="AC85" s="520" t="str">
        <x:v>Dinas Perkim Kota Pangkalpinang</x:v>
      </x:c>
    </x:row>
    <x:row r="86" ht="32" customHeight="1">
      <x:c r="A86" s="496" t="str">
        <x:v>RTLH-0105</x:v>
      </x:c>
      <x:c r="B86" s="497" t="str">
        <x:v>PUNADI</x:v>
      </x:c>
      <x:c r="C86" s="498"/>
      <x:c r="D86" s="498"/>
      <x:c r="E86" s="497" t="str">
        <x:v>JL. AIR PAMD RT002/RW003</x:v>
      </x:c>
      <x:c r="F86" s="497" t="str">
        <x:v>PARITLALANG</x:v>
      </x:c>
      <x:c r="G86" s="497" t="str">
        <x:v>RANGKUI</x:v>
      </x:c>
      <x:c r="H86" s="497" t="str">
        <x:v>Peningkatan Kualitas</x:v>
      </x:c>
      <x:c r="I86" s="499" t="str">
        <x:v>RUMAH SETENGAH BETON , LANTAI FULL FLOOR. POSIS RUMAH AREA DAS</x:v>
      </x:c>
      <x:c r="J86" s="508" t="str">
        <x:v>Permanen</x:v>
      </x:c>
      <x:c r="K86" s="508" t="str">
        <x:v>Belum Diidentifikasi</x:v>
      </x:c>
      <x:c r="L86" s="508" t="str">
        <x:v>Belum Dinilai</x:v>
      </x:c>
      <x:c r="M86" s="509" t="str">
        <x:v>Beton</x:v>
      </x:c>
      <x:c r="N86" s="508" t="str">
        <x:v>Belum Dinilai</x:v>
      </x:c>
      <x:c r="O86" s="510" t="str">
        <x:v>Semen/Plester</x:v>
      </x:c>
      <x:c r="P86" s="511" t="str">
        <x:v>Belum Dinilai</x:v>
      </x:c>
      <x:c r="Q86" s="522" t="str">
        <x:v>Lengkap</x:v>
      </x:c>
      <x:c r="R86" s="522"/>
      <x:c r="S86" s="523" t="str">
        <x:v>Sudah Diverifikasi</x:v>
      </x:c>
      <x:c r="T86" s="524" t="str">
        <x:v>Belum Ditangani</x:v>
      </x:c>
      <x:c r="U86" s="519"/>
      <x:c r="V86" s="519"/>
      <x:c r="W86" s="521" t="str">
        <x:v>Belum Diverifikasi</x:v>
      </x:c>
      <x:c r="X86" s="520"/>
      <x:c r="Y86" s="521"/>
      <x:c r="Z86" s="519" t="n">
        <x:v>2026</x:v>
      </x:c>
      <x:c r="AA86" s="520" t="str">
        <x:v>Usulan Musrenbang/Pokir DPRD</x:v>
      </x:c>
      <x:c r="AB86" s="521" t="n">
        <x:v>46218</x:v>
      </x:c>
      <x:c r="AC86" s="520" t="str">
        <x:v>Dinas Perkim Kota Pangkalpinang</x:v>
      </x:c>
    </x:row>
    <x:row r="87" ht="32" customHeight="1">
      <x:c r="A87" s="496" t="str">
        <x:v>RTLH-0106</x:v>
      </x:c>
      <x:c r="B87" s="497" t="str">
        <x:v>ROHANA</x:v>
      </x:c>
      <x:c r="C87" s="498"/>
      <x:c r="D87" s="498"/>
      <x:c r="E87" s="497" t="str">
        <x:v>JL. AIR PAMD RT002/RW003</x:v>
      </x:c>
      <x:c r="F87" s="497" t="str">
        <x:v>PARITLALANG</x:v>
      </x:c>
      <x:c r="G87" s="497" t="str">
        <x:v>RANGKUI</x:v>
      </x:c>
      <x:c r="H87" s="497" t="str">
        <x:v>Pembangunan Baru</x:v>
      </x:c>
      <x:c r="I87" s="499" t="str">
        <x:v>RUMAH FULL PAPAN , LANTAI FLOOR, ATAP RUSAK PARAH</x:v>
      </x:c>
      <x:c r="J87" s="508" t="str">
        <x:v>Nonpermanen</x:v>
      </x:c>
      <x:c r="K87" s="508" t="str">
        <x:v>Belum Diidentifikasi</x:v>
      </x:c>
      <x:c r="L87" s="508" t="str">
        <x:v>Rusak Berat</x:v>
      </x:c>
      <x:c r="M87" s="509" t="str">
        <x:v>Papan/Kayu</x:v>
      </x:c>
      <x:c r="N87" s="508" t="str">
        <x:v>Rusak Berat</x:v>
      </x:c>
      <x:c r="O87" s="510" t="str">
        <x:v>Semen/Plester</x:v>
      </x:c>
      <x:c r="P87" s="511" t="str">
        <x:v>Rusak Berat</x:v>
      </x:c>
      <x:c r="Q87" s="522" t="str">
        <x:v>Lengkap</x:v>
      </x:c>
      <x:c r="R87" s="522"/>
      <x:c r="S87" s="523" t="str">
        <x:v>Sudah Diverifikasi</x:v>
      </x:c>
      <x:c r="T87" s="524" t="str">
        <x:v>Selesai</x:v>
      </x:c>
      <x:c r="U87" s="519" t="str">
        <x:v>APBD Provinsi</x:v>
      </x:c>
      <x:c r="V87" s="519" t="n">
        <x:v>2023</x:v>
      </x:c>
      <x:c r="W87" s="521" t="str">
        <x:v>Belum Diverifikasi</x:v>
      </x:c>
      <x:c r="X87" s="520"/>
      <x:c r="Y87" s="521"/>
      <x:c r="Z87" s="519" t="n">
        <x:v>2026</x:v>
      </x:c>
      <x:c r="AA87" s="520" t="str">
        <x:v>Usulan Musrenbang/Pokir DPRD</x:v>
      </x:c>
      <x:c r="AB87" s="521" t="n">
        <x:v>46218</x:v>
      </x:c>
      <x:c r="AC87" s="520" t="str">
        <x:v>Dinas Perkim Kota Pangkalpinang</x:v>
      </x:c>
    </x:row>
    <x:row r="88" ht="32" customHeight="1">
      <x:c r="A88" s="496" t="str">
        <x:v>RTLH-0107</x:v>
      </x:c>
      <x:c r="B88" s="497" t="str">
        <x:v>BUDIMAN</x:v>
      </x:c>
      <x:c r="C88" s="498"/>
      <x:c r="D88" s="498"/>
      <x:c r="E88" s="497" t="str">
        <x:v>JL. VETERAN RT/002 RW/003</x:v>
      </x:c>
      <x:c r="F88" s="497" t="str">
        <x:v>PARITLALANG</x:v>
      </x:c>
      <x:c r="G88" s="497" t="str">
        <x:v>RANGKUI</x:v>
      </x:c>
      <x:c r="H88" s="497" t="str">
        <x:v>Pembangunan Baru</x:v>
      </x:c>
      <x:c r="I88" s="499" t="str">
        <x:v>RUMAH FULL PAPAN, RUSAK PARAH, LANTAI FLOOR</x:v>
      </x:c>
      <x:c r="J88" s="508" t="str">
        <x:v>Nonpermanen</x:v>
      </x:c>
      <x:c r="K88" s="508" t="str">
        <x:v>Belum Diidentifikasi</x:v>
      </x:c>
      <x:c r="L88" s="508" t="str">
        <x:v>Belum Dinilai</x:v>
      </x:c>
      <x:c r="M88" s="509" t="str">
        <x:v>Papan/Kayu</x:v>
      </x:c>
      <x:c r="N88" s="508" t="str">
        <x:v>Rusak Berat</x:v>
      </x:c>
      <x:c r="O88" s="510" t="str">
        <x:v>Semen/Plester</x:v>
      </x:c>
      <x:c r="P88" s="511" t="str">
        <x:v>Rusak Berat</x:v>
      </x:c>
      <x:c r="Q88" s="522" t="str">
        <x:v>Lengkap</x:v>
      </x:c>
      <x:c r="R88" s="522"/>
      <x:c r="S88" s="523" t="str">
        <x:v>Sudah Diverifikasi</x:v>
      </x:c>
      <x:c r="T88" s="524" t="str">
        <x:v>Belum Ditangani</x:v>
      </x:c>
      <x:c r="U88" s="519"/>
      <x:c r="V88" s="519"/>
      <x:c r="W88" s="521" t="str">
        <x:v>Belum Diverifikasi</x:v>
      </x:c>
      <x:c r="X88" s="520"/>
      <x:c r="Y88" s="521"/>
      <x:c r="Z88" s="519" t="n">
        <x:v>2026</x:v>
      </x:c>
      <x:c r="AA88" s="520" t="str">
        <x:v>Usulan Musrenbang/Pokir DPRD</x:v>
      </x:c>
      <x:c r="AB88" s="521" t="n">
        <x:v>46218</x:v>
      </x:c>
      <x:c r="AC88" s="520" t="str">
        <x:v>Dinas Perkim Kota Pangkalpinang</x:v>
      </x:c>
    </x:row>
    <x:row r="89" ht="32" customHeight="1">
      <x:c r="A89" s="496" t="str">
        <x:v>RTLH-0108</x:v>
      </x:c>
      <x:c r="B89" s="497" t="str">
        <x:v>ROZIYANTI</x:v>
      </x:c>
      <x:c r="C89" s="498"/>
      <x:c r="D89" s="498"/>
      <x:c r="E89" s="497" t="str">
        <x:v>JL,KH,AHMAD DAHLAN RT/RW:008/002</x:v>
      </x:c>
      <x:c r="F89" s="497" t="str">
        <x:v>KERAMAT</x:v>
      </x:c>
      <x:c r="G89" s="497" t="str">
        <x:v>RANGKUI</x:v>
      </x:c>
      <x:c r="H89" s="497" t="str">
        <x:v>Pembangunan Baru</x:v>
      </x:c>
      <x:c r="I89" s="499" t="str">
        <x:v>RUMAH FULL PAPAN, RUSAK PARAH, LANTAI FLOOR</x:v>
      </x:c>
      <x:c r="J89" s="508" t="str">
        <x:v>Nonpermanen</x:v>
      </x:c>
      <x:c r="K89" s="508" t="str">
        <x:v>Belum Diidentifikasi</x:v>
      </x:c>
      <x:c r="L89" s="508" t="str">
        <x:v>Belum Dinilai</x:v>
      </x:c>
      <x:c r="M89" s="509" t="str">
        <x:v>Papan/Kayu</x:v>
      </x:c>
      <x:c r="N89" s="508" t="str">
        <x:v>Rusak Berat</x:v>
      </x:c>
      <x:c r="O89" s="510" t="str">
        <x:v>Semen/Plester</x:v>
      </x:c>
      <x:c r="P89" s="511" t="str">
        <x:v>Rusak Berat</x:v>
      </x:c>
      <x:c r="Q89" s="522" t="str">
        <x:v>Lengkap</x:v>
      </x:c>
      <x:c r="R89" s="522"/>
      <x:c r="S89" s="523" t="str">
        <x:v>Sudah Diverifikasi</x:v>
      </x:c>
      <x:c r="T89" s="524" t="str">
        <x:v>Selesai</x:v>
      </x:c>
      <x:c r="U89" s="519" t="str">
        <x:v>APBD Kota</x:v>
      </x:c>
      <x:c r="V89" s="519" t="n">
        <x:v>2021</x:v>
      </x:c>
      <x:c r="W89" s="521" t="str">
        <x:v>Belum Diverifikasi</x:v>
      </x:c>
      <x:c r="X89" s="520"/>
      <x:c r="Y89" s="521"/>
      <x:c r="Z89" s="519" t="n">
        <x:v>2026</x:v>
      </x:c>
      <x:c r="AA89" s="520" t="str">
        <x:v>Usulan Musrenbang/Pokir DPRD</x:v>
      </x:c>
      <x:c r="AB89" s="521" t="n">
        <x:v>46218</x:v>
      </x:c>
      <x:c r="AC89" s="520" t="str">
        <x:v>Dinas Perkim Kota Pangkalpinang</x:v>
      </x:c>
    </x:row>
    <x:row r="90" ht="32" customHeight="1">
      <x:c r="A90" s="496" t="str">
        <x:v>RTLH-0109</x:v>
      </x:c>
      <x:c r="B90" s="497" t="str">
        <x:v>YUNIAR</x:v>
      </x:c>
      <x:c r="C90" s="498"/>
      <x:c r="D90" s="498"/>
      <x:c r="E90" s="497" t="str">
        <x:v>JL,KH.AHMAD DAHLAN</x:v>
      </x:c>
      <x:c r="F90" s="497" t="str">
        <x:v>KERAMAT</x:v>
      </x:c>
      <x:c r="G90" s="497" t="str">
        <x:v>RANGKUI</x:v>
      </x:c>
      <x:c r="H90" s="497" t="str">
        <x:v>Pembangunan Baru</x:v>
      </x:c>
      <x:c r="I90" s="499" t="str">
        <x:v>RUMAH FULL PAPAN, RUSAK PARAH, LANTAI FLOOR</x:v>
      </x:c>
      <x:c r="J90" s="508" t="str">
        <x:v>Nonpermanen</x:v>
      </x:c>
      <x:c r="K90" s="508" t="str">
        <x:v>Belum Diidentifikasi</x:v>
      </x:c>
      <x:c r="L90" s="508" t="str">
        <x:v>Belum Dinilai</x:v>
      </x:c>
      <x:c r="M90" s="509" t="str">
        <x:v>Papan/Kayu</x:v>
      </x:c>
      <x:c r="N90" s="508" t="str">
        <x:v>Rusak Berat</x:v>
      </x:c>
      <x:c r="O90" s="510" t="str">
        <x:v>Semen/Plester</x:v>
      </x:c>
      <x:c r="P90" s="511" t="str">
        <x:v>Rusak Berat</x:v>
      </x:c>
      <x:c r="Q90" s="522" t="str">
        <x:v>Lengkap</x:v>
      </x:c>
      <x:c r="R90" s="522"/>
      <x:c r="S90" s="523" t="str">
        <x:v>Sudah Diverifikasi</x:v>
      </x:c>
      <x:c r="T90" s="524" t="str">
        <x:v>Selesai</x:v>
      </x:c>
      <x:c r="U90" s="519" t="str">
        <x:v>APBD Kota</x:v>
      </x:c>
      <x:c r="V90" s="519" t="n">
        <x:v>2022</x:v>
      </x:c>
      <x:c r="W90" s="521" t="str">
        <x:v>Belum Diverifikasi</x:v>
      </x:c>
      <x:c r="X90" s="520"/>
      <x:c r="Y90" s="521"/>
      <x:c r="Z90" s="519" t="n">
        <x:v>2026</x:v>
      </x:c>
      <x:c r="AA90" s="520" t="str">
        <x:v>Usulan Musrenbang/Pokir DPRD</x:v>
      </x:c>
      <x:c r="AB90" s="521" t="n">
        <x:v>46218</x:v>
      </x:c>
      <x:c r="AC90" s="520" t="str">
        <x:v>Dinas Perkim Kota Pangkalpinang</x:v>
      </x:c>
    </x:row>
    <x:row r="91" ht="32" customHeight="1">
      <x:c r="A91" s="496" t="str">
        <x:v>RTLH-0110</x:v>
      </x:c>
      <x:c r="B91" s="497" t="str">
        <x:v>HARY A.R.SUHAILI</x:v>
      </x:c>
      <x:c r="C91" s="498"/>
      <x:c r="D91" s="498"/>
      <x:c r="E91" s="497" t="str">
        <x:v>JL,MENARA RT/RW 009/003</x:v>
      </x:c>
      <x:c r="F91" s="497" t="str">
        <x:v>KERAMAT</x:v>
      </x:c>
      <x:c r="G91" s="497" t="str">
        <x:v>RANGKUI</x:v>
      </x:c>
      <x:c r="H91" s="497" t="str">
        <x:v>Pembangunan Baru</x:v>
      </x:c>
      <x:c r="I91" s="499" t="str">
        <x:v>FULL PAPAN ,LANTAI TANAH, WC DI LUAR</x:v>
      </x:c>
      <x:c r="J91" s="508" t="str">
        <x:v>Nonpermanen</x:v>
      </x:c>
      <x:c r="K91" s="508" t="str">
        <x:v>Belum Diidentifikasi</x:v>
      </x:c>
      <x:c r="L91" s="508" t="str">
        <x:v>Belum Dinilai</x:v>
      </x:c>
      <x:c r="M91" s="509" t="str">
        <x:v>Papan/Kayu</x:v>
      </x:c>
      <x:c r="N91" s="508" t="str">
        <x:v>Belum Dinilai</x:v>
      </x:c>
      <x:c r="O91" s="510" t="str">
        <x:v>Tanah</x:v>
      </x:c>
      <x:c r="P91" s="511" t="str">
        <x:v>Tidak Layak</x:v>
      </x:c>
      <x:c r="Q91" s="522" t="str">
        <x:v>Lengkap</x:v>
      </x:c>
      <x:c r="R91" s="522"/>
      <x:c r="S91" s="523" t="str">
        <x:v>Sudah Diverifikasi</x:v>
      </x:c>
      <x:c r="T91" s="524" t="str">
        <x:v>Selesai</x:v>
      </x:c>
      <x:c r="U91" s="519" t="str">
        <x:v>APBD Kota</x:v>
      </x:c>
      <x:c r="V91" s="519" t="n">
        <x:v>2022</x:v>
      </x:c>
      <x:c r="W91" s="521" t="str">
        <x:v>Belum Diverifikasi</x:v>
      </x:c>
      <x:c r="X91" s="520"/>
      <x:c r="Y91" s="521"/>
      <x:c r="Z91" s="519" t="n">
        <x:v>2026</x:v>
      </x:c>
      <x:c r="AA91" s="520" t="str">
        <x:v>Usulan Musrenbang/Pokir DPRD</x:v>
      </x:c>
      <x:c r="AB91" s="521" t="n">
        <x:v>46218</x:v>
      </x:c>
      <x:c r="AC91" s="520" t="str">
        <x:v>Dinas Perkim Kota Pangkalpinang</x:v>
      </x:c>
    </x:row>
    <x:row r="92" ht="32" customHeight="1">
      <x:c r="A92" s="496" t="str">
        <x:v>RTLH-0111</x:v>
      </x:c>
      <x:c r="B92" s="497" t="str">
        <x:v>SUNARTI</x:v>
      </x:c>
      <x:c r="C92" s="498"/>
      <x:c r="D92" s="498"/>
      <x:c r="E92" s="497" t="str">
        <x:v>JL.TREM RT/RW 007/003</x:v>
      </x:c>
      <x:c r="F92" s="497" t="str">
        <x:v>KERAMAT</x:v>
      </x:c>
      <x:c r="G92" s="497" t="str">
        <x:v>RANGKUI</x:v>
      </x:c>
      <x:c r="H92" s="497" t="str">
        <x:v>Pembangunan Baru</x:v>
      </x:c>
      <x:c r="I92" s="499" t="str">
        <x:v>RUMAH FULL PAPAN</x:v>
      </x:c>
      <x:c r="J92" s="508" t="str">
        <x:v>Nonpermanen</x:v>
      </x:c>
      <x:c r="K92" s="508" t="str">
        <x:v>Belum Diidentifikasi</x:v>
      </x:c>
      <x:c r="L92" s="508" t="str">
        <x:v>Belum Dinilai</x:v>
      </x:c>
      <x:c r="M92" s="509" t="str">
        <x:v>Papan/Kayu</x:v>
      </x:c>
      <x:c r="N92" s="508" t="str">
        <x:v>Belum Dinilai</x:v>
      </x:c>
      <x:c r="O92" s="510" t="str">
        <x:v>Belum Diidentifikasi</x:v>
      </x:c>
      <x:c r="P92" s="511" t="str">
        <x:v>Belum Dinilai</x:v>
      </x:c>
      <x:c r="Q92" s="522" t="str">
        <x:v>Lengkap</x:v>
      </x:c>
      <x:c r="R92" s="522"/>
      <x:c r="S92" s="523" t="str">
        <x:v>Sudah Diverifikasi</x:v>
      </x:c>
      <x:c r="T92" s="524" t="str">
        <x:v>Belum Ditangani</x:v>
      </x:c>
      <x:c r="U92" s="519"/>
      <x:c r="V92" s="519"/>
      <x:c r="W92" s="521" t="str">
        <x:v>Belum Diverifikasi</x:v>
      </x:c>
      <x:c r="X92" s="520"/>
      <x:c r="Y92" s="521"/>
      <x:c r="Z92" s="519" t="n">
        <x:v>2026</x:v>
      </x:c>
      <x:c r="AA92" s="520" t="str">
        <x:v>Usulan Musrenbang/Pokir DPRD</x:v>
      </x:c>
      <x:c r="AB92" s="521" t="n">
        <x:v>46218</x:v>
      </x:c>
      <x:c r="AC92" s="520" t="str">
        <x:v>Dinas Perkim Kota Pangkalpinang</x:v>
      </x:c>
    </x:row>
    <x:row r="93" ht="32" customHeight="1">
      <x:c r="A93" s="496" t="str">
        <x:v>RTLH-0112</x:v>
      </x:c>
      <x:c r="B93" s="497" t="str">
        <x:v>ROSMAH</x:v>
      </x:c>
      <x:c r="C93" s="498"/>
      <x:c r="D93" s="498"/>
      <x:c r="E93" s="497" t="str">
        <x:v>GG.RUKEM RT/RW 005/002</x:v>
      </x:c>
      <x:c r="F93" s="497" t="str">
        <x:v>ASAM</x:v>
      </x:c>
      <x:c r="G93" s="497" t="str">
        <x:v>RANGKUI</x:v>
      </x:c>
      <x:c r="H93" s="497" t="str">
        <x:v>Peningkatan Kualitas</x:v>
      </x:c>
      <x:c r="I93" s="499" t="str">
        <x:v>RUMAH FULL BETON ATAP RUASK SEDANG</x:v>
      </x:c>
      <x:c r="J93" s="508" t="str">
        <x:v>Permanen</x:v>
      </x:c>
      <x:c r="K93" s="508" t="str">
        <x:v>Belum Diidentifikasi</x:v>
      </x:c>
      <x:c r="L93" s="508" t="str">
        <x:v>Belum Dinilai</x:v>
      </x:c>
      <x:c r="M93" s="509" t="str">
        <x:v>Beton</x:v>
      </x:c>
      <x:c r="N93" s="508" t="str">
        <x:v>Belum Dinilai</x:v>
      </x:c>
      <x:c r="O93" s="510" t="str">
        <x:v>Belum Diidentifikasi</x:v>
      </x:c>
      <x:c r="P93" s="511" t="str">
        <x:v>Belum Dinilai</x:v>
      </x:c>
      <x:c r="Q93" s="522" t="str">
        <x:v>Lengkap</x:v>
      </x:c>
      <x:c r="R93" s="522"/>
      <x:c r="S93" s="523" t="str">
        <x:v>Sudah Diverifikasi</x:v>
      </x:c>
      <x:c r="T93" s="524" t="str">
        <x:v>Belum Ditangani</x:v>
      </x:c>
      <x:c r="U93" s="519"/>
      <x:c r="V93" s="519"/>
      <x:c r="W93" s="521" t="str">
        <x:v>Belum Diverifikasi</x:v>
      </x:c>
      <x:c r="X93" s="520"/>
      <x:c r="Y93" s="521"/>
      <x:c r="Z93" s="519" t="n">
        <x:v>2026</x:v>
      </x:c>
      <x:c r="AA93" s="520" t="str">
        <x:v>Usulan Musrenbang/Pokir DPRD</x:v>
      </x:c>
      <x:c r="AB93" s="521" t="n">
        <x:v>46218</x:v>
      </x:c>
      <x:c r="AC93" s="520" t="str">
        <x:v>Dinas Perkim Kota Pangkalpinang</x:v>
      </x:c>
    </x:row>
    <x:row r="94" ht="32" customHeight="1">
      <x:c r="A94" s="496" t="str">
        <x:v>RTLH-0114</x:v>
      </x:c>
      <x:c r="B94" s="497" t="str">
        <x:v>SYAMSUL BAHRI</x:v>
      </x:c>
      <x:c r="C94" s="498"/>
      <x:c r="D94" s="498"/>
      <x:c r="E94" s="497" t="str">
        <x:v>JL.KELAPA RT/RW 002/001</x:v>
      </x:c>
      <x:c r="F94" s="497" t="str">
        <x:v>PASAR PADI</x:v>
      </x:c>
      <x:c r="G94" s="497" t="str">
        <x:v>GIRIMAYA</x:v>
      </x:c>
      <x:c r="H94" s="497" t="str">
        <x:v>Belum Ditentukan</x:v>
      </x:c>
      <x:c r="I94" s="499" t="str">
        <x:v>RUMAH BENCANA KEBAKARAN, TERSISA PONDASI. DAN SEKARANG TINGGAL DIKONTRAKAN</x:v>
      </x:c>
      <x:c r="J94" s="508" t="str">
        <x:v>Belum Dapat Ditentukan</x:v>
      </x:c>
      <x:c r="K94" s="508" t="str">
        <x:v>Belum Diidentifikasi</x:v>
      </x:c>
      <x:c r="L94" s="508" t="str">
        <x:v>Belum Dinilai</x:v>
      </x:c>
      <x:c r="M94" s="509" t="str">
        <x:v>Belum Diidentifikasi</x:v>
      </x:c>
      <x:c r="N94" s="508" t="str">
        <x:v>Belum Dinilai</x:v>
      </x:c>
      <x:c r="O94" s="510" t="str">
        <x:v>Belum Diidentifikasi</x:v>
      </x:c>
      <x:c r="P94" s="511" t="str">
        <x:v>Belum Dinilai</x:v>
      </x:c>
      <x:c r="Q94" s="522" t="str">
        <x:v>Lengkap</x:v>
      </x:c>
      <x:c r="R94" s="522"/>
      <x:c r="S94" s="523" t="str">
        <x:v>Sudah Diverifikasi</x:v>
      </x:c>
      <x:c r="T94" s="524" t="str">
        <x:v>Belum Ditangani</x:v>
      </x:c>
      <x:c r="U94" s="519"/>
      <x:c r="V94" s="519"/>
      <x:c r="W94" s="521" t="str">
        <x:v>Sewa/Kontrak</x:v>
      </x:c>
      <x:c r="X94" s="520"/>
      <x:c r="Y94" s="521"/>
      <x:c r="Z94" s="519" t="n">
        <x:v>2026</x:v>
      </x:c>
      <x:c r="AA94" s="520" t="str">
        <x:v>Usulan Musrenbang/Pokir DPRD</x:v>
      </x:c>
      <x:c r="AB94" s="521" t="n">
        <x:v>46218</x:v>
      </x:c>
      <x:c r="AC94" s="520" t="str">
        <x:v>Dinas Perkim Kota Pangkalpinang</x:v>
      </x:c>
    </x:row>
    <x:row r="95" ht="32" customHeight="1">
      <x:c r="A95" s="496" t="str">
        <x:v>RTLH-0115</x:v>
      </x:c>
      <x:c r="B95" s="497" t="str">
        <x:v>ASLAMIAH</x:v>
      </x:c>
      <x:c r="C95" s="498"/>
      <x:c r="D95" s="498"/>
      <x:c r="E95" s="497" t="str">
        <x:v>JL.KELAPA RT/RW 002/001</x:v>
      </x:c>
      <x:c r="F95" s="497" t="str">
        <x:v>PASAR PADI</x:v>
      </x:c>
      <x:c r="G95" s="497" t="str">
        <x:v>GIRIMAYA</x:v>
      </x:c>
      <x:c r="H95" s="497" t="str">
        <x:v>Belum Ditentukan</x:v>
      </x:c>
      <x:c r="I95" s="499" t="str">
        <x:v>RUMAH BENCANA KEBAKARAN, TERSISA PONDASI. DAN SEKARANG TINGGAL DIKAMPUNG</x:v>
      </x:c>
      <x:c r="J95" s="508" t="str">
        <x:v>Belum Dapat Ditentukan</x:v>
      </x:c>
      <x:c r="K95" s="508" t="str">
        <x:v>Belum Diidentifikasi</x:v>
      </x:c>
      <x:c r="L95" s="508" t="str">
        <x:v>Belum Dinilai</x:v>
      </x:c>
      <x:c r="M95" s="509" t="str">
        <x:v>Belum Diidentifikasi</x:v>
      </x:c>
      <x:c r="N95" s="508" t="str">
        <x:v>Belum Dinilai</x:v>
      </x:c>
      <x:c r="O95" s="510" t="str">
        <x:v>Belum Diidentifikasi</x:v>
      </x:c>
      <x:c r="P95" s="511" t="str">
        <x:v>Belum Dinilai</x:v>
      </x:c>
      <x:c r="Q95" s="522" t="str">
        <x:v>Lengkap</x:v>
      </x:c>
      <x:c r="R95" s="522"/>
      <x:c r="S95" s="523" t="str">
        <x:v>Sudah Diverifikasi</x:v>
      </x:c>
      <x:c r="T95" s="524" t="str">
        <x:v>Belum Ditangani</x:v>
      </x:c>
      <x:c r="U95" s="519"/>
      <x:c r="V95" s="519"/>
      <x:c r="W95" s="521" t="str">
        <x:v>Belum Diverifikasi</x:v>
      </x:c>
      <x:c r="X95" s="520"/>
      <x:c r="Y95" s="521"/>
      <x:c r="Z95" s="519" t="n">
        <x:v>2026</x:v>
      </x:c>
      <x:c r="AA95" s="520" t="str">
        <x:v>Usulan Musrenbang/Pokir DPRD</x:v>
      </x:c>
      <x:c r="AB95" s="521" t="n">
        <x:v>46218</x:v>
      </x:c>
      <x:c r="AC95" s="520" t="str">
        <x:v>Dinas Perkim Kota Pangkalpinang</x:v>
      </x:c>
    </x:row>
    <x:row r="96" ht="32" customHeight="1">
      <x:c r="A96" s="496" t="str">
        <x:v>RTLH-0116</x:v>
      </x:c>
      <x:c r="B96" s="497" t="str">
        <x:v>LAIN CUN MOY</x:v>
      </x:c>
      <x:c r="C96" s="498"/>
      <x:c r="D96" s="498"/>
      <x:c r="E96" s="497" t="str">
        <x:v>Belum tersedia</x:v>
      </x:c>
      <x:c r="F96" s="497" t="str">
        <x:v>PASIR PUTIH</x:v>
      </x:c>
      <x:c r="G96" s="497" t="str">
        <x:v>BUKIT INTAN</x:v>
      </x:c>
      <x:c r="H96" s="497" t="str">
        <x:v>Belum Ditentukan</x:v>
      </x:c>
      <x:c r="I96" s="499" t="str">
        <x:v>BELUM PRIORITAS, LOKASI RUMAH DI PINGGIR DAS</x:v>
      </x:c>
      <x:c r="J96" s="508" t="str">
        <x:v>Belum Dapat Ditentukan</x:v>
      </x:c>
      <x:c r="K96" s="508" t="str">
        <x:v>Belum Diidentifikasi</x:v>
      </x:c>
      <x:c r="L96" s="508" t="str">
        <x:v>Belum Dinilai</x:v>
      </x:c>
      <x:c r="M96" s="509" t="str">
        <x:v>Belum Diidentifikasi</x:v>
      </x:c>
      <x:c r="N96" s="508" t="str">
        <x:v>Belum Dinilai</x:v>
      </x:c>
      <x:c r="O96" s="510" t="str">
        <x:v>Belum Diidentifikasi</x:v>
      </x:c>
      <x:c r="P96" s="511" t="str">
        <x:v>Belum Dinilai</x:v>
      </x:c>
      <x:c r="Q96" s="522" t="str">
        <x:v>Lengkap</x:v>
      </x:c>
      <x:c r="R96" s="522"/>
      <x:c r="S96" s="523" t="str">
        <x:v>Sudah Diverifikasi</x:v>
      </x:c>
      <x:c r="T96" s="524" t="str">
        <x:v>Belum Ditangani</x:v>
      </x:c>
      <x:c r="U96" s="519"/>
      <x:c r="V96" s="519"/>
      <x:c r="W96" s="521" t="str">
        <x:v>Belum Diverifikasi</x:v>
      </x:c>
      <x:c r="X96" s="520"/>
      <x:c r="Y96" s="521"/>
      <x:c r="Z96" s="519" t="n">
        <x:v>2026</x:v>
      </x:c>
      <x:c r="AA96" s="520" t="str">
        <x:v>Usulan Musrenbang/Pokir DPRD</x:v>
      </x:c>
      <x:c r="AB96" s="521" t="n">
        <x:v>46218</x:v>
      </x:c>
      <x:c r="AC96" s="520" t="str">
        <x:v>Dinas Perkim Kota Pangkalpinang</x:v>
      </x:c>
    </x:row>
    <x:row r="97" ht="32" customHeight="1">
      <x:c r="A97" s="496" t="str">
        <x:v>RTLH-0117</x:v>
      </x:c>
      <x:c r="B97" s="497" t="str">
        <x:v>SILAWATI</x:v>
      </x:c>
      <x:c r="C97" s="498"/>
      <x:c r="D97" s="498"/>
      <x:c r="E97" s="497" t="str">
        <x:v>JL.VETERAN RT/RW 003/001</x:v>
      </x:c>
      <x:c r="F97" s="497" t="str">
        <x:v>PARITLALANG</x:v>
      </x:c>
      <x:c r="G97" s="497" t="str">
        <x:v>RANGKUI</x:v>
      </x:c>
      <x:c r="H97" s="497" t="str">
        <x:v>Belum Ditentukan</x:v>
      </x:c>
      <x:c r="I97" s="499" t="str">
        <x:v>RUMAH ROBOH KURANG LEBIH 1TAHUN, SEKARANG TINGGAL DI KONTRAKAN</x:v>
      </x:c>
      <x:c r="J97" s="508" t="str">
        <x:v>Belum Dapat Ditentukan</x:v>
      </x:c>
      <x:c r="K97" s="508" t="str">
        <x:v>Belum Diidentifikasi</x:v>
      </x:c>
      <x:c r="L97" s="508" t="str">
        <x:v>Belum Dinilai</x:v>
      </x:c>
      <x:c r="M97" s="509" t="str">
        <x:v>Belum Diidentifikasi</x:v>
      </x:c>
      <x:c r="N97" s="508" t="str">
        <x:v>Belum Dinilai</x:v>
      </x:c>
      <x:c r="O97" s="510" t="str">
        <x:v>Belum Diidentifikasi</x:v>
      </x:c>
      <x:c r="P97" s="511" t="str">
        <x:v>Belum Dinilai</x:v>
      </x:c>
      <x:c r="Q97" s="522" t="str">
        <x:v>Lengkap</x:v>
      </x:c>
      <x:c r="R97" s="522"/>
      <x:c r="S97" s="523" t="str">
        <x:v>Sudah Diverifikasi</x:v>
      </x:c>
      <x:c r="T97" s="524" t="str">
        <x:v>Belum Ditangani</x:v>
      </x:c>
      <x:c r="U97" s="519"/>
      <x:c r="V97" s="519"/>
      <x:c r="W97" s="521" t="str">
        <x:v>Sewa/Kontrak</x:v>
      </x:c>
      <x:c r="X97" s="520"/>
      <x:c r="Y97" s="521"/>
      <x:c r="Z97" s="519" t="n">
        <x:v>2026</x:v>
      </x:c>
      <x:c r="AA97" s="520" t="str">
        <x:v>Usulan Musrenbang/Pokir DPRD</x:v>
      </x:c>
      <x:c r="AB97" s="521" t="n">
        <x:v>46218</x:v>
      </x:c>
      <x:c r="AC97" s="520" t="str">
        <x:v>Dinas Perkim Kota Pangkalpinang</x:v>
      </x:c>
    </x:row>
    <x:row r="98" ht="32" customHeight="1">
      <x:c r="A98" s="496" t="str">
        <x:v>RTLH-0118</x:v>
      </x:c>
      <x:c r="B98" s="497" t="str">
        <x:v>MARZUKI</x:v>
      </x:c>
      <x:c r="C98" s="498"/>
      <x:c r="D98" s="498"/>
      <x:c r="E98" s="497" t="str">
        <x:v>Belum tersedia</x:v>
      </x:c>
      <x:c r="F98" s="497" t="str">
        <x:v>PARITLALANG</x:v>
      </x:c>
      <x:c r="G98" s="497" t="str">
        <x:v>RANGKUI</x:v>
      </x:c>
      <x:c r="H98" s="497" t="str">
        <x:v>Belum Ditentukan</x:v>
      </x:c>
      <x:c r="I98" s="499" t="str">
        <x:v>RUMAH FULL PAPAN, LANTAI FLOOR, ATAP RUSAK PARAH, TANAH BERMASALAH DENGAN SAUDARA</x:v>
      </x:c>
      <x:c r="J98" s="508" t="str">
        <x:v>Nonpermanen</x:v>
      </x:c>
      <x:c r="K98" s="508" t="str">
        <x:v>Belum Diidentifikasi</x:v>
      </x:c>
      <x:c r="L98" s="508" t="str">
        <x:v>Rusak Berat</x:v>
      </x:c>
      <x:c r="M98" s="509" t="str">
        <x:v>Papan/Kayu</x:v>
      </x:c>
      <x:c r="N98" s="508" t="str">
        <x:v>Rusak Berat</x:v>
      </x:c>
      <x:c r="O98" s="510" t="str">
        <x:v>Semen/Plester</x:v>
      </x:c>
      <x:c r="P98" s="511" t="str">
        <x:v>Rusak Berat</x:v>
      </x:c>
      <x:c r="Q98" s="522" t="str">
        <x:v>Lengkap</x:v>
      </x:c>
      <x:c r="R98" s="522"/>
      <x:c r="S98" s="523" t="str">
        <x:v>Sudah Diverifikasi</x:v>
      </x:c>
      <x:c r="T98" s="524" t="str">
        <x:v>Belum Ditangani</x:v>
      </x:c>
      <x:c r="U98" s="519"/>
      <x:c r="V98" s="519"/>
      <x:c r="W98" s="521" t="str">
        <x:v>Kepemilikan Keluarga</x:v>
      </x:c>
      <x:c r="X98" s="520"/>
      <x:c r="Y98" s="521"/>
      <x:c r="Z98" s="519" t="n">
        <x:v>2026</x:v>
      </x:c>
      <x:c r="AA98" s="520" t="str">
        <x:v>Usulan Musrenbang/Pokir DPRD</x:v>
      </x:c>
      <x:c r="AB98" s="521" t="n">
        <x:v>46218</x:v>
      </x:c>
      <x:c r="AC98" s="520" t="str">
        <x:v>Dinas Perkim Kota Pangkalpinang</x:v>
      </x:c>
    </x:row>
    <x:row r="99" ht="32" customHeight="1">
      <x:c r="A99" s="496" t="str">
        <x:v>RTLH-0119</x:v>
      </x:c>
      <x:c r="B99" s="497" t="str">
        <x:v>SOLEHA</x:v>
      </x:c>
      <x:c r="C99" s="498"/>
      <x:c r="D99" s="498"/>
      <x:c r="E99" s="497" t="str">
        <x:v>JL.VETERAN RT/RW 001/003</x:v>
      </x:c>
      <x:c r="F99" s="497" t="str">
        <x:v>PARITLALANG</x:v>
      </x:c>
      <x:c r="G99" s="497" t="str">
        <x:v>RANGKUI</x:v>
      </x:c>
      <x:c r="H99" s="497" t="str">
        <x:v>Pembangunan Baru</x:v>
      </x:c>
      <x:c r="I99" s="499" t="str">
        <x:v>RUMAH FULL PAPAN, LANTAI FLOOR</x:v>
      </x:c>
      <x:c r="J99" s="508" t="str">
        <x:v>Nonpermanen</x:v>
      </x:c>
      <x:c r="K99" s="508" t="str">
        <x:v>Belum Diidentifikasi</x:v>
      </x:c>
      <x:c r="L99" s="508" t="str">
        <x:v>Belum Dinilai</x:v>
      </x:c>
      <x:c r="M99" s="509" t="str">
        <x:v>Papan/Kayu</x:v>
      </x:c>
      <x:c r="N99" s="508" t="str">
        <x:v>Belum Dinilai</x:v>
      </x:c>
      <x:c r="O99" s="510" t="str">
        <x:v>Semen/Plester</x:v>
      </x:c>
      <x:c r="P99" s="511" t="str">
        <x:v>Belum Dinilai</x:v>
      </x:c>
      <x:c r="Q99" s="522" t="str">
        <x:v>Belum Lengkap</x:v>
      </x:c>
      <x:c r="R99" s="522"/>
      <x:c r="S99" s="523" t="str">
        <x:v>Sudah Diverifikasi</x:v>
      </x:c>
      <x:c r="T99" s="524" t="str">
        <x:v>Selesai</x:v>
      </x:c>
      <x:c r="U99" s="519" t="str">
        <x:v>APBD Provinsi</x:v>
      </x:c>
      <x:c r="V99" s="519" t="n">
        <x:v>2023</x:v>
      </x:c>
      <x:c r="W99" s="521" t="str">
        <x:v>Belum Diverifikasi</x:v>
      </x:c>
      <x:c r="X99" s="520"/>
      <x:c r="Y99" s="521"/>
      <x:c r="Z99" s="519" t="n">
        <x:v>2026</x:v>
      </x:c>
      <x:c r="AA99" s="520" t="str">
        <x:v>Usulan Musrenbang/Pokir DPRD</x:v>
      </x:c>
      <x:c r="AB99" s="521" t="n">
        <x:v>46218</x:v>
      </x:c>
      <x:c r="AC99" s="520" t="str">
        <x:v>Dinas Perkim Kota Pangkalpinang</x:v>
      </x:c>
    </x:row>
    <x:row r="100" ht="32" customHeight="1">
      <x:c r="A100" s="496" t="str">
        <x:v>RTLH-0120</x:v>
      </x:c>
      <x:c r="B100" s="497" t="str">
        <x:v>HERMAN</x:v>
      </x:c>
      <x:c r="C100" s="498"/>
      <x:c r="D100" s="498"/>
      <x:c r="E100" s="497" t="str">
        <x:v>Belum tersedia</x:v>
      </x:c>
      <x:c r="F100" s="497" t="str">
        <x:v>PARITLALANG</x:v>
      </x:c>
      <x:c r="G100" s="497" t="str">
        <x:v>RANGKUI</x:v>
      </x:c>
      <x:c r="H100" s="497" t="str">
        <x:v>Pembangunan Baru</x:v>
      </x:c>
      <x:c r="I100" s="499" t="str">
        <x:v>RUMAH FULL PAPAN, LANTAI FLOOR, ATAP RUSAK PARAH, DAN ADA ASET LAIN</x:v>
      </x:c>
      <x:c r="J100" s="508" t="str">
        <x:v>Nonpermanen</x:v>
      </x:c>
      <x:c r="K100" s="508" t="str">
        <x:v>Belum Diidentifikasi</x:v>
      </x:c>
      <x:c r="L100" s="508" t="str">
        <x:v>Rusak Berat</x:v>
      </x:c>
      <x:c r="M100" s="509" t="str">
        <x:v>Papan/Kayu</x:v>
      </x:c>
      <x:c r="N100" s="508" t="str">
        <x:v>Rusak Berat</x:v>
      </x:c>
      <x:c r="O100" s="510" t="str">
        <x:v>Semen/Plester</x:v>
      </x:c>
      <x:c r="P100" s="511" t="str">
        <x:v>Rusak Berat</x:v>
      </x:c>
      <x:c r="Q100" s="522" t="str">
        <x:v>Belum Lengkap</x:v>
      </x:c>
      <x:c r="R100" s="522"/>
      <x:c r="S100" s="523" t="str">
        <x:v>Sudah Diverifikasi</x:v>
      </x:c>
      <x:c r="T100" s="524" t="str">
        <x:v>Belum Ditangani</x:v>
      </x:c>
      <x:c r="U100" s="519"/>
      <x:c r="V100" s="519"/>
      <x:c r="W100" s="521" t="str">
        <x:v>Belum Diverifikasi</x:v>
      </x:c>
      <x:c r="X100" s="520"/>
      <x:c r="Y100" s="521"/>
      <x:c r="Z100" s="519" t="n">
        <x:v>2026</x:v>
      </x:c>
      <x:c r="AA100" s="520" t="str">
        <x:v>Usulan Musrenbang/Pokir DPRD</x:v>
      </x:c>
      <x:c r="AB100" s="521" t="n">
        <x:v>46218</x:v>
      </x:c>
      <x:c r="AC100" s="520" t="str">
        <x:v>Dinas Perkim Kota Pangkalpinang</x:v>
      </x:c>
    </x:row>
    <x:row r="101" ht="32" customHeight="1">
      <x:c r="A101" s="496" t="str">
        <x:v>RTLH-0121</x:v>
      </x:c>
      <x:c r="B101" s="497" t="str">
        <x:v>ROSIAH</x:v>
      </x:c>
      <x:c r="C101" s="498"/>
      <x:c r="D101" s="498"/>
      <x:c r="E101" s="497" t="str">
        <x:v>JL.PASIR PADI RT/RW 006/002</x:v>
      </x:c>
      <x:c r="F101" s="497" t="str">
        <x:v>AIR ITAM</x:v>
      </x:c>
      <x:c r="G101" s="497" t="str">
        <x:v>BUKIT INTAN</x:v>
      </x:c>
      <x:c r="H101" s="497" t="str">
        <x:v>Peningkatan Kualitas</x:v>
      </x:c>
      <x:c r="I101" s="499" t="str">
        <x:v>RUMAH SETENGAH BETON , LANTAI FULL FLOOR</x:v>
      </x:c>
      <x:c r="J101" s="508" t="str">
        <x:v>Permanen</x:v>
      </x:c>
      <x:c r="K101" s="508" t="str">
        <x:v>Belum Diidentifikasi</x:v>
      </x:c>
      <x:c r="L101" s="508" t="str">
        <x:v>Belum Dinilai</x:v>
      </x:c>
      <x:c r="M101" s="509" t="str">
        <x:v>Beton</x:v>
      </x:c>
      <x:c r="N101" s="508" t="str">
        <x:v>Belum Dinilai</x:v>
      </x:c>
      <x:c r="O101" s="510" t="str">
        <x:v>Semen/Plester</x:v>
      </x:c>
      <x:c r="P101" s="511" t="str">
        <x:v>Belum Dinilai</x:v>
      </x:c>
      <x:c r="Q101" s="522" t="str">
        <x:v>Lengkap</x:v>
      </x:c>
      <x:c r="R101" s="522"/>
      <x:c r="S101" s="523" t="str">
        <x:v>Sudah Diverifikasi</x:v>
      </x:c>
      <x:c r="T101" s="524" t="str">
        <x:v>Selesai</x:v>
      </x:c>
      <x:c r="U101" s="519" t="str">
        <x:v>APBD Kota</x:v>
      </x:c>
      <x:c r="V101" s="519" t="n">
        <x:v>2021</x:v>
      </x:c>
      <x:c r="W101" s="521" t="str">
        <x:v>Belum Diverifikasi</x:v>
      </x:c>
      <x:c r="X101" s="520"/>
      <x:c r="Y101" s="521"/>
      <x:c r="Z101" s="519" t="n">
        <x:v>2026</x:v>
      </x:c>
      <x:c r="AA101" s="520" t="str">
        <x:v>Usulan Musrenbang/Pokir DPRD</x:v>
      </x:c>
      <x:c r="AB101" s="521" t="n">
        <x:v>46218</x:v>
      </x:c>
      <x:c r="AC101" s="520" t="str">
        <x:v>Dinas Perkim Kota Pangkalpinang</x:v>
      </x:c>
    </x:row>
    <x:row r="102" ht="32" customHeight="1">
      <x:c r="A102" s="496" t="str">
        <x:v>RTLH-0123</x:v>
      </x:c>
      <x:c r="B102" s="497" t="str">
        <x:v>NUR TIA</x:v>
      </x:c>
      <x:c r="C102" s="498"/>
      <x:c r="D102" s="498"/>
      <x:c r="E102" s="497" t="str">
        <x:v>JL.HIDAYATUSSALIKIN DALAM RT/RW 004/002</x:v>
      </x:c>
      <x:c r="F102" s="497" t="str">
        <x:v>AIR ITAM</x:v>
      </x:c>
      <x:c r="G102" s="497" t="str">
        <x:v>BUKIT INTAN</x:v>
      </x:c>
      <x:c r="H102" s="497" t="str">
        <x:v>Belum Ditentukan</x:v>
      </x:c>
      <x:c r="I102" s="499" t="str">
        <x:v>FULL PAPAN</x:v>
      </x:c>
      <x:c r="J102" s="508" t="str">
        <x:v>Nonpermanen</x:v>
      </x:c>
      <x:c r="K102" s="508" t="str">
        <x:v>Belum Diidentifikasi</x:v>
      </x:c>
      <x:c r="L102" s="508" t="str">
        <x:v>Belum Dinilai</x:v>
      </x:c>
      <x:c r="M102" s="509" t="str">
        <x:v>Papan/Kayu</x:v>
      </x:c>
      <x:c r="N102" s="508" t="str">
        <x:v>Belum Dinilai</x:v>
      </x:c>
      <x:c r="O102" s="510" t="str">
        <x:v>Belum Diidentifikasi</x:v>
      </x:c>
      <x:c r="P102" s="511" t="str">
        <x:v>Belum Dinilai</x:v>
      </x:c>
      <x:c r="Q102" s="522" t="str">
        <x:v>Belum Lengkap</x:v>
      </x:c>
      <x:c r="R102" s="522"/>
      <x:c r="S102" s="523" t="str">
        <x:v>Sudah Diverifikasi</x:v>
      </x:c>
      <x:c r="T102" s="524" t="str">
        <x:v>Belum Ditangani</x:v>
      </x:c>
      <x:c r="U102" s="519"/>
      <x:c r="V102" s="519"/>
      <x:c r="W102" s="521" t="str">
        <x:v>Belum Diverifikasi</x:v>
      </x:c>
      <x:c r="X102" s="520"/>
      <x:c r="Y102" s="521"/>
      <x:c r="Z102" s="519" t="n">
        <x:v>2026</x:v>
      </x:c>
      <x:c r="AA102" s="520" t="str">
        <x:v>Usulan Musrenbang/Pokir DPRD</x:v>
      </x:c>
      <x:c r="AB102" s="521" t="n">
        <x:v>46218</x:v>
      </x:c>
      <x:c r="AC102" s="520" t="str">
        <x:v>Dinas Perkim Kota Pangkalpinang</x:v>
      </x:c>
    </x:row>
    <x:row r="103" ht="32" customHeight="1">
      <x:c r="A103" s="496" t="str">
        <x:v>RTLH-0124</x:v>
      </x:c>
      <x:c r="B103" s="497" t="str">
        <x:v>AGUS SUTANTO</x:v>
      </x:c>
      <x:c r="C103" s="498"/>
      <x:c r="D103" s="498"/>
      <x:c r="E103" s="497" t="str">
        <x:v>JL.PASIR PADI RT/RW 006/002</x:v>
      </x:c>
      <x:c r="F103" s="497" t="str">
        <x:v>AIR ITAM</x:v>
      </x:c>
      <x:c r="G103" s="497" t="str">
        <x:v>BUKIT INTAN</x:v>
      </x:c>
      <x:c r="H103" s="497" t="str">
        <x:v>Pembangunan Baru</x:v>
      </x:c>
      <x:c r="I103" s="499" t="str">
        <x:v>RUMAH SETENGAH BETON.</x:v>
      </x:c>
      <x:c r="J103" s="508" t="str">
        <x:v>Permanen</x:v>
      </x:c>
      <x:c r="K103" s="508" t="str">
        <x:v>Belum Diidentifikasi</x:v>
      </x:c>
      <x:c r="L103" s="508" t="str">
        <x:v>Belum Dinilai</x:v>
      </x:c>
      <x:c r="M103" s="509" t="str">
        <x:v>Beton</x:v>
      </x:c>
      <x:c r="N103" s="508" t="str">
        <x:v>Belum Dinilai</x:v>
      </x:c>
      <x:c r="O103" s="510" t="str">
        <x:v>Belum Diidentifikasi</x:v>
      </x:c>
      <x:c r="P103" s="511" t="str">
        <x:v>Belum Dinilai</x:v>
      </x:c>
      <x:c r="Q103" s="522" t="str">
        <x:v>Lengkap</x:v>
      </x:c>
      <x:c r="R103" s="522"/>
      <x:c r="S103" s="523" t="str">
        <x:v>Sudah Diverifikasi</x:v>
      </x:c>
      <x:c r="T103" s="524" t="str">
        <x:v>Selesai</x:v>
      </x:c>
      <x:c r="U103" s="519" t="str">
        <x:v>APBD Kota</x:v>
      </x:c>
      <x:c r="V103" s="519" t="n">
        <x:v>2021</x:v>
      </x:c>
      <x:c r="W103" s="521" t="str">
        <x:v>Belum Diverifikasi</x:v>
      </x:c>
      <x:c r="X103" s="520"/>
      <x:c r="Y103" s="521"/>
      <x:c r="Z103" s="519" t="n">
        <x:v>2026</x:v>
      </x:c>
      <x:c r="AA103" s="520" t="str">
        <x:v>Usulan Musrenbang/Pokir DPRD</x:v>
      </x:c>
      <x:c r="AB103" s="521" t="n">
        <x:v>46218</x:v>
      </x:c>
      <x:c r="AC103" s="520" t="str">
        <x:v>Dinas Perkim Kota Pangkalpinang</x:v>
      </x:c>
    </x:row>
    <x:row r="104" ht="32" customHeight="1">
      <x:c r="A104" s="496" t="str">
        <x:v>RTLH-0125</x:v>
      </x:c>
      <x:c r="B104" s="497" t="str">
        <x:v>AGUSTIAR FERNANDI</x:v>
      </x:c>
      <x:c r="C104" s="498"/>
      <x:c r="D104" s="498"/>
      <x:c r="E104" s="497" t="str">
        <x:v>RT/02 SAMPING RUMAH PAK RT</x:v>
      </x:c>
      <x:c r="F104" s="497" t="str">
        <x:v>AIR ITAM</x:v>
      </x:c>
      <x:c r="G104" s="497" t="str">
        <x:v>BUKIT INTAN</x:v>
      </x:c>
      <x:c r="H104" s="497" t="str">
        <x:v>Peningkatan Kualitas</x:v>
      </x:c>
      <x:c r="I104" s="499" t="str">
        <x:v>FULL PAPAN</x:v>
      </x:c>
      <x:c r="J104" s="508" t="str">
        <x:v>Nonpermanen</x:v>
      </x:c>
      <x:c r="K104" s="508" t="str">
        <x:v>Belum Diidentifikasi</x:v>
      </x:c>
      <x:c r="L104" s="508" t="str">
        <x:v>Belum Dinilai</x:v>
      </x:c>
      <x:c r="M104" s="509" t="str">
        <x:v>Papan/Kayu</x:v>
      </x:c>
      <x:c r="N104" s="508" t="str">
        <x:v>Belum Dinilai</x:v>
      </x:c>
      <x:c r="O104" s="510" t="str">
        <x:v>Belum Diidentifikasi</x:v>
      </x:c>
      <x:c r="P104" s="511" t="str">
        <x:v>Belum Dinilai</x:v>
      </x:c>
      <x:c r="Q104" s="522" t="str">
        <x:v>Lengkap</x:v>
      </x:c>
      <x:c r="R104" s="522"/>
      <x:c r="S104" s="523" t="str">
        <x:v>Sudah Diverifikasi</x:v>
      </x:c>
      <x:c r="T104" s="524" t="str">
        <x:v>Selesai</x:v>
      </x:c>
      <x:c r="U104" s="519" t="str">
        <x:v>APBD Kota</x:v>
      </x:c>
      <x:c r="V104" s="519" t="n">
        <x:v>2022</x:v>
      </x:c>
      <x:c r="W104" s="521" t="str">
        <x:v>Belum Diverifikasi</x:v>
      </x:c>
      <x:c r="X104" s="520"/>
      <x:c r="Y104" s="521"/>
      <x:c r="Z104" s="519" t="n">
        <x:v>2026</x:v>
      </x:c>
      <x:c r="AA104" s="520" t="str">
        <x:v>Usulan Musrenbang/Pokir DPRD</x:v>
      </x:c>
      <x:c r="AB104" s="521" t="n">
        <x:v>46218</x:v>
      </x:c>
      <x:c r="AC104" s="520" t="str">
        <x:v>Dinas Perkim Kota Pangkalpinang</x:v>
      </x:c>
    </x:row>
    <x:row r="105" ht="32" customHeight="1">
      <x:c r="A105" s="496" t="str">
        <x:v>RTLH-0127</x:v>
      </x:c>
      <x:c r="B105" s="497" t="str">
        <x:v>ACUNG</x:v>
      </x:c>
      <x:c r="C105" s="498"/>
      <x:c r="D105" s="498"/>
      <x:c r="E105" s="497" t="str">
        <x:v>JL.ALEXANDER RT/RW 002/003</x:v>
      </x:c>
      <x:c r="F105" s="497" t="str">
        <x:v>BACANG</x:v>
      </x:c>
      <x:c r="G105" s="497" t="str">
        <x:v>BUKIT INTAN</x:v>
      </x:c>
      <x:c r="H105" s="497" t="str">
        <x:v>Pembangunan Baru</x:v>
      </x:c>
      <x:c r="I105" s="499" t="str">
        <x:v>FULL PAPAN</x:v>
      </x:c>
      <x:c r="J105" s="508" t="str">
        <x:v>Nonpermanen</x:v>
      </x:c>
      <x:c r="K105" s="508" t="str">
        <x:v>Belum Diidentifikasi</x:v>
      </x:c>
      <x:c r="L105" s="508" t="str">
        <x:v>Belum Dinilai</x:v>
      </x:c>
      <x:c r="M105" s="509" t="str">
        <x:v>Papan/Kayu</x:v>
      </x:c>
      <x:c r="N105" s="508" t="str">
        <x:v>Belum Dinilai</x:v>
      </x:c>
      <x:c r="O105" s="510" t="str">
        <x:v>Belum Diidentifikasi</x:v>
      </x:c>
      <x:c r="P105" s="511" t="str">
        <x:v>Belum Dinilai</x:v>
      </x:c>
      <x:c r="Q105" s="522" t="str">
        <x:v>Lengkap</x:v>
      </x:c>
      <x:c r="R105" s="522"/>
      <x:c r="S105" s="523" t="str">
        <x:v>Sudah Diverifikasi</x:v>
      </x:c>
      <x:c r="T105" s="524" t="str">
        <x:v>Selesai</x:v>
      </x:c>
      <x:c r="U105" s="519" t="str">
        <x:v>APBD Kota</x:v>
      </x:c>
      <x:c r="V105" s="519" t="n">
        <x:v>2023</x:v>
      </x:c>
      <x:c r="W105" s="521" t="str">
        <x:v>Belum Diverifikasi</x:v>
      </x:c>
      <x:c r="X105" s="520"/>
      <x:c r="Y105" s="521"/>
      <x:c r="Z105" s="519" t="n">
        <x:v>2026</x:v>
      </x:c>
      <x:c r="AA105" s="520" t="str">
        <x:v>Usulan Musrenbang/Pokir DPRD</x:v>
      </x:c>
      <x:c r="AB105" s="521" t="n">
        <x:v>46218</x:v>
      </x:c>
      <x:c r="AC105" s="520" t="str">
        <x:v>Dinas Perkim Kota Pangkalpinang</x:v>
      </x:c>
    </x:row>
    <x:row r="106" ht="32" customHeight="1">
      <x:c r="A106" s="496" t="str">
        <x:v>RTLH-0128</x:v>
      </x:c>
      <x:c r="B106" s="497" t="str">
        <x:v>LEO SANDI</x:v>
      </x:c>
      <x:c r="C106" s="498"/>
      <x:c r="D106" s="498"/>
      <x:c r="E106" s="497" t="str">
        <x:v>GG.ALEKSANDER II RT/RW 007/003</x:v>
      </x:c>
      <x:c r="F106" s="497" t="str">
        <x:v>BACANG</x:v>
      </x:c>
      <x:c r="G106" s="497" t="str">
        <x:v>BUKIT INTAN</x:v>
      </x:c>
      <x:c r="H106" s="497" t="str">
        <x:v>Peningkatan Kualitas</x:v>
      </x:c>
      <x:c r="I106" s="499" t="str">
        <x:v>RUMAH KORBAN KEBAKARAN, ATAP RUSAK BERAT</x:v>
      </x:c>
      <x:c r="J106" s="508" t="str">
        <x:v>Belum Dapat Ditentukan</x:v>
      </x:c>
      <x:c r="K106" s="508" t="str">
        <x:v>Belum Diidentifikasi</x:v>
      </x:c>
      <x:c r="L106" s="508" t="str">
        <x:v>Rusak Berat</x:v>
      </x:c>
      <x:c r="M106" s="509" t="str">
        <x:v>Belum Diidentifikasi</x:v>
      </x:c>
      <x:c r="N106" s="508" t="str">
        <x:v>Belum Dinilai</x:v>
      </x:c>
      <x:c r="O106" s="510" t="str">
        <x:v>Belum Diidentifikasi</x:v>
      </x:c>
      <x:c r="P106" s="511" t="str">
        <x:v>Belum Dinilai</x:v>
      </x:c>
      <x:c r="Q106" s="522" t="str">
        <x:v>Belum Lengkap</x:v>
      </x:c>
      <x:c r="R106" s="522"/>
      <x:c r="S106" s="523" t="str">
        <x:v>Sudah Diverifikasi</x:v>
      </x:c>
      <x:c r="T106" s="524" t="str">
        <x:v>Belum Ditangani</x:v>
      </x:c>
      <x:c r="U106" s="519"/>
      <x:c r="V106" s="519"/>
      <x:c r="W106" s="521" t="str">
        <x:v>Belum Diverifikasi</x:v>
      </x:c>
      <x:c r="X106" s="520"/>
      <x:c r="Y106" s="521"/>
      <x:c r="Z106" s="519" t="n">
        <x:v>2026</x:v>
      </x:c>
      <x:c r="AA106" s="520" t="str">
        <x:v>Usulan Musrenbang/Pokir DPRD</x:v>
      </x:c>
      <x:c r="AB106" s="521" t="n">
        <x:v>46218</x:v>
      </x:c>
      <x:c r="AC106" s="520" t="str">
        <x:v>Dinas Perkim Kota Pangkalpinang</x:v>
      </x:c>
    </x:row>
    <x:row r="107" ht="32" customHeight="1">
      <x:c r="A107" s="496" t="str">
        <x:v>RTLH-0129</x:v>
      </x:c>
      <x:c r="B107" s="497" t="str">
        <x:v>APO</x:v>
      </x:c>
      <x:c r="C107" s="498"/>
      <x:c r="D107" s="498"/>
      <x:c r="E107" s="497" t="str">
        <x:v>Belum tersedia</x:v>
      </x:c>
      <x:c r="F107" s="497" t="str">
        <x:v>BACANG</x:v>
      </x:c>
      <x:c r="G107" s="497" t="str">
        <x:v>BUKIT INTAN</x:v>
      </x:c>
      <x:c r="H107" s="497" t="str">
        <x:v>Belum Ditentukan</x:v>
      </x:c>
      <x:c r="I107" s="499" t="str">
        <x:v>RUMAH PERMANEN</x:v>
      </x:c>
      <x:c r="J107" s="508" t="str">
        <x:v>Permanen</x:v>
      </x:c>
      <x:c r="K107" s="508" t="str">
        <x:v>Belum Diidentifikasi</x:v>
      </x:c>
      <x:c r="L107" s="508" t="str">
        <x:v>Belum Dinilai</x:v>
      </x:c>
      <x:c r="M107" s="509" t="str">
        <x:v>Dinding Permanen (Material tidak dirinci)</x:v>
      </x:c>
      <x:c r="N107" s="508" t="str">
        <x:v>Belum Dinilai</x:v>
      </x:c>
      <x:c r="O107" s="510" t="str">
        <x:v>Belum Diidentifikasi</x:v>
      </x:c>
      <x:c r="P107" s="511" t="str">
        <x:v>Belum Dinilai</x:v>
      </x:c>
      <x:c r="Q107" s="522" t="str">
        <x:v>Belum Lengkap</x:v>
      </x:c>
      <x:c r="R107" s="522"/>
      <x:c r="S107" s="523" t="str">
        <x:v>Sudah Diverifikasi</x:v>
      </x:c>
      <x:c r="T107" s="524" t="str">
        <x:v>Belum Ditangani</x:v>
      </x:c>
      <x:c r="U107" s="519"/>
      <x:c r="V107" s="519"/>
      <x:c r="W107" s="521" t="str">
        <x:v>Belum Diverifikasi</x:v>
      </x:c>
      <x:c r="X107" s="520"/>
      <x:c r="Y107" s="521"/>
      <x:c r="Z107" s="519" t="n">
        <x:v>2026</x:v>
      </x:c>
      <x:c r="AA107" s="520" t="str">
        <x:v>Usulan Musrenbang/Pokir DPRD</x:v>
      </x:c>
      <x:c r="AB107" s="521" t="n">
        <x:v>46218</x:v>
      </x:c>
      <x:c r="AC107" s="520" t="str">
        <x:v>Dinas Perkim Kota Pangkalpinang</x:v>
      </x:c>
    </x:row>
    <x:row r="108" ht="32" customHeight="1">
      <x:c r="A108" s="496" t="str">
        <x:v>RTLH-0130</x:v>
      </x:c>
      <x:c r="B108" s="497" t="str">
        <x:v>BELUM DIISI</x:v>
      </x:c>
      <x:c r="C108" s="498"/>
      <x:c r="D108" s="498"/>
      <x:c r="E108" s="497" t="str">
        <x:v>Belum tersedia</x:v>
      </x:c>
      <x:c r="F108" s="497" t="str">
        <x:v>SEMABUNG LAMA</x:v>
      </x:c>
      <x:c r="G108" s="497" t="str">
        <x:v>BUKIT INTAN</x:v>
      </x:c>
      <x:c r="H108" s="497" t="str">
        <x:v>Belum Ditentukan</x:v>
      </x:c>
      <x:c r="I108" s="499" t="str">
        <x:v>RUMAH FULL PAPAN, DAN LANTAI TANAH</x:v>
      </x:c>
      <x:c r="J108" s="508" t="str">
        <x:v>Nonpermanen</x:v>
      </x:c>
      <x:c r="K108" s="508" t="str">
        <x:v>Belum Diidentifikasi</x:v>
      </x:c>
      <x:c r="L108" s="508" t="str">
        <x:v>Belum Dinilai</x:v>
      </x:c>
      <x:c r="M108" s="509" t="str">
        <x:v>Papan/Kayu</x:v>
      </x:c>
      <x:c r="N108" s="508" t="str">
        <x:v>Belum Dinilai</x:v>
      </x:c>
      <x:c r="O108" s="510" t="str">
        <x:v>Tanah</x:v>
      </x:c>
      <x:c r="P108" s="511" t="str">
        <x:v>Tidak Layak</x:v>
      </x:c>
      <x:c r="Q108" s="522" t="str">
        <x:v>Lengkap</x:v>
      </x:c>
      <x:c r="R108" s="522"/>
      <x:c r="S108" s="523" t="str">
        <x:v>Sudah Diverifikasi</x:v>
      </x:c>
      <x:c r="T108" s="524" t="str">
        <x:v>Belum Ditangani</x:v>
      </x:c>
      <x:c r="U108" s="519"/>
      <x:c r="V108" s="519"/>
      <x:c r="W108" s="521" t="str">
        <x:v>Belum Diverifikasi</x:v>
      </x:c>
      <x:c r="X108" s="520"/>
      <x:c r="Y108" s="521"/>
      <x:c r="Z108" s="519" t="n">
        <x:v>2026</x:v>
      </x:c>
      <x:c r="AA108" s="520" t="str">
        <x:v>Usulan Musrenbang/Pokir DPRD</x:v>
      </x:c>
      <x:c r="AB108" s="521" t="n">
        <x:v>46218</x:v>
      </x:c>
      <x:c r="AC108" s="520" t="str">
        <x:v>Dinas Perkim Kota Pangkalpinang</x:v>
      </x:c>
    </x:row>
    <x:row r="109" ht="32" customHeight="1">
      <x:c r="A109" s="496" t="str">
        <x:v>RTLH-0131</x:v>
      </x:c>
      <x:c r="B109" s="497" t="str">
        <x:v>BELUM DIISI</x:v>
      </x:c>
      <x:c r="C109" s="498"/>
      <x:c r="D109" s="498"/>
      <x:c r="E109" s="497" t="str">
        <x:v>Belum tersedia</x:v>
      </x:c>
      <x:c r="F109" s="497" t="str">
        <x:v>SEMABUNG LAMA</x:v>
      </x:c>
      <x:c r="G109" s="497" t="str">
        <x:v>BUKIT INTAN</x:v>
      </x:c>
      <x:c r="H109" s="497" t="str">
        <x:v>Belum Ditentukan</x:v>
      </x:c>
      <x:c r="I109" s="499" t="str">
        <x:v>Belum ada catatan verifikasi</x:v>
      </x:c>
      <x:c r="J109" s="508" t="str">
        <x:v>Belum Dapat Ditentukan</x:v>
      </x:c>
      <x:c r="K109" s="508" t="str">
        <x:v>Belum Diidentifikasi</x:v>
      </x:c>
      <x:c r="L109" s="508" t="str">
        <x:v>Belum Dinilai</x:v>
      </x:c>
      <x:c r="M109" s="509" t="str">
        <x:v>Belum Diidentifikasi</x:v>
      </x:c>
      <x:c r="N109" s="508" t="str">
        <x:v>Belum Dinilai</x:v>
      </x:c>
      <x:c r="O109" s="510" t="str">
        <x:v>Belum Diidentifikasi</x:v>
      </x:c>
      <x:c r="P109" s="511" t="str">
        <x:v>Belum Dinilai</x:v>
      </x:c>
      <x:c r="Q109" s="522" t="str">
        <x:v>Belum Lengkap</x:v>
      </x:c>
      <x:c r="R109" s="522"/>
      <x:c r="S109" s="523" t="str">
        <x:v>Sudah Diverifikasi</x:v>
      </x:c>
      <x:c r="T109" s="524" t="str">
        <x:v>Belum Ditangani</x:v>
      </x:c>
      <x:c r="U109" s="519"/>
      <x:c r="V109" s="519"/>
      <x:c r="W109" s="521" t="str">
        <x:v>Belum Diverifikasi</x:v>
      </x:c>
      <x:c r="X109" s="520"/>
      <x:c r="Y109" s="521"/>
      <x:c r="Z109" s="519" t="n">
        <x:v>2026</x:v>
      </x:c>
      <x:c r="AA109" s="520" t="str">
        <x:v>Usulan Musrenbang/Pokir DPRD</x:v>
      </x:c>
      <x:c r="AB109" s="521" t="n">
        <x:v>46218</x:v>
      </x:c>
      <x:c r="AC109" s="520" t="str">
        <x:v>Dinas Perkim Kota Pangkalpinang</x:v>
      </x:c>
    </x:row>
    <x:row r="110" ht="32" customHeight="1">
      <x:c r="A110" s="496" t="str">
        <x:v>RTLH-0132</x:v>
      </x:c>
      <x:c r="B110" s="497" t="str">
        <x:v>FARIZAL</x:v>
      </x:c>
      <x:c r="C110" s="498"/>
      <x:c r="D110" s="498"/>
      <x:c r="E110" s="497" t="str">
        <x:v>GG.KEMILI I RT/RW 002/001</x:v>
      </x:c>
      <x:c r="F110" s="497" t="str">
        <x:v>PARITLALANG</x:v>
      </x:c>
      <x:c r="G110" s="497" t="str">
        <x:v>RANGKUI</x:v>
      </x:c>
      <x:c r="H110" s="497" t="str">
        <x:v>Peningkatan Kualitas</x:v>
      </x:c>
      <x:c r="I110" s="499" t="str">
        <x:v>SEBAGIAN BETON, LANTAI FLOOR</x:v>
      </x:c>
      <x:c r="J110" s="508" t="str">
        <x:v>Permanen</x:v>
      </x:c>
      <x:c r="K110" s="508" t="str">
        <x:v>Belum Diidentifikasi</x:v>
      </x:c>
      <x:c r="L110" s="508" t="str">
        <x:v>Belum Dinilai</x:v>
      </x:c>
      <x:c r="M110" s="509" t="str">
        <x:v>Beton</x:v>
      </x:c>
      <x:c r="N110" s="508" t="str">
        <x:v>Belum Dinilai</x:v>
      </x:c>
      <x:c r="O110" s="510" t="str">
        <x:v>Semen/Plester</x:v>
      </x:c>
      <x:c r="P110" s="511" t="str">
        <x:v>Belum Dinilai</x:v>
      </x:c>
      <x:c r="Q110" s="522" t="str">
        <x:v>Belum Lengkap</x:v>
      </x:c>
      <x:c r="R110" s="522"/>
      <x:c r="S110" s="523" t="str">
        <x:v>Sudah Diverifikasi</x:v>
      </x:c>
      <x:c r="T110" s="524" t="str">
        <x:v>Selesai</x:v>
      </x:c>
      <x:c r="U110" s="519" t="str">
        <x:v>APBD Provinsi</x:v>
      </x:c>
      <x:c r="V110" s="519" t="n">
        <x:v>2023</x:v>
      </x:c>
      <x:c r="W110" s="521" t="str">
        <x:v>Belum Diverifikasi</x:v>
      </x:c>
      <x:c r="X110" s="520"/>
      <x:c r="Y110" s="521"/>
      <x:c r="Z110" s="519" t="n">
        <x:v>2026</x:v>
      </x:c>
      <x:c r="AA110" s="520" t="str">
        <x:v>Usulan Musrenbang/Pokir DPRD</x:v>
      </x:c>
      <x:c r="AB110" s="521" t="n">
        <x:v>46218</x:v>
      </x:c>
      <x:c r="AC110" s="520" t="str">
        <x:v>Dinas Perkim Kota Pangkalpinang</x:v>
      </x:c>
    </x:row>
    <x:row r="111" ht="32" customHeight="1">
      <x:c r="A111" s="496" t="str">
        <x:v>RTLH-0135</x:v>
      </x:c>
      <x:c r="B111" s="497" t="str">
        <x:v>TERYANTO</x:v>
      </x:c>
      <x:c r="C111" s="498"/>
      <x:c r="D111" s="498"/>
      <x:c r="E111" s="497" t="str">
        <x:v>Belum tersedia</x:v>
      </x:c>
      <x:c r="F111" s="497" t="str">
        <x:v>PARITLALANG</x:v>
      </x:c>
      <x:c r="G111" s="497" t="str">
        <x:v>RANGKUI</x:v>
      </x:c>
      <x:c r="H111" s="497" t="str">
        <x:v>Peningkatan Kualitas</x:v>
      </x:c>
      <x:c r="I111" s="499" t="str">
        <x:v>RUMAH SETENGAH BETON</x:v>
      </x:c>
      <x:c r="J111" s="508" t="str">
        <x:v>Permanen</x:v>
      </x:c>
      <x:c r="K111" s="508" t="str">
        <x:v>Belum Diidentifikasi</x:v>
      </x:c>
      <x:c r="L111" s="508" t="str">
        <x:v>Belum Dinilai</x:v>
      </x:c>
      <x:c r="M111" s="509" t="str">
        <x:v>Beton</x:v>
      </x:c>
      <x:c r="N111" s="508" t="str">
        <x:v>Belum Dinilai</x:v>
      </x:c>
      <x:c r="O111" s="510" t="str">
        <x:v>Belum Diidentifikasi</x:v>
      </x:c>
      <x:c r="P111" s="511" t="str">
        <x:v>Belum Dinilai</x:v>
      </x:c>
      <x:c r="Q111" s="522" t="str">
        <x:v>Lengkap</x:v>
      </x:c>
      <x:c r="R111" s="522"/>
      <x:c r="S111" s="523" t="str">
        <x:v>Sudah Diverifikasi</x:v>
      </x:c>
      <x:c r="T111" s="524" t="str">
        <x:v>Belum Ditangani</x:v>
      </x:c>
      <x:c r="U111" s="519"/>
      <x:c r="V111" s="519"/>
      <x:c r="W111" s="521" t="str">
        <x:v>Belum Diverifikasi</x:v>
      </x:c>
      <x:c r="X111" s="520"/>
      <x:c r="Y111" s="521"/>
      <x:c r="Z111" s="519" t="n">
        <x:v>2026</x:v>
      </x:c>
      <x:c r="AA111" s="520" t="str">
        <x:v>Usulan Musrenbang/Pokir DPRD</x:v>
      </x:c>
      <x:c r="AB111" s="521" t="n">
        <x:v>46218</x:v>
      </x:c>
      <x:c r="AC111" s="520" t="str">
        <x:v>Dinas Perkim Kota Pangkalpinang</x:v>
      </x:c>
    </x:row>
    <x:row r="112" ht="32" customHeight="1">
      <x:c r="A112" s="496" t="str">
        <x:v>RTLH-0136</x:v>
      </x:c>
      <x:c r="B112" s="497" t="str">
        <x:v>ROMLI</x:v>
      </x:c>
      <x:c r="C112" s="498"/>
      <x:c r="D112" s="498"/>
      <x:c r="E112" s="497" t="str">
        <x:v>JL. VETERAN RT/003 RW/003 KEL:PARIT LALANG</x:v>
      </x:c>
      <x:c r="F112" s="497" t="str">
        <x:v>PARITLALANG</x:v>
      </x:c>
      <x:c r="G112" s="497" t="str">
        <x:v>RANGKUI</x:v>
      </x:c>
      <x:c r="H112" s="497" t="str">
        <x:v>Peningkatan Kualitas</x:v>
      </x:c>
      <x:c r="I112" s="499" t="str">
        <x:v>RUMAH SETENGAH BETON</x:v>
      </x:c>
      <x:c r="J112" s="508" t="str">
        <x:v>Permanen</x:v>
      </x:c>
      <x:c r="K112" s="508" t="str">
        <x:v>Belum Diidentifikasi</x:v>
      </x:c>
      <x:c r="L112" s="508" t="str">
        <x:v>Belum Dinilai</x:v>
      </x:c>
      <x:c r="M112" s="509" t="str">
        <x:v>Beton</x:v>
      </x:c>
      <x:c r="N112" s="508" t="str">
        <x:v>Belum Dinilai</x:v>
      </x:c>
      <x:c r="O112" s="510" t="str">
        <x:v>Belum Diidentifikasi</x:v>
      </x:c>
      <x:c r="P112" s="511" t="str">
        <x:v>Belum Dinilai</x:v>
      </x:c>
      <x:c r="Q112" s="522" t="str">
        <x:v>Belum Lengkap</x:v>
      </x:c>
      <x:c r="R112" s="522"/>
      <x:c r="S112" s="523" t="str">
        <x:v>Sudah Diverifikasi</x:v>
      </x:c>
      <x:c r="T112" s="524" t="str">
        <x:v>Belum Ditangani</x:v>
      </x:c>
      <x:c r="U112" s="519"/>
      <x:c r="V112" s="519"/>
      <x:c r="W112" s="521" t="str">
        <x:v>Belum Diverifikasi</x:v>
      </x:c>
      <x:c r="X112" s="520"/>
      <x:c r="Y112" s="521"/>
      <x:c r="Z112" s="519" t="n">
        <x:v>2026</x:v>
      </x:c>
      <x:c r="AA112" s="520" t="str">
        <x:v>Usulan Musrenbang/Pokir DPRD</x:v>
      </x:c>
      <x:c r="AB112" s="521" t="n">
        <x:v>46218</x:v>
      </x:c>
      <x:c r="AC112" s="520" t="str">
        <x:v>Dinas Perkim Kota Pangkalpinang</x:v>
      </x:c>
    </x:row>
    <x:row r="113" ht="32" customHeight="1">
      <x:c r="A113" s="496" t="str">
        <x:v>RTLH-0137</x:v>
      </x:c>
      <x:c r="B113" s="497" t="str">
        <x:v>FIRDIANSYAH</x:v>
      </x:c>
      <x:c r="C113" s="498"/>
      <x:c r="D113" s="498"/>
      <x:c r="E113" s="497" t="str">
        <x:v>JL.KELAPA RT/RW :002/001</x:v>
      </x:c>
      <x:c r="F113" s="497" t="str">
        <x:v>PASAR PADI</x:v>
      </x:c>
      <x:c r="G113" s="497" t="str">
        <x:v>GIRIMAYA</x:v>
      </x:c>
      <x:c r="H113" s="497" t="str">
        <x:v>Pembangunan Baru</x:v>
      </x:c>
      <x:c r="I113" s="499" t="str">
        <x:v>RUMAH FULL PAPAN</x:v>
      </x:c>
      <x:c r="J113" s="508" t="str">
        <x:v>Nonpermanen</x:v>
      </x:c>
      <x:c r="K113" s="508" t="str">
        <x:v>Belum Diidentifikasi</x:v>
      </x:c>
      <x:c r="L113" s="508" t="str">
        <x:v>Belum Dinilai</x:v>
      </x:c>
      <x:c r="M113" s="509" t="str">
        <x:v>Papan/Kayu</x:v>
      </x:c>
      <x:c r="N113" s="508" t="str">
        <x:v>Belum Dinilai</x:v>
      </x:c>
      <x:c r="O113" s="510" t="str">
        <x:v>Belum Diidentifikasi</x:v>
      </x:c>
      <x:c r="P113" s="511" t="str">
        <x:v>Belum Dinilai</x:v>
      </x:c>
      <x:c r="Q113" s="522" t="str">
        <x:v>Belum Lengkap</x:v>
      </x:c>
      <x:c r="R113" s="522"/>
      <x:c r="S113" s="523" t="str">
        <x:v>Sudah Diverifikasi</x:v>
      </x:c>
      <x:c r="T113" s="524" t="str">
        <x:v>Belum Ditangani</x:v>
      </x:c>
      <x:c r="U113" s="519"/>
      <x:c r="V113" s="519"/>
      <x:c r="W113" s="521" t="str">
        <x:v>Belum Diverifikasi</x:v>
      </x:c>
      <x:c r="X113" s="520"/>
      <x:c r="Y113" s="521"/>
      <x:c r="Z113" s="519" t="n">
        <x:v>2026</x:v>
      </x:c>
      <x:c r="AA113" s="520" t="str">
        <x:v>Usulan Musrenbang/Pokir DPRD</x:v>
      </x:c>
      <x:c r="AB113" s="521" t="n">
        <x:v>46218</x:v>
      </x:c>
      <x:c r="AC113" s="520" t="str">
        <x:v>Dinas Perkim Kota Pangkalpinang</x:v>
      </x:c>
    </x:row>
    <x:row r="114" ht="32" customHeight="1">
      <x:c r="A114" s="496" t="str">
        <x:v>RTLH-0138</x:v>
      </x:c>
      <x:c r="B114" s="497" t="str">
        <x:v>HOLID</x:v>
      </x:c>
      <x:c r="C114" s="498"/>
      <x:c r="D114" s="498"/>
      <x:c r="E114" s="497" t="str">
        <x:v>JL.KELAPA RT/RW :002/001</x:v>
      </x:c>
      <x:c r="F114" s="497" t="str">
        <x:v>PASAR PADI</x:v>
      </x:c>
      <x:c r="G114" s="497" t="str">
        <x:v>GIRIMAYA</x:v>
      </x:c>
      <x:c r="H114" s="497" t="str">
        <x:v>Pembangunan Baru</x:v>
      </x:c>
      <x:c r="I114" s="499" t="str">
        <x:v>RUMAH FULL PAPAN , LANTAI CONBLOK</x:v>
      </x:c>
      <x:c r="J114" s="508" t="str">
        <x:v>Nonpermanen</x:v>
      </x:c>
      <x:c r="K114" s="508" t="str">
        <x:v>Belum Diidentifikasi</x:v>
      </x:c>
      <x:c r="L114" s="508" t="str">
        <x:v>Belum Dinilai</x:v>
      </x:c>
      <x:c r="M114" s="509" t="str">
        <x:v>Papan/Kayu</x:v>
      </x:c>
      <x:c r="N114" s="508" t="str">
        <x:v>Belum Dinilai</x:v>
      </x:c>
      <x:c r="O114" s="510" t="str">
        <x:v>Belum Diidentifikasi</x:v>
      </x:c>
      <x:c r="P114" s="511" t="str">
        <x:v>Belum Dinilai</x:v>
      </x:c>
      <x:c r="Q114" s="522" t="str">
        <x:v>Belum Lengkap</x:v>
      </x:c>
      <x:c r="R114" s="522"/>
      <x:c r="S114" s="523" t="str">
        <x:v>Sudah Diverifikasi</x:v>
      </x:c>
      <x:c r="T114" s="524" t="str">
        <x:v>Belum Ditangani</x:v>
      </x:c>
      <x:c r="U114" s="519"/>
      <x:c r="V114" s="519"/>
      <x:c r="W114" s="521" t="str">
        <x:v>Belum Diverifikasi</x:v>
      </x:c>
      <x:c r="X114" s="520"/>
      <x:c r="Y114" s="521"/>
      <x:c r="Z114" s="519" t="n">
        <x:v>2026</x:v>
      </x:c>
      <x:c r="AA114" s="520" t="str">
        <x:v>Usulan Musrenbang/Pokir DPRD</x:v>
      </x:c>
      <x:c r="AB114" s="521" t="n">
        <x:v>46218</x:v>
      </x:c>
      <x:c r="AC114" s="520" t="str">
        <x:v>Dinas Perkim Kota Pangkalpinang</x:v>
      </x:c>
    </x:row>
    <x:row r="115" ht="32" customHeight="1">
      <x:c r="A115" s="496" t="str">
        <x:v>RTLH-0139</x:v>
      </x:c>
      <x:c r="B115" s="497" t="str">
        <x:v>RISNA HERTIAYU</x:v>
      </x:c>
      <x:c r="C115" s="498"/>
      <x:c r="D115" s="498"/>
      <x:c r="E115" s="497" t="str">
        <x:v>JL.KELAPA RT/RW :002/001</x:v>
      </x:c>
      <x:c r="F115" s="497" t="str">
        <x:v>PASAR PADI</x:v>
      </x:c>
      <x:c r="G115" s="497" t="str">
        <x:v>GIRIMAYA</x:v>
      </x:c>
      <x:c r="H115" s="497" t="str">
        <x:v>Pembangunan Baru</x:v>
      </x:c>
      <x:c r="I115" s="499" t="str">
        <x:v>RUMAH FULL PAPAN. LANTAI FLOOR</x:v>
      </x:c>
      <x:c r="J115" s="508" t="str">
        <x:v>Nonpermanen</x:v>
      </x:c>
      <x:c r="K115" s="508" t="str">
        <x:v>Belum Diidentifikasi</x:v>
      </x:c>
      <x:c r="L115" s="508" t="str">
        <x:v>Belum Dinilai</x:v>
      </x:c>
      <x:c r="M115" s="509" t="str">
        <x:v>Papan/Kayu</x:v>
      </x:c>
      <x:c r="N115" s="508" t="str">
        <x:v>Belum Dinilai</x:v>
      </x:c>
      <x:c r="O115" s="510" t="str">
        <x:v>Semen/Plester</x:v>
      </x:c>
      <x:c r="P115" s="511" t="str">
        <x:v>Belum Dinilai</x:v>
      </x:c>
      <x:c r="Q115" s="522" t="str">
        <x:v>Lengkap</x:v>
      </x:c>
      <x:c r="R115" s="522"/>
      <x:c r="S115" s="523" t="str">
        <x:v>Sudah Diverifikasi</x:v>
      </x:c>
      <x:c r="T115" s="524" t="str">
        <x:v>Selesai</x:v>
      </x:c>
      <x:c r="U115" s="519" t="str">
        <x:v>APBD Kota</x:v>
      </x:c>
      <x:c r="V115" s="519" t="n">
        <x:v>2021</x:v>
      </x:c>
      <x:c r="W115" s="521" t="str">
        <x:v>Belum Diverifikasi</x:v>
      </x:c>
      <x:c r="X115" s="520"/>
      <x:c r="Y115" s="521"/>
      <x:c r="Z115" s="519" t="n">
        <x:v>2026</x:v>
      </x:c>
      <x:c r="AA115" s="520" t="str">
        <x:v>Usulan Musrenbang/Pokir DPRD</x:v>
      </x:c>
      <x:c r="AB115" s="521" t="n">
        <x:v>46218</x:v>
      </x:c>
      <x:c r="AC115" s="520" t="str">
        <x:v>Dinas Perkim Kota Pangkalpinang</x:v>
      </x:c>
    </x:row>
    <x:row r="116" ht="32" customHeight="1">
      <x:c r="A116" s="496" t="str">
        <x:v>RTLH-0140</x:v>
      </x:c>
      <x:c r="B116" s="497" t="str">
        <x:v>MUHAMMAD UNTUNG</x:v>
      </x:c>
      <x:c r="C116" s="498"/>
      <x:c r="D116" s="498"/>
      <x:c r="E116" s="497" t="str">
        <x:v>JL.KELAPA RT/RW :002/001</x:v>
      </x:c>
      <x:c r="F116" s="497" t="str">
        <x:v>PASAR PADI</x:v>
      </x:c>
      <x:c r="G116" s="497" t="str">
        <x:v>GIRIMAYA</x:v>
      </x:c>
      <x:c r="H116" s="497" t="str">
        <x:v>Pembangunan Baru</x:v>
      </x:c>
      <x:c r="I116" s="499" t="str">
        <x:v>RUMAH FULL PAPAN. LANTAI FLOOR</x:v>
      </x:c>
      <x:c r="J116" s="508" t="str">
        <x:v>Nonpermanen</x:v>
      </x:c>
      <x:c r="K116" s="508" t="str">
        <x:v>Belum Diidentifikasi</x:v>
      </x:c>
      <x:c r="L116" s="508" t="str">
        <x:v>Belum Dinilai</x:v>
      </x:c>
      <x:c r="M116" s="509" t="str">
        <x:v>Papan/Kayu</x:v>
      </x:c>
      <x:c r="N116" s="508" t="str">
        <x:v>Belum Dinilai</x:v>
      </x:c>
      <x:c r="O116" s="510" t="str">
        <x:v>Semen/Plester</x:v>
      </x:c>
      <x:c r="P116" s="511" t="str">
        <x:v>Belum Dinilai</x:v>
      </x:c>
      <x:c r="Q116" s="522" t="str">
        <x:v>Lengkap</x:v>
      </x:c>
      <x:c r="R116" s="522"/>
      <x:c r="S116" s="523" t="str">
        <x:v>Sudah Diverifikasi</x:v>
      </x:c>
      <x:c r="T116" s="524" t="str">
        <x:v>Belum Ditangani</x:v>
      </x:c>
      <x:c r="U116" s="519"/>
      <x:c r="V116" s="519"/>
      <x:c r="W116" s="521" t="str">
        <x:v>Belum Diverifikasi</x:v>
      </x:c>
      <x:c r="X116" s="520"/>
      <x:c r="Y116" s="521"/>
      <x:c r="Z116" s="519" t="n">
        <x:v>2026</x:v>
      </x:c>
      <x:c r="AA116" s="520" t="str">
        <x:v>Usulan Musrenbang/Pokir DPRD</x:v>
      </x:c>
      <x:c r="AB116" s="521" t="n">
        <x:v>46218</x:v>
      </x:c>
      <x:c r="AC116" s="520" t="str">
        <x:v>Dinas Perkim Kota Pangkalpinang</x:v>
      </x:c>
    </x:row>
    <x:row r="117" ht="32" customHeight="1">
      <x:c r="A117" s="496" t="str">
        <x:v>RTLH-0141</x:v>
      </x:c>
      <x:c r="B117" s="497" t="str">
        <x:v>SOBRI SUGARI PUTRA</x:v>
      </x:c>
      <x:c r="C117" s="498"/>
      <x:c r="D117" s="498"/>
      <x:c r="E117" s="497" t="str">
        <x:v>JL.KELAPA RT/RW :002/001</x:v>
      </x:c>
      <x:c r="F117" s="497" t="str">
        <x:v>PASAR PADI</x:v>
      </x:c>
      <x:c r="G117" s="497" t="str">
        <x:v>GIRIMAYA</x:v>
      </x:c>
      <x:c r="H117" s="497" t="str">
        <x:v>Pembangunan Baru</x:v>
      </x:c>
      <x:c r="I117" s="499" t="str">
        <x:v>RUMAH FULL PAPAN, LANTAI PAPAN</x:v>
      </x:c>
      <x:c r="J117" s="508" t="str">
        <x:v>Nonpermanen</x:v>
      </x:c>
      <x:c r="K117" s="508" t="str">
        <x:v>Belum Diidentifikasi</x:v>
      </x:c>
      <x:c r="L117" s="508" t="str">
        <x:v>Belum Dinilai</x:v>
      </x:c>
      <x:c r="M117" s="509" t="str">
        <x:v>Papan/Kayu</x:v>
      </x:c>
      <x:c r="N117" s="508" t="str">
        <x:v>Belum Dinilai</x:v>
      </x:c>
      <x:c r="O117" s="510" t="str">
        <x:v>Papan/Kayu</x:v>
      </x:c>
      <x:c r="P117" s="511" t="str">
        <x:v>Belum Dinilai</x:v>
      </x:c>
      <x:c r="Q117" s="522" t="str">
        <x:v>Lengkap</x:v>
      </x:c>
      <x:c r="R117" s="522"/>
      <x:c r="S117" s="523" t="str">
        <x:v>Sudah Diverifikasi</x:v>
      </x:c>
      <x:c r="T117" s="524" t="str">
        <x:v>Belum Ditangani</x:v>
      </x:c>
      <x:c r="U117" s="519"/>
      <x:c r="V117" s="519"/>
      <x:c r="W117" s="521" t="str">
        <x:v>Belum Diverifikasi</x:v>
      </x:c>
      <x:c r="X117" s="520"/>
      <x:c r="Y117" s="521"/>
      <x:c r="Z117" s="519" t="n">
        <x:v>2026</x:v>
      </x:c>
      <x:c r="AA117" s="520" t="str">
        <x:v>Usulan Musrenbang/Pokir DPRD</x:v>
      </x:c>
      <x:c r="AB117" s="521" t="n">
        <x:v>46218</x:v>
      </x:c>
      <x:c r="AC117" s="520" t="str">
        <x:v>Dinas Perkim Kota Pangkalpinang</x:v>
      </x:c>
    </x:row>
    <x:row r="118" ht="32" customHeight="1">
      <x:c r="A118" s="496" t="str">
        <x:v>RTLH-0142</x:v>
      </x:c>
      <x:c r="B118" s="497" t="str">
        <x:v>SOLEH</x:v>
      </x:c>
      <x:c r="C118" s="498"/>
      <x:c r="D118" s="498"/>
      <x:c r="E118" s="497" t="str">
        <x:v>JL.GIRIMAYA NO 66 RT/RW 05/02</x:v>
      </x:c>
      <x:c r="F118" s="497" t="str">
        <x:v>BUKIT BESAR</x:v>
      </x:c>
      <x:c r="G118" s="497" t="str">
        <x:v>GIRIMAYA</x:v>
      </x:c>
      <x:c r="H118" s="497" t="str">
        <x:v>Pembangunan Baru</x:v>
      </x:c>
      <x:c r="I118" s="499" t="str">
        <x:v>RUMAH FULLPAPAN, LANTAI FLOOR</x:v>
      </x:c>
      <x:c r="J118" s="508" t="str">
        <x:v>Belum Dapat Ditentukan</x:v>
      </x:c>
      <x:c r="K118" s="508" t="str">
        <x:v>Belum Diidentifikasi</x:v>
      </x:c>
      <x:c r="L118" s="508" t="str">
        <x:v>Belum Dinilai</x:v>
      </x:c>
      <x:c r="M118" s="509" t="str">
        <x:v>Belum Diidentifikasi</x:v>
      </x:c>
      <x:c r="N118" s="508" t="str">
        <x:v>Belum Dinilai</x:v>
      </x:c>
      <x:c r="O118" s="510" t="str">
        <x:v>Semen/Plester</x:v>
      </x:c>
      <x:c r="P118" s="511" t="str">
        <x:v>Belum Dinilai</x:v>
      </x:c>
      <x:c r="Q118" s="522" t="str">
        <x:v>Lengkap</x:v>
      </x:c>
      <x:c r="R118" s="522"/>
      <x:c r="S118" s="523" t="str">
        <x:v>Sudah Diverifikasi</x:v>
      </x:c>
      <x:c r="T118" s="524" t="str">
        <x:v>Selesai</x:v>
      </x:c>
      <x:c r="U118" s="519" t="str">
        <x:v>APBD Kota</x:v>
      </x:c>
      <x:c r="V118" s="519" t="n">
        <x:v>2021</x:v>
      </x:c>
      <x:c r="W118" s="521" t="str">
        <x:v>Belum Diverifikasi</x:v>
      </x:c>
      <x:c r="X118" s="520"/>
      <x:c r="Y118" s="521"/>
      <x:c r="Z118" s="519" t="n">
        <x:v>2026</x:v>
      </x:c>
      <x:c r="AA118" s="520" t="str">
        <x:v>Usulan Musrenbang/Pokir DPRD</x:v>
      </x:c>
      <x:c r="AB118" s="521" t="n">
        <x:v>46218</x:v>
      </x:c>
      <x:c r="AC118" s="520" t="str">
        <x:v>Dinas Perkim Kota Pangkalpinang</x:v>
      </x:c>
    </x:row>
    <x:row r="119" ht="32" customHeight="1">
      <x:c r="A119" s="496" t="str">
        <x:v>RTLH-0143</x:v>
      </x:c>
      <x:c r="B119" s="497" t="str">
        <x:v>THAM KIM SIAN</x:v>
      </x:c>
      <x:c r="C119" s="498"/>
      <x:c r="D119" s="498"/>
      <x:c r="E119" s="497" t="str">
        <x:v>JL.RASAKUNDA RT/RW: 003/001 KEL: BUKIT BESAR</x:v>
      </x:c>
      <x:c r="F119" s="497" t="str">
        <x:v>BUKIT BESAR</x:v>
      </x:c>
      <x:c r="G119" s="497" t="str">
        <x:v>GIRIMAYA</x:v>
      </x:c>
      <x:c r="H119" s="497" t="str">
        <x:v>Peningkatan Kualitas</x:v>
      </x:c>
      <x:c r="I119" s="499" t="str">
        <x:v>DEPAN BETON, DAN BAGIAN DALAM KAYU, LANTAI FLOOR .</x:v>
      </x:c>
      <x:c r="J119" s="508" t="str">
        <x:v>Semipermanen</x:v>
      </x:c>
      <x:c r="K119" s="508" t="str">
        <x:v>Belum Diidentifikasi</x:v>
      </x:c>
      <x:c r="L119" s="508" t="str">
        <x:v>Belum Dinilai</x:v>
      </x:c>
      <x:c r="M119" s="509" t="str">
        <x:v>Campuran Permanen dan Papan</x:v>
      </x:c>
      <x:c r="N119" s="508" t="str">
        <x:v>Belum Dinilai</x:v>
      </x:c>
      <x:c r="O119" s="510" t="str">
        <x:v>Semen/Plester</x:v>
      </x:c>
      <x:c r="P119" s="511" t="str">
        <x:v>Belum Dinilai</x:v>
      </x:c>
      <x:c r="Q119" s="522" t="str">
        <x:v>Lengkap</x:v>
      </x:c>
      <x:c r="R119" s="522"/>
      <x:c r="S119" s="523" t="str">
        <x:v>Sudah Diverifikasi</x:v>
      </x:c>
      <x:c r="T119" s="524" t="str">
        <x:v>Selesai</x:v>
      </x:c>
      <x:c r="U119" s="519" t="str">
        <x:v>APBD Kota</x:v>
      </x:c>
      <x:c r="V119" s="519" t="n">
        <x:v>2021</x:v>
      </x:c>
      <x:c r="W119" s="521" t="str">
        <x:v>Belum Diverifikasi</x:v>
      </x:c>
      <x:c r="X119" s="520"/>
      <x:c r="Y119" s="521"/>
      <x:c r="Z119" s="519" t="n">
        <x:v>2026</x:v>
      </x:c>
      <x:c r="AA119" s="520" t="str">
        <x:v>Usulan Musrenbang/Pokir DPRD</x:v>
      </x:c>
      <x:c r="AB119" s="521" t="n">
        <x:v>46218</x:v>
      </x:c>
      <x:c r="AC119" s="520" t="str">
        <x:v>Dinas Perkim Kota Pangkalpinang</x:v>
      </x:c>
    </x:row>
    <x:row r="120" ht="32" customHeight="1">
      <x:c r="A120" s="496" t="str">
        <x:v>RTLH-0144</x:v>
      </x:c>
      <x:c r="B120" s="497" t="str">
        <x:v>ASNAWI</x:v>
      </x:c>
      <x:c r="C120" s="498"/>
      <x:c r="D120" s="498"/>
      <x:c r="E120" s="497" t="str">
        <x:v>JL.BATU RUBI 11 RT/RW 003/001</x:v>
      </x:c>
      <x:c r="F120" s="497" t="str">
        <x:v>BUKIT BESAR</x:v>
      </x:c>
      <x:c r="G120" s="497" t="str">
        <x:v>GIRIMAYA</x:v>
      </x:c>
      <x:c r="H120" s="497" t="str">
        <x:v>Pembangunan Baru</x:v>
      </x:c>
      <x:c r="I120" s="499" t="str">
        <x:v>FULL PAPAN , LANTAI FLOOR DAN BAGIAN BELAKANG BETON.</x:v>
      </x:c>
      <x:c r="J120" s="508" t="str">
        <x:v>Semipermanen</x:v>
      </x:c>
      <x:c r="K120" s="508" t="str">
        <x:v>Belum Diidentifikasi</x:v>
      </x:c>
      <x:c r="L120" s="508" t="str">
        <x:v>Belum Dinilai</x:v>
      </x:c>
      <x:c r="M120" s="509" t="str">
        <x:v>Campuran Permanen dan Papan</x:v>
      </x:c>
      <x:c r="N120" s="508" t="str">
        <x:v>Belum Dinilai</x:v>
      </x:c>
      <x:c r="O120" s="510" t="str">
        <x:v>Semen/Plester</x:v>
      </x:c>
      <x:c r="P120" s="511" t="str">
        <x:v>Belum Dinilai</x:v>
      </x:c>
      <x:c r="Q120" s="522" t="str">
        <x:v>Lengkap</x:v>
      </x:c>
      <x:c r="R120" s="522"/>
      <x:c r="S120" s="523" t="str">
        <x:v>Sudah Diverifikasi</x:v>
      </x:c>
      <x:c r="T120" s="524" t="str">
        <x:v>Selesai</x:v>
      </x:c>
      <x:c r="U120" s="519" t="str">
        <x:v>APBD Kota</x:v>
      </x:c>
      <x:c r="V120" s="519" t="n">
        <x:v>2023</x:v>
      </x:c>
      <x:c r="W120" s="521" t="str">
        <x:v>Belum Diverifikasi</x:v>
      </x:c>
      <x:c r="X120" s="520"/>
      <x:c r="Y120" s="521"/>
      <x:c r="Z120" s="519" t="n">
        <x:v>2026</x:v>
      </x:c>
      <x:c r="AA120" s="520" t="str">
        <x:v>Usulan Musrenbang/Pokir DPRD</x:v>
      </x:c>
      <x:c r="AB120" s="521" t="n">
        <x:v>46218</x:v>
      </x:c>
      <x:c r="AC120" s="520" t="str">
        <x:v>Dinas Perkim Kota Pangkalpinang</x:v>
      </x:c>
    </x:row>
    <x:row r="121" ht="32" customHeight="1">
      <x:c r="A121" s="496" t="str">
        <x:v>RTLH-0145</x:v>
      </x:c>
      <x:c r="B121" s="497" t="str">
        <x:v>ABDUR RAWI</x:v>
      </x:c>
      <x:c r="C121" s="498"/>
      <x:c r="D121" s="498"/>
      <x:c r="E121" s="497" t="str">
        <x:v>JL.BATU RUBI 11 RT/RW 003/001</x:v>
      </x:c>
      <x:c r="F121" s="497" t="str">
        <x:v>BUKIT BESAR</x:v>
      </x:c>
      <x:c r="G121" s="497" t="str">
        <x:v>GIRIMAYA</x:v>
      </x:c>
      <x:c r="H121" s="497" t="str">
        <x:v>Pembangunan Baru</x:v>
      </x:c>
      <x:c r="I121" s="499" t="str">
        <x:v>FULL PAPAN , LANTAI FLOOR DAN BAGIAN BELAKANG BETON.</x:v>
      </x:c>
      <x:c r="J121" s="508" t="str">
        <x:v>Semipermanen</x:v>
      </x:c>
      <x:c r="K121" s="508" t="str">
        <x:v>Belum Diidentifikasi</x:v>
      </x:c>
      <x:c r="L121" s="508" t="str">
        <x:v>Belum Dinilai</x:v>
      </x:c>
      <x:c r="M121" s="509" t="str">
        <x:v>Campuran Permanen dan Papan</x:v>
      </x:c>
      <x:c r="N121" s="508" t="str">
        <x:v>Belum Dinilai</x:v>
      </x:c>
      <x:c r="O121" s="510" t="str">
        <x:v>Semen/Plester</x:v>
      </x:c>
      <x:c r="P121" s="511" t="str">
        <x:v>Belum Dinilai</x:v>
      </x:c>
      <x:c r="Q121" s="522" t="str">
        <x:v>Lengkap</x:v>
      </x:c>
      <x:c r="R121" s="522"/>
      <x:c r="S121" s="523" t="str">
        <x:v>Sudah Diverifikasi</x:v>
      </x:c>
      <x:c r="T121" s="524" t="str">
        <x:v>Selesai</x:v>
      </x:c>
      <x:c r="U121" s="519" t="str">
        <x:v>APBD Kota</x:v>
      </x:c>
      <x:c r="V121" s="519" t="n">
        <x:v>2023</x:v>
      </x:c>
      <x:c r="W121" s="521" t="str">
        <x:v>Belum Diverifikasi</x:v>
      </x:c>
      <x:c r="X121" s="520"/>
      <x:c r="Y121" s="521"/>
      <x:c r="Z121" s="519" t="n">
        <x:v>2026</x:v>
      </x:c>
      <x:c r="AA121" s="520" t="str">
        <x:v>Usulan Musrenbang/Pokir DPRD</x:v>
      </x:c>
      <x:c r="AB121" s="521" t="n">
        <x:v>46218</x:v>
      </x:c>
      <x:c r="AC121" s="520" t="str">
        <x:v>Dinas Perkim Kota Pangkalpinang</x:v>
      </x:c>
    </x:row>
    <x:row r="122" ht="32" customHeight="1">
      <x:c r="A122" s="496" t="str">
        <x:v>RTLH-0146</x:v>
      </x:c>
      <x:c r="B122" s="497" t="str">
        <x:v>MARTAWAN</x:v>
      </x:c>
      <x:c r="C122" s="498"/>
      <x:c r="D122" s="498"/>
      <x:c r="E122" s="497" t="str">
        <x:v>JL,PERBAKIN RT/RW 007/003</x:v>
      </x:c>
      <x:c r="F122" s="497" t="str">
        <x:v>SRIWIJAYA</x:v>
      </x:c>
      <x:c r="G122" s="497" t="str">
        <x:v>GIRIMAYA</x:v>
      </x:c>
      <x:c r="H122" s="497" t="str">
        <x:v>Pembangunan Baru</x:v>
      </x:c>
      <x:c r="I122" s="499" t="str">
        <x:v>FULL PAPAN , LANTAI FLOOR</x:v>
      </x:c>
      <x:c r="J122" s="508" t="str">
        <x:v>Nonpermanen</x:v>
      </x:c>
      <x:c r="K122" s="508" t="str">
        <x:v>Belum Diidentifikasi</x:v>
      </x:c>
      <x:c r="L122" s="508" t="str">
        <x:v>Belum Dinilai</x:v>
      </x:c>
      <x:c r="M122" s="509" t="str">
        <x:v>Papan/Kayu</x:v>
      </x:c>
      <x:c r="N122" s="508" t="str">
        <x:v>Belum Dinilai</x:v>
      </x:c>
      <x:c r="O122" s="510" t="str">
        <x:v>Semen/Plester</x:v>
      </x:c>
      <x:c r="P122" s="511" t="str">
        <x:v>Belum Dinilai</x:v>
      </x:c>
      <x:c r="Q122" s="522" t="str">
        <x:v>Belum Lengkap</x:v>
      </x:c>
      <x:c r="R122" s="522"/>
      <x:c r="S122" s="523" t="str">
        <x:v>Sudah Diverifikasi</x:v>
      </x:c>
      <x:c r="T122" s="524" t="str">
        <x:v>Belum Ditangani</x:v>
      </x:c>
      <x:c r="U122" s="519"/>
      <x:c r="V122" s="519"/>
      <x:c r="W122" s="521" t="str">
        <x:v>Belum Diverifikasi</x:v>
      </x:c>
      <x:c r="X122" s="520"/>
      <x:c r="Y122" s="521"/>
      <x:c r="Z122" s="519" t="n">
        <x:v>2026</x:v>
      </x:c>
      <x:c r="AA122" s="520" t="str">
        <x:v>Usulan Musrenbang/Pokir DPRD</x:v>
      </x:c>
      <x:c r="AB122" s="521" t="n">
        <x:v>46218</x:v>
      </x:c>
      <x:c r="AC122" s="520" t="str">
        <x:v>Dinas Perkim Kota Pangkalpinang</x:v>
      </x:c>
    </x:row>
    <x:row r="123" ht="32" customHeight="1">
      <x:c r="A123" s="496" t="str">
        <x:v>RTLH-0147</x:v>
      </x:c>
      <x:c r="B123" s="497" t="str">
        <x:v>ZULKIFLI HASYIM</x:v>
      </x:c>
      <x:c r="C123" s="498"/>
      <x:c r="D123" s="498"/>
      <x:c r="E123" s="497" t="str">
        <x:v>JL,BERLIAN IV RT/RW 004/001</x:v>
      </x:c>
      <x:c r="F123" s="497" t="str">
        <x:v>SRIWIJAYA</x:v>
      </x:c>
      <x:c r="G123" s="497" t="str">
        <x:v>GIRIMAYA</x:v>
      </x:c>
      <x:c r="H123" s="497" t="str">
        <x:v>Pembangunan Baru</x:v>
      </x:c>
      <x:c r="I123" s="499" t="str">
        <x:v>RUMAH FULL PAPAN, ATAP SENG, LANTIA FLOOR / RUMAH BAGI DUA DENGAN SAUDARA</x:v>
      </x:c>
      <x:c r="J123" s="508" t="str">
        <x:v>Nonpermanen</x:v>
      </x:c>
      <x:c r="K123" s="508" t="str">
        <x:v>Seng</x:v>
      </x:c>
      <x:c r="L123" s="508" t="str">
        <x:v>Belum Dinilai</x:v>
      </x:c>
      <x:c r="M123" s="509" t="str">
        <x:v>Papan/Kayu</x:v>
      </x:c>
      <x:c r="N123" s="508" t="str">
        <x:v>Belum Dinilai</x:v>
      </x:c>
      <x:c r="O123" s="510" t="str">
        <x:v>Belum Diidentifikasi</x:v>
      </x:c>
      <x:c r="P123" s="511" t="str">
        <x:v>Belum Dinilai</x:v>
      </x:c>
      <x:c r="Q123" s="522" t="str">
        <x:v>Lengkap</x:v>
      </x:c>
      <x:c r="R123" s="522"/>
      <x:c r="S123" s="523" t="str">
        <x:v>Sudah Diverifikasi</x:v>
      </x:c>
      <x:c r="T123" s="524" t="str">
        <x:v>Selesai</x:v>
      </x:c>
      <x:c r="U123" s="519" t="str">
        <x:v>APBD Kota</x:v>
      </x:c>
      <x:c r="V123" s="519" t="n">
        <x:v>2022</x:v>
      </x:c>
      <x:c r="W123" s="521" t="str">
        <x:v>Kepemilikan Keluarga</x:v>
      </x:c>
      <x:c r="X123" s="520"/>
      <x:c r="Y123" s="521"/>
      <x:c r="Z123" s="519" t="n">
        <x:v>2026</x:v>
      </x:c>
      <x:c r="AA123" s="520" t="str">
        <x:v>Usulan Musrenbang/Pokir DPRD</x:v>
      </x:c>
      <x:c r="AB123" s="521" t="n">
        <x:v>46218</x:v>
      </x:c>
      <x:c r="AC123" s="520" t="str">
        <x:v>Dinas Perkim Kota Pangkalpinang</x:v>
      </x:c>
    </x:row>
    <x:row r="124" ht="32" customHeight="1">
      <x:c r="A124" s="496" t="str">
        <x:v>RTLH-0148</x:v>
      </x:c>
      <x:c r="B124" s="497" t="str">
        <x:v>MASKUR</x:v>
      </x:c>
      <x:c r="C124" s="498"/>
      <x:c r="D124" s="498"/>
      <x:c r="E124" s="497" t="str">
        <x:v>Belum tersedia</x:v>
      </x:c>
      <x:c r="F124" s="497" t="str">
        <x:v>SEMABUNG LAMA</x:v>
      </x:c>
      <x:c r="G124" s="497" t="str">
        <x:v>BUKIT INTAN</x:v>
      </x:c>
      <x:c r="H124" s="497" t="str">
        <x:v>Peningkatan Kualitas</x:v>
      </x:c>
      <x:c r="I124" s="499" t="str">
        <x:v>RUMAH FULL BETON,LANTAI FULL FLOOR, ATAP SENG</x:v>
      </x:c>
      <x:c r="J124" s="508" t="str">
        <x:v>Permanen</x:v>
      </x:c>
      <x:c r="K124" s="508" t="str">
        <x:v>Seng</x:v>
      </x:c>
      <x:c r="L124" s="508" t="str">
        <x:v>Belum Dinilai</x:v>
      </x:c>
      <x:c r="M124" s="509" t="str">
        <x:v>Beton</x:v>
      </x:c>
      <x:c r="N124" s="508" t="str">
        <x:v>Belum Dinilai</x:v>
      </x:c>
      <x:c r="O124" s="510" t="str">
        <x:v>Semen/Plester</x:v>
      </x:c>
      <x:c r="P124" s="511" t="str">
        <x:v>Belum Dinilai</x:v>
      </x:c>
      <x:c r="Q124" s="522" t="str">
        <x:v>Lengkap</x:v>
      </x:c>
      <x:c r="R124" s="522"/>
      <x:c r="S124" s="523" t="str">
        <x:v>Sudah Diverifikasi</x:v>
      </x:c>
      <x:c r="T124" s="524" t="str">
        <x:v>Selesai</x:v>
      </x:c>
      <x:c r="U124" s="519" t="str">
        <x:v>APBD Kota</x:v>
      </x:c>
      <x:c r="V124" s="519" t="n">
        <x:v>2021</x:v>
      </x:c>
      <x:c r="W124" s="521" t="str">
        <x:v>Belum Diverifikasi</x:v>
      </x:c>
      <x:c r="X124" s="520"/>
      <x:c r="Y124" s="521"/>
      <x:c r="Z124" s="519" t="n">
        <x:v>2026</x:v>
      </x:c>
      <x:c r="AA124" s="520" t="str">
        <x:v>Usulan Musrenbang/Pokir DPRD</x:v>
      </x:c>
      <x:c r="AB124" s="521" t="n">
        <x:v>46218</x:v>
      </x:c>
      <x:c r="AC124" s="520" t="str">
        <x:v>Dinas Perkim Kota Pangkalpinang</x:v>
      </x:c>
    </x:row>
    <x:row r="125" ht="32" customHeight="1">
      <x:c r="A125" s="496" t="str">
        <x:v>RTLH-0149</x:v>
      </x:c>
      <x:c r="B125" s="497" t="str">
        <x:v>ASMAD</x:v>
      </x:c>
      <x:c r="C125" s="498"/>
      <x:c r="D125" s="498"/>
      <x:c r="E125" s="497" t="str">
        <x:v>GG,ARUS DALAM RT/RW 03/02</x:v>
      </x:c>
      <x:c r="F125" s="497" t="str">
        <x:v>AIR MAWAR</x:v>
      </x:c>
      <x:c r="G125" s="497" t="str">
        <x:v>BUKIT INTAN</x:v>
      </x:c>
      <x:c r="H125" s="497" t="str">
        <x:v>Pembangunan Baru</x:v>
      </x:c>
      <x:c r="I125" s="499" t="str">
        <x:v>RUMAH FULL PAPAN. DINDING RUSAK RINGAN LANTAI FLOOR, ATAP SENGRUSAK RINGAN</x:v>
      </x:c>
      <x:c r="J125" s="508" t="str">
        <x:v>Nonpermanen</x:v>
      </x:c>
      <x:c r="K125" s="508" t="str">
        <x:v>Belum Diidentifikasi</x:v>
      </x:c>
      <x:c r="L125" s="508" t="str">
        <x:v>Rusak Ringan</x:v>
      </x:c>
      <x:c r="M125" s="509" t="str">
        <x:v>Papan/Kayu</x:v>
      </x:c>
      <x:c r="N125" s="508" t="str">
        <x:v>Rusak Ringan</x:v>
      </x:c>
      <x:c r="O125" s="510" t="str">
        <x:v>Semen/Plester</x:v>
      </x:c>
      <x:c r="P125" s="511" t="str">
        <x:v>Rusak Ringan</x:v>
      </x:c>
      <x:c r="Q125" s="522" t="str">
        <x:v>Lengkap</x:v>
      </x:c>
      <x:c r="R125" s="522"/>
      <x:c r="S125" s="523" t="str">
        <x:v>Sudah Diverifikasi</x:v>
      </x:c>
      <x:c r="T125" s="524" t="str">
        <x:v>Selesai</x:v>
      </x:c>
      <x:c r="U125" s="519" t="str">
        <x:v>APBD Kota</x:v>
      </x:c>
      <x:c r="V125" s="519" t="n">
        <x:v>2022</x:v>
      </x:c>
      <x:c r="W125" s="521" t="str">
        <x:v>Belum Diverifikasi</x:v>
      </x:c>
      <x:c r="X125" s="520"/>
      <x:c r="Y125" s="521"/>
      <x:c r="Z125" s="519" t="n">
        <x:v>2026</x:v>
      </x:c>
      <x:c r="AA125" s="520" t="str">
        <x:v>Usulan Musrenbang/Pokir DPRD</x:v>
      </x:c>
      <x:c r="AB125" s="521" t="n">
        <x:v>46218</x:v>
      </x:c>
      <x:c r="AC125" s="520" t="str">
        <x:v>Dinas Perkim Kota Pangkalpinang</x:v>
      </x:c>
    </x:row>
    <x:row r="126" ht="32" customHeight="1">
      <x:c r="A126" s="496" t="str">
        <x:v>RTLH-0150</x:v>
      </x:c>
      <x:c r="B126" s="497" t="str">
        <x:v>MAINAH</x:v>
      </x:c>
      <x:c r="C126" s="498"/>
      <x:c r="D126" s="498"/>
      <x:c r="E126" s="497" t="str">
        <x:v>JL.AIR MAWAR RT/RW 03/02 KEL.AIR MAWAR</x:v>
      </x:c>
      <x:c r="F126" s="497" t="str">
        <x:v>AIR MAWAR</x:v>
      </x:c>
      <x:c r="G126" s="497" t="str">
        <x:v>BUKIT INTAN</x:v>
      </x:c>
      <x:c r="H126" s="497" t="str">
        <x:v>Peningkatan Kualitas</x:v>
      </x:c>
      <x:c r="I126" s="499" t="str">
        <x:v>RUMAH SEMI,PERMANEN,DIDING PAPAN RUSAK RINGAN, ATAP SENG RUSAK RINGAN,</x:v>
      </x:c>
      <x:c r="J126" s="508" t="str">
        <x:v>Semipermanen</x:v>
      </x:c>
      <x:c r="K126" s="508" t="str">
        <x:v>Seng</x:v>
      </x:c>
      <x:c r="L126" s="508" t="str">
        <x:v>Rusak Ringan</x:v>
      </x:c>
      <x:c r="M126" s="509" t="str">
        <x:v>Papan/Kayu</x:v>
      </x:c>
      <x:c r="N126" s="508" t="str">
        <x:v>Rusak Ringan</x:v>
      </x:c>
      <x:c r="O126" s="510" t="str">
        <x:v>Belum Diidentifikasi</x:v>
      </x:c>
      <x:c r="P126" s="511" t="str">
        <x:v>Belum Dinilai</x:v>
      </x:c>
      <x:c r="Q126" s="522" t="str">
        <x:v>Lengkap</x:v>
      </x:c>
      <x:c r="R126" s="522"/>
      <x:c r="S126" s="523" t="str">
        <x:v>Sudah Diverifikasi</x:v>
      </x:c>
      <x:c r="T126" s="524" t="str">
        <x:v>Belum Ditangani</x:v>
      </x:c>
      <x:c r="U126" s="519"/>
      <x:c r="V126" s="519"/>
      <x:c r="W126" s="521" t="str">
        <x:v>Belum Diverifikasi</x:v>
      </x:c>
      <x:c r="X126" s="520"/>
      <x:c r="Y126" s="521"/>
      <x:c r="Z126" s="519" t="n">
        <x:v>2026</x:v>
      </x:c>
      <x:c r="AA126" s="520" t="str">
        <x:v>Usulan Musrenbang/Pokir DPRD</x:v>
      </x:c>
      <x:c r="AB126" s="521" t="n">
        <x:v>46218</x:v>
      </x:c>
      <x:c r="AC126" s="520" t="str">
        <x:v>Dinas Perkim Kota Pangkalpinang</x:v>
      </x:c>
    </x:row>
    <x:row r="127" ht="32" customHeight="1">
      <x:c r="A127" s="496" t="str">
        <x:v>RTLH-0151</x:v>
      </x:c>
      <x:c r="B127" s="497" t="str">
        <x:v>SOLMI</x:v>
      </x:c>
      <x:c r="C127" s="498"/>
      <x:c r="D127" s="498"/>
      <x:c r="E127" s="497" t="str">
        <x:v>Belum tersedia</x:v>
      </x:c>
      <x:c r="F127" s="497" t="str">
        <x:v>ASAM</x:v>
      </x:c>
      <x:c r="G127" s="497" t="str">
        <x:v>RANGKUI</x:v>
      </x:c>
      <x:c r="H127" s="497" t="str">
        <x:v>Pembangunan Baru</x:v>
      </x:c>
      <x:c r="I127" s="499" t="str">
        <x:v>RUMAH FULL PAPAN,LANTAI FULL FLOOR, DINDING RUSAK RINGAN. ATAP RUSAK RINGAN</x:v>
      </x:c>
      <x:c r="J127" s="508" t="str">
        <x:v>Nonpermanen</x:v>
      </x:c>
      <x:c r="K127" s="508" t="str">
        <x:v>Belum Diidentifikasi</x:v>
      </x:c>
      <x:c r="L127" s="508" t="str">
        <x:v>Rusak Ringan</x:v>
      </x:c>
      <x:c r="M127" s="509" t="str">
        <x:v>Papan/Kayu</x:v>
      </x:c>
      <x:c r="N127" s="508" t="str">
        <x:v>Rusak Ringan</x:v>
      </x:c>
      <x:c r="O127" s="510" t="str">
        <x:v>Semen/Plester</x:v>
      </x:c>
      <x:c r="P127" s="511" t="str">
        <x:v>Rusak Ringan</x:v>
      </x:c>
      <x:c r="Q127" s="522" t="str">
        <x:v>Belum Lengkap</x:v>
      </x:c>
      <x:c r="R127" s="522"/>
      <x:c r="S127" s="523" t="str">
        <x:v>Sudah Diverifikasi</x:v>
      </x:c>
      <x:c r="T127" s="524" t="str">
        <x:v>Belum Ditangani</x:v>
      </x:c>
      <x:c r="U127" s="519"/>
      <x:c r="V127" s="519"/>
      <x:c r="W127" s="521" t="str">
        <x:v>Belum Diverifikasi</x:v>
      </x:c>
      <x:c r="X127" s="520"/>
      <x:c r="Y127" s="521"/>
      <x:c r="Z127" s="519" t="n">
        <x:v>2026</x:v>
      </x:c>
      <x:c r="AA127" s="520" t="str">
        <x:v>Usulan Musrenbang/Pokir DPRD</x:v>
      </x:c>
      <x:c r="AB127" s="521" t="n">
        <x:v>46218</x:v>
      </x:c>
      <x:c r="AC127" s="520" t="str">
        <x:v>Dinas Perkim Kota Pangkalpinang</x:v>
      </x:c>
    </x:row>
    <x:row r="128" ht="32" customHeight="1">
      <x:c r="A128" s="496" t="str">
        <x:v>RTLH-0154</x:v>
      </x:c>
      <x:c r="B128" s="497" t="str">
        <x:v>BONG A THIN</x:v>
      </x:c>
      <x:c r="C128" s="498"/>
      <x:c r="D128" s="498"/>
      <x:c r="E128" s="497" t="str">
        <x:v>JL.TELUK BAYUR</x:v>
      </x:c>
      <x:c r="F128" s="497" t="str">
        <x:v>PASIR PUTIH</x:v>
      </x:c>
      <x:c r="G128" s="497" t="str">
        <x:v>BUKIT INTAN</x:v>
      </x:c>
      <x:c r="H128" s="497" t="str">
        <x:v>Pembangunan Baru</x:v>
      </x:c>
      <x:c r="I128" s="499" t="str">
        <x:v>Belum ada catatan verifikasi</x:v>
      </x:c>
      <x:c r="J128" s="508" t="str">
        <x:v>Belum Dapat Ditentukan</x:v>
      </x:c>
      <x:c r="K128" s="508" t="str">
        <x:v>Belum Diidentifikasi</x:v>
      </x:c>
      <x:c r="L128" s="508" t="str">
        <x:v>Belum Dinilai</x:v>
      </x:c>
      <x:c r="M128" s="509" t="str">
        <x:v>Belum Diidentifikasi</x:v>
      </x:c>
      <x:c r="N128" s="508" t="str">
        <x:v>Belum Dinilai</x:v>
      </x:c>
      <x:c r="O128" s="510" t="str">
        <x:v>Belum Diidentifikasi</x:v>
      </x:c>
      <x:c r="P128" s="511" t="str">
        <x:v>Belum Dinilai</x:v>
      </x:c>
      <x:c r="Q128" s="522" t="str">
        <x:v>Lengkap</x:v>
      </x:c>
      <x:c r="R128" s="522"/>
      <x:c r="S128" s="523" t="str">
        <x:v>Sudah Diverifikasi</x:v>
      </x:c>
      <x:c r="T128" s="524" t="str">
        <x:v>Belum Ditangani</x:v>
      </x:c>
      <x:c r="U128" s="519"/>
      <x:c r="V128" s="519"/>
      <x:c r="W128" s="521" t="str">
        <x:v>Belum Diverifikasi</x:v>
      </x:c>
      <x:c r="X128" s="520"/>
      <x:c r="Y128" s="521"/>
      <x:c r="Z128" s="519" t="n">
        <x:v>2026</x:v>
      </x:c>
      <x:c r="AA128" s="520" t="str">
        <x:v>Usulan Musrenbang/Pokir DPRD</x:v>
      </x:c>
      <x:c r="AB128" s="521" t="n">
        <x:v>46218</x:v>
      </x:c>
      <x:c r="AC128" s="520" t="str">
        <x:v>Dinas Perkim Kota Pangkalpinang</x:v>
      </x:c>
    </x:row>
    <x:row r="129" ht="32" customHeight="1">
      <x:c r="A129" s="496" t="str">
        <x:v>RTLH-0155</x:v>
      </x:c>
      <x:c r="B129" s="497" t="str">
        <x:v>TJHIN MUK NA</x:v>
      </x:c>
      <x:c r="C129" s="498"/>
      <x:c r="D129" s="498"/>
      <x:c r="E129" s="497" t="str">
        <x:v>JL,TELUK BAYUR</x:v>
      </x:c>
      <x:c r="F129" s="497" t="str">
        <x:v>PASIR PUTIH</x:v>
      </x:c>
      <x:c r="G129" s="497" t="str">
        <x:v>BUKIT INTAN</x:v>
      </x:c>
      <x:c r="H129" s="497" t="str">
        <x:v>Pembangunan Baru</x:v>
      </x:c>
      <x:c r="I129" s="499" t="str">
        <x:v>RUMAH FULL PAPAN, LANTAI KERAMIK,ATAP SENG, DINDING RUSAK RINGAN,ATAP RUSAK RINGAN,</x:v>
      </x:c>
      <x:c r="J129" s="508" t="str">
        <x:v>Nonpermanen</x:v>
      </x:c>
      <x:c r="K129" s="508" t="str">
        <x:v>Seng</x:v>
      </x:c>
      <x:c r="L129" s="508" t="str">
        <x:v>Rusak Ringan</x:v>
      </x:c>
      <x:c r="M129" s="509" t="str">
        <x:v>Papan/Kayu</x:v>
      </x:c>
      <x:c r="N129" s="508" t="str">
        <x:v>Rusak Ringan</x:v>
      </x:c>
      <x:c r="O129" s="510" t="str">
        <x:v>Keramik</x:v>
      </x:c>
      <x:c r="P129" s="511" t="str">
        <x:v>Rusak Ringan</x:v>
      </x:c>
      <x:c r="Q129" s="522" t="str">
        <x:v>Lengkap</x:v>
      </x:c>
      <x:c r="R129" s="522"/>
      <x:c r="S129" s="523" t="str">
        <x:v>Sudah Diverifikasi</x:v>
      </x:c>
      <x:c r="T129" s="524" t="str">
        <x:v>Belum Ditangani</x:v>
      </x:c>
      <x:c r="U129" s="519"/>
      <x:c r="V129" s="519"/>
      <x:c r="W129" s="521" t="str">
        <x:v>Belum Diverifikasi</x:v>
      </x:c>
      <x:c r="X129" s="520"/>
      <x:c r="Y129" s="521"/>
      <x:c r="Z129" s="519" t="n">
        <x:v>2026</x:v>
      </x:c>
      <x:c r="AA129" s="520" t="str">
        <x:v>Usulan Musrenbang/Pokir DPRD</x:v>
      </x:c>
      <x:c r="AB129" s="521" t="n">
        <x:v>46218</x:v>
      </x:c>
      <x:c r="AC129" s="520" t="str">
        <x:v>Dinas Perkim Kota Pangkalpinang</x:v>
      </x:c>
    </x:row>
    <x:row r="130" ht="32" customHeight="1">
      <x:c r="A130" s="496" t="str">
        <x:v>RTLH-0157</x:v>
      </x:c>
      <x:c r="B130" s="497" t="str">
        <x:v>ASHAB</x:v>
      </x:c>
      <x:c r="C130" s="498"/>
      <x:c r="D130" s="498"/>
      <x:c r="E130" s="497" t="str">
        <x:v>JL,KUBIS NO 217 RT/RW 003/001</x:v>
      </x:c>
      <x:c r="F130" s="497" t="str">
        <x:v>PARITLALANG</x:v>
      </x:c>
      <x:c r="G130" s="497" t="str">
        <x:v>RANGKUI</x:v>
      </x:c>
      <x:c r="H130" s="497" t="str">
        <x:v>Peningkatan Kualitas</x:v>
      </x:c>
      <x:c r="I130" s="499" t="str">
        <x:v>RUMAH SEMI PERMANEN,LANTAI FULL FLOOR,ATAP SEBAGIAN GENTENG/SENG LANTAI RUSAK RINGAN,DINDING RUSAK RINGAN,ATAP RUSAK RINGAN</x:v>
      </x:c>
      <x:c r="J130" s="508" t="str">
        <x:v>Semipermanen</x:v>
      </x:c>
      <x:c r="K130" s="508" t="str">
        <x:v>Campuran</x:v>
      </x:c>
      <x:c r="L130" s="508" t="str">
        <x:v>Rusak Ringan</x:v>
      </x:c>
      <x:c r="M130" s="509" t="str">
        <x:v>Campuran Permanen dan Papan</x:v>
      </x:c>
      <x:c r="N130" s="508" t="str">
        <x:v>Rusak Ringan</x:v>
      </x:c>
      <x:c r="O130" s="510" t="str">
        <x:v>Semen/Plester</x:v>
      </x:c>
      <x:c r="P130" s="511" t="str">
        <x:v>Rusak Ringan</x:v>
      </x:c>
      <x:c r="Q130" s="522" t="str">
        <x:v>Lengkap</x:v>
      </x:c>
      <x:c r="R130" s="522"/>
      <x:c r="S130" s="523" t="str">
        <x:v>Sudah Diverifikasi</x:v>
      </x:c>
      <x:c r="T130" s="524" t="str">
        <x:v>Belum Ditangani</x:v>
      </x:c>
      <x:c r="U130" s="519"/>
      <x:c r="V130" s="519"/>
      <x:c r="W130" s="521" t="str">
        <x:v>Belum Diverifikasi</x:v>
      </x:c>
      <x:c r="X130" s="520"/>
      <x:c r="Y130" s="521"/>
      <x:c r="Z130" s="519" t="n">
        <x:v>2026</x:v>
      </x:c>
      <x:c r="AA130" s="520" t="str">
        <x:v>Usulan Musrenbang/Pokir DPRD</x:v>
      </x:c>
      <x:c r="AB130" s="521" t="n">
        <x:v>46218</x:v>
      </x:c>
      <x:c r="AC130" s="520" t="str">
        <x:v>Dinas Perkim Kota Pangkalpinang</x:v>
      </x:c>
    </x:row>
    <x:row r="131" ht="32" customHeight="1">
      <x:c r="A131" s="496" t="str">
        <x:v>RTLH-0158</x:v>
      </x:c>
      <x:c r="B131" s="497" t="str">
        <x:v>MARTALI</x:v>
      </x:c>
      <x:c r="C131" s="498"/>
      <x:c r="D131" s="498"/>
      <x:c r="E131" s="497" t="str">
        <x:v>JL,VETERAN NO 125 RT/RW 003/001</x:v>
      </x:c>
      <x:c r="F131" s="497" t="str">
        <x:v>PARITLALANG</x:v>
      </x:c>
      <x:c r="G131" s="497" t="str">
        <x:v>RANGKUI</x:v>
      </x:c>
      <x:c r="H131" s="497" t="str">
        <x:v>Peningkatan Kualitas</x:v>
      </x:c>
      <x:c r="I131" s="499" t="str">
        <x:v>RUMAH ,SEMI PERMANEN, RUSAK HANYA BAGIAN DAPUR</x:v>
      </x:c>
      <x:c r="J131" s="508" t="str">
        <x:v>Semipermanen</x:v>
      </x:c>
      <x:c r="K131" s="508" t="str">
        <x:v>Belum Diidentifikasi</x:v>
      </x:c>
      <x:c r="L131" s="508" t="str">
        <x:v>Belum Dinilai</x:v>
      </x:c>
      <x:c r="M131" s="509" t="str">
        <x:v>Campuran Permanen dan Papan</x:v>
      </x:c>
      <x:c r="N131" s="508" t="str">
        <x:v>Belum Dinilai</x:v>
      </x:c>
      <x:c r="O131" s="510" t="str">
        <x:v>Belum Diidentifikasi</x:v>
      </x:c>
      <x:c r="P131" s="511" t="str">
        <x:v>Belum Dinilai</x:v>
      </x:c>
      <x:c r="Q131" s="522" t="str">
        <x:v>Lengkap</x:v>
      </x:c>
      <x:c r="R131" s="522"/>
      <x:c r="S131" s="523" t="str">
        <x:v>Sudah Diverifikasi</x:v>
      </x:c>
      <x:c r="T131" s="524" t="str">
        <x:v>Belum Ditangani</x:v>
      </x:c>
      <x:c r="U131" s="519"/>
      <x:c r="V131" s="519"/>
      <x:c r="W131" s="521" t="str">
        <x:v>Belum Diverifikasi</x:v>
      </x:c>
      <x:c r="X131" s="520"/>
      <x:c r="Y131" s="521"/>
      <x:c r="Z131" s="519" t="n">
        <x:v>2026</x:v>
      </x:c>
      <x:c r="AA131" s="520" t="str">
        <x:v>Usulan Musrenbang/Pokir DPRD</x:v>
      </x:c>
      <x:c r="AB131" s="521" t="n">
        <x:v>46218</x:v>
      </x:c>
      <x:c r="AC131" s="520" t="str">
        <x:v>Dinas Perkim Kota Pangkalpinang</x:v>
      </x:c>
    </x:row>
    <x:row r="132" ht="32" customHeight="1">
      <x:c r="A132" s="496" t="str">
        <x:v>RTLH-0159</x:v>
      </x:c>
      <x:c r="B132" s="497" t="str">
        <x:v>HAMDANI</x:v>
      </x:c>
      <x:c r="C132" s="498"/>
      <x:c r="D132" s="498"/>
      <x:c r="E132" s="497" t="str">
        <x:v>JL.KUBIS RT/RW 003/001</x:v>
      </x:c>
      <x:c r="F132" s="497" t="str">
        <x:v>PARITLALANG</x:v>
      </x:c>
      <x:c r="G132" s="497" t="str">
        <x:v>RANGKUI</x:v>
      </x:c>
      <x:c r="H132" s="497" t="str">
        <x:v>Pembangunan Baru</x:v>
      </x:c>
      <x:c r="I132" s="499" t="str">
        <x:v>RUMAH SEMI PERMANEN,LANTAI SEBAGIAN KERAMIK,DINDING PAPAN,RUSAK RINGAN, ATAP SENG RUSAK RINGAN.</x:v>
      </x:c>
      <x:c r="J132" s="508" t="str">
        <x:v>Semipermanen</x:v>
      </x:c>
      <x:c r="K132" s="508" t="str">
        <x:v>Seng</x:v>
      </x:c>
      <x:c r="L132" s="508" t="str">
        <x:v>Rusak Ringan</x:v>
      </x:c>
      <x:c r="M132" s="509" t="str">
        <x:v>Papan/Kayu</x:v>
      </x:c>
      <x:c r="N132" s="508" t="str">
        <x:v>Rusak Ringan</x:v>
      </x:c>
      <x:c r="O132" s="510" t="str">
        <x:v>Keramik</x:v>
      </x:c>
      <x:c r="P132" s="511" t="str">
        <x:v>Rusak Ringan</x:v>
      </x:c>
      <x:c r="Q132" s="522" t="str">
        <x:v>Lengkap</x:v>
      </x:c>
      <x:c r="R132" s="522"/>
      <x:c r="S132" s="523" t="str">
        <x:v>Sudah Diverifikasi</x:v>
      </x:c>
      <x:c r="T132" s="524" t="str">
        <x:v>Belum Ditangani</x:v>
      </x:c>
      <x:c r="U132" s="519"/>
      <x:c r="V132" s="519"/>
      <x:c r="W132" s="521" t="str">
        <x:v>Belum Diverifikasi</x:v>
      </x:c>
      <x:c r="X132" s="520"/>
      <x:c r="Y132" s="521"/>
      <x:c r="Z132" s="519" t="n">
        <x:v>2026</x:v>
      </x:c>
      <x:c r="AA132" s="520" t="str">
        <x:v>Usulan Musrenbang/Pokir DPRD</x:v>
      </x:c>
      <x:c r="AB132" s="521" t="n">
        <x:v>46218</x:v>
      </x:c>
      <x:c r="AC132" s="520" t="str">
        <x:v>Dinas Perkim Kota Pangkalpinang</x:v>
      </x:c>
    </x:row>
    <x:row r="133" ht="32" customHeight="1">
      <x:c r="A133" s="496" t="str">
        <x:v>RTLH-0160</x:v>
      </x:c>
      <x:c r="B133" s="497" t="str">
        <x:v>SUJONO</x:v>
      </x:c>
      <x:c r="C133" s="498"/>
      <x:c r="D133" s="498"/>
      <x:c r="E133" s="497" t="str">
        <x:v>JL,PEMEKASAN RT/RW 002/002</x:v>
      </x:c>
      <x:c r="F133" s="497" t="str">
        <x:v>PARITLALANG</x:v>
      </x:c>
      <x:c r="G133" s="497" t="str">
        <x:v>RANGKUI</x:v>
      </x:c>
      <x:c r="H133" s="497" t="str">
        <x:v>Pembangunan Baru</x:v>
      </x:c>
      <x:c r="I133" s="499" t="str">
        <x:v>RUMAH BERDAMPINGAN DENGAN ORANG TUA, LANTAI FUL FLOOR.</x:v>
      </x:c>
      <x:c r="J133" s="508" t="str">
        <x:v>Belum Dapat Ditentukan</x:v>
      </x:c>
      <x:c r="K133" s="508" t="str">
        <x:v>Belum Diidentifikasi</x:v>
      </x:c>
      <x:c r="L133" s="508" t="str">
        <x:v>Belum Dinilai</x:v>
      </x:c>
      <x:c r="M133" s="509" t="str">
        <x:v>Belum Diidentifikasi</x:v>
      </x:c>
      <x:c r="N133" s="508" t="str">
        <x:v>Belum Dinilai</x:v>
      </x:c>
      <x:c r="O133" s="510" t="str">
        <x:v>Belum Diidentifikasi</x:v>
      </x:c>
      <x:c r="P133" s="511" t="str">
        <x:v>Belum Dinilai</x:v>
      </x:c>
      <x:c r="Q133" s="522" t="str">
        <x:v>Lengkap</x:v>
      </x:c>
      <x:c r="R133" s="522"/>
      <x:c r="S133" s="523" t="str">
        <x:v>Sudah Diverifikasi</x:v>
      </x:c>
      <x:c r="T133" s="524" t="str">
        <x:v>Selesai</x:v>
      </x:c>
      <x:c r="U133" s="519" t="str">
        <x:v>APBD Provinsi</x:v>
      </x:c>
      <x:c r="V133" s="519" t="n">
        <x:v>2023</x:v>
      </x:c>
      <x:c r="W133" s="521" t="str">
        <x:v>Belum Diverifikasi</x:v>
      </x:c>
      <x:c r="X133" s="520"/>
      <x:c r="Y133" s="521"/>
      <x:c r="Z133" s="519" t="n">
        <x:v>2026</x:v>
      </x:c>
      <x:c r="AA133" s="520" t="str">
        <x:v>Usulan Musrenbang/Pokir DPRD</x:v>
      </x:c>
      <x:c r="AB133" s="521" t="n">
        <x:v>46218</x:v>
      </x:c>
      <x:c r="AC133" s="520" t="str">
        <x:v>Dinas Perkim Kota Pangkalpinang</x:v>
      </x:c>
    </x:row>
    <x:row r="134" ht="32" customHeight="1">
      <x:c r="A134" s="496" t="str">
        <x:v>RTLH-0162</x:v>
      </x:c>
      <x:c r="B134" s="497" t="str">
        <x:v>SUPANDI</x:v>
      </x:c>
      <x:c r="C134" s="498"/>
      <x:c r="D134" s="498"/>
      <x:c r="E134" s="497" t="str">
        <x:v>JL,PEMEKASAN II RT 002 RW 002</x:v>
      </x:c>
      <x:c r="F134" s="497" t="str">
        <x:v>PARITLALANG</x:v>
      </x:c>
      <x:c r="G134" s="497" t="str">
        <x:v>RANGKUI</x:v>
      </x:c>
      <x:c r="H134" s="497" t="str">
        <x:v>Peningkatan Kualitas</x:v>
      </x:c>
      <x:c r="I134" s="499" t="str">
        <x:v>RUMAH SEMI PERMANEN, LANTAI FULL FLOOR DINDING RUSAK RINGAN, ATAP ASBES RUSAK RINGAN</x:v>
      </x:c>
      <x:c r="J134" s="508" t="str">
        <x:v>Semipermanen</x:v>
      </x:c>
      <x:c r="K134" s="508" t="str">
        <x:v>Asbes/Fiber Semen</x:v>
      </x:c>
      <x:c r="L134" s="508" t="str">
        <x:v>Rusak Ringan</x:v>
      </x:c>
      <x:c r="M134" s="509" t="str">
        <x:v>Campuran Permanen dan Papan</x:v>
      </x:c>
      <x:c r="N134" s="508" t="str">
        <x:v>Rusak Ringan</x:v>
      </x:c>
      <x:c r="O134" s="510" t="str">
        <x:v>Semen/Plester</x:v>
      </x:c>
      <x:c r="P134" s="511" t="str">
        <x:v>Rusak Ringan</x:v>
      </x:c>
      <x:c r="Q134" s="522" t="str">
        <x:v>Lengkap</x:v>
      </x:c>
      <x:c r="R134" s="522"/>
      <x:c r="S134" s="523" t="str">
        <x:v>Sudah Diverifikasi</x:v>
      </x:c>
      <x:c r="T134" s="524" t="str">
        <x:v>Belum Ditangani</x:v>
      </x:c>
      <x:c r="U134" s="519"/>
      <x:c r="V134" s="519"/>
      <x:c r="W134" s="521" t="str">
        <x:v>Belum Diverifikasi</x:v>
      </x:c>
      <x:c r="X134" s="520"/>
      <x:c r="Y134" s="521"/>
      <x:c r="Z134" s="519" t="n">
        <x:v>2026</x:v>
      </x:c>
      <x:c r="AA134" s="520" t="str">
        <x:v>Usulan Musrenbang/Pokir DPRD</x:v>
      </x:c>
      <x:c r="AB134" s="521" t="n">
        <x:v>46218</x:v>
      </x:c>
      <x:c r="AC134" s="520" t="str">
        <x:v>Dinas Perkim Kota Pangkalpinang</x:v>
      </x:c>
    </x:row>
    <x:row r="135" ht="32" customHeight="1">
      <x:c r="A135" s="496" t="str">
        <x:v>RTLH-0163</x:v>
      </x:c>
      <x:c r="B135" s="497" t="str">
        <x:v>PUSI</x:v>
      </x:c>
      <x:c r="C135" s="498"/>
      <x:c r="D135" s="498"/>
      <x:c r="E135" s="497" t="str">
        <x:v>JL,VETERAN RT/RW 002/003</x:v>
      </x:c>
      <x:c r="F135" s="497" t="str">
        <x:v>PARITLALANG</x:v>
      </x:c>
      <x:c r="G135" s="497" t="str">
        <x:v>RANGKUI</x:v>
      </x:c>
      <x:c r="H135" s="497" t="str">
        <x:v>Pembangunan Baru</x:v>
      </x:c>
      <x:c r="I135" s="499" t="str">
        <x:v>RUMAH SEMI PERMANEN,BAGIAN DAPUR PERMANEN, LANTAI FULL FLOOR,DINDING PAPAN RUSAK RINGAN,ATAP RUSAK RINGAN.</x:v>
      </x:c>
      <x:c r="J135" s="508" t="str">
        <x:v>Semipermanen</x:v>
      </x:c>
      <x:c r="K135" s="508" t="str">
        <x:v>Belum Diidentifikasi</x:v>
      </x:c>
      <x:c r="L135" s="508" t="str">
        <x:v>Rusak Ringan</x:v>
      </x:c>
      <x:c r="M135" s="509" t="str">
        <x:v>Papan/Kayu</x:v>
      </x:c>
      <x:c r="N135" s="508" t="str">
        <x:v>Rusak Ringan</x:v>
      </x:c>
      <x:c r="O135" s="510" t="str">
        <x:v>Semen/Plester</x:v>
      </x:c>
      <x:c r="P135" s="511" t="str">
        <x:v>Rusak Ringan</x:v>
      </x:c>
      <x:c r="Q135" s="522" t="str">
        <x:v>Lengkap</x:v>
      </x:c>
      <x:c r="R135" s="522"/>
      <x:c r="S135" s="523" t="str">
        <x:v>Sudah Diverifikasi</x:v>
      </x:c>
      <x:c r="T135" s="524" t="str">
        <x:v>Belum Ditangani</x:v>
      </x:c>
      <x:c r="U135" s="519"/>
      <x:c r="V135" s="519"/>
      <x:c r="W135" s="521" t="str">
        <x:v>Belum Diverifikasi</x:v>
      </x:c>
      <x:c r="X135" s="520"/>
      <x:c r="Y135" s="521"/>
      <x:c r="Z135" s="519" t="n">
        <x:v>2026</x:v>
      </x:c>
      <x:c r="AA135" s="520" t="str">
        <x:v>Usulan Musrenbang/Pokir DPRD</x:v>
      </x:c>
      <x:c r="AB135" s="521" t="n">
        <x:v>46218</x:v>
      </x:c>
      <x:c r="AC135" s="520" t="str">
        <x:v>Dinas Perkim Kota Pangkalpinang</x:v>
      </x:c>
    </x:row>
    <x:row r="136" ht="32" customHeight="1">
      <x:c r="A136" s="496" t="str">
        <x:v>RTLH-0164</x:v>
      </x:c>
      <x:c r="B136" s="497" t="str">
        <x:v>YULITAR</x:v>
      </x:c>
      <x:c r="C136" s="498"/>
      <x:c r="D136" s="498"/>
      <x:c r="E136" s="497" t="str">
        <x:v>JL,LAP BOLA RT/RW 002/003</x:v>
      </x:c>
      <x:c r="F136" s="497" t="str">
        <x:v>PARITLALANG</x:v>
      </x:c>
      <x:c r="G136" s="497" t="str">
        <x:v>RANGKUI</x:v>
      </x:c>
      <x:c r="H136" s="497" t="str">
        <x:v>Pembangunan Baru</x:v>
      </x:c>
      <x:c r="I136" s="499" t="str">
        <x:v>RUMAH FULL PAPAN.LANTAI FULL FLOR,DINDING RUSAK RINGAN ATAP SENG RUSAK RINGAN</x:v>
      </x:c>
      <x:c r="J136" s="508" t="str">
        <x:v>Nonpermanen</x:v>
      </x:c>
      <x:c r="K136" s="508" t="str">
        <x:v>Seng</x:v>
      </x:c>
      <x:c r="L136" s="508" t="str">
        <x:v>Rusak Ringan</x:v>
      </x:c>
      <x:c r="M136" s="509" t="str">
        <x:v>Papan/Kayu</x:v>
      </x:c>
      <x:c r="N136" s="508" t="str">
        <x:v>Rusak Ringan</x:v>
      </x:c>
      <x:c r="O136" s="510" t="str">
        <x:v>Belum Diidentifikasi</x:v>
      </x:c>
      <x:c r="P136" s="511" t="str">
        <x:v>Rusak Ringan</x:v>
      </x:c>
      <x:c r="Q136" s="522" t="str">
        <x:v>Lengkap</x:v>
      </x:c>
      <x:c r="R136" s="522"/>
      <x:c r="S136" s="523" t="str">
        <x:v>Sudah Diverifikasi</x:v>
      </x:c>
      <x:c r="T136" s="524" t="str">
        <x:v>Belum Ditangani</x:v>
      </x:c>
      <x:c r="U136" s="519"/>
      <x:c r="V136" s="519"/>
      <x:c r="W136" s="521" t="str">
        <x:v>Belum Diverifikasi</x:v>
      </x:c>
      <x:c r="X136" s="520"/>
      <x:c r="Y136" s="521"/>
      <x:c r="Z136" s="519" t="n">
        <x:v>2026</x:v>
      </x:c>
      <x:c r="AA136" s="520" t="str">
        <x:v>Usulan Musrenbang/Pokir DPRD</x:v>
      </x:c>
      <x:c r="AB136" s="521" t="n">
        <x:v>46218</x:v>
      </x:c>
      <x:c r="AC136" s="520" t="str">
        <x:v>Dinas Perkim Kota Pangkalpinang</x:v>
      </x:c>
    </x:row>
    <x:row r="137" ht="32" customHeight="1">
      <x:c r="A137" s="496" t="str">
        <x:v>RTLH-0165</x:v>
      </x:c>
      <x:c r="B137" s="497" t="str">
        <x:v>KUWATNO</x:v>
      </x:c>
      <x:c r="C137" s="498"/>
      <x:c r="D137" s="498"/>
      <x:c r="E137" s="497" t="str">
        <x:v>JL.LAP BOLA RT/RW 002/003</x:v>
      </x:c>
      <x:c r="F137" s="497" t="str">
        <x:v>PARITLALANG</x:v>
      </x:c>
      <x:c r="G137" s="497" t="str">
        <x:v>RANGKUI</x:v>
      </x:c>
      <x:c r="H137" s="497" t="str">
        <x:v>Belum Ditentukan</x:v>
      </x:c>
      <x:c r="I137" s="499" t="str">
        <x:v>RUMAH FULL PAPAN, DINDING RUSAK RINGAN, LANTAI FULL KERAMIK, ATAP ASBES</x:v>
      </x:c>
      <x:c r="J137" s="508" t="str">
        <x:v>Nonpermanen</x:v>
      </x:c>
      <x:c r="K137" s="508" t="str">
        <x:v>Asbes/Fiber Semen</x:v>
      </x:c>
      <x:c r="L137" s="508" t="str">
        <x:v>Rusak Ringan</x:v>
      </x:c>
      <x:c r="M137" s="509" t="str">
        <x:v>Papan/Kayu</x:v>
      </x:c>
      <x:c r="N137" s="508" t="str">
        <x:v>Rusak Ringan</x:v>
      </x:c>
      <x:c r="O137" s="510" t="str">
        <x:v>Keramik</x:v>
      </x:c>
      <x:c r="P137" s="511" t="str">
        <x:v>Rusak Ringan</x:v>
      </x:c>
      <x:c r="Q137" s="522" t="str">
        <x:v>Belum Lengkap</x:v>
      </x:c>
      <x:c r="R137" s="522"/>
      <x:c r="S137" s="523" t="str">
        <x:v>Sudah Diverifikasi</x:v>
      </x:c>
      <x:c r="T137" s="524" t="str">
        <x:v>Belum Ditangani</x:v>
      </x:c>
      <x:c r="U137" s="519"/>
      <x:c r="V137" s="519"/>
      <x:c r="W137" s="521" t="str">
        <x:v>Belum Diverifikasi</x:v>
      </x:c>
      <x:c r="X137" s="520"/>
      <x:c r="Y137" s="521"/>
      <x:c r="Z137" s="519" t="n">
        <x:v>2026</x:v>
      </x:c>
      <x:c r="AA137" s="520" t="str">
        <x:v>Usulan Musrenbang/Pokir DPRD</x:v>
      </x:c>
      <x:c r="AB137" s="521" t="n">
        <x:v>46218</x:v>
      </x:c>
      <x:c r="AC137" s="520" t="str">
        <x:v>Dinas Perkim Kota Pangkalpinang</x:v>
      </x:c>
    </x:row>
    <x:row r="138" ht="32" customHeight="1">
      <x:c r="A138" s="496" t="str">
        <x:v>RTLH-0167</x:v>
      </x:c>
      <x:c r="B138" s="497" t="str">
        <x:v>ROYADI</x:v>
      </x:c>
      <x:c r="C138" s="498"/>
      <x:c r="D138" s="498"/>
      <x:c r="E138" s="497" t="str">
        <x:v>GG,PELITA RT/RW 009/003</x:v>
      </x:c>
      <x:c r="F138" s="497" t="str">
        <x:v>SINAR BULAN</x:v>
      </x:c>
      <x:c r="G138" s="497" t="str">
        <x:v>BUKIT INTAN</x:v>
      </x:c>
      <x:c r="H138" s="497" t="str">
        <x:v>Belum Ditentukan</x:v>
      </x:c>
      <x:c r="I138" s="499" t="str">
        <x:v>RUMAH SETENGAH JADI,UNTUK SEMNTARA TINGGAL DI BAGIAN DAPUR,</x:v>
      </x:c>
      <x:c r="J138" s="508" t="str">
        <x:v>Belum Dapat Ditentukan</x:v>
      </x:c>
      <x:c r="K138" s="508" t="str">
        <x:v>Belum Diidentifikasi</x:v>
      </x:c>
      <x:c r="L138" s="508" t="str">
        <x:v>Belum Dinilai</x:v>
      </x:c>
      <x:c r="M138" s="509" t="str">
        <x:v>Belum Diidentifikasi</x:v>
      </x:c>
      <x:c r="N138" s="508" t="str">
        <x:v>Belum Dinilai</x:v>
      </x:c>
      <x:c r="O138" s="510" t="str">
        <x:v>Belum Diidentifikasi</x:v>
      </x:c>
      <x:c r="P138" s="511" t="str">
        <x:v>Belum Dinilai</x:v>
      </x:c>
      <x:c r="Q138" s="522" t="str">
        <x:v>Belum Lengkap</x:v>
      </x:c>
      <x:c r="R138" s="522"/>
      <x:c r="S138" s="523" t="str">
        <x:v>Sudah Diverifikasi</x:v>
      </x:c>
      <x:c r="T138" s="524" t="str">
        <x:v>Belum Ditangani</x:v>
      </x:c>
      <x:c r="U138" s="519"/>
      <x:c r="V138" s="519"/>
      <x:c r="W138" s="521" t="str">
        <x:v>Belum Diverifikasi</x:v>
      </x:c>
      <x:c r="X138" s="520"/>
      <x:c r="Y138" s="521"/>
      <x:c r="Z138" s="519" t="n">
        <x:v>2026</x:v>
      </x:c>
      <x:c r="AA138" s="520" t="str">
        <x:v>Usulan Musrenbang/Pokir DPRD</x:v>
      </x:c>
      <x:c r="AB138" s="521" t="n">
        <x:v>46218</x:v>
      </x:c>
      <x:c r="AC138" s="520" t="str">
        <x:v>Dinas Perkim Kota Pangkalpinang</x:v>
      </x:c>
    </x:row>
    <x:row r="139" ht="32" customHeight="1">
      <x:c r="A139" s="496" t="str">
        <x:v>RTLH-0168</x:v>
      </x:c>
      <x:c r="B139" s="497" t="str">
        <x:v>SUHAIKAH</x:v>
      </x:c>
      <x:c r="C139" s="498"/>
      <x:c r="D139" s="498"/>
      <x:c r="E139" s="497" t="str">
        <x:v>JL,DELIMA SIAM VIII RT/RW 003/001</x:v>
      </x:c>
      <x:c r="F139" s="497" t="str">
        <x:v>SRIWIJAYA</x:v>
      </x:c>
      <x:c r="G139" s="497" t="str">
        <x:v>GIRIMAYA</x:v>
      </x:c>
      <x:c r="H139" s="497" t="str">
        <x:v>Belum Ditentukan</x:v>
      </x:c>
      <x:c r="I139" s="499" t="str">
        <x:v>RUMAH PERMANEN ( MINTA REHAB BAGIAN DAPIUR)</x:v>
      </x:c>
      <x:c r="J139" s="508" t="str">
        <x:v>Permanen</x:v>
      </x:c>
      <x:c r="K139" s="508" t="str">
        <x:v>Belum Diidentifikasi</x:v>
      </x:c>
      <x:c r="L139" s="508" t="str">
        <x:v>Belum Dinilai</x:v>
      </x:c>
      <x:c r="M139" s="509" t="str">
        <x:v>Dinding Permanen (Material tidak dirinci)</x:v>
      </x:c>
      <x:c r="N139" s="508" t="str">
        <x:v>Belum Dinilai</x:v>
      </x:c>
      <x:c r="O139" s="510" t="str">
        <x:v>Belum Diidentifikasi</x:v>
      </x:c>
      <x:c r="P139" s="511" t="str">
        <x:v>Belum Dinilai</x:v>
      </x:c>
      <x:c r="Q139" s="522" t="str">
        <x:v>Lengkap</x:v>
      </x:c>
      <x:c r="R139" s="522"/>
      <x:c r="S139" s="523" t="str">
        <x:v>Sudah Diverifikasi</x:v>
      </x:c>
      <x:c r="T139" s="524" t="str">
        <x:v>Belum Ditangani</x:v>
      </x:c>
      <x:c r="U139" s="519"/>
      <x:c r="V139" s="519"/>
      <x:c r="W139" s="521" t="str">
        <x:v>Belum Diverifikasi</x:v>
      </x:c>
      <x:c r="X139" s="520"/>
      <x:c r="Y139" s="521"/>
      <x:c r="Z139" s="519" t="n">
        <x:v>2026</x:v>
      </x:c>
      <x:c r="AA139" s="520" t="str">
        <x:v>Usulan Musrenbang/Pokir DPRD</x:v>
      </x:c>
      <x:c r="AB139" s="521" t="n">
        <x:v>46218</x:v>
      </x:c>
      <x:c r="AC139" s="520" t="str">
        <x:v>Dinas Perkim Kota Pangkalpinang</x:v>
      </x:c>
    </x:row>
    <x:row r="140" ht="32" customHeight="1">
      <x:c r="A140" s="496" t="str">
        <x:v>RTLH-0169</x:v>
      </x:c>
      <x:c r="B140" s="497" t="str">
        <x:v>MISLIYEH</x:v>
      </x:c>
      <x:c r="C140" s="498"/>
      <x:c r="D140" s="498"/>
      <x:c r="E140" s="497" t="str">
        <x:v>JL,BASUKI RACHMAD UJUNG II RT/RW 008/003</x:v>
      </x:c>
      <x:c r="F140" s="497" t="str">
        <x:v>SRIWIJAYA</x:v>
      </x:c>
      <x:c r="G140" s="497" t="str">
        <x:v>GIRIMAYA</x:v>
      </x:c>
      <x:c r="H140" s="497" t="str">
        <x:v>Belum Ditentukan</x:v>
      </x:c>
      <x:c r="I140" s="499" t="str">
        <x:v>RUMAH FULL PAPAN, SEBAGIAN BETON WC,PERMANEN, LANTAI FULL FLOOR,ATAP ASBES RUSAK RINGAN</x:v>
      </x:c>
      <x:c r="J140" s="508" t="str">
        <x:v>Semipermanen</x:v>
      </x:c>
      <x:c r="K140" s="508" t="str">
        <x:v>Asbes/Fiber Semen</x:v>
      </x:c>
      <x:c r="L140" s="508" t="str">
        <x:v>Rusak Ringan</x:v>
      </x:c>
      <x:c r="M140" s="509" t="str">
        <x:v>Campuran Permanen dan Papan</x:v>
      </x:c>
      <x:c r="N140" s="508" t="str">
        <x:v>Belum Dinilai</x:v>
      </x:c>
      <x:c r="O140" s="510" t="str">
        <x:v>Semen/Plester</x:v>
      </x:c>
      <x:c r="P140" s="511" t="str">
        <x:v>Rusak Ringan</x:v>
      </x:c>
      <x:c r="Q140" s="522" t="str">
        <x:v>Belum Lengkap</x:v>
      </x:c>
      <x:c r="R140" s="522"/>
      <x:c r="S140" s="523" t="str">
        <x:v>Sudah Diverifikasi</x:v>
      </x:c>
      <x:c r="T140" s="524" t="str">
        <x:v>Belum Ditangani</x:v>
      </x:c>
      <x:c r="U140" s="519"/>
      <x:c r="V140" s="519"/>
      <x:c r="W140" s="521" t="str">
        <x:v>Belum Diverifikasi</x:v>
      </x:c>
      <x:c r="X140" s="520"/>
      <x:c r="Y140" s="521"/>
      <x:c r="Z140" s="519" t="n">
        <x:v>2026</x:v>
      </x:c>
      <x:c r="AA140" s="520" t="str">
        <x:v>Usulan Musrenbang/Pokir DPRD</x:v>
      </x:c>
      <x:c r="AB140" s="521" t="n">
        <x:v>46218</x:v>
      </x:c>
      <x:c r="AC140" s="520" t="str">
        <x:v>Dinas Perkim Kota Pangkalpinang</x:v>
      </x:c>
    </x:row>
    <x:row r="141" ht="32" customHeight="1">
      <x:c r="A141" s="496" t="str">
        <x:v>RTLH-0170</x:v>
      </x:c>
      <x:c r="B141" s="497" t="str">
        <x:v>NIRAH</x:v>
      </x:c>
      <x:c r="C141" s="498"/>
      <x:c r="D141" s="498"/>
      <x:c r="E141" s="497" t="str">
        <x:v>JL,BASUKI RACHMAD UJUNG II RT/RW 008/003</x:v>
      </x:c>
      <x:c r="F141" s="497" t="str">
        <x:v>SRIWIJAYA</x:v>
      </x:c>
      <x:c r="G141" s="497" t="str">
        <x:v>GIRIMAYA</x:v>
      </x:c>
      <x:c r="H141" s="497" t="str">
        <x:v>Belum Ditentukan</x:v>
      </x:c>
      <x:c r="I141" s="499" t="str">
        <x:v>RUMAH FULL PAPAN, DINDING RUSAK RINGAN, LANTAI FULL FLOOR ATAP SENG, DINDING RUSAK RINGAN, ATAP RUSAK RINGAN LANTAI RUSAK RINGAN</x:v>
      </x:c>
      <x:c r="J141" s="508" t="str">
        <x:v>Nonpermanen</x:v>
      </x:c>
      <x:c r="K141" s="508" t="str">
        <x:v>Seng</x:v>
      </x:c>
      <x:c r="L141" s="508" t="str">
        <x:v>Rusak Ringan</x:v>
      </x:c>
      <x:c r="M141" s="509" t="str">
        <x:v>Papan/Kayu</x:v>
      </x:c>
      <x:c r="N141" s="508" t="str">
        <x:v>Rusak Ringan</x:v>
      </x:c>
      <x:c r="O141" s="510" t="str">
        <x:v>Semen/Plester</x:v>
      </x:c>
      <x:c r="P141" s="511" t="str">
        <x:v>Rusak Ringan</x:v>
      </x:c>
      <x:c r="Q141" s="522" t="str">
        <x:v>Lengkap</x:v>
      </x:c>
      <x:c r="R141" s="522"/>
      <x:c r="S141" s="523" t="str">
        <x:v>Sudah Diverifikasi</x:v>
      </x:c>
      <x:c r="T141" s="524" t="str">
        <x:v>Belum Ditangani</x:v>
      </x:c>
      <x:c r="U141" s="519"/>
      <x:c r="V141" s="519"/>
      <x:c r="W141" s="521" t="str">
        <x:v>Belum Diverifikasi</x:v>
      </x:c>
      <x:c r="X141" s="520"/>
      <x:c r="Y141" s="521"/>
      <x:c r="Z141" s="519" t="n">
        <x:v>2026</x:v>
      </x:c>
      <x:c r="AA141" s="520" t="str">
        <x:v>Usulan Musrenbang/Pokir DPRD</x:v>
      </x:c>
      <x:c r="AB141" s="521" t="n">
        <x:v>46218</x:v>
      </x:c>
      <x:c r="AC141" s="520" t="str">
        <x:v>Dinas Perkim Kota Pangkalpinang</x:v>
      </x:c>
    </x:row>
    <x:row r="142" ht="32" customHeight="1">
      <x:c r="A142" s="496" t="str">
        <x:v>RTLH-0171</x:v>
      </x:c>
      <x:c r="B142" s="497" t="str">
        <x:v>MARYEMAH</x:v>
      </x:c>
      <x:c r="C142" s="498"/>
      <x:c r="D142" s="498"/>
      <x:c r="E142" s="497" t="str">
        <x:v>JL,PERBAKIN RT/RW 007/003</x:v>
      </x:c>
      <x:c r="F142" s="497" t="str">
        <x:v>SRIWIJAYA</x:v>
      </x:c>
      <x:c r="G142" s="497" t="str">
        <x:v>GIRIMAYA</x:v>
      </x:c>
      <x:c r="H142" s="497" t="str">
        <x:v>Pembangunan Baru</x:v>
      </x:c>
      <x:c r="I142" s="499" t="str">
        <x:v>RUMAH FULL PAPAN,LANTAI FULL FLOOR, ATAP SENG RUSAK RINGAN, DINDING PAPAN RUSAK RINGAN, LANTAI RUSAK RINGAN</x:v>
      </x:c>
      <x:c r="J142" s="508" t="str">
        <x:v>Nonpermanen</x:v>
      </x:c>
      <x:c r="K142" s="508" t="str">
        <x:v>Seng</x:v>
      </x:c>
      <x:c r="L142" s="508" t="str">
        <x:v>Rusak Ringan</x:v>
      </x:c>
      <x:c r="M142" s="509" t="str">
        <x:v>Papan/Kayu</x:v>
      </x:c>
      <x:c r="N142" s="508" t="str">
        <x:v>Rusak Ringan</x:v>
      </x:c>
      <x:c r="O142" s="510" t="str">
        <x:v>Semen/Plester</x:v>
      </x:c>
      <x:c r="P142" s="511" t="str">
        <x:v>Rusak Ringan</x:v>
      </x:c>
      <x:c r="Q142" s="522" t="str">
        <x:v>Lengkap</x:v>
      </x:c>
      <x:c r="R142" s="522"/>
      <x:c r="S142" s="523" t="str">
        <x:v>Sudah Diverifikasi</x:v>
      </x:c>
      <x:c r="T142" s="524" t="str">
        <x:v>Selesai</x:v>
      </x:c>
      <x:c r="U142" s="519" t="str">
        <x:v>APBD Kota</x:v>
      </x:c>
      <x:c r="V142" s="519" t="n">
        <x:v>2022</x:v>
      </x:c>
      <x:c r="W142" s="521" t="str">
        <x:v>Belum Diverifikasi</x:v>
      </x:c>
      <x:c r="X142" s="520"/>
      <x:c r="Y142" s="521"/>
      <x:c r="Z142" s="519" t="n">
        <x:v>2026</x:v>
      </x:c>
      <x:c r="AA142" s="520" t="str">
        <x:v>Usulan Musrenbang/Pokir DPRD</x:v>
      </x:c>
      <x:c r="AB142" s="521" t="n">
        <x:v>46218</x:v>
      </x:c>
      <x:c r="AC142" s="520" t="str">
        <x:v>Dinas Perkim Kota Pangkalpinang</x:v>
      </x:c>
    </x:row>
    <x:row r="143" ht="32" customHeight="1">
      <x:c r="A143" s="496" t="str">
        <x:v>RTLH-0172</x:v>
      </x:c>
      <x:c r="B143" s="497" t="str">
        <x:v>LIN HON JON</x:v>
      </x:c>
      <x:c r="C143" s="498"/>
      <x:c r="D143" s="498"/>
      <x:c r="E143" s="497" t="str">
        <x:v>JL,BUKIT TUNGGAL RT/RW 008/003</x:v>
      </x:c>
      <x:c r="F143" s="497" t="str">
        <x:v>SRIWIJAYA</x:v>
      </x:c>
      <x:c r="G143" s="497" t="str">
        <x:v>GIRIMAYA</x:v>
      </x:c>
      <x:c r="H143" s="497" t="str">
        <x:v>Pembangunan Baru</x:v>
      </x:c>
      <x:c r="I143" s="499" t="str">
        <x:v>RUMAH SEMI PERMANEN, SEBAGIAN DINDING PAPAN RUSAK RINGAN, LANTAI FULL FLOOR, LANTAI RUSAK RINGAN,BAGIAN DAPUR PERMANEN, ATAP RUSAK RINGAN</x:v>
      </x:c>
      <x:c r="J143" s="508" t="str">
        <x:v>Semipermanen</x:v>
      </x:c>
      <x:c r="K143" s="508" t="str">
        <x:v>Belum Diidentifikasi</x:v>
      </x:c>
      <x:c r="L143" s="508" t="str">
        <x:v>Rusak Ringan</x:v>
      </x:c>
      <x:c r="M143" s="509" t="str">
        <x:v>Papan/Kayu</x:v>
      </x:c>
      <x:c r="N143" s="508" t="str">
        <x:v>Rusak Ringan</x:v>
      </x:c>
      <x:c r="O143" s="510" t="str">
        <x:v>Semen/Plester</x:v>
      </x:c>
      <x:c r="P143" s="511" t="str">
        <x:v>Rusak Ringan</x:v>
      </x:c>
      <x:c r="Q143" s="522" t="str">
        <x:v>Lengkap</x:v>
      </x:c>
      <x:c r="R143" s="522"/>
      <x:c r="S143" s="523" t="str">
        <x:v>Sudah Diverifikasi</x:v>
      </x:c>
      <x:c r="T143" s="524" t="str">
        <x:v>Selesai</x:v>
      </x:c>
      <x:c r="U143" s="519" t="str">
        <x:v>APBD Kota</x:v>
      </x:c>
      <x:c r="V143" s="519" t="n">
        <x:v>2022</x:v>
      </x:c>
      <x:c r="W143" s="521" t="str">
        <x:v>Belum Diverifikasi</x:v>
      </x:c>
      <x:c r="X143" s="520"/>
      <x:c r="Y143" s="521"/>
      <x:c r="Z143" s="519" t="n">
        <x:v>2026</x:v>
      </x:c>
      <x:c r="AA143" s="520" t="str">
        <x:v>Usulan Musrenbang/Pokir DPRD</x:v>
      </x:c>
      <x:c r="AB143" s="521" t="n">
        <x:v>46218</x:v>
      </x:c>
      <x:c r="AC143" s="520" t="str">
        <x:v>Dinas Perkim Kota Pangkalpinang</x:v>
      </x:c>
    </x:row>
    <x:row r="144" ht="32" customHeight="1">
      <x:c r="A144" s="496" t="str">
        <x:v>RTLH-0173</x:v>
      </x:c>
      <x:c r="B144" s="497" t="str">
        <x:v>SUHAILI</x:v>
      </x:c>
      <x:c r="C144" s="498"/>
      <x:c r="D144" s="498"/>
      <x:c r="E144" s="497" t="str">
        <x:v>JL.SOLIHIN GP, GG BUAH BATU 1 RT/RW 001/002</x:v>
      </x:c>
      <x:c r="F144" s="497" t="str">
        <x:v>MELINTANG</x:v>
      </x:c>
      <x:c r="G144" s="497" t="str">
        <x:v>RANGKUI</x:v>
      </x:c>
      <x:c r="H144" s="497" t="str">
        <x:v>Peningkatan Kualitas</x:v>
      </x:c>
      <x:c r="I144" s="499" t="str">
        <x:v>RUMAH PERMANEN,ATAP SENG RUSAK RINGAN, DINDING RUSAK RINGAN,LANTAI FLOOR,</x:v>
      </x:c>
      <x:c r="J144" s="508" t="str">
        <x:v>Permanen</x:v>
      </x:c>
      <x:c r="K144" s="508" t="str">
        <x:v>Seng</x:v>
      </x:c>
      <x:c r="L144" s="508" t="str">
        <x:v>Rusak Ringan</x:v>
      </x:c>
      <x:c r="M144" s="509" t="str">
        <x:v>Dinding Permanen (Material tidak dirinci)</x:v>
      </x:c>
      <x:c r="N144" s="508" t="str">
        <x:v>Rusak Ringan</x:v>
      </x:c>
      <x:c r="O144" s="510" t="str">
        <x:v>Semen/Plester</x:v>
      </x:c>
      <x:c r="P144" s="511" t="str">
        <x:v>Rusak Ringan</x:v>
      </x:c>
      <x:c r="Q144" s="522" t="str">
        <x:v>Lengkap</x:v>
      </x:c>
      <x:c r="R144" s="522"/>
      <x:c r="S144" s="523" t="str">
        <x:v>Sudah Diverifikasi</x:v>
      </x:c>
      <x:c r="T144" s="524" t="str">
        <x:v>Selesai</x:v>
      </x:c>
      <x:c r="U144" s="519" t="str">
        <x:v>APBD Kota</x:v>
      </x:c>
      <x:c r="V144" s="519" t="n">
        <x:v>2023</x:v>
      </x:c>
      <x:c r="W144" s="521" t="str">
        <x:v>Belum Diverifikasi</x:v>
      </x:c>
      <x:c r="X144" s="520"/>
      <x:c r="Y144" s="521"/>
      <x:c r="Z144" s="519" t="n">
        <x:v>2026</x:v>
      </x:c>
      <x:c r="AA144" s="520" t="str">
        <x:v>Usulan Musrenbang/Pokir DPRD</x:v>
      </x:c>
      <x:c r="AB144" s="521" t="n">
        <x:v>46218</x:v>
      </x:c>
      <x:c r="AC144" s="520" t="str">
        <x:v>Dinas Perkim Kota Pangkalpinang</x:v>
      </x:c>
    </x:row>
    <x:row r="145" ht="32" customHeight="1">
      <x:c r="A145" s="496" t="str">
        <x:v>RTLH-0174</x:v>
      </x:c>
      <x:c r="B145" s="497" t="str">
        <x:v>DAHLIA</x:v>
      </x:c>
      <x:c r="C145" s="498"/>
      <x:c r="D145" s="498"/>
      <x:c r="E145" s="497" t="str">
        <x:v>RT,01 RW,01</x:v>
      </x:c>
      <x:c r="F145" s="497" t="str">
        <x:v>AIR ITAM</x:v>
      </x:c>
      <x:c r="G145" s="497" t="str">
        <x:v>BUKIT INTAN</x:v>
      </x:c>
      <x:c r="H145" s="497" t="str">
        <x:v>Pembangunan Baru</x:v>
      </x:c>
      <x:c r="I145" s="499" t="str">
        <x:v>RUMAH FULL PAPAN, DINDING RUSAK RINGAN, LANTAI FLOOR, ATAP ASBES</x:v>
      </x:c>
      <x:c r="J145" s="508" t="str">
        <x:v>Nonpermanen</x:v>
      </x:c>
      <x:c r="K145" s="508" t="str">
        <x:v>Asbes/Fiber Semen</x:v>
      </x:c>
      <x:c r="L145" s="508" t="str">
        <x:v>Rusak Ringan</x:v>
      </x:c>
      <x:c r="M145" s="509" t="str">
        <x:v>Papan/Kayu</x:v>
      </x:c>
      <x:c r="N145" s="508" t="str">
        <x:v>Rusak Ringan</x:v>
      </x:c>
      <x:c r="O145" s="510" t="str">
        <x:v>Semen/Plester</x:v>
      </x:c>
      <x:c r="P145" s="511" t="str">
        <x:v>Rusak Ringan</x:v>
      </x:c>
      <x:c r="Q145" s="522" t="str">
        <x:v>Lengkap</x:v>
      </x:c>
      <x:c r="R145" s="522"/>
      <x:c r="S145" s="523" t="str">
        <x:v>Sudah Diverifikasi</x:v>
      </x:c>
      <x:c r="T145" s="524" t="str">
        <x:v>Selesai</x:v>
      </x:c>
      <x:c r="U145" s="519" t="str">
        <x:v>APBD Kota</x:v>
      </x:c>
      <x:c r="V145" s="519" t="n">
        <x:v>2022</x:v>
      </x:c>
      <x:c r="W145" s="521" t="str">
        <x:v>Belum Diverifikasi</x:v>
      </x:c>
      <x:c r="X145" s="520"/>
      <x:c r="Y145" s="521"/>
      <x:c r="Z145" s="519" t="n">
        <x:v>2026</x:v>
      </x:c>
      <x:c r="AA145" s="520" t="str">
        <x:v>Usulan Musrenbang/Pokir DPRD</x:v>
      </x:c>
      <x:c r="AB145" s="521" t="n">
        <x:v>46218</x:v>
      </x:c>
      <x:c r="AC145" s="520" t="str">
        <x:v>Dinas Perkim Kota Pangkalpinang</x:v>
      </x:c>
    </x:row>
    <x:row r="146" ht="32" customHeight="1">
      <x:c r="A146" s="496" t="str">
        <x:v>RTLH-0175</x:v>
      </x:c>
      <x:c r="B146" s="497" t="str">
        <x:v>ALING</x:v>
      </x:c>
      <x:c r="C146" s="498"/>
      <x:c r="D146" s="498"/>
      <x:c r="E146" s="497" t="str">
        <x:v>RT,01 RW,01</x:v>
      </x:c>
      <x:c r="F146" s="497" t="str">
        <x:v>BACANG</x:v>
      </x:c>
      <x:c r="G146" s="497" t="str">
        <x:v>BUKIT INTAN</x:v>
      </x:c>
      <x:c r="H146" s="497" t="str">
        <x:v>Pembangunan Baru</x:v>
      </x:c>
      <x:c r="I146" s="499" t="str">
        <x:v>Keadaan Rumah Semi Permanen, Hanya bagian ruang tamu, (Full Papan)</x:v>
      </x:c>
      <x:c r="J146" s="508" t="str">
        <x:v>Semipermanen</x:v>
      </x:c>
      <x:c r="K146" s="508" t="str">
        <x:v>Belum Diidentifikasi</x:v>
      </x:c>
      <x:c r="L146" s="508" t="str">
        <x:v>Belum Dinilai</x:v>
      </x:c>
      <x:c r="M146" s="509" t="str">
        <x:v>Papan/Kayu</x:v>
      </x:c>
      <x:c r="N146" s="508" t="str">
        <x:v>Belum Dinilai</x:v>
      </x:c>
      <x:c r="O146" s="510" t="str">
        <x:v>Belum Diidentifikasi</x:v>
      </x:c>
      <x:c r="P146" s="511" t="str">
        <x:v>Belum Dinilai</x:v>
      </x:c>
      <x:c r="Q146" s="522" t="str">
        <x:v>Lengkap</x:v>
      </x:c>
      <x:c r="R146" s="522"/>
      <x:c r="S146" s="523" t="str">
        <x:v>Sudah Diverifikasi</x:v>
      </x:c>
      <x:c r="T146" s="524" t="str">
        <x:v>Belum Ditangani</x:v>
      </x:c>
      <x:c r="U146" s="519"/>
      <x:c r="V146" s="519"/>
      <x:c r="W146" s="521" t="str">
        <x:v>Belum Diverifikasi</x:v>
      </x:c>
      <x:c r="X146" s="520"/>
      <x:c r="Y146" s="521"/>
      <x:c r="Z146" s="519" t="n">
        <x:v>2026</x:v>
      </x:c>
      <x:c r="AA146" s="520" t="str">
        <x:v>Usulan Musrenbang/Pokir DPRD</x:v>
      </x:c>
      <x:c r="AB146" s="521" t="n">
        <x:v>46218</x:v>
      </x:c>
      <x:c r="AC146" s="520" t="str">
        <x:v>Dinas Perkim Kota Pangkalpinang</x:v>
      </x:c>
    </x:row>
    <x:row r="147" ht="32" customHeight="1">
      <x:c r="A147" s="496" t="str">
        <x:v>RTLH-0176</x:v>
      </x:c>
      <x:c r="B147" s="497" t="str">
        <x:v>ZAHRO</x:v>
      </x:c>
      <x:c r="C147" s="498"/>
      <x:c r="D147" s="498"/>
      <x:c r="E147" s="497" t="str">
        <x:v>RT,03 RW,01</x:v>
      </x:c>
      <x:c r="F147" s="497" t="str">
        <x:v>AIR ITAM</x:v>
      </x:c>
      <x:c r="G147" s="497" t="str">
        <x:v>BUKIT INTAN</x:v>
      </x:c>
      <x:c r="H147" s="497" t="str">
        <x:v>Peningkatan Kualitas</x:v>
      </x:c>
      <x:c r="I147" s="499" t="str">
        <x:v>Rumah Bagi DUA Dengan Anak, ( Saudara Zahro, menepati bagian Belakang, Keadaan Rumah Semi Permanen, Hanya bagian ruang tamu, (Full Papan)</x:v>
      </x:c>
      <x:c r="J147" s="508" t="str">
        <x:v>Semipermanen</x:v>
      </x:c>
      <x:c r="K147" s="508" t="str">
        <x:v>Belum Diidentifikasi</x:v>
      </x:c>
      <x:c r="L147" s="508" t="str">
        <x:v>Belum Dinilai</x:v>
      </x:c>
      <x:c r="M147" s="509" t="str">
        <x:v>Papan/Kayu</x:v>
      </x:c>
      <x:c r="N147" s="508" t="str">
        <x:v>Belum Dinilai</x:v>
      </x:c>
      <x:c r="O147" s="510" t="str">
        <x:v>Belum Diidentifikasi</x:v>
      </x:c>
      <x:c r="P147" s="511" t="str">
        <x:v>Belum Dinilai</x:v>
      </x:c>
      <x:c r="Q147" s="522" t="str">
        <x:v>Belum Lengkap</x:v>
      </x:c>
      <x:c r="R147" s="522"/>
      <x:c r="S147" s="523" t="str">
        <x:v>Sudah Diverifikasi</x:v>
      </x:c>
      <x:c r="T147" s="524" t="str">
        <x:v>Belum Ditangani</x:v>
      </x:c>
      <x:c r="U147" s="519"/>
      <x:c r="V147" s="519"/>
      <x:c r="W147" s="521" t="str">
        <x:v>Kepemilikan Keluarga</x:v>
      </x:c>
      <x:c r="X147" s="520"/>
      <x:c r="Y147" s="521"/>
      <x:c r="Z147" s="519" t="n">
        <x:v>2026</x:v>
      </x:c>
      <x:c r="AA147" s="520" t="str">
        <x:v>Usulan Musrenbang/Pokir DPRD</x:v>
      </x:c>
      <x:c r="AB147" s="521" t="n">
        <x:v>46218</x:v>
      </x:c>
      <x:c r="AC147" s="520" t="str">
        <x:v>Dinas Perkim Kota Pangkalpinang</x:v>
      </x:c>
    </x:row>
    <x:row r="148" ht="32" customHeight="1">
      <x:c r="A148" s="496" t="str">
        <x:v>RTLH-0177</x:v>
      </x:c>
      <x:c r="B148" s="497" t="str">
        <x:v>MAHMUDAH</x:v>
      </x:c>
      <x:c r="C148" s="498"/>
      <x:c r="D148" s="498"/>
      <x:c r="E148" s="497" t="str">
        <x:v>RT,05 RW,02</x:v>
      </x:c>
      <x:c r="F148" s="497" t="str">
        <x:v>KERAMAT</x:v>
      </x:c>
      <x:c r="G148" s="497" t="str">
        <x:v>RANGKUI</x:v>
      </x:c>
      <x:c r="H148" s="497" t="str">
        <x:v>Pembangunan Baru</x:v>
      </x:c>
      <x:c r="I148" s="499" t="str">
        <x:v>RUMAH BENTUK L, SEBAGIAN DINDING PERMANEN DAN PAPAN, LANTAI FLOOR, ATAP SENG</x:v>
      </x:c>
      <x:c r="J148" s="508" t="str">
        <x:v>Permanen</x:v>
      </x:c>
      <x:c r="K148" s="508" t="str">
        <x:v>Seng</x:v>
      </x:c>
      <x:c r="L148" s="508" t="str">
        <x:v>Belum Dinilai</x:v>
      </x:c>
      <x:c r="M148" s="509" t="str">
        <x:v>Dinding Permanen (Material tidak dirinci)</x:v>
      </x:c>
      <x:c r="N148" s="508" t="str">
        <x:v>Belum Dinilai</x:v>
      </x:c>
      <x:c r="O148" s="510" t="str">
        <x:v>Semen/Plester</x:v>
      </x:c>
      <x:c r="P148" s="511" t="str">
        <x:v>Belum Dinilai</x:v>
      </x:c>
      <x:c r="Q148" s="522" t="str">
        <x:v>Lengkap</x:v>
      </x:c>
      <x:c r="R148" s="522"/>
      <x:c r="S148" s="523" t="str">
        <x:v>Sudah Diverifikasi</x:v>
      </x:c>
      <x:c r="T148" s="524" t="str">
        <x:v>Belum Ditangani</x:v>
      </x:c>
      <x:c r="U148" s="519"/>
      <x:c r="V148" s="519"/>
      <x:c r="W148" s="521" t="str">
        <x:v>Belum Diverifikasi</x:v>
      </x:c>
      <x:c r="X148" s="520"/>
      <x:c r="Y148" s="521"/>
      <x:c r="Z148" s="519" t="n">
        <x:v>2026</x:v>
      </x:c>
      <x:c r="AA148" s="520" t="str">
        <x:v>Usulan Musrenbang/Pokir DPRD</x:v>
      </x:c>
      <x:c r="AB148" s="521" t="n">
        <x:v>46218</x:v>
      </x:c>
      <x:c r="AC148" s="520" t="str">
        <x:v>Dinas Perkim Kota Pangkalpinang</x:v>
      </x:c>
    </x:row>
    <x:row r="149" ht="32" customHeight="1">
      <x:c r="A149" s="496" t="str">
        <x:v>RTLH-0178</x:v>
      </x:c>
      <x:c r="B149" s="497" t="str">
        <x:v>SUBANA</x:v>
      </x:c>
      <x:c r="C149" s="498"/>
      <x:c r="D149" s="498"/>
      <x:c r="E149" s="497" t="str">
        <x:v>RT:001 / RW : 001</x:v>
      </x:c>
      <x:c r="F149" s="497" t="str">
        <x:v>AIR ITAM</x:v>
      </x:c>
      <x:c r="G149" s="497" t="str">
        <x:v>BUKIT INTAN</x:v>
      </x:c>
      <x:c r="H149" s="497" t="str">
        <x:v>Pembangunan Baru</x:v>
      </x:c>
      <x:c r="I149" s="499" t="str">
        <x:v>RUMAH FULL PAPAN, LANTAI FLOOR ATAP SENG, WC DI LUAR</x:v>
      </x:c>
      <x:c r="J149" s="508" t="str">
        <x:v>Nonpermanen</x:v>
      </x:c>
      <x:c r="K149" s="508" t="str">
        <x:v>Seng</x:v>
      </x:c>
      <x:c r="L149" s="508" t="str">
        <x:v>Belum Dinilai</x:v>
      </x:c>
      <x:c r="M149" s="509" t="str">
        <x:v>Papan/Kayu</x:v>
      </x:c>
      <x:c r="N149" s="508" t="str">
        <x:v>Belum Dinilai</x:v>
      </x:c>
      <x:c r="O149" s="510" t="str">
        <x:v>Semen/Plester</x:v>
      </x:c>
      <x:c r="P149" s="511" t="str">
        <x:v>Belum Dinilai</x:v>
      </x:c>
      <x:c r="Q149" s="522" t="str">
        <x:v>Lengkap</x:v>
      </x:c>
      <x:c r="R149" s="522"/>
      <x:c r="S149" s="523" t="str">
        <x:v>Sudah Diverifikasi</x:v>
      </x:c>
      <x:c r="T149" s="524" t="str">
        <x:v>Selesai</x:v>
      </x:c>
      <x:c r="U149" s="519" t="str">
        <x:v>APBD Kota</x:v>
      </x:c>
      <x:c r="V149" s="519" t="n">
        <x:v>2023</x:v>
      </x:c>
      <x:c r="W149" s="521" t="str">
        <x:v>Belum Diverifikasi</x:v>
      </x:c>
      <x:c r="X149" s="520"/>
      <x:c r="Y149" s="521"/>
      <x:c r="Z149" s="519" t="n">
        <x:v>2026</x:v>
      </x:c>
      <x:c r="AA149" s="520" t="str">
        <x:v>Usulan Musrenbang/Pokir DPRD</x:v>
      </x:c>
      <x:c r="AB149" s="521" t="n">
        <x:v>46218</x:v>
      </x:c>
      <x:c r="AC149" s="520" t="str">
        <x:v>Dinas Perkim Kota Pangkalpinang</x:v>
      </x:c>
    </x:row>
    <x:row r="150" ht="32" customHeight="1">
      <x:c r="A150" s="496" t="str">
        <x:v>RTLH-0179</x:v>
      </x:c>
      <x:c r="B150" s="497" t="str">
        <x:v>AI WE</x:v>
      </x:c>
      <x:c r="C150" s="498"/>
      <x:c r="D150" s="498"/>
      <x:c r="E150" s="497" t="str">
        <x:v>Belum tersedia</x:v>
      </x:c>
      <x:c r="F150" s="497" t="str">
        <x:v>AIR ITAM</x:v>
      </x:c>
      <x:c r="G150" s="497" t="str">
        <x:v>BUKIT INTAN</x:v>
      </x:c>
      <x:c r="H150" s="497" t="str">
        <x:v>Pembangunan Baru</x:v>
      </x:c>
      <x:c r="I150" s="499" t="str">
        <x:v>RUMAH FULL PAPAN, LANTAI FLOOR, ATAP SENG</x:v>
      </x:c>
      <x:c r="J150" s="508" t="str">
        <x:v>Nonpermanen</x:v>
      </x:c>
      <x:c r="K150" s="508" t="str">
        <x:v>Seng</x:v>
      </x:c>
      <x:c r="L150" s="508" t="str">
        <x:v>Belum Dinilai</x:v>
      </x:c>
      <x:c r="M150" s="509" t="str">
        <x:v>Papan/Kayu</x:v>
      </x:c>
      <x:c r="N150" s="508" t="str">
        <x:v>Belum Dinilai</x:v>
      </x:c>
      <x:c r="O150" s="510" t="str">
        <x:v>Semen/Plester</x:v>
      </x:c>
      <x:c r="P150" s="511" t="str">
        <x:v>Belum Dinilai</x:v>
      </x:c>
      <x:c r="Q150" s="522" t="str">
        <x:v>Lengkap</x:v>
      </x:c>
      <x:c r="R150" s="522"/>
      <x:c r="S150" s="523" t="str">
        <x:v>Sudah Diverifikasi</x:v>
      </x:c>
      <x:c r="T150" s="524" t="str">
        <x:v>Selesai</x:v>
      </x:c>
      <x:c r="U150" s="519" t="str">
        <x:v>APBD Kota</x:v>
      </x:c>
      <x:c r="V150" s="519" t="n">
        <x:v>2024</x:v>
      </x:c>
      <x:c r="W150" s="521" t="str">
        <x:v>Belum Diverifikasi</x:v>
      </x:c>
      <x:c r="X150" s="520"/>
      <x:c r="Y150" s="521"/>
      <x:c r="Z150" s="519" t="n">
        <x:v>2026</x:v>
      </x:c>
      <x:c r="AA150" s="520" t="str">
        <x:v>Usulan Musrenbang/Pokir DPRD</x:v>
      </x:c>
      <x:c r="AB150" s="521" t="n">
        <x:v>46218</x:v>
      </x:c>
      <x:c r="AC150" s="520" t="str">
        <x:v>Dinas Perkim Kota Pangkalpinang</x:v>
      </x:c>
    </x:row>
    <x:row r="151" ht="32" customHeight="1">
      <x:c r="A151" s="496" t="str">
        <x:v>RTLH-0180</x:v>
      </x:c>
      <x:c r="B151" s="497" t="str">
        <x:v>KOSGORO</x:v>
      </x:c>
      <x:c r="C151" s="498"/>
      <x:c r="D151" s="498"/>
      <x:c r="E151" s="497" t="str">
        <x:v>RT,03/RW,01</x:v>
      </x:c>
      <x:c r="F151" s="497" t="str">
        <x:v>AIR ITAM</x:v>
      </x:c>
      <x:c r="G151" s="497" t="str">
        <x:v>BUKIT INTAN</x:v>
      </x:c>
      <x:c r="H151" s="497" t="str">
        <x:v>Pembangunan Baru</x:v>
      </x:c>
      <x:c r="I151" s="499" t="str">
        <x:v>RUMAH INDUK FULL PAPAN, BAGIAN DAPUR PERMANEN, ATAP GENTENG BOOCR</x:v>
      </x:c>
      <x:c r="J151" s="508" t="str">
        <x:v>Semipermanen</x:v>
      </x:c>
      <x:c r="K151" s="508" t="str">
        <x:v>Genteng</x:v>
      </x:c>
      <x:c r="L151" s="508" t="str">
        <x:v>Belum Dinilai</x:v>
      </x:c>
      <x:c r="M151" s="509" t="str">
        <x:v>Papan/Kayu</x:v>
      </x:c>
      <x:c r="N151" s="508" t="str">
        <x:v>Belum Dinilai</x:v>
      </x:c>
      <x:c r="O151" s="510" t="str">
        <x:v>Belum Diidentifikasi</x:v>
      </x:c>
      <x:c r="P151" s="511" t="str">
        <x:v>Belum Dinilai</x:v>
      </x:c>
      <x:c r="Q151" s="522" t="str">
        <x:v>Lengkap</x:v>
      </x:c>
      <x:c r="R151" s="522"/>
      <x:c r="S151" s="523" t="str">
        <x:v>Sudah Diverifikasi</x:v>
      </x:c>
      <x:c r="T151" s="524" t="str">
        <x:v>Belum Ditangani</x:v>
      </x:c>
      <x:c r="U151" s="519"/>
      <x:c r="V151" s="519"/>
      <x:c r="W151" s="521" t="str">
        <x:v>Belum Diverifikasi</x:v>
      </x:c>
      <x:c r="X151" s="520"/>
      <x:c r="Y151" s="521"/>
      <x:c r="Z151" s="519" t="n">
        <x:v>2026</x:v>
      </x:c>
      <x:c r="AA151" s="520" t="str">
        <x:v>Usulan Musrenbang/Pokir DPRD</x:v>
      </x:c>
      <x:c r="AB151" s="521" t="n">
        <x:v>46218</x:v>
      </x:c>
      <x:c r="AC151" s="520" t="str">
        <x:v>Dinas Perkim Kota Pangkalpinang</x:v>
      </x:c>
    </x:row>
    <x:row r="152" ht="32" customHeight="1">
      <x:c r="A152" s="496" t="str">
        <x:v>RTLH-0181</x:v>
      </x:c>
      <x:c r="B152" s="497" t="str">
        <x:v>ZURYANA</x:v>
      </x:c>
      <x:c r="C152" s="498"/>
      <x:c r="D152" s="498"/>
      <x:c r="E152" s="497" t="str">
        <x:v>RT,02/RW,001</x:v>
      </x:c>
      <x:c r="F152" s="497" t="str">
        <x:v>AIR ITAM</x:v>
      </x:c>
      <x:c r="G152" s="497" t="str">
        <x:v>BUKIT INTAN</x:v>
      </x:c>
      <x:c r="H152" s="497" t="str">
        <x:v>Belum Ditentukan</x:v>
      </x:c>
      <x:c r="I152" s="499" t="str">
        <x:v>RUMAH PERMANEN, KERUSAKAN HANYA BAGIAN ATAP</x:v>
      </x:c>
      <x:c r="J152" s="508" t="str">
        <x:v>Permanen</x:v>
      </x:c>
      <x:c r="K152" s="508" t="str">
        <x:v>Belum Diidentifikasi</x:v>
      </x:c>
      <x:c r="L152" s="508" t="str">
        <x:v>Belum Dinilai</x:v>
      </x:c>
      <x:c r="M152" s="509" t="str">
        <x:v>Dinding Permanen (Material tidak dirinci)</x:v>
      </x:c>
      <x:c r="N152" s="508" t="str">
        <x:v>Belum Dinilai</x:v>
      </x:c>
      <x:c r="O152" s="510" t="str">
        <x:v>Belum Diidentifikasi</x:v>
      </x:c>
      <x:c r="P152" s="511" t="str">
        <x:v>Belum Dinilai</x:v>
      </x:c>
      <x:c r="Q152" s="522" t="str">
        <x:v>Lengkap</x:v>
      </x:c>
      <x:c r="R152" s="522"/>
      <x:c r="S152" s="523" t="str">
        <x:v>Sudah Diverifikasi</x:v>
      </x:c>
      <x:c r="T152" s="524" t="str">
        <x:v>Belum Ditangani</x:v>
      </x:c>
      <x:c r="U152" s="519"/>
      <x:c r="V152" s="519"/>
      <x:c r="W152" s="521" t="str">
        <x:v>Belum Diverifikasi</x:v>
      </x:c>
      <x:c r="X152" s="520"/>
      <x:c r="Y152" s="521"/>
      <x:c r="Z152" s="519" t="n">
        <x:v>2026</x:v>
      </x:c>
      <x:c r="AA152" s="520" t="str">
        <x:v>Usulan Musrenbang/Pokir DPRD</x:v>
      </x:c>
      <x:c r="AB152" s="521" t="n">
        <x:v>46218</x:v>
      </x:c>
      <x:c r="AC152" s="520" t="str">
        <x:v>Dinas Perkim Kota Pangkalpinang</x:v>
      </x:c>
    </x:row>
    <x:row r="153" ht="32" customHeight="1">
      <x:c r="A153" s="496" t="str">
        <x:v>RTLH-0182</x:v>
      </x:c>
      <x:c r="B153" s="497" t="str">
        <x:v>APHI</x:v>
      </x:c>
      <x:c r="C153" s="498"/>
      <x:c r="D153" s="498"/>
      <x:c r="E153" s="497" t="str">
        <x:v>JL,Batu Kadera RT,04/RW,02</x:v>
      </x:c>
      <x:c r="F153" s="497" t="str">
        <x:v>AIR MAWAR</x:v>
      </x:c>
      <x:c r="G153" s="497" t="str">
        <x:v>BUKIT INTAN</x:v>
      </x:c>
      <x:c r="H153" s="497" t="str">
        <x:v>Belum Ditentukan</x:v>
      </x:c>
      <x:c r="I153" s="499" t="str">
        <x:v>RUMAH PERMANEN</x:v>
      </x:c>
      <x:c r="J153" s="508" t="str">
        <x:v>Permanen</x:v>
      </x:c>
      <x:c r="K153" s="508" t="str">
        <x:v>Belum Diidentifikasi</x:v>
      </x:c>
      <x:c r="L153" s="508" t="str">
        <x:v>Belum Dinilai</x:v>
      </x:c>
      <x:c r="M153" s="509" t="str">
        <x:v>Dinding Permanen (Material tidak dirinci)</x:v>
      </x:c>
      <x:c r="N153" s="508" t="str">
        <x:v>Belum Dinilai</x:v>
      </x:c>
      <x:c r="O153" s="510" t="str">
        <x:v>Belum Diidentifikasi</x:v>
      </x:c>
      <x:c r="P153" s="511" t="str">
        <x:v>Belum Dinilai</x:v>
      </x:c>
      <x:c r="Q153" s="522" t="str">
        <x:v>Belum Lengkap</x:v>
      </x:c>
      <x:c r="R153" s="522"/>
      <x:c r="S153" s="523" t="str">
        <x:v>Sudah Diverifikasi</x:v>
      </x:c>
      <x:c r="T153" s="524" t="str">
        <x:v>Belum Ditangani</x:v>
      </x:c>
      <x:c r="U153" s="519"/>
      <x:c r="V153" s="519"/>
      <x:c r="W153" s="521" t="str">
        <x:v>Belum Diverifikasi</x:v>
      </x:c>
      <x:c r="X153" s="520"/>
      <x:c r="Y153" s="521"/>
      <x:c r="Z153" s="519" t="n">
        <x:v>2026</x:v>
      </x:c>
      <x:c r="AA153" s="520" t="str">
        <x:v>Usulan Musrenbang/Pokir DPRD</x:v>
      </x:c>
      <x:c r="AB153" s="521" t="n">
        <x:v>46218</x:v>
      </x:c>
      <x:c r="AC153" s="520" t="str">
        <x:v>Dinas Perkim Kota Pangkalpinang</x:v>
      </x:c>
    </x:row>
    <x:row r="154" ht="32" customHeight="1">
      <x:c r="A154" s="496" t="str">
        <x:v>RTLH-0183</x:v>
      </x:c>
      <x:c r="B154" s="497" t="str">
        <x:v>RUDY</x:v>
      </x:c>
      <x:c r="C154" s="498"/>
      <x:c r="D154" s="498"/>
      <x:c r="E154" s="497" t="str">
        <x:v>JL.HORMEN MADDATI NO 24</x:v>
      </x:c>
      <x:c r="F154" s="497" t="str">
        <x:v>MELINTANG</x:v>
      </x:c>
      <x:c r="G154" s="497" t="str">
        <x:v>RANGKUI</x:v>
      </x:c>
      <x:c r="H154" s="497" t="str">
        <x:v>Belum Ditentukan</x:v>
      </x:c>
      <x:c r="I154" s="499" t="str">
        <x:v>RUMAH PERMANEN</x:v>
      </x:c>
      <x:c r="J154" s="508" t="str">
        <x:v>Permanen</x:v>
      </x:c>
      <x:c r="K154" s="508" t="str">
        <x:v>Belum Diidentifikasi</x:v>
      </x:c>
      <x:c r="L154" s="508" t="str">
        <x:v>Belum Dinilai</x:v>
      </x:c>
      <x:c r="M154" s="509" t="str">
        <x:v>Dinding Permanen (Material tidak dirinci)</x:v>
      </x:c>
      <x:c r="N154" s="508" t="str">
        <x:v>Belum Dinilai</x:v>
      </x:c>
      <x:c r="O154" s="510" t="str">
        <x:v>Belum Diidentifikasi</x:v>
      </x:c>
      <x:c r="P154" s="511" t="str">
        <x:v>Belum Dinilai</x:v>
      </x:c>
      <x:c r="Q154" s="522" t="str">
        <x:v>Lengkap</x:v>
      </x:c>
      <x:c r="R154" s="522"/>
      <x:c r="S154" s="523" t="str">
        <x:v>Sudah Diverifikasi</x:v>
      </x:c>
      <x:c r="T154" s="524" t="str">
        <x:v>Belum Ditangani</x:v>
      </x:c>
      <x:c r="U154" s="519"/>
      <x:c r="V154" s="519"/>
      <x:c r="W154" s="521" t="str">
        <x:v>Belum Diverifikasi</x:v>
      </x:c>
      <x:c r="X154" s="520"/>
      <x:c r="Y154" s="521"/>
      <x:c r="Z154" s="519" t="n">
        <x:v>2026</x:v>
      </x:c>
      <x:c r="AA154" s="520" t="str">
        <x:v>Usulan Musrenbang/Pokir DPRD</x:v>
      </x:c>
      <x:c r="AB154" s="521" t="n">
        <x:v>46218</x:v>
      </x:c>
      <x:c r="AC154" s="520" t="str">
        <x:v>Dinas Perkim Kota Pangkalpinang</x:v>
      </x:c>
    </x:row>
    <x:row r="155" ht="32" customHeight="1">
      <x:c r="A155" s="496" t="str">
        <x:v>RTLH-0184</x:v>
      </x:c>
      <x:c r="B155" s="497" t="str">
        <x:v>RIVA GUSTI</x:v>
      </x:c>
      <x:c r="C155" s="498"/>
      <x:c r="D155" s="498"/>
      <x:c r="E155" s="497" t="str">
        <x:v>JL.HORMEN MADDATI NO 24</x:v>
      </x:c>
      <x:c r="F155" s="497" t="str">
        <x:v>MELINTANG</x:v>
      </x:c>
      <x:c r="G155" s="497" t="str">
        <x:v>RANGKUI</x:v>
      </x:c>
      <x:c r="H155" s="497" t="str">
        <x:v>Peningkatan Kualitas</x:v>
      </x:c>
      <x:c r="I155" s="499" t="str">
        <x:v>RUMAH SEMI PERMANEN, BAGIAN UTAM FULL PAPAN, BAGIAN DAPUR PERMANEN</x:v>
      </x:c>
      <x:c r="J155" s="508" t="str">
        <x:v>Semipermanen</x:v>
      </x:c>
      <x:c r="K155" s="508" t="str">
        <x:v>Belum Diidentifikasi</x:v>
      </x:c>
      <x:c r="L155" s="508" t="str">
        <x:v>Belum Dinilai</x:v>
      </x:c>
      <x:c r="M155" s="509" t="str">
        <x:v>Papan/Kayu</x:v>
      </x:c>
      <x:c r="N155" s="508" t="str">
        <x:v>Belum Dinilai</x:v>
      </x:c>
      <x:c r="O155" s="510" t="str">
        <x:v>Belum Diidentifikasi</x:v>
      </x:c>
      <x:c r="P155" s="511" t="str">
        <x:v>Belum Dinilai</x:v>
      </x:c>
      <x:c r="Q155" s="522" t="str">
        <x:v>Lengkap</x:v>
      </x:c>
      <x:c r="R155" s="522"/>
      <x:c r="S155" s="523" t="str">
        <x:v>Sudah Diverifikasi</x:v>
      </x:c>
      <x:c r="T155" s="524" t="str">
        <x:v>Selesai</x:v>
      </x:c>
      <x:c r="U155" s="519" t="str">
        <x:v>APBD Kota</x:v>
      </x:c>
      <x:c r="V155" s="519" t="n">
        <x:v>2024</x:v>
      </x:c>
      <x:c r="W155" s="521" t="str">
        <x:v>Belum Diverifikasi</x:v>
      </x:c>
      <x:c r="X155" s="520"/>
      <x:c r="Y155" s="521"/>
      <x:c r="Z155" s="519" t="n">
        <x:v>2026</x:v>
      </x:c>
      <x:c r="AA155" s="520" t="str">
        <x:v>Usulan Musrenbang/Pokir DPRD</x:v>
      </x:c>
      <x:c r="AB155" s="521" t="n">
        <x:v>46218</x:v>
      </x:c>
      <x:c r="AC155" s="520" t="str">
        <x:v>Dinas Perkim Kota Pangkalpinang</x:v>
      </x:c>
    </x:row>
    <x:row r="156" ht="32" customHeight="1">
      <x:c r="A156" s="496" t="str">
        <x:v>RTLH-0185</x:v>
      </x:c>
      <x:c r="B156" s="497" t="str">
        <x:v>MARDIYAN</x:v>
      </x:c>
      <x:c r="C156" s="498"/>
      <x:c r="D156" s="498"/>
      <x:c r="E156" s="497" t="str">
        <x:v>JL. AIR MAWAR</x:v>
      </x:c>
      <x:c r="F156" s="497" t="str">
        <x:v>AIR MAWAR</x:v>
      </x:c>
      <x:c r="G156" s="497" t="str">
        <x:v>BUKIT INTAN</x:v>
      </x:c>
      <x:c r="H156" s="497" t="str">
        <x:v>Pembangunan Baru</x:v>
      </x:c>
      <x:c r="I156" s="499" t="str">
        <x:v>RUMAH FULL PAPAN</x:v>
      </x:c>
      <x:c r="J156" s="508" t="str">
        <x:v>Nonpermanen</x:v>
      </x:c>
      <x:c r="K156" s="508" t="str">
        <x:v>Belum Diidentifikasi</x:v>
      </x:c>
      <x:c r="L156" s="508" t="str">
        <x:v>Belum Dinilai</x:v>
      </x:c>
      <x:c r="M156" s="509" t="str">
        <x:v>Papan/Kayu</x:v>
      </x:c>
      <x:c r="N156" s="508" t="str">
        <x:v>Belum Dinilai</x:v>
      </x:c>
      <x:c r="O156" s="510" t="str">
        <x:v>Belum Diidentifikasi</x:v>
      </x:c>
      <x:c r="P156" s="511" t="str">
        <x:v>Belum Dinilai</x:v>
      </x:c>
      <x:c r="Q156" s="522" t="str">
        <x:v>Lengkap</x:v>
      </x:c>
      <x:c r="R156" s="522"/>
      <x:c r="S156" s="523" t="str">
        <x:v>Sudah Diverifikasi</x:v>
      </x:c>
      <x:c r="T156" s="524" t="str">
        <x:v>Selesai</x:v>
      </x:c>
      <x:c r="U156" s="519" t="str">
        <x:v>APBD Kota</x:v>
      </x:c>
      <x:c r="V156" s="519" t="n">
        <x:v>2022</x:v>
      </x:c>
      <x:c r="W156" s="521" t="str">
        <x:v>Belum Diverifikasi</x:v>
      </x:c>
      <x:c r="X156" s="520"/>
      <x:c r="Y156" s="521"/>
      <x:c r="Z156" s="519" t="n">
        <x:v>2026</x:v>
      </x:c>
      <x:c r="AA156" s="520" t="str">
        <x:v>Usulan Musrenbang/Pokir DPRD</x:v>
      </x:c>
      <x:c r="AB156" s="521" t="n">
        <x:v>46218</x:v>
      </x:c>
      <x:c r="AC156" s="520" t="str">
        <x:v>Dinas Perkim Kota Pangkalpinang</x:v>
      </x:c>
    </x:row>
    <x:row r="157" ht="32" customHeight="1">
      <x:c r="A157" s="496" t="str">
        <x:v>RTLH-0186</x:v>
      </x:c>
      <x:c r="B157" s="497" t="str">
        <x:v>JOHAN</x:v>
      </x:c>
      <x:c r="C157" s="498"/>
      <x:c r="D157" s="498"/>
      <x:c r="E157" s="497" t="str">
        <x:v>Belum tersedia</x:v>
      </x:c>
      <x:c r="F157" s="497" t="str">
        <x:v>KEJAKSAAN</x:v>
      </x:c>
      <x:c r="G157" s="497" t="str">
        <x:v>TAMAN SARI</x:v>
      </x:c>
      <x:c r="H157" s="497" t="str">
        <x:v>Belum Ditentukan</x:v>
      </x:c>
      <x:c r="I157" s="499" t="str">
        <x:v>RUMAH FULL PAPAN , DINDING RUSAK RINGAN, ATAP RUSAK RINGAN, LANTAI FLOOR</x:v>
      </x:c>
      <x:c r="J157" s="508" t="str">
        <x:v>Nonpermanen</x:v>
      </x:c>
      <x:c r="K157" s="508" t="str">
        <x:v>Belum Diidentifikasi</x:v>
      </x:c>
      <x:c r="L157" s="508" t="str">
        <x:v>Rusak Ringan</x:v>
      </x:c>
      <x:c r="M157" s="509" t="str">
        <x:v>Papan/Kayu</x:v>
      </x:c>
      <x:c r="N157" s="508" t="str">
        <x:v>Rusak Ringan</x:v>
      </x:c>
      <x:c r="O157" s="510" t="str">
        <x:v>Semen/Plester</x:v>
      </x:c>
      <x:c r="P157" s="511" t="str">
        <x:v>Rusak Ringan</x:v>
      </x:c>
      <x:c r="Q157" s="522" t="str">
        <x:v>Belum Lengkap</x:v>
      </x:c>
      <x:c r="R157" s="522"/>
      <x:c r="S157" s="523" t="str">
        <x:v>Sudah Diverifikasi</x:v>
      </x:c>
      <x:c r="T157" s="524" t="str">
        <x:v>Belum Ditangani</x:v>
      </x:c>
      <x:c r="U157" s="519"/>
      <x:c r="V157" s="519"/>
      <x:c r="W157" s="521" t="str">
        <x:v>Belum Diverifikasi</x:v>
      </x:c>
      <x:c r="X157" s="520"/>
      <x:c r="Y157" s="521"/>
      <x:c r="Z157" s="519" t="n">
        <x:v>2026</x:v>
      </x:c>
      <x:c r="AA157" s="520" t="str">
        <x:v>Usulan Musrenbang/Pokir DPRD</x:v>
      </x:c>
      <x:c r="AB157" s="521" t="n">
        <x:v>46218</x:v>
      </x:c>
      <x:c r="AC157" s="520" t="str">
        <x:v>Dinas Perkim Kota Pangkalpinang</x:v>
      </x:c>
    </x:row>
    <x:row r="158" ht="32" customHeight="1">
      <x:c r="A158" s="496" t="str">
        <x:v>RTLH-0187</x:v>
      </x:c>
      <x:c r="B158" s="497" t="str">
        <x:v>ATTAYATUL</x:v>
      </x:c>
      <x:c r="C158" s="498"/>
      <x:c r="D158" s="498"/>
      <x:c r="E158" s="497" t="str">
        <x:v>JL.NANAS II</x:v>
      </x:c>
      <x:c r="F158" s="497" t="str">
        <x:v>GAJAH MADA</x:v>
      </x:c>
      <x:c r="G158" s="497" t="str">
        <x:v>RANGKUI</x:v>
      </x:c>
      <x:c r="H158" s="497" t="str">
        <x:v>Belum Ditentukan</x:v>
      </x:c>
      <x:c r="I158" s="499" t="str">
        <x:v>RUMAH PERMANEN, HANYA MINTA REHAB BAGIAN DAPUR</x:v>
      </x:c>
      <x:c r="J158" s="508" t="str">
        <x:v>Permanen</x:v>
      </x:c>
      <x:c r="K158" s="508" t="str">
        <x:v>Belum Diidentifikasi</x:v>
      </x:c>
      <x:c r="L158" s="508" t="str">
        <x:v>Belum Dinilai</x:v>
      </x:c>
      <x:c r="M158" s="509" t="str">
        <x:v>Dinding Permanen (Material tidak dirinci)</x:v>
      </x:c>
      <x:c r="N158" s="508" t="str">
        <x:v>Belum Dinilai</x:v>
      </x:c>
      <x:c r="O158" s="510" t="str">
        <x:v>Belum Diidentifikasi</x:v>
      </x:c>
      <x:c r="P158" s="511" t="str">
        <x:v>Belum Dinilai</x:v>
      </x:c>
      <x:c r="Q158" s="522" t="str">
        <x:v>Lengkap</x:v>
      </x:c>
      <x:c r="R158" s="522"/>
      <x:c r="S158" s="523" t="str">
        <x:v>Sudah Diverifikasi</x:v>
      </x:c>
      <x:c r="T158" s="524" t="str">
        <x:v>Belum Ditangani</x:v>
      </x:c>
      <x:c r="U158" s="519"/>
      <x:c r="V158" s="519"/>
      <x:c r="W158" s="521" t="str">
        <x:v>Belum Diverifikasi</x:v>
      </x:c>
      <x:c r="X158" s="520"/>
      <x:c r="Y158" s="521"/>
      <x:c r="Z158" s="519" t="n">
        <x:v>2026</x:v>
      </x:c>
      <x:c r="AA158" s="520" t="str">
        <x:v>Usulan Musrenbang/Pokir DPRD</x:v>
      </x:c>
      <x:c r="AB158" s="521" t="n">
        <x:v>46218</x:v>
      </x:c>
      <x:c r="AC158" s="520" t="str">
        <x:v>Dinas Perkim Kota Pangkalpinang</x:v>
      </x:c>
    </x:row>
    <x:row r="159" ht="32" customHeight="1">
      <x:c r="A159" s="496" t="str">
        <x:v>RTLH-0188</x:v>
      </x:c>
      <x:c r="B159" s="497" t="str">
        <x:v>ZAIMAH</x:v>
      </x:c>
      <x:c r="C159" s="498"/>
      <x:c r="D159" s="498"/>
      <x:c r="E159" s="497" t="str">
        <x:v>JL.IRIAN NO 90</x:v>
      </x:c>
      <x:c r="F159" s="497" t="str">
        <x:v>GAJAH MADA</x:v>
      </x:c>
      <x:c r="G159" s="497" t="str">
        <x:v>RANGKUI</x:v>
      </x:c>
      <x:c r="H159" s="497" t="str">
        <x:v>Peningkatan Kualitas</x:v>
      </x:c>
      <x:c r="I159" s="499" t="str">
        <x:v>RUMAH SEMI PERMANEN, BAGIAN DEPAN PERMANEN, BAGIAN BELAKANG PAPAN</x:v>
      </x:c>
      <x:c r="J159" s="508" t="str">
        <x:v>Semipermanen</x:v>
      </x:c>
      <x:c r="K159" s="508" t="str">
        <x:v>Belum Diidentifikasi</x:v>
      </x:c>
      <x:c r="L159" s="508" t="str">
        <x:v>Belum Dinilai</x:v>
      </x:c>
      <x:c r="M159" s="509" t="str">
        <x:v>Campuran Permanen dan Papan</x:v>
      </x:c>
      <x:c r="N159" s="508" t="str">
        <x:v>Belum Dinilai</x:v>
      </x:c>
      <x:c r="O159" s="510" t="str">
        <x:v>Belum Diidentifikasi</x:v>
      </x:c>
      <x:c r="P159" s="511" t="str">
        <x:v>Belum Dinilai</x:v>
      </x:c>
      <x:c r="Q159" s="522" t="str">
        <x:v>Lengkap</x:v>
      </x:c>
      <x:c r="R159" s="522"/>
      <x:c r="S159" s="523" t="str">
        <x:v>Sudah Diverifikasi</x:v>
      </x:c>
      <x:c r="T159" s="524" t="str">
        <x:v>Selesai</x:v>
      </x:c>
      <x:c r="U159" s="519" t="str">
        <x:v>APBD Kota</x:v>
      </x:c>
      <x:c r="V159" s="519"/>
      <x:c r="W159" s="521" t="str">
        <x:v>Belum Diverifikasi</x:v>
      </x:c>
      <x:c r="X159" s="520"/>
      <x:c r="Y159" s="521"/>
      <x:c r="Z159" s="519" t="n">
        <x:v>2026</x:v>
      </x:c>
      <x:c r="AA159" s="520" t="str">
        <x:v>Usulan Musrenbang/Pokir DPRD</x:v>
      </x:c>
      <x:c r="AB159" s="521" t="n">
        <x:v>46218</x:v>
      </x:c>
      <x:c r="AC159" s="520" t="str">
        <x:v>Dinas Perkim Kota Pangkalpinang</x:v>
      </x:c>
    </x:row>
    <x:row r="160" ht="32" customHeight="1">
      <x:c r="A160" s="496" t="str">
        <x:v>RTLH-0189</x:v>
      </x:c>
      <x:c r="B160" s="497" t="str">
        <x:v>A.HANAN / ZAENAB</x:v>
      </x:c>
      <x:c r="C160" s="498"/>
      <x:c r="D160" s="498"/>
      <x:c r="E160" s="497" t="str">
        <x:v>Belum tersedia</x:v>
      </x:c>
      <x:c r="F160" s="497" t="str">
        <x:v>GAJAH MADA</x:v>
      </x:c>
      <x:c r="G160" s="497" t="str">
        <x:v>RANGKUI</x:v>
      </x:c>
      <x:c r="H160" s="497" t="str">
        <x:v>Pembangunan Baru</x:v>
      </x:c>
      <x:c r="I160" s="499" t="str">
        <x:v>RUMAH SEMI PERMANEN, LANTAI FLOOR ( SELALU BANJIR SAAT HUJAN)]</x:v>
      </x:c>
      <x:c r="J160" s="508" t="str">
        <x:v>Semipermanen</x:v>
      </x:c>
      <x:c r="K160" s="508" t="str">
        <x:v>Belum Diidentifikasi</x:v>
      </x:c>
      <x:c r="L160" s="508" t="str">
        <x:v>Belum Dinilai</x:v>
      </x:c>
      <x:c r="M160" s="509" t="str">
        <x:v>Campuran Permanen dan Papan</x:v>
      </x:c>
      <x:c r="N160" s="508" t="str">
        <x:v>Belum Dinilai</x:v>
      </x:c>
      <x:c r="O160" s="510" t="str">
        <x:v>Semen/Plester</x:v>
      </x:c>
      <x:c r="P160" s="511" t="str">
        <x:v>Belum Dinilai</x:v>
      </x:c>
      <x:c r="Q160" s="522" t="str">
        <x:v>Lengkap</x:v>
      </x:c>
      <x:c r="R160" s="522"/>
      <x:c r="S160" s="523" t="str">
        <x:v>Sudah Diverifikasi</x:v>
      </x:c>
      <x:c r="T160" s="524" t="str">
        <x:v>Selesai</x:v>
      </x:c>
      <x:c r="U160" s="519" t="str">
        <x:v>APBD Kota</x:v>
      </x:c>
      <x:c r="V160" s="519"/>
      <x:c r="W160" s="521" t="str">
        <x:v>Belum Diverifikasi</x:v>
      </x:c>
      <x:c r="X160" s="520"/>
      <x:c r="Y160" s="521"/>
      <x:c r="Z160" s="519" t="n">
        <x:v>2026</x:v>
      </x:c>
      <x:c r="AA160" s="520" t="str">
        <x:v>Usulan Musrenbang/Pokir DPRD</x:v>
      </x:c>
      <x:c r="AB160" s="521" t="n">
        <x:v>46218</x:v>
      </x:c>
      <x:c r="AC160" s="520" t="str">
        <x:v>Dinas Perkim Kota Pangkalpinang</x:v>
      </x:c>
    </x:row>
    <x:row r="161" ht="32" customHeight="1">
      <x:c r="A161" s="496" t="str">
        <x:v>RTLH-0190</x:v>
      </x:c>
      <x:c r="B161" s="497" t="str">
        <x:v>AZIZAH</x:v>
      </x:c>
      <x:c r="C161" s="498"/>
      <x:c r="D161" s="498"/>
      <x:c r="E161" s="497" t="str">
        <x:v>JL,KERABUT GG.SD 44</x:v>
      </x:c>
      <x:c r="F161" s="497" t="str">
        <x:v>JERAMBAH GANTUNG</x:v>
      </x:c>
      <x:c r="G161" s="497" t="str">
        <x:v>GABEK</x:v>
      </x:c>
      <x:c r="H161" s="497" t="str">
        <x:v>Belum Ditentukan</x:v>
      </x:c>
      <x:c r="I161" s="499" t="str">
        <x:v>RUMAH PERMANEN,LANTAI FLOOR,KEADAAN DINDING TANPA PLESTERAN,ATAP SENG</x:v>
      </x:c>
      <x:c r="J161" s="508" t="str">
        <x:v>Permanen</x:v>
      </x:c>
      <x:c r="K161" s="508" t="str">
        <x:v>Seng</x:v>
      </x:c>
      <x:c r="L161" s="508" t="str">
        <x:v>Belum Dinilai</x:v>
      </x:c>
      <x:c r="M161" s="509" t="str">
        <x:v>Dinding Permanen (Material tidak dirinci)</x:v>
      </x:c>
      <x:c r="N161" s="508" t="str">
        <x:v>Belum Dinilai</x:v>
      </x:c>
      <x:c r="O161" s="510" t="str">
        <x:v>Semen/Plester</x:v>
      </x:c>
      <x:c r="P161" s="511" t="str">
        <x:v>Belum Dinilai</x:v>
      </x:c>
      <x:c r="Q161" s="522" t="str">
        <x:v>Lengkap</x:v>
      </x:c>
      <x:c r="R161" s="522"/>
      <x:c r="S161" s="523" t="str">
        <x:v>Sudah Diverifikasi</x:v>
      </x:c>
      <x:c r="T161" s="524" t="str">
        <x:v>Belum Ditangani</x:v>
      </x:c>
      <x:c r="U161" s="519"/>
      <x:c r="V161" s="519"/>
      <x:c r="W161" s="521" t="str">
        <x:v>Belum Diverifikasi</x:v>
      </x:c>
      <x:c r="X161" s="520"/>
      <x:c r="Y161" s="521"/>
      <x:c r="Z161" s="519" t="n">
        <x:v>2026</x:v>
      </x:c>
      <x:c r="AA161" s="520" t="str">
        <x:v>Usulan Musrenbang/Pokir DPRD</x:v>
      </x:c>
      <x:c r="AB161" s="521" t="n">
        <x:v>46218</x:v>
      </x:c>
      <x:c r="AC161" s="520" t="str">
        <x:v>Dinas Perkim Kota Pangkalpinang</x:v>
      </x:c>
    </x:row>
    <x:row r="162" ht="32" customHeight="1">
      <x:c r="A162" s="496" t="str">
        <x:v>RTLH-0191</x:v>
      </x:c>
      <x:c r="B162" s="497" t="str">
        <x:v>SUYANTO</x:v>
      </x:c>
      <x:c r="C162" s="498"/>
      <x:c r="D162" s="498"/>
      <x:c r="E162" s="497" t="str">
        <x:v>JL,KELOMPOK</x:v>
      </x:c>
      <x:c r="F162" s="497" t="str">
        <x:v>JERAMBAH GANTUNG</x:v>
      </x:c>
      <x:c r="G162" s="497" t="str">
        <x:v>GABEK</x:v>
      </x:c>
      <x:c r="H162" s="497" t="str">
        <x:v>Pembangunan Baru</x:v>
      </x:c>
      <x:c r="I162" s="499" t="str">
        <x:v>RUMAH FULL PAPAN,LANTAI FLOOR,ATAP SENG, KEADAAN DINDING RUSAK ,ATAP BAIK, LANTAI RUSAK RINGAN (Lengkap)</x:v>
      </x:c>
      <x:c r="J162" s="508" t="str">
        <x:v>Nonpermanen</x:v>
      </x:c>
      <x:c r="K162" s="508" t="str">
        <x:v>Seng</x:v>
      </x:c>
      <x:c r="L162" s="508" t="str">
        <x:v>Rusak Ringan</x:v>
      </x:c>
      <x:c r="M162" s="509" t="str">
        <x:v>Papan/Kayu</x:v>
      </x:c>
      <x:c r="N162" s="508" t="str">
        <x:v>Rusak Ringan</x:v>
      </x:c>
      <x:c r="O162" s="510" t="str">
        <x:v>Semen/Plester</x:v>
      </x:c>
      <x:c r="P162" s="511" t="str">
        <x:v>Rusak Ringan</x:v>
      </x:c>
      <x:c r="Q162" s="522" t="str">
        <x:v>Lengkap</x:v>
      </x:c>
      <x:c r="R162" s="522"/>
      <x:c r="S162" s="523" t="str">
        <x:v>Sudah Diverifikasi</x:v>
      </x:c>
      <x:c r="T162" s="524" t="str">
        <x:v>Belum Ditangani</x:v>
      </x:c>
      <x:c r="U162" s="519"/>
      <x:c r="V162" s="519"/>
      <x:c r="W162" s="521" t="str">
        <x:v>Belum Diverifikasi</x:v>
      </x:c>
      <x:c r="X162" s="520"/>
      <x:c r="Y162" s="521"/>
      <x:c r="Z162" s="519" t="n">
        <x:v>2026</x:v>
      </x:c>
      <x:c r="AA162" s="520" t="str">
        <x:v>Usulan Musrenbang/Pokir DPRD</x:v>
      </x:c>
      <x:c r="AB162" s="521" t="n">
        <x:v>46218</x:v>
      </x:c>
      <x:c r="AC162" s="520" t="str">
        <x:v>Dinas Perkim Kota Pangkalpinang</x:v>
      </x:c>
    </x:row>
    <x:row r="163" ht="32" customHeight="1">
      <x:c r="A163" s="496" t="str">
        <x:v>RTLH-0192</x:v>
      </x:c>
      <x:c r="B163" s="497" t="str">
        <x:v>ASNAH . D</x:v>
      </x:c>
      <x:c r="C163" s="498"/>
      <x:c r="D163" s="498"/>
      <x:c r="E163" s="497" t="str">
        <x:v>RT/RW 002 / 001 , JALAN HORMEN MADDATI NO 65</x:v>
      </x:c>
      <x:c r="F163" s="497" t="str">
        <x:v>MELINTANG</x:v>
      </x:c>
      <x:c r="G163" s="497" t="str">
        <x:v>RANGKUI</x:v>
      </x:c>
      <x:c r="H163" s="497" t="str">
        <x:v>Pembangunan Baru</x:v>
      </x:c>
      <x:c r="I163" s="499" t="str">
        <x:v>RUMAH FULL PAPAN</x:v>
      </x:c>
      <x:c r="J163" s="508" t="str">
        <x:v>Nonpermanen</x:v>
      </x:c>
      <x:c r="K163" s="508" t="str">
        <x:v>Belum Diidentifikasi</x:v>
      </x:c>
      <x:c r="L163" s="508" t="str">
        <x:v>Belum Dinilai</x:v>
      </x:c>
      <x:c r="M163" s="509" t="str">
        <x:v>Papan/Kayu</x:v>
      </x:c>
      <x:c r="N163" s="508" t="str">
        <x:v>Belum Dinilai</x:v>
      </x:c>
      <x:c r="O163" s="510" t="str">
        <x:v>Belum Diidentifikasi</x:v>
      </x:c>
      <x:c r="P163" s="511" t="str">
        <x:v>Belum Dinilai</x:v>
      </x:c>
      <x:c r="Q163" s="522" t="str">
        <x:v>Lengkap</x:v>
      </x:c>
      <x:c r="R163" s="522"/>
      <x:c r="S163" s="523" t="str">
        <x:v>Sudah Diverifikasi</x:v>
      </x:c>
      <x:c r="T163" s="524" t="str">
        <x:v>Selesai</x:v>
      </x:c>
      <x:c r="U163" s="519" t="str">
        <x:v>CSR</x:v>
      </x:c>
      <x:c r="V163" s="519"/>
      <x:c r="W163" s="521" t="str">
        <x:v>Belum Diverifikasi</x:v>
      </x:c>
      <x:c r="X163" s="520"/>
      <x:c r="Y163" s="521"/>
      <x:c r="Z163" s="519" t="n">
        <x:v>2026</x:v>
      </x:c>
      <x:c r="AA163" s="520" t="str">
        <x:v>Usulan Musrenbang/Pokir DPRD</x:v>
      </x:c>
      <x:c r="AB163" s="521" t="n">
        <x:v>46218</x:v>
      </x:c>
      <x:c r="AC163" s="520" t="str">
        <x:v>Dinas Perkim Kota Pangkalpinang</x:v>
      </x:c>
    </x:row>
    <x:row r="164" ht="32" customHeight="1">
      <x:c r="A164" s="496" t="str">
        <x:v>RTLH-0193</x:v>
      </x:c>
      <x:c r="B164" s="497" t="str">
        <x:v>ROSMAH</x:v>
      </x:c>
      <x:c r="C164" s="498"/>
      <x:c r="D164" s="498"/>
      <x:c r="E164" s="497" t="str">
        <x:v>RT/RW 005/002, JL. MASJID ALHUDA NO.95</x:v>
      </x:c>
      <x:c r="F164" s="497" t="str">
        <x:v>MELINTANG</x:v>
      </x:c>
      <x:c r="G164" s="497" t="str">
        <x:v>RANGKUI</x:v>
      </x:c>
      <x:c r="H164" s="497" t="str">
        <x:v>Pembangunan Baru</x:v>
      </x:c>
      <x:c r="I164" s="499" t="str">
        <x:v>SURAT-Lengkap, RUMAH SEMI PERMANEN, BAGIAN DAPUR PERMANEN, DINDING RUSAK RINGAN, ATAP RUSAK RINGAN, LANTAI FULL FLOR,</x:v>
      </x:c>
      <x:c r="J164" s="508" t="str">
        <x:v>Semipermanen</x:v>
      </x:c>
      <x:c r="K164" s="508" t="str">
        <x:v>Belum Diidentifikasi</x:v>
      </x:c>
      <x:c r="L164" s="508" t="str">
        <x:v>Rusak Ringan</x:v>
      </x:c>
      <x:c r="M164" s="509" t="str">
        <x:v>Campuran Permanen dan Papan</x:v>
      </x:c>
      <x:c r="N164" s="508" t="str">
        <x:v>Rusak Ringan</x:v>
      </x:c>
      <x:c r="O164" s="510" t="str">
        <x:v>Belum Diidentifikasi</x:v>
      </x:c>
      <x:c r="P164" s="511" t="str">
        <x:v>Rusak Ringan</x:v>
      </x:c>
      <x:c r="Q164" s="522" t="str">
        <x:v>Lengkap</x:v>
      </x:c>
      <x:c r="R164" s="522"/>
      <x:c r="S164" s="523" t="str">
        <x:v>Sudah Diverifikasi</x:v>
      </x:c>
      <x:c r="T164" s="524" t="str">
        <x:v>Selesai</x:v>
      </x:c>
      <x:c r="U164" s="519" t="str">
        <x:v>APBD Kota</x:v>
      </x:c>
      <x:c r="V164" s="519" t="n">
        <x:v>2022</x:v>
      </x:c>
      <x:c r="W164" s="521" t="str">
        <x:v>Belum Diverifikasi</x:v>
      </x:c>
      <x:c r="X164" s="520"/>
      <x:c r="Y164" s="521"/>
      <x:c r="Z164" s="519" t="n">
        <x:v>2026</x:v>
      </x:c>
      <x:c r="AA164" s="520" t="str">
        <x:v>Usulan Musrenbang/Pokir DPRD</x:v>
      </x:c>
      <x:c r="AB164" s="521" t="n">
        <x:v>46218</x:v>
      </x:c>
      <x:c r="AC164" s="520" t="str">
        <x:v>Dinas Perkim Kota Pangkalpinang</x:v>
      </x:c>
    </x:row>
    <x:row r="165" ht="32" customHeight="1">
      <x:c r="A165" s="496" t="str">
        <x:v>RTLH-0194</x:v>
      </x:c>
      <x:c r="B165" s="497" t="str">
        <x:v>SYARIFUDIN</x:v>
      </x:c>
      <x:c r="C165" s="498"/>
      <x:c r="D165" s="498"/>
      <x:c r="E165" s="497" t="str">
        <x:v>GG.TOMAT I NO.6</x:v>
      </x:c>
      <x:c r="F165" s="497" t="str">
        <x:v>MELINTANG</x:v>
      </x:c>
      <x:c r="G165" s="497" t="str">
        <x:v>RANGKUI</x:v>
      </x:c>
      <x:c r="H165" s="497" t="str">
        <x:v>Belum Ditentukan</x:v>
      </x:c>
      <x:c r="I165" s="499" t="str">
        <x:v>RUMAH SEMI PERMANEN,</x:v>
      </x:c>
      <x:c r="J165" s="508" t="str">
        <x:v>Semipermanen</x:v>
      </x:c>
      <x:c r="K165" s="508" t="str">
        <x:v>Belum Diidentifikasi</x:v>
      </x:c>
      <x:c r="L165" s="508" t="str">
        <x:v>Belum Dinilai</x:v>
      </x:c>
      <x:c r="M165" s="509" t="str">
        <x:v>Campuran Permanen dan Papan</x:v>
      </x:c>
      <x:c r="N165" s="508" t="str">
        <x:v>Belum Dinilai</x:v>
      </x:c>
      <x:c r="O165" s="510" t="str">
        <x:v>Belum Diidentifikasi</x:v>
      </x:c>
      <x:c r="P165" s="511" t="str">
        <x:v>Belum Dinilai</x:v>
      </x:c>
      <x:c r="Q165" s="522" t="str">
        <x:v>Lengkap</x:v>
      </x:c>
      <x:c r="R165" s="522"/>
      <x:c r="S165" s="523" t="str">
        <x:v>Sudah Diverifikasi</x:v>
      </x:c>
      <x:c r="T165" s="524" t="str">
        <x:v>Belum Ditangani</x:v>
      </x:c>
      <x:c r="U165" s="519"/>
      <x:c r="V165" s="519"/>
      <x:c r="W165" s="521" t="str">
        <x:v>Belum Diverifikasi</x:v>
      </x:c>
      <x:c r="X165" s="520"/>
      <x:c r="Y165" s="521"/>
      <x:c r="Z165" s="519" t="n">
        <x:v>2026</x:v>
      </x:c>
      <x:c r="AA165" s="520" t="str">
        <x:v>Usulan Musrenbang/Pokir DPRD</x:v>
      </x:c>
      <x:c r="AB165" s="521" t="n">
        <x:v>46218</x:v>
      </x:c>
      <x:c r="AC165" s="520" t="str">
        <x:v>Dinas Perkim Kota Pangkalpinang</x:v>
      </x:c>
    </x:row>
    <x:row r="166" ht="32" customHeight="1">
      <x:c r="A166" s="496" t="str">
        <x:v>RTLH-0195</x:v>
      </x:c>
      <x:c r="B166" s="497" t="str">
        <x:v>SITI MASITOH</x:v>
      </x:c>
      <x:c r="C166" s="498"/>
      <x:c r="D166" s="498"/>
      <x:c r="E166" s="497" t="str">
        <x:v>GG.TOMAT I NO.6</x:v>
      </x:c>
      <x:c r="F166" s="497" t="str">
        <x:v>MELINTANG</x:v>
      </x:c>
      <x:c r="G166" s="497" t="str">
        <x:v>RANGKUI</x:v>
      </x:c>
      <x:c r="H166" s="497" t="str">
        <x:v>Pembangunan Baru</x:v>
      </x:c>
      <x:c r="I166" s="499" t="str">
        <x:v>RUMAH SEMI PERMANEN , BAGIAN DAPUR PERMANEN, BAGIAN DEPAN PAPAN</x:v>
      </x:c>
      <x:c r="J166" s="508" t="str">
        <x:v>Semipermanen</x:v>
      </x:c>
      <x:c r="K166" s="508" t="str">
        <x:v>Belum Diidentifikasi</x:v>
      </x:c>
      <x:c r="L166" s="508" t="str">
        <x:v>Belum Dinilai</x:v>
      </x:c>
      <x:c r="M166" s="509" t="str">
        <x:v>Campuran Permanen dan Papan</x:v>
      </x:c>
      <x:c r="N166" s="508" t="str">
        <x:v>Belum Dinilai</x:v>
      </x:c>
      <x:c r="O166" s="510" t="str">
        <x:v>Belum Diidentifikasi</x:v>
      </x:c>
      <x:c r="P166" s="511" t="str">
        <x:v>Belum Dinilai</x:v>
      </x:c>
      <x:c r="Q166" s="522" t="str">
        <x:v>Lengkap</x:v>
      </x:c>
      <x:c r="R166" s="522"/>
      <x:c r="S166" s="523" t="str">
        <x:v>Sudah Diverifikasi</x:v>
      </x:c>
      <x:c r="T166" s="524" t="str">
        <x:v>Belum Ditangani</x:v>
      </x:c>
      <x:c r="U166" s="519"/>
      <x:c r="V166" s="519"/>
      <x:c r="W166" s="521" t="str">
        <x:v>Belum Diverifikasi</x:v>
      </x:c>
      <x:c r="X166" s="520"/>
      <x:c r="Y166" s="521"/>
      <x:c r="Z166" s="519" t="n">
        <x:v>2026</x:v>
      </x:c>
      <x:c r="AA166" s="520" t="str">
        <x:v>Usulan Musrenbang/Pokir DPRD</x:v>
      </x:c>
      <x:c r="AB166" s="521" t="n">
        <x:v>46218</x:v>
      </x:c>
      <x:c r="AC166" s="520" t="str">
        <x:v>Dinas Perkim Kota Pangkalpinang</x:v>
      </x:c>
    </x:row>
    <x:row r="167" ht="32" customHeight="1">
      <x:c r="A167" s="496" t="str">
        <x:v>RTLH-0196</x:v>
      </x:c>
      <x:c r="B167" s="497" t="str">
        <x:v>ANAWATI</x:v>
      </x:c>
      <x:c r="C167" s="498"/>
      <x:c r="D167" s="498"/>
      <x:c r="E167" s="497" t="str">
        <x:v>JL: HORMEN MADDATI NO.55</x:v>
      </x:c>
      <x:c r="F167" s="497" t="str">
        <x:v>MELINTANG</x:v>
      </x:c>
      <x:c r="G167" s="497" t="str">
        <x:v>RANGKUI</x:v>
      </x:c>
      <x:c r="H167" s="497" t="str">
        <x:v>Peningkatan Kualitas</x:v>
      </x:c>
      <x:c r="I167" s="499" t="str">
        <x:v>RUMAH SEMI PERMANEN, BAGIAN DEPAN PAPAN, LANTAI FLOOR , ATAP SENG</x:v>
      </x:c>
      <x:c r="J167" s="508" t="str">
        <x:v>Semipermanen</x:v>
      </x:c>
      <x:c r="K167" s="508" t="str">
        <x:v>Seng</x:v>
      </x:c>
      <x:c r="L167" s="508" t="str">
        <x:v>Belum Dinilai</x:v>
      </x:c>
      <x:c r="M167" s="509" t="str">
        <x:v>Campuran Permanen dan Papan</x:v>
      </x:c>
      <x:c r="N167" s="508" t="str">
        <x:v>Belum Dinilai</x:v>
      </x:c>
      <x:c r="O167" s="510" t="str">
        <x:v>Semen/Plester</x:v>
      </x:c>
      <x:c r="P167" s="511" t="str">
        <x:v>Belum Dinilai</x:v>
      </x:c>
      <x:c r="Q167" s="522" t="str">
        <x:v>Lengkap</x:v>
      </x:c>
      <x:c r="R167" s="522"/>
      <x:c r="S167" s="523" t="str">
        <x:v>Sudah Diverifikasi</x:v>
      </x:c>
      <x:c r="T167" s="524" t="str">
        <x:v>Selesai</x:v>
      </x:c>
      <x:c r="U167" s="519" t="str">
        <x:v>APBD Kota</x:v>
      </x:c>
      <x:c r="V167" s="519" t="n">
        <x:v>2022</x:v>
      </x:c>
      <x:c r="W167" s="521" t="str">
        <x:v>Belum Diverifikasi</x:v>
      </x:c>
      <x:c r="X167" s="520"/>
      <x:c r="Y167" s="521"/>
      <x:c r="Z167" s="519" t="n">
        <x:v>2026</x:v>
      </x:c>
      <x:c r="AA167" s="520" t="str">
        <x:v>Usulan Musrenbang/Pokir DPRD</x:v>
      </x:c>
      <x:c r="AB167" s="521" t="n">
        <x:v>46218</x:v>
      </x:c>
      <x:c r="AC167" s="520" t="str">
        <x:v>Dinas Perkim Kota Pangkalpinang</x:v>
      </x:c>
    </x:row>
    <x:row r="168" ht="32" customHeight="1">
      <x:c r="A168" s="496" t="str">
        <x:v>RTLH-0197</x:v>
      </x:c>
      <x:c r="B168" s="497" t="str">
        <x:v>ADRI</x:v>
      </x:c>
      <x:c r="C168" s="498"/>
      <x:c r="D168" s="498"/>
      <x:c r="E168" s="497" t="str">
        <x:v>JL.LETKOL H.SULAIMAN SALAM GG.BINJAI 3</x:v>
      </x:c>
      <x:c r="F168" s="497" t="str">
        <x:v>MELINTANG</x:v>
      </x:c>
      <x:c r="G168" s="497" t="str">
        <x:v>RANGKUI</x:v>
      </x:c>
      <x:c r="H168" s="497" t="str">
        <x:v>Peningkatan Kualitas</x:v>
      </x:c>
      <x:c r="I168" s="499" t="str">
        <x:v>RUMAH SEMI PERMANEN, BAGIAN DEPAN PAPAN, LANTAI FLOOR , ATAP SENG</x:v>
      </x:c>
      <x:c r="J168" s="508" t="str">
        <x:v>Semipermanen</x:v>
      </x:c>
      <x:c r="K168" s="508" t="str">
        <x:v>Seng</x:v>
      </x:c>
      <x:c r="L168" s="508" t="str">
        <x:v>Belum Dinilai</x:v>
      </x:c>
      <x:c r="M168" s="509" t="str">
        <x:v>Campuran Permanen dan Papan</x:v>
      </x:c>
      <x:c r="N168" s="508" t="str">
        <x:v>Belum Dinilai</x:v>
      </x:c>
      <x:c r="O168" s="510" t="str">
        <x:v>Semen/Plester</x:v>
      </x:c>
      <x:c r="P168" s="511" t="str">
        <x:v>Belum Dinilai</x:v>
      </x:c>
      <x:c r="Q168" s="522" t="str">
        <x:v>Lengkap</x:v>
      </x:c>
      <x:c r="R168" s="522"/>
      <x:c r="S168" s="523" t="str">
        <x:v>Sudah Diverifikasi</x:v>
      </x:c>
      <x:c r="T168" s="524" t="str">
        <x:v>Selesai</x:v>
      </x:c>
      <x:c r="U168" s="519" t="str">
        <x:v>APBD Kota</x:v>
      </x:c>
      <x:c r="V168" s="519" t="n">
        <x:v>2022</x:v>
      </x:c>
      <x:c r="W168" s="521" t="str">
        <x:v>Belum Diverifikasi</x:v>
      </x:c>
      <x:c r="X168" s="520"/>
      <x:c r="Y168" s="521"/>
      <x:c r="Z168" s="519" t="n">
        <x:v>2026</x:v>
      </x:c>
      <x:c r="AA168" s="520" t="str">
        <x:v>Usulan Musrenbang/Pokir DPRD</x:v>
      </x:c>
      <x:c r="AB168" s="521" t="n">
        <x:v>46218</x:v>
      </x:c>
      <x:c r="AC168" s="520" t="str">
        <x:v>Dinas Perkim Kota Pangkalpinang</x:v>
      </x:c>
    </x:row>
    <x:row r="169" ht="32" customHeight="1">
      <x:c r="A169" s="496" t="str">
        <x:v>RTLH-0198</x:v>
      </x:c>
      <x:c r="B169" s="497" t="str">
        <x:v>BUCE DE QUALYU</x:v>
      </x:c>
      <x:c r="C169" s="498"/>
      <x:c r="D169" s="498"/>
      <x:c r="E169" s="497" t="str">
        <x:v>JL,LIONG BIEN NO.13 RT/RW 006/002</x:v>
      </x:c>
      <x:c r="F169" s="497" t="str">
        <x:v>MELINTANG</x:v>
      </x:c>
      <x:c r="G169" s="497" t="str">
        <x:v>RANGKUI</x:v>
      </x:c>
      <x:c r="H169" s="497" t="str">
        <x:v>Belum Ditentukan</x:v>
      </x:c>
      <x:c r="I169" s="499" t="str">
        <x:v>RUMAH FULL PAPAN, ATAP SENG, LANTAI FLOOR ( PERNAH MENGUNDURKAN DIRI TAHUN 2018)</x:v>
      </x:c>
      <x:c r="J169" s="508" t="str">
        <x:v>Nonpermanen</x:v>
      </x:c>
      <x:c r="K169" s="508" t="str">
        <x:v>Seng</x:v>
      </x:c>
      <x:c r="L169" s="508" t="str">
        <x:v>Belum Dinilai</x:v>
      </x:c>
      <x:c r="M169" s="509" t="str">
        <x:v>Papan/Kayu</x:v>
      </x:c>
      <x:c r="N169" s="508" t="str">
        <x:v>Belum Dinilai</x:v>
      </x:c>
      <x:c r="O169" s="510" t="str">
        <x:v>Semen/Plester</x:v>
      </x:c>
      <x:c r="P169" s="511" t="str">
        <x:v>Belum Dinilai</x:v>
      </x:c>
      <x:c r="Q169" s="522" t="str">
        <x:v>Lengkap</x:v>
      </x:c>
      <x:c r="R169" s="522"/>
      <x:c r="S169" s="523" t="str">
        <x:v>Sudah Diverifikasi</x:v>
      </x:c>
      <x:c r="T169" s="524" t="str">
        <x:v>Belum Ditangani</x:v>
      </x:c>
      <x:c r="U169" s="519"/>
      <x:c r="V169" s="519"/>
      <x:c r="W169" s="521" t="str">
        <x:v>Belum Diverifikasi</x:v>
      </x:c>
      <x:c r="X169" s="520"/>
      <x:c r="Y169" s="521"/>
      <x:c r="Z169" s="519" t="n">
        <x:v>2026</x:v>
      </x:c>
      <x:c r="AA169" s="520" t="str">
        <x:v>Usulan Musrenbang/Pokir DPRD</x:v>
      </x:c>
      <x:c r="AB169" s="521" t="n">
        <x:v>46218</x:v>
      </x:c>
      <x:c r="AC169" s="520" t="str">
        <x:v>Dinas Perkim Kota Pangkalpinang</x:v>
      </x:c>
    </x:row>
    <x:row r="170" ht="32" customHeight="1">
      <x:c r="A170" s="496" t="str">
        <x:v>RTLH-0199</x:v>
      </x:c>
      <x:c r="B170" s="497" t="str">
        <x:v>NURSIAH</x:v>
      </x:c>
      <x:c r="C170" s="498"/>
      <x:c r="D170" s="498"/>
      <x:c r="E170" s="497" t="str">
        <x:v>JL.SOLIHIN GP NO,67</x:v>
      </x:c>
      <x:c r="F170" s="497" t="str">
        <x:v>MELINTANG</x:v>
      </x:c>
      <x:c r="G170" s="497" t="str">
        <x:v>RANGKUI</x:v>
      </x:c>
      <x:c r="H170" s="497" t="str">
        <x:v>Pembangunan Baru</x:v>
      </x:c>
      <x:c r="I170" s="499" t="str">
        <x:v>RUMAH BAGI DUA DENGAN SAUDARA, LANTAI FLOOR, DINDING PAPAN, ATAP SENG</x:v>
      </x:c>
      <x:c r="J170" s="508" t="str">
        <x:v>Nonpermanen</x:v>
      </x:c>
      <x:c r="K170" s="508" t="str">
        <x:v>Seng</x:v>
      </x:c>
      <x:c r="L170" s="508" t="str">
        <x:v>Belum Dinilai</x:v>
      </x:c>
      <x:c r="M170" s="509" t="str">
        <x:v>Papan/Kayu</x:v>
      </x:c>
      <x:c r="N170" s="508" t="str">
        <x:v>Belum Dinilai</x:v>
      </x:c>
      <x:c r="O170" s="510" t="str">
        <x:v>Semen/Plester</x:v>
      </x:c>
      <x:c r="P170" s="511" t="str">
        <x:v>Belum Dinilai</x:v>
      </x:c>
      <x:c r="Q170" s="522" t="str">
        <x:v>Lengkap</x:v>
      </x:c>
      <x:c r="R170" s="522"/>
      <x:c r="S170" s="523" t="str">
        <x:v>Sudah Diverifikasi</x:v>
      </x:c>
      <x:c r="T170" s="524" t="str">
        <x:v>Belum Ditangani</x:v>
      </x:c>
      <x:c r="U170" s="519"/>
      <x:c r="V170" s="519"/>
      <x:c r="W170" s="521" t="str">
        <x:v>Kepemilikan Keluarga</x:v>
      </x:c>
      <x:c r="X170" s="520"/>
      <x:c r="Y170" s="521"/>
      <x:c r="Z170" s="519" t="n">
        <x:v>2026</x:v>
      </x:c>
      <x:c r="AA170" s="520" t="str">
        <x:v>Usulan Musrenbang/Pokir DPRD</x:v>
      </x:c>
      <x:c r="AB170" s="521" t="n">
        <x:v>46218</x:v>
      </x:c>
      <x:c r="AC170" s="520" t="str">
        <x:v>Dinas Perkim Kota Pangkalpinang</x:v>
      </x:c>
    </x:row>
    <x:row r="171" ht="32" customHeight="1">
      <x:c r="A171" s="496" t="str">
        <x:v>RTLH-0200</x:v>
      </x:c>
      <x:c r="B171" s="497" t="str">
        <x:v>ISKANDAR</x:v>
      </x:c>
      <x:c r="C171" s="498"/>
      <x:c r="D171" s="498"/>
      <x:c r="E171" s="497" t="str">
        <x:v>, JL,GIRIMAYA DALAM NO.31 RT/RW 005/001</x:v>
      </x:c>
      <x:c r="F171" s="497" t="str">
        <x:v>BUKIT BESAR</x:v>
      </x:c>
      <x:c r="G171" s="497" t="str">
        <x:v>GIRIMAYA</x:v>
      </x:c>
      <x:c r="H171" s="497" t="str">
        <x:v>Pembangunan Baru</x:v>
      </x:c>
      <x:c r="I171" s="499" t="str">
        <x:v>RUMAH SEMI PERMANEN, BAGIAN BELAKANG FULL PAPAN ( RUMAH BAGI DUA DENGAN SAUDARA)</x:v>
      </x:c>
      <x:c r="J171" s="508" t="str">
        <x:v>Semipermanen</x:v>
      </x:c>
      <x:c r="K171" s="508" t="str">
        <x:v>Belum Diidentifikasi</x:v>
      </x:c>
      <x:c r="L171" s="508" t="str">
        <x:v>Belum Dinilai</x:v>
      </x:c>
      <x:c r="M171" s="509" t="str">
        <x:v>Papan/Kayu</x:v>
      </x:c>
      <x:c r="N171" s="508" t="str">
        <x:v>Belum Dinilai</x:v>
      </x:c>
      <x:c r="O171" s="510" t="str">
        <x:v>Belum Diidentifikasi</x:v>
      </x:c>
      <x:c r="P171" s="511" t="str">
        <x:v>Belum Dinilai</x:v>
      </x:c>
      <x:c r="Q171" s="522" t="str">
        <x:v>Lengkap</x:v>
      </x:c>
      <x:c r="R171" s="522"/>
      <x:c r="S171" s="523" t="str">
        <x:v>Sudah Diverifikasi</x:v>
      </x:c>
      <x:c r="T171" s="524" t="str">
        <x:v>Belum Ditangani</x:v>
      </x:c>
      <x:c r="U171" s="519"/>
      <x:c r="V171" s="519"/>
      <x:c r="W171" s="521" t="str">
        <x:v>Kepemilikan Keluarga</x:v>
      </x:c>
      <x:c r="X171" s="520"/>
      <x:c r="Y171" s="521"/>
      <x:c r="Z171" s="519" t="n">
        <x:v>2026</x:v>
      </x:c>
      <x:c r="AA171" s="520" t="str">
        <x:v>Usulan Musrenbang/Pokir DPRD</x:v>
      </x:c>
      <x:c r="AB171" s="521" t="n">
        <x:v>46218</x:v>
      </x:c>
      <x:c r="AC171" s="520" t="str">
        <x:v>Dinas Perkim Kota Pangkalpinang</x:v>
      </x:c>
    </x:row>
    <x:row r="172" ht="32" customHeight="1">
      <x:c r="A172" s="496"/>
      <x:c r="B172" s="497"/>
      <x:c r="C172" s="498"/>
      <x:c r="D172" s="498"/>
      <x:c r="E172" s="497"/>
      <x:c r="F172" s="497"/>
      <x:c r="G172" s="497"/>
      <x:c r="H172" s="497"/>
      <x:c r="I172" s="499"/>
      <x:c r="J172" s="508"/>
      <x:c r="K172" s="508"/>
      <x:c r="L172" s="508"/>
      <x:c r="M172" s="509"/>
      <x:c r="N172" s="508"/>
      <x:c r="O172" s="510"/>
      <x:c r="P172" s="511"/>
      <x:c r="Q172" s="522"/>
      <x:c r="R172" s="522"/>
      <x:c r="S172" s="523"/>
      <x:c r="T172" s="524"/>
      <x:c r="U172" s="519"/>
      <x:c r="V172" s="519"/>
      <x:c r="W172" s="521"/>
      <x:c r="X172" s="520"/>
      <x:c r="Y172" s="521"/>
      <x:c r="Z172" s="519"/>
      <x:c r="AA172" s="520"/>
      <x:c r="AB172" s="521"/>
      <x:c r="AC172" s="520"/>
    </x:row>
    <x:row r="173" ht="32" customHeight="1">
      <x:c r="A173" s="496"/>
      <x:c r="B173" s="497"/>
      <x:c r="C173" s="498"/>
      <x:c r="D173" s="498"/>
      <x:c r="E173" s="497"/>
      <x:c r="F173" s="497"/>
      <x:c r="G173" s="497"/>
      <x:c r="H173" s="497"/>
      <x:c r="I173" s="499"/>
      <x:c r="J173" s="508"/>
      <x:c r="K173" s="508"/>
      <x:c r="L173" s="508"/>
      <x:c r="M173" s="509"/>
      <x:c r="N173" s="508"/>
      <x:c r="O173" s="510"/>
      <x:c r="P173" s="511"/>
      <x:c r="Q173" s="522"/>
      <x:c r="R173" s="522"/>
      <x:c r="S173" s="523"/>
      <x:c r="T173" s="524"/>
      <x:c r="U173" s="519"/>
      <x:c r="V173" s="519"/>
      <x:c r="W173" s="521"/>
      <x:c r="X173" s="520"/>
      <x:c r="Y173" s="521"/>
      <x:c r="Z173" s="519"/>
      <x:c r="AA173" s="520"/>
      <x:c r="AB173" s="521"/>
      <x:c r="AC173" s="520"/>
    </x:row>
    <x:row r="174" ht="32" customHeight="1">
      <x:c r="A174" s="496"/>
      <x:c r="B174" s="497"/>
      <x:c r="C174" s="498"/>
      <x:c r="D174" s="498"/>
      <x:c r="E174" s="497"/>
      <x:c r="F174" s="497"/>
      <x:c r="G174" s="497"/>
      <x:c r="H174" s="497"/>
      <x:c r="I174" s="499"/>
      <x:c r="J174" s="508"/>
      <x:c r="K174" s="508"/>
      <x:c r="L174" s="508"/>
      <x:c r="M174" s="509"/>
      <x:c r="N174" s="508"/>
      <x:c r="O174" s="510"/>
      <x:c r="P174" s="511"/>
      <x:c r="Q174" s="522"/>
      <x:c r="R174" s="522"/>
      <x:c r="S174" s="523"/>
      <x:c r="T174" s="524"/>
      <x:c r="U174" s="519"/>
      <x:c r="V174" s="519"/>
      <x:c r="W174" s="521"/>
      <x:c r="X174" s="520"/>
      <x:c r="Y174" s="521"/>
      <x:c r="Z174" s="519"/>
      <x:c r="AA174" s="520"/>
      <x:c r="AB174" s="521"/>
      <x:c r="AC174" s="520"/>
    </x:row>
    <x:row r="175" ht="32" customHeight="1">
      <x:c r="A175" s="496"/>
      <x:c r="B175" s="497"/>
      <x:c r="C175" s="498"/>
      <x:c r="D175" s="498"/>
      <x:c r="E175" s="497"/>
      <x:c r="F175" s="497"/>
      <x:c r="G175" s="497"/>
      <x:c r="H175" s="497"/>
      <x:c r="I175" s="499"/>
      <x:c r="J175" s="508"/>
      <x:c r="K175" s="508"/>
      <x:c r="L175" s="508"/>
      <x:c r="M175" s="509"/>
      <x:c r="N175" s="508"/>
      <x:c r="O175" s="510"/>
      <x:c r="P175" s="511"/>
      <x:c r="Q175" s="522"/>
      <x:c r="R175" s="522"/>
      <x:c r="S175" s="523"/>
      <x:c r="T175" s="524"/>
      <x:c r="U175" s="519"/>
      <x:c r="V175" s="519"/>
      <x:c r="W175" s="521"/>
      <x:c r="X175" s="520"/>
      <x:c r="Y175" s="521"/>
      <x:c r="Z175" s="519"/>
      <x:c r="AA175" s="520"/>
      <x:c r="AB175" s="521"/>
      <x:c r="AC175" s="520"/>
    </x:row>
    <x:row r="176" ht="32" customHeight="1">
      <x:c r="A176" s="496"/>
      <x:c r="B176" s="497"/>
      <x:c r="C176" s="498"/>
      <x:c r="D176" s="498"/>
      <x:c r="E176" s="497"/>
      <x:c r="F176" s="497"/>
      <x:c r="G176" s="497"/>
      <x:c r="H176" s="497"/>
      <x:c r="I176" s="499"/>
      <x:c r="J176" s="508"/>
      <x:c r="K176" s="508"/>
      <x:c r="L176" s="508"/>
      <x:c r="M176" s="509"/>
      <x:c r="N176" s="508"/>
      <x:c r="O176" s="510"/>
      <x:c r="P176" s="511"/>
      <x:c r="Q176" s="522"/>
      <x:c r="R176" s="522"/>
      <x:c r="S176" s="523"/>
      <x:c r="T176" s="524"/>
      <x:c r="U176" s="519"/>
      <x:c r="V176" s="519"/>
      <x:c r="W176" s="521"/>
      <x:c r="X176" s="520"/>
      <x:c r="Y176" s="521"/>
      <x:c r="Z176" s="519"/>
      <x:c r="AA176" s="520"/>
      <x:c r="AB176" s="521"/>
      <x:c r="AC176" s="520"/>
    </x:row>
    <x:row r="177" ht="32" customHeight="1">
      <x:c r="A177" s="496"/>
      <x:c r="B177" s="497"/>
      <x:c r="C177" s="498"/>
      <x:c r="D177" s="498"/>
      <x:c r="E177" s="497"/>
      <x:c r="F177" s="497"/>
      <x:c r="G177" s="497"/>
      <x:c r="H177" s="497"/>
      <x:c r="I177" s="499"/>
      <x:c r="J177" s="508"/>
      <x:c r="K177" s="508"/>
      <x:c r="L177" s="508"/>
      <x:c r="M177" s="509"/>
      <x:c r="N177" s="508"/>
      <x:c r="O177" s="510"/>
      <x:c r="P177" s="511"/>
      <x:c r="Q177" s="522"/>
      <x:c r="R177" s="522"/>
      <x:c r="S177" s="523"/>
      <x:c r="T177" s="524"/>
      <x:c r="U177" s="519"/>
      <x:c r="V177" s="519"/>
      <x:c r="W177" s="521"/>
      <x:c r="X177" s="520"/>
      <x:c r="Y177" s="521"/>
      <x:c r="Z177" s="519"/>
      <x:c r="AA177" s="520"/>
      <x:c r="AB177" s="521"/>
      <x:c r="AC177" s="520"/>
    </x:row>
    <x:row r="178" ht="32" customHeight="1">
      <x:c r="A178" s="496"/>
      <x:c r="B178" s="497"/>
      <x:c r="C178" s="498"/>
      <x:c r="D178" s="498"/>
      <x:c r="E178" s="497"/>
      <x:c r="F178" s="497"/>
      <x:c r="G178" s="497"/>
      <x:c r="H178" s="497"/>
      <x:c r="I178" s="499"/>
      <x:c r="J178" s="508"/>
      <x:c r="K178" s="508"/>
      <x:c r="L178" s="508"/>
      <x:c r="M178" s="509"/>
      <x:c r="N178" s="508"/>
      <x:c r="O178" s="510"/>
      <x:c r="P178" s="511"/>
      <x:c r="Q178" s="522"/>
      <x:c r="R178" s="522"/>
      <x:c r="S178" s="523"/>
      <x:c r="T178" s="524"/>
      <x:c r="U178" s="519"/>
      <x:c r="V178" s="519"/>
      <x:c r="W178" s="521"/>
      <x:c r="X178" s="520"/>
      <x:c r="Y178" s="521"/>
      <x:c r="Z178" s="519"/>
      <x:c r="AA178" s="520"/>
      <x:c r="AB178" s="521"/>
      <x:c r="AC178" s="520"/>
    </x:row>
    <x:row r="179" ht="32" customHeight="1">
      <x:c r="A179" s="496"/>
      <x:c r="B179" s="497"/>
      <x:c r="C179" s="498"/>
      <x:c r="D179" s="498"/>
      <x:c r="E179" s="497"/>
      <x:c r="F179" s="497"/>
      <x:c r="G179" s="497"/>
      <x:c r="H179" s="497"/>
      <x:c r="I179" s="499"/>
      <x:c r="J179" s="508"/>
      <x:c r="K179" s="508"/>
      <x:c r="L179" s="508"/>
      <x:c r="M179" s="509"/>
      <x:c r="N179" s="508"/>
      <x:c r="O179" s="510"/>
      <x:c r="P179" s="511"/>
      <x:c r="Q179" s="522"/>
      <x:c r="R179" s="522"/>
      <x:c r="S179" s="523"/>
      <x:c r="T179" s="524"/>
      <x:c r="U179" s="519"/>
      <x:c r="V179" s="519"/>
      <x:c r="W179" s="521"/>
      <x:c r="X179" s="520"/>
      <x:c r="Y179" s="521"/>
      <x:c r="Z179" s="519"/>
      <x:c r="AA179" s="520"/>
      <x:c r="AB179" s="521"/>
      <x:c r="AC179" s="520"/>
    </x:row>
    <x:row r="180" ht="32" customHeight="1">
      <x:c r="A180" s="496"/>
      <x:c r="B180" s="497"/>
      <x:c r="C180" s="498"/>
      <x:c r="D180" s="498"/>
      <x:c r="E180" s="497"/>
      <x:c r="F180" s="497"/>
      <x:c r="G180" s="497"/>
      <x:c r="H180" s="497"/>
      <x:c r="I180" s="499"/>
      <x:c r="J180" s="508"/>
      <x:c r="K180" s="508"/>
      <x:c r="L180" s="508"/>
      <x:c r="M180" s="509"/>
      <x:c r="N180" s="508"/>
      <x:c r="O180" s="510"/>
      <x:c r="P180" s="511"/>
      <x:c r="Q180" s="522"/>
      <x:c r="R180" s="522"/>
      <x:c r="S180" s="523"/>
      <x:c r="T180" s="524"/>
      <x:c r="U180" s="519"/>
      <x:c r="V180" s="519"/>
      <x:c r="W180" s="521"/>
      <x:c r="X180" s="520"/>
      <x:c r="Y180" s="521"/>
      <x:c r="Z180" s="519"/>
      <x:c r="AA180" s="520"/>
      <x:c r="AB180" s="521"/>
      <x:c r="AC180" s="520"/>
    </x:row>
    <x:row r="181" ht="32" customHeight="1">
      <x:c r="A181" s="496"/>
      <x:c r="B181" s="497"/>
      <x:c r="C181" s="498"/>
      <x:c r="D181" s="498"/>
      <x:c r="E181" s="497"/>
      <x:c r="F181" s="497"/>
      <x:c r="G181" s="497"/>
      <x:c r="H181" s="497"/>
      <x:c r="I181" s="499"/>
      <x:c r="J181" s="508"/>
      <x:c r="K181" s="508"/>
      <x:c r="L181" s="508"/>
      <x:c r="M181" s="509"/>
      <x:c r="N181" s="508"/>
      <x:c r="O181" s="510"/>
      <x:c r="P181" s="511"/>
      <x:c r="Q181" s="522"/>
      <x:c r="R181" s="522"/>
      <x:c r="S181" s="523"/>
      <x:c r="T181" s="524"/>
      <x:c r="U181" s="519"/>
      <x:c r="V181" s="519"/>
      <x:c r="W181" s="521"/>
      <x:c r="X181" s="520"/>
      <x:c r="Y181" s="521"/>
      <x:c r="Z181" s="519"/>
      <x:c r="AA181" s="520"/>
      <x:c r="AB181" s="521"/>
      <x:c r="AC181" s="520"/>
    </x:row>
    <x:row r="182" ht="32" customHeight="1">
      <x:c r="A182" s="496"/>
      <x:c r="B182" s="497"/>
      <x:c r="C182" s="498"/>
      <x:c r="D182" s="498"/>
      <x:c r="E182" s="497"/>
      <x:c r="F182" s="497"/>
      <x:c r="G182" s="497"/>
      <x:c r="H182" s="497"/>
      <x:c r="I182" s="499"/>
      <x:c r="J182" s="508"/>
      <x:c r="K182" s="508"/>
      <x:c r="L182" s="508"/>
      <x:c r="M182" s="509"/>
      <x:c r="N182" s="508"/>
      <x:c r="O182" s="510"/>
      <x:c r="P182" s="511"/>
      <x:c r="Q182" s="522"/>
      <x:c r="R182" s="522"/>
      <x:c r="S182" s="523"/>
      <x:c r="T182" s="524"/>
      <x:c r="U182" s="519"/>
      <x:c r="V182" s="519"/>
      <x:c r="W182" s="521"/>
      <x:c r="X182" s="520"/>
      <x:c r="Y182" s="521"/>
      <x:c r="Z182" s="519"/>
      <x:c r="AA182" s="520"/>
      <x:c r="AB182" s="521"/>
      <x:c r="AC182" s="520"/>
    </x:row>
    <x:row r="183" ht="32" customHeight="1">
      <x:c r="A183" s="496"/>
      <x:c r="B183" s="497"/>
      <x:c r="C183" s="498"/>
      <x:c r="D183" s="498"/>
      <x:c r="E183" s="497"/>
      <x:c r="F183" s="497"/>
      <x:c r="G183" s="497"/>
      <x:c r="H183" s="497"/>
      <x:c r="I183" s="499"/>
      <x:c r="J183" s="508"/>
      <x:c r="K183" s="508"/>
      <x:c r="L183" s="508"/>
      <x:c r="M183" s="509"/>
      <x:c r="N183" s="508"/>
      <x:c r="O183" s="510"/>
      <x:c r="P183" s="511"/>
      <x:c r="Q183" s="522"/>
      <x:c r="R183" s="522"/>
      <x:c r="S183" s="523"/>
      <x:c r="T183" s="524"/>
      <x:c r="U183" s="519"/>
      <x:c r="V183" s="519"/>
      <x:c r="W183" s="521"/>
      <x:c r="X183" s="520"/>
      <x:c r="Y183" s="521"/>
      <x:c r="Z183" s="519"/>
      <x:c r="AA183" s="520"/>
      <x:c r="AB183" s="521"/>
      <x:c r="AC183" s="520"/>
    </x:row>
    <x:row r="184" ht="32" customHeight="1">
      <x:c r="A184" s="496"/>
      <x:c r="B184" s="497"/>
      <x:c r="C184" s="498"/>
      <x:c r="D184" s="498"/>
      <x:c r="E184" s="497"/>
      <x:c r="F184" s="497"/>
      <x:c r="G184" s="497"/>
      <x:c r="H184" s="497"/>
      <x:c r="I184" s="499"/>
      <x:c r="J184" s="508"/>
      <x:c r="K184" s="508"/>
      <x:c r="L184" s="508"/>
      <x:c r="M184" s="509"/>
      <x:c r="N184" s="508"/>
      <x:c r="O184" s="510"/>
      <x:c r="P184" s="511"/>
      <x:c r="Q184" s="522"/>
      <x:c r="R184" s="522"/>
      <x:c r="S184" s="523"/>
      <x:c r="T184" s="524"/>
      <x:c r="U184" s="519"/>
      <x:c r="V184" s="519"/>
      <x:c r="W184" s="521"/>
      <x:c r="X184" s="520"/>
      <x:c r="Y184" s="521"/>
      <x:c r="Z184" s="519"/>
      <x:c r="AA184" s="520"/>
      <x:c r="AB184" s="521"/>
      <x:c r="AC184" s="520"/>
    </x:row>
    <x:row r="185" ht="32" customHeight="1">
      <x:c r="A185" s="496"/>
      <x:c r="B185" s="497"/>
      <x:c r="C185" s="498"/>
      <x:c r="D185" s="498"/>
      <x:c r="E185" s="497"/>
      <x:c r="F185" s="497"/>
      <x:c r="G185" s="497"/>
      <x:c r="H185" s="497"/>
      <x:c r="I185" s="499"/>
      <x:c r="J185" s="508"/>
      <x:c r="K185" s="508"/>
      <x:c r="L185" s="508"/>
      <x:c r="M185" s="509"/>
      <x:c r="N185" s="508"/>
      <x:c r="O185" s="510"/>
      <x:c r="P185" s="511"/>
      <x:c r="Q185" s="522"/>
      <x:c r="R185" s="522"/>
      <x:c r="S185" s="523"/>
      <x:c r="T185" s="524"/>
      <x:c r="U185" s="519"/>
      <x:c r="V185" s="519"/>
      <x:c r="W185" s="521"/>
      <x:c r="X185" s="520"/>
      <x:c r="Y185" s="521"/>
      <x:c r="Z185" s="519"/>
      <x:c r="AA185" s="520"/>
      <x:c r="AB185" s="521"/>
      <x:c r="AC185" s="520"/>
    </x:row>
    <x:row r="186" ht="32" customHeight="1">
      <x:c r="A186" s="496"/>
      <x:c r="B186" s="497"/>
      <x:c r="C186" s="498"/>
      <x:c r="D186" s="498"/>
      <x:c r="E186" s="497"/>
      <x:c r="F186" s="497"/>
      <x:c r="G186" s="497"/>
      <x:c r="H186" s="497"/>
      <x:c r="I186" s="499"/>
      <x:c r="J186" s="508"/>
      <x:c r="K186" s="508"/>
      <x:c r="L186" s="508"/>
      <x:c r="M186" s="509"/>
      <x:c r="N186" s="508"/>
      <x:c r="O186" s="510"/>
      <x:c r="P186" s="511"/>
      <x:c r="Q186" s="522"/>
      <x:c r="R186" s="522"/>
      <x:c r="S186" s="523"/>
      <x:c r="T186" s="524"/>
      <x:c r="U186" s="519"/>
      <x:c r="V186" s="519"/>
      <x:c r="W186" s="521"/>
      <x:c r="X186" s="520"/>
      <x:c r="Y186" s="521"/>
      <x:c r="Z186" s="519"/>
      <x:c r="AA186" s="520"/>
      <x:c r="AB186" s="521"/>
      <x:c r="AC186" s="520"/>
    </x:row>
    <x:row r="187" ht="32" customHeight="1">
      <x:c r="A187" s="496"/>
      <x:c r="B187" s="497"/>
      <x:c r="C187" s="498"/>
      <x:c r="D187" s="498"/>
      <x:c r="E187" s="497"/>
      <x:c r="F187" s="497"/>
      <x:c r="G187" s="497"/>
      <x:c r="H187" s="497"/>
      <x:c r="I187" s="499"/>
      <x:c r="J187" s="508"/>
      <x:c r="K187" s="508"/>
      <x:c r="L187" s="508"/>
      <x:c r="M187" s="509"/>
      <x:c r="N187" s="508"/>
      <x:c r="O187" s="510"/>
      <x:c r="P187" s="511"/>
      <x:c r="Q187" s="522"/>
      <x:c r="R187" s="522"/>
      <x:c r="S187" s="523"/>
      <x:c r="T187" s="524"/>
      <x:c r="U187" s="519"/>
      <x:c r="V187" s="519"/>
      <x:c r="W187" s="521"/>
      <x:c r="X187" s="520"/>
      <x:c r="Y187" s="521"/>
      <x:c r="Z187" s="519"/>
      <x:c r="AA187" s="520"/>
      <x:c r="AB187" s="521"/>
      <x:c r="AC187" s="520"/>
    </x:row>
    <x:row r="188" ht="32" customHeight="1">
      <x:c r="A188" s="496"/>
      <x:c r="B188" s="497"/>
      <x:c r="C188" s="498"/>
      <x:c r="D188" s="498"/>
      <x:c r="E188" s="497"/>
      <x:c r="F188" s="497"/>
      <x:c r="G188" s="497"/>
      <x:c r="H188" s="497"/>
      <x:c r="I188" s="499"/>
      <x:c r="J188" s="508"/>
      <x:c r="K188" s="508"/>
      <x:c r="L188" s="508"/>
      <x:c r="M188" s="509"/>
      <x:c r="N188" s="508"/>
      <x:c r="O188" s="510"/>
      <x:c r="P188" s="511"/>
      <x:c r="Q188" s="522"/>
      <x:c r="R188" s="522"/>
      <x:c r="S188" s="523"/>
      <x:c r="T188" s="524"/>
      <x:c r="U188" s="519"/>
      <x:c r="V188" s="519"/>
      <x:c r="W188" s="521"/>
      <x:c r="X188" s="520"/>
      <x:c r="Y188" s="521"/>
      <x:c r="Z188" s="519"/>
      <x:c r="AA188" s="520"/>
      <x:c r="AB188" s="521"/>
      <x:c r="AC188" s="520"/>
    </x:row>
    <x:row r="189" ht="32" customHeight="1">
      <x:c r="A189" s="496"/>
      <x:c r="B189" s="497"/>
      <x:c r="C189" s="498"/>
      <x:c r="D189" s="498"/>
      <x:c r="E189" s="497"/>
      <x:c r="F189" s="497"/>
      <x:c r="G189" s="497"/>
      <x:c r="H189" s="497"/>
      <x:c r="I189" s="499"/>
      <x:c r="J189" s="508"/>
      <x:c r="K189" s="508"/>
      <x:c r="L189" s="508"/>
      <x:c r="M189" s="509"/>
      <x:c r="N189" s="508"/>
      <x:c r="O189" s="510"/>
      <x:c r="P189" s="511"/>
      <x:c r="Q189" s="522"/>
      <x:c r="R189" s="522"/>
      <x:c r="S189" s="523"/>
      <x:c r="T189" s="524"/>
      <x:c r="U189" s="519"/>
      <x:c r="V189" s="519"/>
      <x:c r="W189" s="521"/>
      <x:c r="X189" s="520"/>
      <x:c r="Y189" s="521"/>
      <x:c r="Z189" s="519"/>
      <x:c r="AA189" s="520"/>
      <x:c r="AB189" s="521"/>
      <x:c r="AC189" s="520"/>
    </x:row>
    <x:row r="190" ht="32" customHeight="1">
      <x:c r="A190" s="496"/>
      <x:c r="B190" s="497"/>
      <x:c r="C190" s="498"/>
      <x:c r="D190" s="498"/>
      <x:c r="E190" s="497"/>
      <x:c r="F190" s="497"/>
      <x:c r="G190" s="497"/>
      <x:c r="H190" s="497"/>
      <x:c r="I190" s="499"/>
      <x:c r="J190" s="508"/>
      <x:c r="K190" s="508"/>
      <x:c r="L190" s="508"/>
      <x:c r="M190" s="509"/>
      <x:c r="N190" s="508"/>
      <x:c r="O190" s="510"/>
      <x:c r="P190" s="511"/>
      <x:c r="Q190" s="522"/>
      <x:c r="R190" s="522"/>
      <x:c r="S190" s="523"/>
      <x:c r="T190" s="524"/>
      <x:c r="U190" s="519"/>
      <x:c r="V190" s="519"/>
      <x:c r="W190" s="521"/>
      <x:c r="X190" s="520"/>
      <x:c r="Y190" s="521"/>
      <x:c r="Z190" s="519"/>
      <x:c r="AA190" s="520"/>
      <x:c r="AB190" s="521"/>
      <x:c r="AC190" s="520"/>
    </x:row>
    <x:row r="191" ht="32" customHeight="1">
      <x:c r="A191" s="496"/>
      <x:c r="B191" s="497"/>
      <x:c r="C191" s="498"/>
      <x:c r="D191" s="498"/>
      <x:c r="E191" s="497"/>
      <x:c r="F191" s="497"/>
      <x:c r="G191" s="497"/>
      <x:c r="H191" s="497"/>
      <x:c r="I191" s="499"/>
      <x:c r="J191" s="508"/>
      <x:c r="K191" s="508"/>
      <x:c r="L191" s="508"/>
      <x:c r="M191" s="509"/>
      <x:c r="N191" s="508"/>
      <x:c r="O191" s="510"/>
      <x:c r="P191" s="511"/>
      <x:c r="Q191" s="522"/>
      <x:c r="R191" s="522"/>
      <x:c r="S191" s="523"/>
      <x:c r="T191" s="524"/>
      <x:c r="U191" s="519"/>
      <x:c r="V191" s="519"/>
      <x:c r="W191" s="521"/>
      <x:c r="X191" s="520"/>
      <x:c r="Y191" s="521"/>
      <x:c r="Z191" s="519"/>
      <x:c r="AA191" s="520"/>
      <x:c r="AB191" s="521"/>
      <x:c r="AC191" s="520"/>
    </x:row>
    <x:row r="192" ht="32" customHeight="1">
      <x:c r="A192" s="496"/>
      <x:c r="B192" s="497"/>
      <x:c r="C192" s="498"/>
      <x:c r="D192" s="498"/>
      <x:c r="E192" s="497"/>
      <x:c r="F192" s="497"/>
      <x:c r="G192" s="497"/>
      <x:c r="H192" s="497"/>
      <x:c r="I192" s="499"/>
      <x:c r="J192" s="508"/>
      <x:c r="K192" s="508"/>
      <x:c r="L192" s="508"/>
      <x:c r="M192" s="509"/>
      <x:c r="N192" s="508"/>
      <x:c r="O192" s="510"/>
      <x:c r="P192" s="511"/>
      <x:c r="Q192" s="522"/>
      <x:c r="R192" s="522"/>
      <x:c r="S192" s="523"/>
      <x:c r="T192" s="524"/>
      <x:c r="U192" s="519"/>
      <x:c r="V192" s="519"/>
      <x:c r="W192" s="521"/>
      <x:c r="X192" s="520"/>
      <x:c r="Y192" s="521"/>
      <x:c r="Z192" s="519"/>
      <x:c r="AA192" s="520"/>
      <x:c r="AB192" s="521"/>
      <x:c r="AC192" s="520"/>
    </x:row>
    <x:row r="193" ht="32" customHeight="1">
      <x:c r="A193" s="496"/>
      <x:c r="B193" s="497"/>
      <x:c r="C193" s="498"/>
      <x:c r="D193" s="498"/>
      <x:c r="E193" s="497"/>
      <x:c r="F193" s="497"/>
      <x:c r="G193" s="497"/>
      <x:c r="H193" s="497"/>
      <x:c r="I193" s="499"/>
      <x:c r="J193" s="508"/>
      <x:c r="K193" s="508"/>
      <x:c r="L193" s="508"/>
      <x:c r="M193" s="509"/>
      <x:c r="N193" s="508"/>
      <x:c r="O193" s="510"/>
      <x:c r="P193" s="511"/>
      <x:c r="Q193" s="522"/>
      <x:c r="R193" s="522"/>
      <x:c r="S193" s="523"/>
      <x:c r="T193" s="524"/>
      <x:c r="U193" s="519"/>
      <x:c r="V193" s="519"/>
      <x:c r="W193" s="521"/>
      <x:c r="X193" s="520"/>
      <x:c r="Y193" s="521"/>
      <x:c r="Z193" s="519"/>
      <x:c r="AA193" s="520"/>
      <x:c r="AB193" s="521"/>
      <x:c r="AC193" s="520"/>
    </x:row>
    <x:row r="194" ht="32" customHeight="1">
      <x:c r="A194" s="496"/>
      <x:c r="B194" s="497"/>
      <x:c r="C194" s="498"/>
      <x:c r="D194" s="498"/>
      <x:c r="E194" s="497"/>
      <x:c r="F194" s="497"/>
      <x:c r="G194" s="497"/>
      <x:c r="H194" s="497"/>
      <x:c r="I194" s="499"/>
      <x:c r="J194" s="508"/>
      <x:c r="K194" s="508"/>
      <x:c r="L194" s="508"/>
      <x:c r="M194" s="509"/>
      <x:c r="N194" s="508"/>
      <x:c r="O194" s="510"/>
      <x:c r="P194" s="511"/>
      <x:c r="Q194" s="522"/>
      <x:c r="R194" s="522"/>
      <x:c r="S194" s="523"/>
      <x:c r="T194" s="524"/>
      <x:c r="U194" s="519"/>
      <x:c r="V194" s="519"/>
      <x:c r="W194" s="521"/>
      <x:c r="X194" s="520"/>
      <x:c r="Y194" s="521"/>
      <x:c r="Z194" s="519"/>
      <x:c r="AA194" s="520"/>
      <x:c r="AB194" s="521"/>
      <x:c r="AC194" s="520"/>
    </x:row>
    <x:row r="195" ht="32" customHeight="1">
      <x:c r="A195" s="496"/>
      <x:c r="B195" s="497"/>
      <x:c r="C195" s="498"/>
      <x:c r="D195" s="498"/>
      <x:c r="E195" s="497"/>
      <x:c r="F195" s="497"/>
      <x:c r="G195" s="497"/>
      <x:c r="H195" s="497"/>
      <x:c r="I195" s="499"/>
      <x:c r="J195" s="508"/>
      <x:c r="K195" s="508"/>
      <x:c r="L195" s="508"/>
      <x:c r="M195" s="509"/>
      <x:c r="N195" s="508"/>
      <x:c r="O195" s="510"/>
      <x:c r="P195" s="511"/>
      <x:c r="Q195" s="522"/>
      <x:c r="R195" s="522"/>
      <x:c r="S195" s="523"/>
      <x:c r="T195" s="524"/>
      <x:c r="U195" s="519"/>
      <x:c r="V195" s="519"/>
      <x:c r="W195" s="521"/>
      <x:c r="X195" s="520"/>
      <x:c r="Y195" s="521"/>
      <x:c r="Z195" s="519"/>
      <x:c r="AA195" s="520"/>
      <x:c r="AB195" s="521"/>
      <x:c r="AC195" s="520"/>
    </x:row>
    <x:row r="196" ht="32" customHeight="1">
      <x:c r="A196" s="496"/>
      <x:c r="B196" s="497"/>
      <x:c r="C196" s="498"/>
      <x:c r="D196" s="498"/>
      <x:c r="E196" s="497"/>
      <x:c r="F196" s="497"/>
      <x:c r="G196" s="497"/>
      <x:c r="H196" s="497"/>
      <x:c r="I196" s="499"/>
      <x:c r="J196" s="508"/>
      <x:c r="K196" s="508"/>
      <x:c r="L196" s="508"/>
      <x:c r="M196" s="509"/>
      <x:c r="N196" s="508"/>
      <x:c r="O196" s="510"/>
      <x:c r="P196" s="511"/>
      <x:c r="Q196" s="522"/>
      <x:c r="R196" s="522"/>
      <x:c r="S196" s="523"/>
      <x:c r="T196" s="524"/>
      <x:c r="U196" s="519"/>
      <x:c r="V196" s="519"/>
      <x:c r="W196" s="521"/>
      <x:c r="X196" s="520"/>
      <x:c r="Y196" s="521"/>
      <x:c r="Z196" s="519"/>
      <x:c r="AA196" s="520"/>
      <x:c r="AB196" s="521"/>
      <x:c r="AC196" s="520"/>
    </x:row>
    <x:row r="197" ht="32" customHeight="1">
      <x:c r="A197" s="496"/>
      <x:c r="B197" s="497"/>
      <x:c r="C197" s="498"/>
      <x:c r="D197" s="498"/>
      <x:c r="E197" s="497"/>
      <x:c r="F197" s="497"/>
      <x:c r="G197" s="497"/>
      <x:c r="H197" s="497"/>
      <x:c r="I197" s="499"/>
      <x:c r="J197" s="508"/>
      <x:c r="K197" s="508"/>
      <x:c r="L197" s="508"/>
      <x:c r="M197" s="509"/>
      <x:c r="N197" s="508"/>
      <x:c r="O197" s="510"/>
      <x:c r="P197" s="511"/>
      <x:c r="Q197" s="522"/>
      <x:c r="R197" s="522"/>
      <x:c r="S197" s="523"/>
      <x:c r="T197" s="524"/>
      <x:c r="U197" s="519"/>
      <x:c r="V197" s="519"/>
      <x:c r="W197" s="521"/>
      <x:c r="X197" s="520"/>
      <x:c r="Y197" s="521"/>
      <x:c r="Z197" s="519"/>
      <x:c r="AA197" s="520"/>
      <x:c r="AB197" s="521"/>
      <x:c r="AC197" s="520"/>
    </x:row>
    <x:row r="198" ht="32" customHeight="1">
      <x:c r="A198" s="496"/>
      <x:c r="B198" s="497"/>
      <x:c r="C198" s="498"/>
      <x:c r="D198" s="498"/>
      <x:c r="E198" s="497"/>
      <x:c r="F198" s="497"/>
      <x:c r="G198" s="497"/>
      <x:c r="H198" s="497"/>
      <x:c r="I198" s="499"/>
      <x:c r="J198" s="508"/>
      <x:c r="K198" s="508"/>
      <x:c r="L198" s="508"/>
      <x:c r="M198" s="509"/>
      <x:c r="N198" s="508"/>
      <x:c r="O198" s="510"/>
      <x:c r="P198" s="511"/>
      <x:c r="Q198" s="522"/>
      <x:c r="R198" s="522"/>
      <x:c r="S198" s="523"/>
      <x:c r="T198" s="524"/>
      <x:c r="U198" s="519"/>
      <x:c r="V198" s="519"/>
      <x:c r="W198" s="521"/>
      <x:c r="X198" s="520"/>
      <x:c r="Y198" s="521"/>
      <x:c r="Z198" s="519"/>
      <x:c r="AA198" s="520"/>
      <x:c r="AB198" s="521"/>
      <x:c r="AC198" s="520"/>
    </x:row>
    <x:row r="199" ht="32" customHeight="1">
      <x:c r="A199" s="496"/>
      <x:c r="B199" s="497"/>
      <x:c r="C199" s="498"/>
      <x:c r="D199" s="498"/>
      <x:c r="E199" s="497"/>
      <x:c r="F199" s="497"/>
      <x:c r="G199" s="497"/>
      <x:c r="H199" s="497"/>
      <x:c r="I199" s="499"/>
      <x:c r="J199" s="508"/>
      <x:c r="K199" s="508"/>
      <x:c r="L199" s="508"/>
      <x:c r="M199" s="509"/>
      <x:c r="N199" s="508"/>
      <x:c r="O199" s="510"/>
      <x:c r="P199" s="511"/>
      <x:c r="Q199" s="522"/>
      <x:c r="R199" s="522"/>
      <x:c r="S199" s="523"/>
      <x:c r="T199" s="524"/>
      <x:c r="U199" s="519"/>
      <x:c r="V199" s="519"/>
      <x:c r="W199" s="521"/>
      <x:c r="X199" s="520"/>
      <x:c r="Y199" s="521"/>
      <x:c r="Z199" s="519"/>
      <x:c r="AA199" s="520"/>
      <x:c r="AB199" s="521"/>
      <x:c r="AC199" s="520"/>
    </x:row>
    <x:row r="200" ht="32" customHeight="1">
      <x:c r="A200" s="496"/>
      <x:c r="B200" s="497"/>
      <x:c r="C200" s="498"/>
      <x:c r="D200" s="498"/>
      <x:c r="E200" s="497"/>
      <x:c r="F200" s="497"/>
      <x:c r="G200" s="497"/>
      <x:c r="H200" s="497"/>
      <x:c r="I200" s="499"/>
      <x:c r="J200" s="508"/>
      <x:c r="K200" s="508"/>
      <x:c r="L200" s="508"/>
      <x:c r="M200" s="509"/>
      <x:c r="N200" s="508"/>
      <x:c r="O200" s="510"/>
      <x:c r="P200" s="511"/>
      <x:c r="Q200" s="522"/>
      <x:c r="R200" s="522"/>
      <x:c r="S200" s="523"/>
      <x:c r="T200" s="524"/>
      <x:c r="U200" s="519"/>
      <x:c r="V200" s="519"/>
      <x:c r="W200" s="521"/>
      <x:c r="X200" s="520"/>
      <x:c r="Y200" s="521"/>
      <x:c r="Z200" s="519"/>
      <x:c r="AA200" s="520"/>
      <x:c r="AB200" s="521"/>
      <x:c r="AC200" s="520"/>
    </x:row>
    <x:row r="201" ht="32" customHeight="1">
      <x:c r="A201" s="496"/>
      <x:c r="B201" s="497"/>
      <x:c r="C201" s="498"/>
      <x:c r="D201" s="498"/>
      <x:c r="E201" s="497"/>
      <x:c r="F201" s="497"/>
      <x:c r="G201" s="497"/>
      <x:c r="H201" s="497"/>
      <x:c r="I201" s="499"/>
      <x:c r="J201" s="508"/>
      <x:c r="K201" s="508"/>
      <x:c r="L201" s="508"/>
      <x:c r="M201" s="509"/>
      <x:c r="N201" s="508"/>
      <x:c r="O201" s="510"/>
      <x:c r="P201" s="511"/>
      <x:c r="Q201" s="522"/>
      <x:c r="R201" s="522"/>
      <x:c r="S201" s="523"/>
      <x:c r="T201" s="524"/>
      <x:c r="U201" s="519"/>
      <x:c r="V201" s="519"/>
      <x:c r="W201" s="521"/>
      <x:c r="X201" s="520"/>
      <x:c r="Y201" s="521"/>
      <x:c r="Z201" s="519"/>
      <x:c r="AA201" s="520"/>
      <x:c r="AB201" s="521"/>
      <x:c r="AC201" s="520"/>
    </x:row>
    <x:row r="202" ht="32" customHeight="1">
      <x:c r="A202" s="496"/>
      <x:c r="B202" s="497"/>
      <x:c r="C202" s="498"/>
      <x:c r="D202" s="498"/>
      <x:c r="E202" s="497"/>
      <x:c r="F202" s="497"/>
      <x:c r="G202" s="497"/>
      <x:c r="H202" s="497"/>
      <x:c r="I202" s="499"/>
      <x:c r="J202" s="508"/>
      <x:c r="K202" s="508"/>
      <x:c r="L202" s="508"/>
      <x:c r="M202" s="509"/>
      <x:c r="N202" s="508"/>
      <x:c r="O202" s="510"/>
      <x:c r="P202" s="511"/>
      <x:c r="Q202" s="522"/>
      <x:c r="R202" s="522"/>
      <x:c r="S202" s="523"/>
      <x:c r="T202" s="524"/>
      <x:c r="U202" s="519"/>
      <x:c r="V202" s="519"/>
      <x:c r="W202" s="521"/>
      <x:c r="X202" s="520"/>
      <x:c r="Y202" s="521"/>
      <x:c r="Z202" s="519"/>
      <x:c r="AA202" s="520"/>
      <x:c r="AB202" s="521"/>
      <x:c r="AC202" s="520"/>
    </x:row>
    <x:row r="203" ht="32" customHeight="1">
      <x:c r="A203" s="496"/>
      <x:c r="B203" s="497"/>
      <x:c r="C203" s="498"/>
      <x:c r="D203" s="498"/>
      <x:c r="E203" s="497"/>
      <x:c r="F203" s="497"/>
      <x:c r="G203" s="497"/>
      <x:c r="H203" s="497"/>
      <x:c r="I203" s="499"/>
      <x:c r="J203" s="508"/>
      <x:c r="K203" s="508"/>
      <x:c r="L203" s="508"/>
      <x:c r="M203" s="509"/>
      <x:c r="N203" s="508"/>
      <x:c r="O203" s="510"/>
      <x:c r="P203" s="511"/>
      <x:c r="Q203" s="522"/>
      <x:c r="R203" s="522"/>
      <x:c r="S203" s="523"/>
      <x:c r="T203" s="524"/>
      <x:c r="U203" s="519"/>
      <x:c r="V203" s="519"/>
      <x:c r="W203" s="521"/>
      <x:c r="X203" s="520"/>
      <x:c r="Y203" s="521"/>
      <x:c r="Z203" s="519"/>
      <x:c r="AA203" s="520"/>
      <x:c r="AB203" s="521"/>
      <x:c r="AC203" s="520"/>
    </x:row>
    <x:row r="204" ht="32" customHeight="1">
      <x:c r="A204" s="496"/>
      <x:c r="B204" s="497"/>
      <x:c r="C204" s="498"/>
      <x:c r="D204" s="498"/>
      <x:c r="E204" s="497"/>
      <x:c r="F204" s="497"/>
      <x:c r="G204" s="497"/>
      <x:c r="H204" s="497"/>
      <x:c r="I204" s="499"/>
      <x:c r="J204" s="508"/>
      <x:c r="K204" s="508"/>
      <x:c r="L204" s="508"/>
      <x:c r="M204" s="509"/>
      <x:c r="N204" s="508"/>
      <x:c r="O204" s="510"/>
      <x:c r="P204" s="511"/>
      <x:c r="Q204" s="522"/>
      <x:c r="R204" s="522"/>
      <x:c r="S204" s="523"/>
      <x:c r="T204" s="524"/>
      <x:c r="U204" s="519"/>
      <x:c r="V204" s="519"/>
      <x:c r="W204" s="521"/>
      <x:c r="X204" s="520"/>
      <x:c r="Y204" s="521"/>
      <x:c r="Z204" s="519"/>
      <x:c r="AA204" s="520"/>
      <x:c r="AB204" s="521"/>
      <x:c r="AC204" s="520"/>
    </x:row>
    <x:row r="205" ht="32" customHeight="1">
      <x:c r="A205" s="496"/>
      <x:c r="B205" s="497"/>
      <x:c r="C205" s="498"/>
      <x:c r="D205" s="498"/>
      <x:c r="E205" s="497"/>
      <x:c r="F205" s="497"/>
      <x:c r="G205" s="497"/>
      <x:c r="H205" s="497"/>
      <x:c r="I205" s="499"/>
      <x:c r="J205" s="508"/>
      <x:c r="K205" s="508"/>
      <x:c r="L205" s="508"/>
      <x:c r="M205" s="509"/>
      <x:c r="N205" s="508"/>
      <x:c r="O205" s="510"/>
      <x:c r="P205" s="511"/>
      <x:c r="Q205" s="522"/>
      <x:c r="R205" s="522"/>
      <x:c r="S205" s="523"/>
      <x:c r="T205" s="524"/>
      <x:c r="U205" s="519"/>
      <x:c r="V205" s="519"/>
      <x:c r="W205" s="521"/>
      <x:c r="X205" s="520"/>
      <x:c r="Y205" s="521"/>
      <x:c r="Z205" s="519"/>
      <x:c r="AA205" s="520"/>
      <x:c r="AB205" s="521"/>
      <x:c r="AC205" s="520"/>
    </x:row>
    <x:row r="206" ht="32" customHeight="1">
      <x:c r="A206" s="496"/>
      <x:c r="B206" s="497"/>
      <x:c r="C206" s="498"/>
      <x:c r="D206" s="498"/>
      <x:c r="E206" s="497"/>
      <x:c r="F206" s="497"/>
      <x:c r="G206" s="497"/>
      <x:c r="H206" s="497"/>
      <x:c r="I206" s="499"/>
      <x:c r="J206" s="508"/>
      <x:c r="K206" s="508"/>
      <x:c r="L206" s="508"/>
      <x:c r="M206" s="509"/>
      <x:c r="N206" s="508"/>
      <x:c r="O206" s="510"/>
      <x:c r="P206" s="511"/>
      <x:c r="Q206" s="522"/>
      <x:c r="R206" s="522"/>
      <x:c r="S206" s="523"/>
      <x:c r="T206" s="524"/>
      <x:c r="U206" s="519"/>
      <x:c r="V206" s="519"/>
      <x:c r="W206" s="521"/>
      <x:c r="X206" s="520"/>
      <x:c r="Y206" s="521"/>
      <x:c r="Z206" s="519"/>
      <x:c r="AA206" s="520"/>
      <x:c r="AB206" s="521"/>
      <x:c r="AC206" s="520"/>
    </x:row>
    <x:row r="207" ht="32" customHeight="1">
      <x:c r="A207" s="496"/>
      <x:c r="B207" s="497"/>
      <x:c r="C207" s="498"/>
      <x:c r="D207" s="498"/>
      <x:c r="E207" s="497"/>
      <x:c r="F207" s="497"/>
      <x:c r="G207" s="497"/>
      <x:c r="H207" s="497"/>
      <x:c r="I207" s="499"/>
      <x:c r="J207" s="508"/>
      <x:c r="K207" s="508"/>
      <x:c r="L207" s="508"/>
      <x:c r="M207" s="509"/>
      <x:c r="N207" s="508"/>
      <x:c r="O207" s="510"/>
      <x:c r="P207" s="511"/>
      <x:c r="Q207" s="522"/>
      <x:c r="R207" s="522"/>
      <x:c r="S207" s="523"/>
      <x:c r="T207" s="524"/>
      <x:c r="U207" s="519"/>
      <x:c r="V207" s="519"/>
      <x:c r="W207" s="521"/>
      <x:c r="X207" s="520"/>
      <x:c r="Y207" s="521"/>
      <x:c r="Z207" s="519"/>
      <x:c r="AA207" s="520"/>
      <x:c r="AB207" s="521"/>
      <x:c r="AC207" s="520"/>
    </x:row>
    <x:row r="208" ht="32" customHeight="1">
      <x:c r="A208" s="496"/>
      <x:c r="B208" s="497"/>
      <x:c r="C208" s="498"/>
      <x:c r="D208" s="498"/>
      <x:c r="E208" s="497"/>
      <x:c r="F208" s="497"/>
      <x:c r="G208" s="497"/>
      <x:c r="H208" s="497"/>
      <x:c r="I208" s="499"/>
      <x:c r="J208" s="508"/>
      <x:c r="K208" s="508"/>
      <x:c r="L208" s="508"/>
      <x:c r="M208" s="509"/>
      <x:c r="N208" s="508"/>
      <x:c r="O208" s="510"/>
      <x:c r="P208" s="511"/>
      <x:c r="Q208" s="522"/>
      <x:c r="R208" s="522"/>
      <x:c r="S208" s="523"/>
      <x:c r="T208" s="524"/>
      <x:c r="U208" s="519"/>
      <x:c r="V208" s="519"/>
      <x:c r="W208" s="521"/>
      <x:c r="X208" s="520"/>
      <x:c r="Y208" s="521"/>
      <x:c r="Z208" s="519"/>
      <x:c r="AA208" s="520"/>
      <x:c r="AB208" s="521"/>
      <x:c r="AC208" s="520"/>
    </x:row>
    <x:row r="209" ht="32" customHeight="1">
      <x:c r="A209" s="496"/>
      <x:c r="B209" s="497"/>
      <x:c r="C209" s="498"/>
      <x:c r="D209" s="498"/>
      <x:c r="E209" s="497"/>
      <x:c r="F209" s="497"/>
      <x:c r="G209" s="497"/>
      <x:c r="H209" s="497"/>
      <x:c r="I209" s="499"/>
      <x:c r="J209" s="508"/>
      <x:c r="K209" s="508"/>
      <x:c r="L209" s="508"/>
      <x:c r="M209" s="509"/>
      <x:c r="N209" s="508"/>
      <x:c r="O209" s="510"/>
      <x:c r="P209" s="511"/>
      <x:c r="Q209" s="522"/>
      <x:c r="R209" s="522"/>
      <x:c r="S209" s="523"/>
      <x:c r="T209" s="524"/>
      <x:c r="U209" s="519"/>
      <x:c r="V209" s="519"/>
      <x:c r="W209" s="521"/>
      <x:c r="X209" s="520"/>
      <x:c r="Y209" s="521"/>
      <x:c r="Z209" s="519"/>
      <x:c r="AA209" s="520"/>
      <x:c r="AB209" s="521"/>
      <x:c r="AC209" s="520"/>
    </x:row>
    <x:row r="210" ht="32" customHeight="1">
      <x:c r="A210" s="496"/>
      <x:c r="B210" s="497"/>
      <x:c r="C210" s="498"/>
      <x:c r="D210" s="498"/>
      <x:c r="E210" s="497"/>
      <x:c r="F210" s="497"/>
      <x:c r="G210" s="497"/>
      <x:c r="H210" s="497"/>
      <x:c r="I210" s="499"/>
      <x:c r="J210" s="508"/>
      <x:c r="K210" s="508"/>
      <x:c r="L210" s="508"/>
      <x:c r="M210" s="509"/>
      <x:c r="N210" s="508"/>
      <x:c r="O210" s="510"/>
      <x:c r="P210" s="511"/>
      <x:c r="Q210" s="522"/>
      <x:c r="R210" s="522"/>
      <x:c r="S210" s="523"/>
      <x:c r="T210" s="524"/>
      <x:c r="U210" s="519"/>
      <x:c r="V210" s="519"/>
      <x:c r="W210" s="521"/>
      <x:c r="X210" s="520"/>
      <x:c r="Y210" s="521"/>
      <x:c r="Z210" s="519"/>
      <x:c r="AA210" s="520"/>
      <x:c r="AB210" s="521"/>
      <x:c r="AC210" s="520"/>
    </x:row>
    <x:row r="211" ht="32" customHeight="1">
      <x:c r="A211" s="496"/>
      <x:c r="B211" s="497"/>
      <x:c r="C211" s="498"/>
      <x:c r="D211" s="498"/>
      <x:c r="E211" s="497"/>
      <x:c r="F211" s="497"/>
      <x:c r="G211" s="497"/>
      <x:c r="H211" s="497"/>
      <x:c r="I211" s="499"/>
      <x:c r="J211" s="508"/>
      <x:c r="K211" s="508"/>
      <x:c r="L211" s="508"/>
      <x:c r="M211" s="509"/>
      <x:c r="N211" s="508"/>
      <x:c r="O211" s="510"/>
      <x:c r="P211" s="511"/>
      <x:c r="Q211" s="522"/>
      <x:c r="R211" s="522"/>
      <x:c r="S211" s="523"/>
      <x:c r="T211" s="524"/>
      <x:c r="U211" s="519"/>
      <x:c r="V211" s="519"/>
      <x:c r="W211" s="521"/>
      <x:c r="X211" s="520"/>
      <x:c r="Y211" s="521"/>
      <x:c r="Z211" s="519"/>
      <x:c r="AA211" s="520"/>
      <x:c r="AB211" s="521"/>
      <x:c r="AC211" s="520"/>
    </x:row>
    <x:row r="212" ht="32" customHeight="1">
      <x:c r="A212" s="496"/>
      <x:c r="B212" s="497"/>
      <x:c r="C212" s="498"/>
      <x:c r="D212" s="498"/>
      <x:c r="E212" s="497"/>
      <x:c r="F212" s="497"/>
      <x:c r="G212" s="497"/>
      <x:c r="H212" s="497"/>
      <x:c r="I212" s="499"/>
      <x:c r="J212" s="508"/>
      <x:c r="K212" s="508"/>
      <x:c r="L212" s="508"/>
      <x:c r="M212" s="509"/>
      <x:c r="N212" s="508"/>
      <x:c r="O212" s="510"/>
      <x:c r="P212" s="511"/>
      <x:c r="Q212" s="522"/>
      <x:c r="R212" s="522"/>
      <x:c r="S212" s="523"/>
      <x:c r="T212" s="524"/>
      <x:c r="U212" s="519"/>
      <x:c r="V212" s="519"/>
      <x:c r="W212" s="521"/>
      <x:c r="X212" s="520"/>
      <x:c r="Y212" s="521"/>
      <x:c r="Z212" s="519"/>
      <x:c r="AA212" s="520"/>
      <x:c r="AB212" s="521"/>
      <x:c r="AC212" s="520"/>
    </x:row>
    <x:row r="213" ht="32" customHeight="1">
      <x:c r="A213" s="496"/>
      <x:c r="B213" s="497"/>
      <x:c r="C213" s="498"/>
      <x:c r="D213" s="498"/>
      <x:c r="E213" s="497"/>
      <x:c r="F213" s="497"/>
      <x:c r="G213" s="497"/>
      <x:c r="H213" s="497"/>
      <x:c r="I213" s="499"/>
      <x:c r="J213" s="508"/>
      <x:c r="K213" s="508"/>
      <x:c r="L213" s="508"/>
      <x:c r="M213" s="509"/>
      <x:c r="N213" s="508"/>
      <x:c r="O213" s="510"/>
      <x:c r="P213" s="511"/>
      <x:c r="Q213" s="522"/>
      <x:c r="R213" s="522"/>
      <x:c r="S213" s="523"/>
      <x:c r="T213" s="524"/>
      <x:c r="U213" s="519"/>
      <x:c r="V213" s="519"/>
      <x:c r="W213" s="521"/>
      <x:c r="X213" s="520"/>
      <x:c r="Y213" s="521"/>
      <x:c r="Z213" s="519"/>
      <x:c r="AA213" s="520"/>
      <x:c r="AB213" s="521"/>
      <x:c r="AC213" s="520"/>
    </x:row>
    <x:row r="214" ht="32" customHeight="1">
      <x:c r="A214" s="496"/>
      <x:c r="B214" s="497"/>
      <x:c r="C214" s="498"/>
      <x:c r="D214" s="498"/>
      <x:c r="E214" s="497"/>
      <x:c r="F214" s="497"/>
      <x:c r="G214" s="497"/>
      <x:c r="H214" s="497"/>
      <x:c r="I214" s="499"/>
      <x:c r="J214" s="508"/>
      <x:c r="K214" s="508"/>
      <x:c r="L214" s="508"/>
      <x:c r="M214" s="509"/>
      <x:c r="N214" s="508"/>
      <x:c r="O214" s="510"/>
      <x:c r="P214" s="511"/>
      <x:c r="Q214" s="522"/>
      <x:c r="R214" s="522"/>
      <x:c r="S214" s="523"/>
      <x:c r="T214" s="524"/>
      <x:c r="U214" s="519"/>
      <x:c r="V214" s="519"/>
      <x:c r="W214" s="521"/>
      <x:c r="X214" s="520"/>
      <x:c r="Y214" s="521"/>
      <x:c r="Z214" s="519"/>
      <x:c r="AA214" s="520"/>
      <x:c r="AB214" s="521"/>
      <x:c r="AC214" s="520"/>
    </x:row>
    <x:row r="215" ht="32" customHeight="1">
      <x:c r="A215" s="496"/>
      <x:c r="B215" s="497"/>
      <x:c r="C215" s="498"/>
      <x:c r="D215" s="498"/>
      <x:c r="E215" s="497"/>
      <x:c r="F215" s="497"/>
      <x:c r="G215" s="497"/>
      <x:c r="H215" s="497"/>
      <x:c r="I215" s="499"/>
      <x:c r="J215" s="508"/>
      <x:c r="K215" s="508"/>
      <x:c r="L215" s="508"/>
      <x:c r="M215" s="509"/>
      <x:c r="N215" s="508"/>
      <x:c r="O215" s="510"/>
      <x:c r="P215" s="511"/>
      <x:c r="Q215" s="522"/>
      <x:c r="R215" s="522"/>
      <x:c r="S215" s="523"/>
      <x:c r="T215" s="524"/>
      <x:c r="U215" s="519"/>
      <x:c r="V215" s="519"/>
      <x:c r="W215" s="521"/>
      <x:c r="X215" s="520"/>
      <x:c r="Y215" s="521"/>
      <x:c r="Z215" s="519"/>
      <x:c r="AA215" s="520"/>
      <x:c r="AB215" s="521"/>
      <x:c r="AC215" s="520"/>
    </x:row>
    <x:row r="216" ht="32" customHeight="1">
      <x:c r="A216" s="496"/>
      <x:c r="B216" s="497"/>
      <x:c r="C216" s="498"/>
      <x:c r="D216" s="498"/>
      <x:c r="E216" s="497"/>
      <x:c r="F216" s="497"/>
      <x:c r="G216" s="497"/>
      <x:c r="H216" s="497"/>
      <x:c r="I216" s="499"/>
      <x:c r="J216" s="508"/>
      <x:c r="K216" s="508"/>
      <x:c r="L216" s="508"/>
      <x:c r="M216" s="509"/>
      <x:c r="N216" s="508"/>
      <x:c r="O216" s="510"/>
      <x:c r="P216" s="511"/>
      <x:c r="Q216" s="522"/>
      <x:c r="R216" s="522"/>
      <x:c r="S216" s="523"/>
      <x:c r="T216" s="524"/>
      <x:c r="U216" s="519"/>
      <x:c r="V216" s="519"/>
      <x:c r="W216" s="521"/>
      <x:c r="X216" s="520"/>
      <x:c r="Y216" s="521"/>
      <x:c r="Z216" s="519"/>
      <x:c r="AA216" s="520"/>
      <x:c r="AB216" s="521"/>
      <x:c r="AC216" s="520"/>
    </x:row>
    <x:row r="217" ht="32" customHeight="1">
      <x:c r="A217" s="496"/>
      <x:c r="B217" s="497"/>
      <x:c r="C217" s="498"/>
      <x:c r="D217" s="498"/>
      <x:c r="E217" s="497"/>
      <x:c r="F217" s="497"/>
      <x:c r="G217" s="497"/>
      <x:c r="H217" s="497"/>
      <x:c r="I217" s="499"/>
      <x:c r="J217" s="508"/>
      <x:c r="K217" s="508"/>
      <x:c r="L217" s="508"/>
      <x:c r="M217" s="509"/>
      <x:c r="N217" s="508"/>
      <x:c r="O217" s="510"/>
      <x:c r="P217" s="511"/>
      <x:c r="Q217" s="522"/>
      <x:c r="R217" s="522"/>
      <x:c r="S217" s="523"/>
      <x:c r="T217" s="524"/>
      <x:c r="U217" s="519"/>
      <x:c r="V217" s="519"/>
      <x:c r="W217" s="521"/>
      <x:c r="X217" s="520"/>
      <x:c r="Y217" s="521"/>
      <x:c r="Z217" s="519"/>
      <x:c r="AA217" s="520"/>
      <x:c r="AB217" s="521"/>
      <x:c r="AC217" s="520"/>
    </x:row>
    <x:row r="218" ht="32" customHeight="1">
      <x:c r="A218" s="496"/>
      <x:c r="B218" s="497"/>
      <x:c r="C218" s="498"/>
      <x:c r="D218" s="498"/>
      <x:c r="E218" s="497"/>
      <x:c r="F218" s="497"/>
      <x:c r="G218" s="497"/>
      <x:c r="H218" s="497"/>
      <x:c r="I218" s="499"/>
      <x:c r="J218" s="508"/>
      <x:c r="K218" s="508"/>
      <x:c r="L218" s="508"/>
      <x:c r="M218" s="509"/>
      <x:c r="N218" s="508"/>
      <x:c r="O218" s="510"/>
      <x:c r="P218" s="511"/>
      <x:c r="Q218" s="522"/>
      <x:c r="R218" s="522"/>
      <x:c r="S218" s="523"/>
      <x:c r="T218" s="524"/>
      <x:c r="U218" s="519"/>
      <x:c r="V218" s="519"/>
      <x:c r="W218" s="521"/>
      <x:c r="X218" s="520"/>
      <x:c r="Y218" s="521"/>
      <x:c r="Z218" s="519"/>
      <x:c r="AA218" s="520"/>
      <x:c r="AB218" s="521"/>
      <x:c r="AC218" s="520"/>
    </x:row>
    <x:row r="219" ht="32" customHeight="1">
      <x:c r="A219" s="496"/>
      <x:c r="B219" s="497"/>
      <x:c r="C219" s="498"/>
      <x:c r="D219" s="498"/>
      <x:c r="E219" s="497"/>
      <x:c r="F219" s="497"/>
      <x:c r="G219" s="497"/>
      <x:c r="H219" s="497"/>
      <x:c r="I219" s="499"/>
      <x:c r="J219" s="508"/>
      <x:c r="K219" s="508"/>
      <x:c r="L219" s="508"/>
      <x:c r="M219" s="509"/>
      <x:c r="N219" s="508"/>
      <x:c r="O219" s="510"/>
      <x:c r="P219" s="511"/>
      <x:c r="Q219" s="522"/>
      <x:c r="R219" s="522"/>
      <x:c r="S219" s="523"/>
      <x:c r="T219" s="524"/>
      <x:c r="U219" s="519"/>
      <x:c r="V219" s="519"/>
      <x:c r="W219" s="521"/>
      <x:c r="X219" s="520"/>
      <x:c r="Y219" s="521"/>
      <x:c r="Z219" s="519"/>
      <x:c r="AA219" s="520"/>
      <x:c r="AB219" s="521"/>
      <x:c r="AC219" s="520"/>
    </x:row>
    <x:row r="220" ht="32" customHeight="1">
      <x:c r="A220" s="496"/>
      <x:c r="B220" s="497"/>
      <x:c r="C220" s="498"/>
      <x:c r="D220" s="498"/>
      <x:c r="E220" s="497"/>
      <x:c r="F220" s="497"/>
      <x:c r="G220" s="497"/>
      <x:c r="H220" s="497"/>
      <x:c r="I220" s="499"/>
      <x:c r="J220" s="508"/>
      <x:c r="K220" s="508"/>
      <x:c r="L220" s="508"/>
      <x:c r="M220" s="509"/>
      <x:c r="N220" s="508"/>
      <x:c r="O220" s="510"/>
      <x:c r="P220" s="511"/>
      <x:c r="Q220" s="522"/>
      <x:c r="R220" s="522"/>
      <x:c r="S220" s="523"/>
      <x:c r="T220" s="524"/>
      <x:c r="U220" s="519"/>
      <x:c r="V220" s="519"/>
      <x:c r="W220" s="521"/>
      <x:c r="X220" s="520"/>
      <x:c r="Y220" s="521"/>
      <x:c r="Z220" s="519"/>
      <x:c r="AA220" s="520"/>
      <x:c r="AB220" s="521"/>
      <x:c r="AC220" s="520"/>
    </x:row>
    <x:row r="221" ht="32" customHeight="1">
      <x:c r="A221" s="496"/>
      <x:c r="B221" s="497"/>
      <x:c r="C221" s="498"/>
      <x:c r="D221" s="498"/>
      <x:c r="E221" s="497"/>
      <x:c r="F221" s="497"/>
      <x:c r="G221" s="497"/>
      <x:c r="H221" s="497"/>
      <x:c r="I221" s="499"/>
      <x:c r="J221" s="508"/>
      <x:c r="K221" s="508"/>
      <x:c r="L221" s="508"/>
      <x:c r="M221" s="509"/>
      <x:c r="N221" s="508"/>
      <x:c r="O221" s="510"/>
      <x:c r="P221" s="511"/>
      <x:c r="Q221" s="522"/>
      <x:c r="R221" s="522"/>
      <x:c r="S221" s="523"/>
      <x:c r="T221" s="524"/>
      <x:c r="U221" s="519"/>
      <x:c r="V221" s="519"/>
      <x:c r="W221" s="521"/>
      <x:c r="X221" s="520"/>
      <x:c r="Y221" s="521"/>
      <x:c r="Z221" s="519"/>
      <x:c r="AA221" s="520"/>
      <x:c r="AB221" s="521"/>
      <x:c r="AC221" s="520"/>
    </x:row>
    <x:row r="222" ht="32" customHeight="1">
      <x:c r="A222" s="496"/>
      <x:c r="B222" s="497"/>
      <x:c r="C222" s="498"/>
      <x:c r="D222" s="498"/>
      <x:c r="E222" s="497"/>
      <x:c r="F222" s="497"/>
      <x:c r="G222" s="497"/>
      <x:c r="H222" s="497"/>
      <x:c r="I222" s="499"/>
      <x:c r="J222" s="508"/>
      <x:c r="K222" s="508"/>
      <x:c r="L222" s="508"/>
      <x:c r="M222" s="509"/>
      <x:c r="N222" s="508"/>
      <x:c r="O222" s="510"/>
      <x:c r="P222" s="511"/>
      <x:c r="Q222" s="522"/>
      <x:c r="R222" s="522"/>
      <x:c r="S222" s="523"/>
      <x:c r="T222" s="524"/>
      <x:c r="U222" s="519"/>
      <x:c r="V222" s="519"/>
      <x:c r="W222" s="521"/>
      <x:c r="X222" s="520"/>
      <x:c r="Y222" s="521"/>
      <x:c r="Z222" s="519"/>
      <x:c r="AA222" s="520"/>
      <x:c r="AB222" s="521"/>
      <x:c r="AC222" s="520"/>
    </x:row>
    <x:row r="223" ht="32" customHeight="1">
      <x:c r="A223" s="496"/>
      <x:c r="B223" s="497"/>
      <x:c r="C223" s="498"/>
      <x:c r="D223" s="498"/>
      <x:c r="E223" s="497"/>
      <x:c r="F223" s="497"/>
      <x:c r="G223" s="497"/>
      <x:c r="H223" s="497"/>
      <x:c r="I223" s="499"/>
      <x:c r="J223" s="508"/>
      <x:c r="K223" s="508"/>
      <x:c r="L223" s="508"/>
      <x:c r="M223" s="509"/>
      <x:c r="N223" s="508"/>
      <x:c r="O223" s="510"/>
      <x:c r="P223" s="511"/>
      <x:c r="Q223" s="522"/>
      <x:c r="R223" s="522"/>
      <x:c r="S223" s="523"/>
      <x:c r="T223" s="524"/>
      <x:c r="U223" s="519"/>
      <x:c r="V223" s="519"/>
      <x:c r="W223" s="521"/>
      <x:c r="X223" s="520"/>
      <x:c r="Y223" s="521"/>
      <x:c r="Z223" s="519"/>
      <x:c r="AA223" s="520"/>
      <x:c r="AB223" s="521"/>
      <x:c r="AC223" s="520"/>
    </x:row>
    <x:row r="224" ht="32" customHeight="1">
      <x:c r="A224" s="496"/>
      <x:c r="B224" s="497"/>
      <x:c r="C224" s="498"/>
      <x:c r="D224" s="498"/>
      <x:c r="E224" s="497"/>
      <x:c r="F224" s="497"/>
      <x:c r="G224" s="497"/>
      <x:c r="H224" s="497"/>
      <x:c r="I224" s="499"/>
      <x:c r="J224" s="508"/>
      <x:c r="K224" s="508"/>
      <x:c r="L224" s="508"/>
      <x:c r="M224" s="509"/>
      <x:c r="N224" s="508"/>
      <x:c r="O224" s="510"/>
      <x:c r="P224" s="511"/>
      <x:c r="Q224" s="522"/>
      <x:c r="R224" s="522"/>
      <x:c r="S224" s="523"/>
      <x:c r="T224" s="524"/>
      <x:c r="U224" s="519"/>
      <x:c r="V224" s="519"/>
      <x:c r="W224" s="521"/>
      <x:c r="X224" s="520"/>
      <x:c r="Y224" s="521"/>
      <x:c r="Z224" s="519"/>
      <x:c r="AA224" s="520"/>
      <x:c r="AB224" s="521"/>
      <x:c r="AC224" s="520"/>
    </x:row>
    <x:row r="225" ht="32" customHeight="1">
      <x:c r="A225" s="496"/>
      <x:c r="B225" s="497"/>
      <x:c r="C225" s="498"/>
      <x:c r="D225" s="498"/>
      <x:c r="E225" s="497"/>
      <x:c r="F225" s="497"/>
      <x:c r="G225" s="497"/>
      <x:c r="H225" s="497"/>
      <x:c r="I225" s="499"/>
      <x:c r="J225" s="508"/>
      <x:c r="K225" s="508"/>
      <x:c r="L225" s="508"/>
      <x:c r="M225" s="509"/>
      <x:c r="N225" s="508"/>
      <x:c r="O225" s="510"/>
      <x:c r="P225" s="511"/>
      <x:c r="Q225" s="522"/>
      <x:c r="R225" s="522"/>
      <x:c r="S225" s="523"/>
      <x:c r="T225" s="524"/>
      <x:c r="U225" s="519"/>
      <x:c r="V225" s="519"/>
      <x:c r="W225" s="521"/>
      <x:c r="X225" s="520"/>
      <x:c r="Y225" s="521"/>
      <x:c r="Z225" s="519"/>
      <x:c r="AA225" s="520"/>
      <x:c r="AB225" s="521"/>
      <x:c r="AC225" s="520"/>
    </x:row>
    <x:row r="226" ht="32" customHeight="1">
      <x:c r="A226" s="496"/>
      <x:c r="B226" s="497"/>
      <x:c r="C226" s="498"/>
      <x:c r="D226" s="498"/>
      <x:c r="E226" s="497"/>
      <x:c r="F226" s="497"/>
      <x:c r="G226" s="497"/>
      <x:c r="H226" s="497"/>
      <x:c r="I226" s="499"/>
      <x:c r="J226" s="508"/>
      <x:c r="K226" s="508"/>
      <x:c r="L226" s="508"/>
      <x:c r="M226" s="509"/>
      <x:c r="N226" s="508"/>
      <x:c r="O226" s="510"/>
      <x:c r="P226" s="511"/>
      <x:c r="Q226" s="522"/>
      <x:c r="R226" s="522"/>
      <x:c r="S226" s="523"/>
      <x:c r="T226" s="524"/>
      <x:c r="U226" s="519"/>
      <x:c r="V226" s="519"/>
      <x:c r="W226" s="521"/>
      <x:c r="X226" s="520"/>
      <x:c r="Y226" s="521"/>
      <x:c r="Z226" s="519"/>
      <x:c r="AA226" s="520"/>
      <x:c r="AB226" s="521"/>
      <x:c r="AC226" s="520"/>
    </x:row>
    <x:row r="227" ht="32" customHeight="1">
      <x:c r="A227" s="496"/>
      <x:c r="B227" s="497"/>
      <x:c r="C227" s="498"/>
      <x:c r="D227" s="498"/>
      <x:c r="E227" s="497"/>
      <x:c r="F227" s="497"/>
      <x:c r="G227" s="497"/>
      <x:c r="H227" s="497"/>
      <x:c r="I227" s="499"/>
      <x:c r="J227" s="508"/>
      <x:c r="K227" s="508"/>
      <x:c r="L227" s="508"/>
      <x:c r="M227" s="509"/>
      <x:c r="N227" s="508"/>
      <x:c r="O227" s="510"/>
      <x:c r="P227" s="511"/>
      <x:c r="Q227" s="522"/>
      <x:c r="R227" s="522"/>
      <x:c r="S227" s="523"/>
      <x:c r="T227" s="524"/>
      <x:c r="U227" s="519"/>
      <x:c r="V227" s="519"/>
      <x:c r="W227" s="521"/>
      <x:c r="X227" s="520"/>
      <x:c r="Y227" s="521"/>
      <x:c r="Z227" s="519"/>
      <x:c r="AA227" s="520"/>
      <x:c r="AB227" s="521"/>
      <x:c r="AC227" s="520"/>
    </x:row>
    <x:row r="228" ht="32" customHeight="1">
      <x:c r="A228" s="496"/>
      <x:c r="B228" s="497"/>
      <x:c r="C228" s="498"/>
      <x:c r="D228" s="498"/>
      <x:c r="E228" s="497"/>
      <x:c r="F228" s="497"/>
      <x:c r="G228" s="497"/>
      <x:c r="H228" s="497"/>
      <x:c r="I228" s="499"/>
      <x:c r="J228" s="508"/>
      <x:c r="K228" s="508"/>
      <x:c r="L228" s="508"/>
      <x:c r="M228" s="509"/>
      <x:c r="N228" s="508"/>
      <x:c r="O228" s="510"/>
      <x:c r="P228" s="511"/>
      <x:c r="Q228" s="522"/>
      <x:c r="R228" s="522"/>
      <x:c r="S228" s="523"/>
      <x:c r="T228" s="524"/>
      <x:c r="U228" s="519"/>
      <x:c r="V228" s="519"/>
      <x:c r="W228" s="521"/>
      <x:c r="X228" s="520"/>
      <x:c r="Y228" s="521"/>
      <x:c r="Z228" s="519"/>
      <x:c r="AA228" s="520"/>
      <x:c r="AB228" s="521"/>
      <x:c r="AC228" s="520"/>
    </x:row>
    <x:row r="229" ht="32" customHeight="1">
      <x:c r="A229" s="496"/>
      <x:c r="B229" s="497"/>
      <x:c r="C229" s="498"/>
      <x:c r="D229" s="498"/>
      <x:c r="E229" s="497"/>
      <x:c r="F229" s="497"/>
      <x:c r="G229" s="497"/>
      <x:c r="H229" s="497"/>
      <x:c r="I229" s="499"/>
      <x:c r="J229" s="508"/>
      <x:c r="K229" s="508"/>
      <x:c r="L229" s="508"/>
      <x:c r="M229" s="509"/>
      <x:c r="N229" s="508"/>
      <x:c r="O229" s="510"/>
      <x:c r="P229" s="511"/>
      <x:c r="Q229" s="522"/>
      <x:c r="R229" s="522"/>
      <x:c r="S229" s="523"/>
      <x:c r="T229" s="524"/>
      <x:c r="U229" s="519"/>
      <x:c r="V229" s="519"/>
      <x:c r="W229" s="521"/>
      <x:c r="X229" s="520"/>
      <x:c r="Y229" s="521"/>
      <x:c r="Z229" s="519"/>
      <x:c r="AA229" s="520"/>
      <x:c r="AB229" s="521"/>
      <x:c r="AC229" s="520"/>
    </x:row>
    <x:row r="230" ht="32" customHeight="1">
      <x:c r="A230" s="496"/>
      <x:c r="B230" s="497"/>
      <x:c r="C230" s="498"/>
      <x:c r="D230" s="498"/>
      <x:c r="E230" s="497"/>
      <x:c r="F230" s="497"/>
      <x:c r="G230" s="497"/>
      <x:c r="H230" s="497"/>
      <x:c r="I230" s="499"/>
      <x:c r="J230" s="508"/>
      <x:c r="K230" s="508"/>
      <x:c r="L230" s="508"/>
      <x:c r="M230" s="509"/>
      <x:c r="N230" s="508"/>
      <x:c r="O230" s="510"/>
      <x:c r="P230" s="511"/>
      <x:c r="Q230" s="522"/>
      <x:c r="R230" s="522"/>
      <x:c r="S230" s="523"/>
      <x:c r="T230" s="524"/>
      <x:c r="U230" s="519"/>
      <x:c r="V230" s="519"/>
      <x:c r="W230" s="521"/>
      <x:c r="X230" s="520"/>
      <x:c r="Y230" s="521"/>
      <x:c r="Z230" s="519"/>
      <x:c r="AA230" s="520"/>
      <x:c r="AB230" s="521"/>
      <x:c r="AC230" s="520"/>
    </x:row>
    <x:row r="231" ht="32" customHeight="1">
      <x:c r="A231" s="496"/>
      <x:c r="B231" s="497"/>
      <x:c r="C231" s="498"/>
      <x:c r="D231" s="498"/>
      <x:c r="E231" s="497"/>
      <x:c r="F231" s="497"/>
      <x:c r="G231" s="497"/>
      <x:c r="H231" s="497"/>
      <x:c r="I231" s="499"/>
      <x:c r="J231" s="508"/>
      <x:c r="K231" s="508"/>
      <x:c r="L231" s="508"/>
      <x:c r="M231" s="509"/>
      <x:c r="N231" s="508"/>
      <x:c r="O231" s="510"/>
      <x:c r="P231" s="511"/>
      <x:c r="Q231" s="522"/>
      <x:c r="R231" s="522"/>
      <x:c r="S231" s="523"/>
      <x:c r="T231" s="524"/>
      <x:c r="U231" s="519"/>
      <x:c r="V231" s="519"/>
      <x:c r="W231" s="521"/>
      <x:c r="X231" s="520"/>
      <x:c r="Y231" s="521"/>
      <x:c r="Z231" s="519"/>
      <x:c r="AA231" s="520"/>
      <x:c r="AB231" s="521"/>
      <x:c r="AC231" s="520"/>
    </x:row>
    <x:row r="232" ht="32" customHeight="1">
      <x:c r="A232" s="496"/>
      <x:c r="B232" s="497"/>
      <x:c r="C232" s="498"/>
      <x:c r="D232" s="498"/>
      <x:c r="E232" s="497"/>
      <x:c r="F232" s="497"/>
      <x:c r="G232" s="497"/>
      <x:c r="H232" s="497"/>
      <x:c r="I232" s="499"/>
      <x:c r="J232" s="508"/>
      <x:c r="K232" s="508"/>
      <x:c r="L232" s="508"/>
      <x:c r="M232" s="509"/>
      <x:c r="N232" s="508"/>
      <x:c r="O232" s="510"/>
      <x:c r="P232" s="511"/>
      <x:c r="Q232" s="522"/>
      <x:c r="R232" s="522"/>
      <x:c r="S232" s="523"/>
      <x:c r="T232" s="524"/>
      <x:c r="U232" s="519"/>
      <x:c r="V232" s="519"/>
      <x:c r="W232" s="521"/>
      <x:c r="X232" s="520"/>
      <x:c r="Y232" s="521"/>
      <x:c r="Z232" s="519"/>
      <x:c r="AA232" s="520"/>
      <x:c r="AB232" s="521"/>
      <x:c r="AC232" s="520"/>
    </x:row>
    <x:row r="233" ht="32" customHeight="1">
      <x:c r="A233" s="496"/>
      <x:c r="B233" s="497"/>
      <x:c r="C233" s="498"/>
      <x:c r="D233" s="498"/>
      <x:c r="E233" s="497"/>
      <x:c r="F233" s="497"/>
      <x:c r="G233" s="497"/>
      <x:c r="H233" s="497"/>
      <x:c r="I233" s="499"/>
      <x:c r="J233" s="508"/>
      <x:c r="K233" s="508"/>
      <x:c r="L233" s="508"/>
      <x:c r="M233" s="509"/>
      <x:c r="N233" s="508"/>
      <x:c r="O233" s="510"/>
      <x:c r="P233" s="511"/>
      <x:c r="Q233" s="522"/>
      <x:c r="R233" s="522"/>
      <x:c r="S233" s="523"/>
      <x:c r="T233" s="524"/>
      <x:c r="U233" s="519"/>
      <x:c r="V233" s="519"/>
      <x:c r="W233" s="521"/>
      <x:c r="X233" s="520"/>
      <x:c r="Y233" s="521"/>
      <x:c r="Z233" s="519"/>
      <x:c r="AA233" s="520"/>
      <x:c r="AB233" s="521"/>
      <x:c r="AC233" s="520"/>
    </x:row>
    <x:row r="234" ht="32" customHeight="1">
      <x:c r="A234" s="496"/>
      <x:c r="B234" s="497"/>
      <x:c r="C234" s="498"/>
      <x:c r="D234" s="498"/>
      <x:c r="E234" s="497"/>
      <x:c r="F234" s="497"/>
      <x:c r="G234" s="497"/>
      <x:c r="H234" s="497"/>
      <x:c r="I234" s="499"/>
      <x:c r="J234" s="508"/>
      <x:c r="K234" s="508"/>
      <x:c r="L234" s="508"/>
      <x:c r="M234" s="509"/>
      <x:c r="N234" s="508"/>
      <x:c r="O234" s="510"/>
      <x:c r="P234" s="511"/>
      <x:c r="Q234" s="522"/>
      <x:c r="R234" s="522"/>
      <x:c r="S234" s="523"/>
      <x:c r="T234" s="524"/>
      <x:c r="U234" s="519"/>
      <x:c r="V234" s="519"/>
      <x:c r="W234" s="521"/>
      <x:c r="X234" s="520"/>
      <x:c r="Y234" s="521"/>
      <x:c r="Z234" s="519"/>
      <x:c r="AA234" s="520"/>
      <x:c r="AB234" s="521"/>
      <x:c r="AC234" s="520"/>
    </x:row>
    <x:row r="235" ht="32" customHeight="1">
      <x:c r="A235" s="496"/>
      <x:c r="B235" s="497"/>
      <x:c r="C235" s="498"/>
      <x:c r="D235" s="498"/>
      <x:c r="E235" s="497"/>
      <x:c r="F235" s="497"/>
      <x:c r="G235" s="497"/>
      <x:c r="H235" s="497"/>
      <x:c r="I235" s="499"/>
      <x:c r="J235" s="508"/>
      <x:c r="K235" s="508"/>
      <x:c r="L235" s="508"/>
      <x:c r="M235" s="509"/>
      <x:c r="N235" s="508"/>
      <x:c r="O235" s="510"/>
      <x:c r="P235" s="511"/>
      <x:c r="Q235" s="522"/>
      <x:c r="R235" s="522"/>
      <x:c r="S235" s="523"/>
      <x:c r="T235" s="524"/>
      <x:c r="U235" s="519"/>
      <x:c r="V235" s="519"/>
      <x:c r="W235" s="521"/>
      <x:c r="X235" s="520"/>
      <x:c r="Y235" s="521"/>
      <x:c r="Z235" s="519"/>
      <x:c r="AA235" s="520"/>
      <x:c r="AB235" s="521"/>
      <x:c r="AC235" s="520"/>
    </x:row>
    <x:row r="236" ht="32" customHeight="1">
      <x:c r="A236" s="496"/>
      <x:c r="B236" s="497"/>
      <x:c r="C236" s="498"/>
      <x:c r="D236" s="498"/>
      <x:c r="E236" s="497"/>
      <x:c r="F236" s="497"/>
      <x:c r="G236" s="497"/>
      <x:c r="H236" s="497"/>
      <x:c r="I236" s="499"/>
      <x:c r="J236" s="508"/>
      <x:c r="K236" s="508"/>
      <x:c r="L236" s="508"/>
      <x:c r="M236" s="509"/>
      <x:c r="N236" s="508"/>
      <x:c r="O236" s="510"/>
      <x:c r="P236" s="511"/>
      <x:c r="Q236" s="522"/>
      <x:c r="R236" s="522"/>
      <x:c r="S236" s="523"/>
      <x:c r="T236" s="524"/>
      <x:c r="U236" s="519"/>
      <x:c r="V236" s="519"/>
      <x:c r="W236" s="521"/>
      <x:c r="X236" s="520"/>
      <x:c r="Y236" s="521"/>
      <x:c r="Z236" s="519"/>
      <x:c r="AA236" s="520"/>
      <x:c r="AB236" s="521"/>
      <x:c r="AC236" s="520"/>
    </x:row>
    <x:row r="237" ht="32" customHeight="1">
      <x:c r="A237" s="496"/>
      <x:c r="B237" s="497"/>
      <x:c r="C237" s="498"/>
      <x:c r="D237" s="498"/>
      <x:c r="E237" s="497"/>
      <x:c r="F237" s="497"/>
      <x:c r="G237" s="497"/>
      <x:c r="H237" s="497"/>
      <x:c r="I237" s="499"/>
      <x:c r="J237" s="508"/>
      <x:c r="K237" s="508"/>
      <x:c r="L237" s="508"/>
      <x:c r="M237" s="509"/>
      <x:c r="N237" s="508"/>
      <x:c r="O237" s="510"/>
      <x:c r="P237" s="511"/>
      <x:c r="Q237" s="522"/>
      <x:c r="R237" s="522"/>
      <x:c r="S237" s="523"/>
      <x:c r="T237" s="524"/>
      <x:c r="U237" s="519"/>
      <x:c r="V237" s="519"/>
      <x:c r="W237" s="521"/>
      <x:c r="X237" s="520"/>
      <x:c r="Y237" s="521"/>
      <x:c r="Z237" s="519"/>
      <x:c r="AA237" s="520"/>
      <x:c r="AB237" s="521"/>
      <x:c r="AC237" s="520"/>
    </x:row>
    <x:row r="238" ht="32" customHeight="1">
      <x:c r="A238" s="496"/>
      <x:c r="B238" s="497"/>
      <x:c r="C238" s="498"/>
      <x:c r="D238" s="498"/>
      <x:c r="E238" s="497"/>
      <x:c r="F238" s="497"/>
      <x:c r="G238" s="497"/>
      <x:c r="H238" s="497"/>
      <x:c r="I238" s="499"/>
      <x:c r="J238" s="508"/>
      <x:c r="K238" s="508"/>
      <x:c r="L238" s="508"/>
      <x:c r="M238" s="509"/>
      <x:c r="N238" s="508"/>
      <x:c r="O238" s="510"/>
      <x:c r="P238" s="511"/>
      <x:c r="Q238" s="522"/>
      <x:c r="R238" s="522"/>
      <x:c r="S238" s="523"/>
      <x:c r="T238" s="524"/>
      <x:c r="U238" s="519"/>
      <x:c r="V238" s="519"/>
      <x:c r="W238" s="521"/>
      <x:c r="X238" s="520"/>
      <x:c r="Y238" s="521"/>
      <x:c r="Z238" s="519"/>
      <x:c r="AA238" s="520"/>
      <x:c r="AB238" s="521"/>
      <x:c r="AC238" s="520"/>
    </x:row>
    <x:row r="239" ht="32" customHeight="1">
      <x:c r="A239" s="496"/>
      <x:c r="B239" s="497"/>
      <x:c r="C239" s="498"/>
      <x:c r="D239" s="498"/>
      <x:c r="E239" s="497"/>
      <x:c r="F239" s="497"/>
      <x:c r="G239" s="497"/>
      <x:c r="H239" s="497"/>
      <x:c r="I239" s="499"/>
      <x:c r="J239" s="508"/>
      <x:c r="K239" s="508"/>
      <x:c r="L239" s="508"/>
      <x:c r="M239" s="509"/>
      <x:c r="N239" s="508"/>
      <x:c r="O239" s="510"/>
      <x:c r="P239" s="511"/>
      <x:c r="Q239" s="522"/>
      <x:c r="R239" s="522"/>
      <x:c r="S239" s="523"/>
      <x:c r="T239" s="524"/>
      <x:c r="U239" s="519"/>
      <x:c r="V239" s="519"/>
      <x:c r="W239" s="521"/>
      <x:c r="X239" s="520"/>
      <x:c r="Y239" s="521"/>
      <x:c r="Z239" s="519"/>
      <x:c r="AA239" s="520"/>
      <x:c r="AB239" s="521"/>
      <x:c r="AC239" s="520"/>
    </x:row>
    <x:row r="240" ht="32" customHeight="1">
      <x:c r="A240" s="496"/>
      <x:c r="B240" s="497"/>
      <x:c r="C240" s="498"/>
      <x:c r="D240" s="498"/>
      <x:c r="E240" s="497"/>
      <x:c r="F240" s="497"/>
      <x:c r="G240" s="497"/>
      <x:c r="H240" s="497"/>
      <x:c r="I240" s="499"/>
      <x:c r="J240" s="508"/>
      <x:c r="K240" s="508"/>
      <x:c r="L240" s="508"/>
      <x:c r="M240" s="509"/>
      <x:c r="N240" s="508"/>
      <x:c r="O240" s="510"/>
      <x:c r="P240" s="511"/>
      <x:c r="Q240" s="522"/>
      <x:c r="R240" s="522"/>
      <x:c r="S240" s="523"/>
      <x:c r="T240" s="524"/>
      <x:c r="U240" s="519"/>
      <x:c r="V240" s="519"/>
      <x:c r="W240" s="521"/>
      <x:c r="X240" s="520"/>
      <x:c r="Y240" s="521"/>
      <x:c r="Z240" s="519"/>
      <x:c r="AA240" s="520"/>
      <x:c r="AB240" s="521"/>
      <x:c r="AC240" s="520"/>
    </x:row>
    <x:row r="241" ht="32" customHeight="1">
      <x:c r="A241" s="496"/>
      <x:c r="B241" s="497"/>
      <x:c r="C241" s="498"/>
      <x:c r="D241" s="498"/>
      <x:c r="E241" s="497"/>
      <x:c r="F241" s="497"/>
      <x:c r="G241" s="497"/>
      <x:c r="H241" s="497"/>
      <x:c r="I241" s="499"/>
      <x:c r="J241" s="508"/>
      <x:c r="K241" s="508"/>
      <x:c r="L241" s="508"/>
      <x:c r="M241" s="509"/>
      <x:c r="N241" s="508"/>
      <x:c r="O241" s="510"/>
      <x:c r="P241" s="511"/>
      <x:c r="Q241" s="522"/>
      <x:c r="R241" s="522"/>
      <x:c r="S241" s="523"/>
      <x:c r="T241" s="524"/>
      <x:c r="U241" s="519"/>
      <x:c r="V241" s="519"/>
      <x:c r="W241" s="521"/>
      <x:c r="X241" s="520"/>
      <x:c r="Y241" s="521"/>
      <x:c r="Z241" s="519"/>
      <x:c r="AA241" s="520"/>
      <x:c r="AB241" s="521"/>
      <x:c r="AC241" s="520"/>
    </x:row>
    <x:row r="242" ht="32" customHeight="1">
      <x:c r="A242" s="496"/>
      <x:c r="B242" s="497"/>
      <x:c r="C242" s="498"/>
      <x:c r="D242" s="498"/>
      <x:c r="E242" s="497"/>
      <x:c r="F242" s="497"/>
      <x:c r="G242" s="497"/>
      <x:c r="H242" s="497"/>
      <x:c r="I242" s="499"/>
      <x:c r="J242" s="508"/>
      <x:c r="K242" s="508"/>
      <x:c r="L242" s="508"/>
      <x:c r="M242" s="509"/>
      <x:c r="N242" s="508"/>
      <x:c r="O242" s="510"/>
      <x:c r="P242" s="511"/>
      <x:c r="Q242" s="522"/>
      <x:c r="R242" s="522"/>
      <x:c r="S242" s="523"/>
      <x:c r="T242" s="524"/>
      <x:c r="U242" s="519"/>
      <x:c r="V242" s="519"/>
      <x:c r="W242" s="521"/>
      <x:c r="X242" s="520"/>
      <x:c r="Y242" s="521"/>
      <x:c r="Z242" s="519"/>
      <x:c r="AA242" s="520"/>
      <x:c r="AB242" s="521"/>
      <x:c r="AC242" s="520"/>
    </x:row>
    <x:row r="243" ht="32" customHeight="1">
      <x:c r="A243" s="496"/>
      <x:c r="B243" s="497"/>
      <x:c r="C243" s="498"/>
      <x:c r="D243" s="498"/>
      <x:c r="E243" s="497"/>
      <x:c r="F243" s="497"/>
      <x:c r="G243" s="497"/>
      <x:c r="H243" s="497"/>
      <x:c r="I243" s="499"/>
      <x:c r="J243" s="508"/>
      <x:c r="K243" s="508"/>
      <x:c r="L243" s="508"/>
      <x:c r="M243" s="509"/>
      <x:c r="N243" s="508"/>
      <x:c r="O243" s="510"/>
      <x:c r="P243" s="511"/>
      <x:c r="Q243" s="522"/>
      <x:c r="R243" s="522"/>
      <x:c r="S243" s="523"/>
      <x:c r="T243" s="524"/>
      <x:c r="U243" s="519"/>
      <x:c r="V243" s="519"/>
      <x:c r="W243" s="521"/>
      <x:c r="X243" s="520"/>
      <x:c r="Y243" s="521"/>
      <x:c r="Z243" s="519"/>
      <x:c r="AA243" s="520"/>
      <x:c r="AB243" s="521"/>
      <x:c r="AC243" s="520"/>
    </x:row>
    <x:row r="244" ht="32" customHeight="1">
      <x:c r="A244" s="496"/>
      <x:c r="B244" s="497"/>
      <x:c r="C244" s="498"/>
      <x:c r="D244" s="498"/>
      <x:c r="E244" s="497"/>
      <x:c r="F244" s="497"/>
      <x:c r="G244" s="497"/>
      <x:c r="H244" s="497"/>
      <x:c r="I244" s="499"/>
      <x:c r="J244" s="508"/>
      <x:c r="K244" s="508"/>
      <x:c r="L244" s="508"/>
      <x:c r="M244" s="509"/>
      <x:c r="N244" s="508"/>
      <x:c r="O244" s="510"/>
      <x:c r="P244" s="511"/>
      <x:c r="Q244" s="522"/>
      <x:c r="R244" s="522"/>
      <x:c r="S244" s="523"/>
      <x:c r="T244" s="524"/>
      <x:c r="U244" s="519"/>
      <x:c r="V244" s="519"/>
      <x:c r="W244" s="521"/>
      <x:c r="X244" s="520"/>
      <x:c r="Y244" s="521"/>
      <x:c r="Z244" s="519"/>
      <x:c r="AA244" s="520"/>
      <x:c r="AB244" s="521"/>
      <x:c r="AC244" s="520"/>
    </x:row>
    <x:row r="245" ht="32" customHeight="1">
      <x:c r="A245" s="496"/>
      <x:c r="B245" s="497"/>
      <x:c r="C245" s="498"/>
      <x:c r="D245" s="498"/>
      <x:c r="E245" s="497"/>
      <x:c r="F245" s="497"/>
      <x:c r="G245" s="497"/>
      <x:c r="H245" s="497"/>
      <x:c r="I245" s="499"/>
      <x:c r="J245" s="508"/>
      <x:c r="K245" s="508"/>
      <x:c r="L245" s="508"/>
      <x:c r="M245" s="509"/>
      <x:c r="N245" s="508"/>
      <x:c r="O245" s="510"/>
      <x:c r="P245" s="511"/>
      <x:c r="Q245" s="522"/>
      <x:c r="R245" s="522"/>
      <x:c r="S245" s="523"/>
      <x:c r="T245" s="524"/>
      <x:c r="U245" s="519"/>
      <x:c r="V245" s="519"/>
      <x:c r="W245" s="521"/>
      <x:c r="X245" s="520"/>
      <x:c r="Y245" s="521"/>
      <x:c r="Z245" s="519"/>
      <x:c r="AA245" s="520"/>
      <x:c r="AB245" s="521"/>
      <x:c r="AC245" s="520"/>
    </x:row>
    <x:row r="246" ht="32" customHeight="1">
      <x:c r="A246" s="496"/>
      <x:c r="B246" s="497"/>
      <x:c r="C246" s="498"/>
      <x:c r="D246" s="498"/>
      <x:c r="E246" s="497"/>
      <x:c r="F246" s="497"/>
      <x:c r="G246" s="497"/>
      <x:c r="H246" s="497"/>
      <x:c r="I246" s="499"/>
      <x:c r="J246" s="508"/>
      <x:c r="K246" s="508"/>
      <x:c r="L246" s="508"/>
      <x:c r="M246" s="509"/>
      <x:c r="N246" s="508"/>
      <x:c r="O246" s="510"/>
      <x:c r="P246" s="511"/>
      <x:c r="Q246" s="522"/>
      <x:c r="R246" s="522"/>
      <x:c r="S246" s="523"/>
      <x:c r="T246" s="524"/>
      <x:c r="U246" s="519"/>
      <x:c r="V246" s="519"/>
      <x:c r="W246" s="521"/>
      <x:c r="X246" s="520"/>
      <x:c r="Y246" s="521"/>
      <x:c r="Z246" s="519"/>
      <x:c r="AA246" s="520"/>
      <x:c r="AB246" s="521"/>
      <x:c r="AC246" s="520"/>
    </x:row>
    <x:row r="247" ht="32" customHeight="1">
      <x:c r="A247" s="496"/>
      <x:c r="B247" s="497"/>
      <x:c r="C247" s="498"/>
      <x:c r="D247" s="498"/>
      <x:c r="E247" s="497"/>
      <x:c r="F247" s="497"/>
      <x:c r="G247" s="497"/>
      <x:c r="H247" s="497"/>
      <x:c r="I247" s="499"/>
      <x:c r="J247" s="508"/>
      <x:c r="K247" s="508"/>
      <x:c r="L247" s="508"/>
      <x:c r="M247" s="509"/>
      <x:c r="N247" s="508"/>
      <x:c r="O247" s="510"/>
      <x:c r="P247" s="511"/>
      <x:c r="Q247" s="522"/>
      <x:c r="R247" s="522"/>
      <x:c r="S247" s="523"/>
      <x:c r="T247" s="524"/>
      <x:c r="U247" s="519"/>
      <x:c r="V247" s="519"/>
      <x:c r="W247" s="521"/>
      <x:c r="X247" s="520"/>
      <x:c r="Y247" s="521"/>
      <x:c r="Z247" s="519"/>
      <x:c r="AA247" s="520"/>
      <x:c r="AB247" s="521"/>
      <x:c r="AC247" s="520"/>
    </x:row>
    <x:row r="248" ht="32" customHeight="1">
      <x:c r="A248" s="496"/>
      <x:c r="B248" s="497"/>
      <x:c r="C248" s="498"/>
      <x:c r="D248" s="498"/>
      <x:c r="E248" s="497"/>
      <x:c r="F248" s="497"/>
      <x:c r="G248" s="497"/>
      <x:c r="H248" s="497"/>
      <x:c r="I248" s="499"/>
      <x:c r="J248" s="508"/>
      <x:c r="K248" s="508"/>
      <x:c r="L248" s="508"/>
      <x:c r="M248" s="509"/>
      <x:c r="N248" s="508"/>
      <x:c r="O248" s="510"/>
      <x:c r="P248" s="511"/>
      <x:c r="Q248" s="522"/>
      <x:c r="R248" s="522"/>
      <x:c r="S248" s="523"/>
      <x:c r="T248" s="524"/>
      <x:c r="U248" s="519"/>
      <x:c r="V248" s="519"/>
      <x:c r="W248" s="521"/>
      <x:c r="X248" s="520"/>
      <x:c r="Y248" s="521"/>
      <x:c r="Z248" s="519"/>
      <x:c r="AA248" s="520"/>
      <x:c r="AB248" s="521"/>
      <x:c r="AC248" s="520"/>
    </x:row>
    <x:row r="249" ht="32" customHeight="1">
      <x:c r="A249" s="496"/>
      <x:c r="B249" s="497"/>
      <x:c r="C249" s="498"/>
      <x:c r="D249" s="498"/>
      <x:c r="E249" s="497"/>
      <x:c r="F249" s="497"/>
      <x:c r="G249" s="497"/>
      <x:c r="H249" s="497"/>
      <x:c r="I249" s="499"/>
      <x:c r="J249" s="508"/>
      <x:c r="K249" s="508"/>
      <x:c r="L249" s="508"/>
      <x:c r="M249" s="509"/>
      <x:c r="N249" s="508"/>
      <x:c r="O249" s="510"/>
      <x:c r="P249" s="511"/>
      <x:c r="Q249" s="522"/>
      <x:c r="R249" s="522"/>
      <x:c r="S249" s="523"/>
      <x:c r="T249" s="524"/>
      <x:c r="U249" s="519"/>
      <x:c r="V249" s="519"/>
      <x:c r="W249" s="521"/>
      <x:c r="X249" s="520"/>
      <x:c r="Y249" s="521"/>
      <x:c r="Z249" s="519"/>
      <x:c r="AA249" s="520"/>
      <x:c r="AB249" s="521"/>
      <x:c r="AC249" s="520"/>
    </x:row>
    <x:row r="250" ht="32" customHeight="1">
      <x:c r="A250" s="496"/>
      <x:c r="B250" s="497"/>
      <x:c r="C250" s="498"/>
      <x:c r="D250" s="498"/>
      <x:c r="E250" s="497"/>
      <x:c r="F250" s="497"/>
      <x:c r="G250" s="497"/>
      <x:c r="H250" s="497"/>
      <x:c r="I250" s="499"/>
      <x:c r="J250" s="508"/>
      <x:c r="K250" s="508"/>
      <x:c r="L250" s="508"/>
      <x:c r="M250" s="509"/>
      <x:c r="N250" s="508"/>
      <x:c r="O250" s="510"/>
      <x:c r="P250" s="511"/>
      <x:c r="Q250" s="522"/>
      <x:c r="R250" s="522"/>
      <x:c r="S250" s="523"/>
      <x:c r="T250" s="524"/>
      <x:c r="U250" s="519"/>
      <x:c r="V250" s="519"/>
      <x:c r="W250" s="521"/>
      <x:c r="X250" s="520"/>
      <x:c r="Y250" s="521"/>
      <x:c r="Z250" s="519"/>
      <x:c r="AA250" s="520"/>
      <x:c r="AB250" s="521"/>
      <x:c r="AC250" s="520"/>
    </x:row>
    <x:row r="251" ht="32" customHeight="1">
      <x:c r="A251" s="496"/>
      <x:c r="B251" s="497"/>
      <x:c r="C251" s="498"/>
      <x:c r="D251" s="498"/>
      <x:c r="E251" s="497"/>
      <x:c r="F251" s="497"/>
      <x:c r="G251" s="497"/>
      <x:c r="H251" s="497"/>
      <x:c r="I251" s="499"/>
      <x:c r="J251" s="508"/>
      <x:c r="K251" s="508"/>
      <x:c r="L251" s="508"/>
      <x:c r="M251" s="509"/>
      <x:c r="N251" s="508"/>
      <x:c r="O251" s="510"/>
      <x:c r="P251" s="511"/>
      <x:c r="Q251" s="522"/>
      <x:c r="R251" s="522"/>
      <x:c r="S251" s="523"/>
      <x:c r="T251" s="524"/>
      <x:c r="U251" s="519"/>
      <x:c r="V251" s="519"/>
      <x:c r="W251" s="521"/>
      <x:c r="X251" s="520"/>
      <x:c r="Y251" s="521"/>
      <x:c r="Z251" s="519"/>
      <x:c r="AA251" s="520"/>
      <x:c r="AB251" s="521"/>
      <x:c r="AC251" s="520"/>
    </x:row>
    <x:row r="252" ht="32" customHeight="1">
      <x:c r="A252" s="496"/>
      <x:c r="B252" s="497"/>
      <x:c r="C252" s="498"/>
      <x:c r="D252" s="498"/>
      <x:c r="E252" s="497"/>
      <x:c r="F252" s="497"/>
      <x:c r="G252" s="497"/>
      <x:c r="H252" s="497"/>
      <x:c r="I252" s="499"/>
      <x:c r="J252" s="508"/>
      <x:c r="K252" s="508"/>
      <x:c r="L252" s="508"/>
      <x:c r="M252" s="509"/>
      <x:c r="N252" s="508"/>
      <x:c r="O252" s="510"/>
      <x:c r="P252" s="511"/>
      <x:c r="Q252" s="522"/>
      <x:c r="R252" s="522"/>
      <x:c r="S252" s="523"/>
      <x:c r="T252" s="524"/>
      <x:c r="U252" s="519"/>
      <x:c r="V252" s="519"/>
      <x:c r="W252" s="521"/>
      <x:c r="X252" s="520"/>
      <x:c r="Y252" s="521"/>
      <x:c r="Z252" s="519"/>
      <x:c r="AA252" s="520"/>
      <x:c r="AB252" s="521"/>
      <x:c r="AC252" s="520"/>
    </x:row>
    <x:row r="253" ht="32" customHeight="1">
      <x:c r="A253" s="496"/>
      <x:c r="B253" s="497"/>
      <x:c r="C253" s="498"/>
      <x:c r="D253" s="498"/>
      <x:c r="E253" s="497"/>
      <x:c r="F253" s="497"/>
      <x:c r="G253" s="497"/>
      <x:c r="H253" s="497"/>
      <x:c r="I253" s="499"/>
      <x:c r="J253" s="508"/>
      <x:c r="K253" s="508"/>
      <x:c r="L253" s="508"/>
      <x:c r="M253" s="509"/>
      <x:c r="N253" s="508"/>
      <x:c r="O253" s="510"/>
      <x:c r="P253" s="511"/>
      <x:c r="Q253" s="522"/>
      <x:c r="R253" s="522"/>
      <x:c r="S253" s="523"/>
      <x:c r="T253" s="524"/>
      <x:c r="U253" s="519"/>
      <x:c r="V253" s="519"/>
      <x:c r="W253" s="521"/>
      <x:c r="X253" s="520"/>
      <x:c r="Y253" s="521"/>
      <x:c r="Z253" s="519"/>
      <x:c r="AA253" s="520"/>
      <x:c r="AB253" s="521"/>
      <x:c r="AC253" s="520"/>
    </x:row>
    <x:row r="254" ht="32" customHeight="1">
      <x:c r="A254" s="496"/>
      <x:c r="B254" s="497"/>
      <x:c r="C254" s="498"/>
      <x:c r="D254" s="498"/>
      <x:c r="E254" s="497"/>
      <x:c r="F254" s="497"/>
      <x:c r="G254" s="497"/>
      <x:c r="H254" s="497"/>
      <x:c r="I254" s="499"/>
      <x:c r="J254" s="508"/>
      <x:c r="K254" s="508"/>
      <x:c r="L254" s="508"/>
      <x:c r="M254" s="509"/>
      <x:c r="N254" s="508"/>
      <x:c r="O254" s="510"/>
      <x:c r="P254" s="511"/>
      <x:c r="Q254" s="522"/>
      <x:c r="R254" s="522"/>
      <x:c r="S254" s="523"/>
      <x:c r="T254" s="524"/>
      <x:c r="U254" s="519"/>
      <x:c r="V254" s="519"/>
      <x:c r="W254" s="521"/>
      <x:c r="X254" s="520"/>
      <x:c r="Y254" s="521"/>
      <x:c r="Z254" s="519"/>
      <x:c r="AA254" s="520"/>
      <x:c r="AB254" s="521"/>
      <x:c r="AC254" s="520"/>
    </x:row>
    <x:row r="255" ht="32" customHeight="1">
      <x:c r="A255" s="496"/>
      <x:c r="B255" s="497"/>
      <x:c r="C255" s="498"/>
      <x:c r="D255" s="498"/>
      <x:c r="E255" s="497"/>
      <x:c r="F255" s="497"/>
      <x:c r="G255" s="497"/>
      <x:c r="H255" s="497"/>
      <x:c r="I255" s="499"/>
      <x:c r="J255" s="508"/>
      <x:c r="K255" s="508"/>
      <x:c r="L255" s="508"/>
      <x:c r="M255" s="509"/>
      <x:c r="N255" s="508"/>
      <x:c r="O255" s="510"/>
      <x:c r="P255" s="511"/>
      <x:c r="Q255" s="522"/>
      <x:c r="R255" s="522"/>
      <x:c r="S255" s="523"/>
      <x:c r="T255" s="524"/>
      <x:c r="U255" s="519"/>
      <x:c r="V255" s="519"/>
      <x:c r="W255" s="521"/>
      <x:c r="X255" s="520"/>
      <x:c r="Y255" s="521"/>
      <x:c r="Z255" s="519"/>
      <x:c r="AA255" s="520"/>
      <x:c r="AB255" s="521"/>
      <x:c r="AC255" s="520"/>
    </x:row>
    <x:row r="256" ht="32" customHeight="1">
      <x:c r="A256" s="496"/>
      <x:c r="B256" s="497"/>
      <x:c r="C256" s="498"/>
      <x:c r="D256" s="498"/>
      <x:c r="E256" s="497"/>
      <x:c r="F256" s="497"/>
      <x:c r="G256" s="497"/>
      <x:c r="H256" s="497"/>
      <x:c r="I256" s="499"/>
      <x:c r="J256" s="508"/>
      <x:c r="K256" s="508"/>
      <x:c r="L256" s="508"/>
      <x:c r="M256" s="509"/>
      <x:c r="N256" s="508"/>
      <x:c r="O256" s="510"/>
      <x:c r="P256" s="511"/>
      <x:c r="Q256" s="522"/>
      <x:c r="R256" s="522"/>
      <x:c r="S256" s="523"/>
      <x:c r="T256" s="524"/>
      <x:c r="U256" s="519"/>
      <x:c r="V256" s="519"/>
      <x:c r="W256" s="521"/>
      <x:c r="X256" s="520"/>
      <x:c r="Y256" s="521"/>
      <x:c r="Z256" s="519"/>
      <x:c r="AA256" s="520"/>
      <x:c r="AB256" s="521"/>
      <x:c r="AC256" s="520"/>
    </x:row>
    <x:row r="257" ht="32" customHeight="1">
      <x:c r="A257" s="496"/>
      <x:c r="B257" s="497"/>
      <x:c r="C257" s="498"/>
      <x:c r="D257" s="498"/>
      <x:c r="E257" s="497"/>
      <x:c r="F257" s="497"/>
      <x:c r="G257" s="497"/>
      <x:c r="H257" s="497"/>
      <x:c r="I257" s="499"/>
      <x:c r="J257" s="508"/>
      <x:c r="K257" s="508"/>
      <x:c r="L257" s="508"/>
      <x:c r="M257" s="509"/>
      <x:c r="N257" s="508"/>
      <x:c r="O257" s="510"/>
      <x:c r="P257" s="511"/>
      <x:c r="Q257" s="522"/>
      <x:c r="R257" s="522"/>
      <x:c r="S257" s="523"/>
      <x:c r="T257" s="524"/>
      <x:c r="U257" s="519"/>
      <x:c r="V257" s="519"/>
      <x:c r="W257" s="521"/>
      <x:c r="X257" s="520"/>
      <x:c r="Y257" s="521"/>
      <x:c r="Z257" s="519"/>
      <x:c r="AA257" s="520"/>
      <x:c r="AB257" s="521"/>
      <x:c r="AC257" s="520"/>
    </x:row>
    <x:row r="258" ht="32" customHeight="1">
      <x:c r="A258" s="496"/>
      <x:c r="B258" s="497"/>
      <x:c r="C258" s="498"/>
      <x:c r="D258" s="498"/>
      <x:c r="E258" s="497"/>
      <x:c r="F258" s="497"/>
      <x:c r="G258" s="497"/>
      <x:c r="H258" s="497"/>
      <x:c r="I258" s="499"/>
      <x:c r="J258" s="508"/>
      <x:c r="K258" s="508"/>
      <x:c r="L258" s="508"/>
      <x:c r="M258" s="509"/>
      <x:c r="N258" s="508"/>
      <x:c r="O258" s="510"/>
      <x:c r="P258" s="511"/>
      <x:c r="Q258" s="522"/>
      <x:c r="R258" s="522"/>
      <x:c r="S258" s="523"/>
      <x:c r="T258" s="524"/>
      <x:c r="U258" s="519"/>
      <x:c r="V258" s="519"/>
      <x:c r="W258" s="521"/>
      <x:c r="X258" s="520"/>
      <x:c r="Y258" s="521"/>
      <x:c r="Z258" s="519"/>
      <x:c r="AA258" s="520"/>
      <x:c r="AB258" s="521"/>
      <x:c r="AC258" s="520"/>
    </x:row>
    <x:row r="259" ht="32" customHeight="1">
      <x:c r="A259" s="496"/>
      <x:c r="B259" s="497"/>
      <x:c r="C259" s="498"/>
      <x:c r="D259" s="498"/>
      <x:c r="E259" s="497"/>
      <x:c r="F259" s="497"/>
      <x:c r="G259" s="497"/>
      <x:c r="H259" s="497"/>
      <x:c r="I259" s="499"/>
      <x:c r="J259" s="508"/>
      <x:c r="K259" s="508"/>
      <x:c r="L259" s="508"/>
      <x:c r="M259" s="509"/>
      <x:c r="N259" s="508"/>
      <x:c r="O259" s="510"/>
      <x:c r="P259" s="511"/>
      <x:c r="Q259" s="522"/>
      <x:c r="R259" s="522"/>
      <x:c r="S259" s="523"/>
      <x:c r="T259" s="524"/>
      <x:c r="U259" s="519"/>
      <x:c r="V259" s="519"/>
      <x:c r="W259" s="521"/>
      <x:c r="X259" s="520"/>
      <x:c r="Y259" s="521"/>
      <x:c r="Z259" s="519"/>
      <x:c r="AA259" s="520"/>
      <x:c r="AB259" s="521"/>
      <x:c r="AC259" s="520"/>
    </x:row>
    <x:row r="260" ht="32" customHeight="1">
      <x:c r="A260" s="496"/>
      <x:c r="B260" s="497"/>
      <x:c r="C260" s="498"/>
      <x:c r="D260" s="498"/>
      <x:c r="E260" s="497"/>
      <x:c r="F260" s="497"/>
      <x:c r="G260" s="497"/>
      <x:c r="H260" s="497"/>
      <x:c r="I260" s="499"/>
      <x:c r="J260" s="508"/>
      <x:c r="K260" s="508"/>
      <x:c r="L260" s="508"/>
      <x:c r="M260" s="509"/>
      <x:c r="N260" s="508"/>
      <x:c r="O260" s="510"/>
      <x:c r="P260" s="511"/>
      <x:c r="Q260" s="522"/>
      <x:c r="R260" s="522"/>
      <x:c r="S260" s="523"/>
      <x:c r="T260" s="524"/>
      <x:c r="U260" s="519"/>
      <x:c r="V260" s="519"/>
      <x:c r="W260" s="521"/>
      <x:c r="X260" s="520"/>
      <x:c r="Y260" s="521"/>
      <x:c r="Z260" s="519"/>
      <x:c r="AA260" s="520"/>
      <x:c r="AB260" s="521"/>
      <x:c r="AC260" s="520"/>
    </x:row>
    <x:row r="261" ht="32" customHeight="1">
      <x:c r="A261" s="496"/>
      <x:c r="B261" s="497"/>
      <x:c r="C261" s="498"/>
      <x:c r="D261" s="498"/>
      <x:c r="E261" s="497"/>
      <x:c r="F261" s="497"/>
      <x:c r="G261" s="497"/>
      <x:c r="H261" s="497"/>
      <x:c r="I261" s="499"/>
      <x:c r="J261" s="508"/>
      <x:c r="K261" s="508"/>
      <x:c r="L261" s="508"/>
      <x:c r="M261" s="509"/>
      <x:c r="N261" s="508"/>
      <x:c r="O261" s="510"/>
      <x:c r="P261" s="511"/>
      <x:c r="Q261" s="522"/>
      <x:c r="R261" s="522"/>
      <x:c r="S261" s="523"/>
      <x:c r="T261" s="524"/>
      <x:c r="U261" s="519"/>
      <x:c r="V261" s="519"/>
      <x:c r="W261" s="521"/>
      <x:c r="X261" s="520"/>
      <x:c r="Y261" s="521"/>
      <x:c r="Z261" s="519"/>
      <x:c r="AA261" s="520"/>
      <x:c r="AB261" s="521"/>
      <x:c r="AC261" s="520"/>
    </x:row>
    <x:row r="262" ht="32" customHeight="1">
      <x:c r="A262" s="496"/>
      <x:c r="B262" s="497"/>
      <x:c r="C262" s="498"/>
      <x:c r="D262" s="498"/>
      <x:c r="E262" s="497"/>
      <x:c r="F262" s="497"/>
      <x:c r="G262" s="497"/>
      <x:c r="H262" s="497"/>
      <x:c r="I262" s="499"/>
      <x:c r="J262" s="508"/>
      <x:c r="K262" s="508"/>
      <x:c r="L262" s="508"/>
      <x:c r="M262" s="509"/>
      <x:c r="N262" s="508"/>
      <x:c r="O262" s="510"/>
      <x:c r="P262" s="511"/>
      <x:c r="Q262" s="522"/>
      <x:c r="R262" s="522"/>
      <x:c r="S262" s="523"/>
      <x:c r="T262" s="524"/>
      <x:c r="U262" s="519"/>
      <x:c r="V262" s="519"/>
      <x:c r="W262" s="521"/>
      <x:c r="X262" s="520"/>
      <x:c r="Y262" s="521"/>
      <x:c r="Z262" s="519"/>
      <x:c r="AA262" s="520"/>
      <x:c r="AB262" s="521"/>
      <x:c r="AC262" s="520"/>
    </x:row>
    <x:row r="263" ht="32" customHeight="1">
      <x:c r="A263" s="496"/>
      <x:c r="B263" s="497"/>
      <x:c r="C263" s="498"/>
      <x:c r="D263" s="498"/>
      <x:c r="E263" s="497"/>
      <x:c r="F263" s="497"/>
      <x:c r="G263" s="497"/>
      <x:c r="H263" s="497"/>
      <x:c r="I263" s="499"/>
      <x:c r="J263" s="508"/>
      <x:c r="K263" s="508"/>
      <x:c r="L263" s="508"/>
      <x:c r="M263" s="509"/>
      <x:c r="N263" s="508"/>
      <x:c r="O263" s="510"/>
      <x:c r="P263" s="511"/>
      <x:c r="Q263" s="522"/>
      <x:c r="R263" s="522"/>
      <x:c r="S263" s="523"/>
      <x:c r="T263" s="524"/>
      <x:c r="U263" s="519"/>
      <x:c r="V263" s="519"/>
      <x:c r="W263" s="521"/>
      <x:c r="X263" s="520"/>
      <x:c r="Y263" s="521"/>
      <x:c r="Z263" s="519"/>
      <x:c r="AA263" s="520"/>
      <x:c r="AB263" s="521"/>
      <x:c r="AC263" s="520"/>
    </x:row>
    <x:row r="264" ht="32" customHeight="1">
      <x:c r="A264" s="496"/>
      <x:c r="B264" s="497"/>
      <x:c r="C264" s="498"/>
      <x:c r="D264" s="498"/>
      <x:c r="E264" s="497"/>
      <x:c r="F264" s="497"/>
      <x:c r="G264" s="497"/>
      <x:c r="H264" s="497"/>
      <x:c r="I264" s="499"/>
      <x:c r="J264" s="508"/>
      <x:c r="K264" s="508"/>
      <x:c r="L264" s="508"/>
      <x:c r="M264" s="509"/>
      <x:c r="N264" s="508"/>
      <x:c r="O264" s="510"/>
      <x:c r="P264" s="511"/>
      <x:c r="Q264" s="522"/>
      <x:c r="R264" s="522"/>
      <x:c r="S264" s="523"/>
      <x:c r="T264" s="524"/>
      <x:c r="U264" s="519"/>
      <x:c r="V264" s="519"/>
      <x:c r="W264" s="521"/>
      <x:c r="X264" s="520"/>
      <x:c r="Y264" s="521"/>
      <x:c r="Z264" s="519"/>
      <x:c r="AA264" s="520"/>
      <x:c r="AB264" s="521"/>
      <x:c r="AC264" s="520"/>
    </x:row>
    <x:row r="265" ht="32" customHeight="1">
      <x:c r="A265" s="496"/>
      <x:c r="B265" s="497"/>
      <x:c r="C265" s="498"/>
      <x:c r="D265" s="498"/>
      <x:c r="E265" s="497"/>
      <x:c r="F265" s="497"/>
      <x:c r="G265" s="497"/>
      <x:c r="H265" s="497"/>
      <x:c r="I265" s="499"/>
      <x:c r="J265" s="508"/>
      <x:c r="K265" s="508"/>
      <x:c r="L265" s="508"/>
      <x:c r="M265" s="509"/>
      <x:c r="N265" s="508"/>
      <x:c r="O265" s="510"/>
      <x:c r="P265" s="511"/>
      <x:c r="Q265" s="522"/>
      <x:c r="R265" s="522"/>
      <x:c r="S265" s="523"/>
      <x:c r="T265" s="524"/>
      <x:c r="U265" s="519"/>
      <x:c r="V265" s="519"/>
      <x:c r="W265" s="521"/>
      <x:c r="X265" s="520"/>
      <x:c r="Y265" s="521"/>
      <x:c r="Z265" s="519"/>
      <x:c r="AA265" s="520"/>
      <x:c r="AB265" s="521"/>
      <x:c r="AC265" s="520"/>
    </x:row>
    <x:row r="266" ht="32" customHeight="1">
      <x:c r="A266" s="496"/>
      <x:c r="B266" s="497"/>
      <x:c r="C266" s="498"/>
      <x:c r="D266" s="498"/>
      <x:c r="E266" s="497"/>
      <x:c r="F266" s="497"/>
      <x:c r="G266" s="497"/>
      <x:c r="H266" s="497"/>
      <x:c r="I266" s="499"/>
      <x:c r="J266" s="508"/>
      <x:c r="K266" s="508"/>
      <x:c r="L266" s="508"/>
      <x:c r="M266" s="509"/>
      <x:c r="N266" s="508"/>
      <x:c r="O266" s="510"/>
      <x:c r="P266" s="511"/>
      <x:c r="Q266" s="522"/>
      <x:c r="R266" s="522"/>
      <x:c r="S266" s="523"/>
      <x:c r="T266" s="524"/>
      <x:c r="U266" s="519"/>
      <x:c r="V266" s="519"/>
      <x:c r="W266" s="521"/>
      <x:c r="X266" s="520"/>
      <x:c r="Y266" s="521"/>
      <x:c r="Z266" s="519"/>
      <x:c r="AA266" s="520"/>
      <x:c r="AB266" s="521"/>
      <x:c r="AC266" s="520"/>
    </x:row>
    <x:row r="267" ht="32" customHeight="1">
      <x:c r="A267" s="496"/>
      <x:c r="B267" s="497"/>
      <x:c r="C267" s="498"/>
      <x:c r="D267" s="498"/>
      <x:c r="E267" s="497"/>
      <x:c r="F267" s="497"/>
      <x:c r="G267" s="497"/>
      <x:c r="H267" s="497"/>
      <x:c r="I267" s="499"/>
      <x:c r="J267" s="508"/>
      <x:c r="K267" s="508"/>
      <x:c r="L267" s="508"/>
      <x:c r="M267" s="509"/>
      <x:c r="N267" s="508"/>
      <x:c r="O267" s="510"/>
      <x:c r="P267" s="511"/>
      <x:c r="Q267" s="522"/>
      <x:c r="R267" s="522"/>
      <x:c r="S267" s="523"/>
      <x:c r="T267" s="524"/>
      <x:c r="U267" s="519"/>
      <x:c r="V267" s="519"/>
      <x:c r="W267" s="521"/>
      <x:c r="X267" s="520"/>
      <x:c r="Y267" s="521"/>
      <x:c r="Z267" s="519"/>
      <x:c r="AA267" s="520"/>
      <x:c r="AB267" s="521"/>
      <x:c r="AC267" s="520"/>
    </x:row>
    <x:row r="268" ht="32" customHeight="1">
      <x:c r="A268" s="496"/>
      <x:c r="B268" s="497"/>
      <x:c r="C268" s="498"/>
      <x:c r="D268" s="498"/>
      <x:c r="E268" s="497"/>
      <x:c r="F268" s="497"/>
      <x:c r="G268" s="497"/>
      <x:c r="H268" s="497"/>
      <x:c r="I268" s="499"/>
      <x:c r="J268" s="508"/>
      <x:c r="K268" s="508"/>
      <x:c r="L268" s="508"/>
      <x:c r="M268" s="509"/>
      <x:c r="N268" s="508"/>
      <x:c r="O268" s="510"/>
      <x:c r="P268" s="511"/>
      <x:c r="Q268" s="522"/>
      <x:c r="R268" s="522"/>
      <x:c r="S268" s="523"/>
      <x:c r="T268" s="524"/>
      <x:c r="U268" s="519"/>
      <x:c r="V268" s="519"/>
      <x:c r="W268" s="521"/>
      <x:c r="X268" s="520"/>
      <x:c r="Y268" s="521"/>
      <x:c r="Z268" s="519"/>
      <x:c r="AA268" s="520"/>
      <x:c r="AB268" s="521"/>
      <x:c r="AC268" s="520"/>
    </x:row>
    <x:row r="269" ht="32" customHeight="1">
      <x:c r="A269" s="496"/>
      <x:c r="B269" s="497"/>
      <x:c r="C269" s="498"/>
      <x:c r="D269" s="498"/>
      <x:c r="E269" s="497"/>
      <x:c r="F269" s="497"/>
      <x:c r="G269" s="497"/>
      <x:c r="H269" s="497"/>
      <x:c r="I269" s="499"/>
      <x:c r="J269" s="508"/>
      <x:c r="K269" s="508"/>
      <x:c r="L269" s="508"/>
      <x:c r="M269" s="509"/>
      <x:c r="N269" s="508"/>
      <x:c r="O269" s="510"/>
      <x:c r="P269" s="511"/>
      <x:c r="Q269" s="522"/>
      <x:c r="R269" s="522"/>
      <x:c r="S269" s="523"/>
      <x:c r="T269" s="524"/>
      <x:c r="U269" s="519"/>
      <x:c r="V269" s="519"/>
      <x:c r="W269" s="521"/>
      <x:c r="X269" s="520"/>
      <x:c r="Y269" s="521"/>
      <x:c r="Z269" s="519"/>
      <x:c r="AA269" s="520"/>
      <x:c r="AB269" s="521"/>
      <x:c r="AC269" s="520"/>
    </x:row>
    <x:row r="270" ht="32" customHeight="1">
      <x:c r="A270" s="496"/>
      <x:c r="B270" s="497"/>
      <x:c r="C270" s="498"/>
      <x:c r="D270" s="498"/>
      <x:c r="E270" s="497"/>
      <x:c r="F270" s="497"/>
      <x:c r="G270" s="497"/>
      <x:c r="H270" s="497"/>
      <x:c r="I270" s="499"/>
      <x:c r="J270" s="508"/>
      <x:c r="K270" s="508"/>
      <x:c r="L270" s="508"/>
      <x:c r="M270" s="509"/>
      <x:c r="N270" s="508"/>
      <x:c r="O270" s="510"/>
      <x:c r="P270" s="511"/>
      <x:c r="Q270" s="522"/>
      <x:c r="R270" s="522"/>
      <x:c r="S270" s="523"/>
      <x:c r="T270" s="524"/>
      <x:c r="U270" s="519"/>
      <x:c r="V270" s="519"/>
      <x:c r="W270" s="521"/>
      <x:c r="X270" s="520"/>
      <x:c r="Y270" s="521"/>
      <x:c r="Z270" s="519"/>
      <x:c r="AA270" s="520"/>
      <x:c r="AB270" s="521"/>
      <x:c r="AC270" s="520"/>
    </x:row>
    <x:row r="271" ht="32" customHeight="1">
      <x:c r="A271" s="496"/>
      <x:c r="B271" s="497"/>
      <x:c r="C271" s="498"/>
      <x:c r="D271" s="498"/>
      <x:c r="E271" s="497"/>
      <x:c r="F271" s="497"/>
      <x:c r="G271" s="497"/>
      <x:c r="H271" s="497"/>
      <x:c r="I271" s="499"/>
      <x:c r="J271" s="508"/>
      <x:c r="K271" s="508"/>
      <x:c r="L271" s="508"/>
      <x:c r="M271" s="509"/>
      <x:c r="N271" s="508"/>
      <x:c r="O271" s="510"/>
      <x:c r="P271" s="511"/>
      <x:c r="Q271" s="522"/>
      <x:c r="R271" s="522"/>
      <x:c r="S271" s="523"/>
      <x:c r="T271" s="524"/>
      <x:c r="U271" s="519"/>
      <x:c r="V271" s="519"/>
      <x:c r="W271" s="521"/>
      <x:c r="X271" s="520"/>
      <x:c r="Y271" s="521"/>
      <x:c r="Z271" s="519"/>
      <x:c r="AA271" s="520"/>
      <x:c r="AB271" s="521"/>
      <x:c r="AC271" s="520"/>
    </x:row>
    <x:row r="272" ht="32" customHeight="1">
      <x:c r="A272" s="496"/>
      <x:c r="B272" s="497"/>
      <x:c r="C272" s="498"/>
      <x:c r="D272" s="498"/>
      <x:c r="E272" s="497"/>
      <x:c r="F272" s="497"/>
      <x:c r="G272" s="497"/>
      <x:c r="H272" s="497"/>
      <x:c r="I272" s="499"/>
      <x:c r="J272" s="508"/>
      <x:c r="K272" s="508"/>
      <x:c r="L272" s="508"/>
      <x:c r="M272" s="509"/>
      <x:c r="N272" s="508"/>
      <x:c r="O272" s="510"/>
      <x:c r="P272" s="511"/>
      <x:c r="Q272" s="522"/>
      <x:c r="R272" s="522"/>
      <x:c r="S272" s="523"/>
      <x:c r="T272" s="524"/>
      <x:c r="U272" s="519"/>
      <x:c r="V272" s="519"/>
      <x:c r="W272" s="521"/>
      <x:c r="X272" s="520"/>
      <x:c r="Y272" s="521"/>
      <x:c r="Z272" s="519"/>
      <x:c r="AA272" s="520"/>
      <x:c r="AB272" s="521"/>
      <x:c r="AC272" s="520"/>
    </x:row>
    <x:row r="273" ht="32" customHeight="1">
      <x:c r="A273" s="496"/>
      <x:c r="B273" s="497"/>
      <x:c r="C273" s="498"/>
      <x:c r="D273" s="498"/>
      <x:c r="E273" s="497"/>
      <x:c r="F273" s="497"/>
      <x:c r="G273" s="497"/>
      <x:c r="H273" s="497"/>
      <x:c r="I273" s="499"/>
      <x:c r="J273" s="508"/>
      <x:c r="K273" s="508"/>
      <x:c r="L273" s="508"/>
      <x:c r="M273" s="509"/>
      <x:c r="N273" s="508"/>
      <x:c r="O273" s="510"/>
      <x:c r="P273" s="511"/>
      <x:c r="Q273" s="522"/>
      <x:c r="R273" s="522"/>
      <x:c r="S273" s="523"/>
      <x:c r="T273" s="524"/>
      <x:c r="U273" s="519"/>
      <x:c r="V273" s="519"/>
      <x:c r="W273" s="521"/>
      <x:c r="X273" s="520"/>
      <x:c r="Y273" s="521"/>
      <x:c r="Z273" s="519"/>
      <x:c r="AA273" s="520"/>
      <x:c r="AB273" s="521"/>
      <x:c r="AC273" s="520"/>
    </x:row>
    <x:row r="274" ht="32" customHeight="1">
      <x:c r="A274" s="496"/>
      <x:c r="B274" s="497"/>
      <x:c r="C274" s="498"/>
      <x:c r="D274" s="498"/>
      <x:c r="E274" s="497"/>
      <x:c r="F274" s="497"/>
      <x:c r="G274" s="497"/>
      <x:c r="H274" s="497"/>
      <x:c r="I274" s="499"/>
      <x:c r="J274" s="508"/>
      <x:c r="K274" s="508"/>
      <x:c r="L274" s="508"/>
      <x:c r="M274" s="509"/>
      <x:c r="N274" s="508"/>
      <x:c r="O274" s="510"/>
      <x:c r="P274" s="511"/>
      <x:c r="Q274" s="522"/>
      <x:c r="R274" s="522"/>
      <x:c r="S274" s="523"/>
      <x:c r="T274" s="524"/>
      <x:c r="U274" s="519"/>
      <x:c r="V274" s="519"/>
      <x:c r="W274" s="521"/>
      <x:c r="X274" s="520"/>
      <x:c r="Y274" s="521"/>
      <x:c r="Z274" s="519"/>
      <x:c r="AA274" s="520"/>
      <x:c r="AB274" s="521"/>
      <x:c r="AC274" s="520"/>
    </x:row>
    <x:row r="275" ht="32" customHeight="1">
      <x:c r="A275" s="496"/>
      <x:c r="B275" s="497"/>
      <x:c r="C275" s="498"/>
      <x:c r="D275" s="498"/>
      <x:c r="E275" s="497"/>
      <x:c r="F275" s="497"/>
      <x:c r="G275" s="497"/>
      <x:c r="H275" s="497"/>
      <x:c r="I275" s="499"/>
      <x:c r="J275" s="508"/>
      <x:c r="K275" s="508"/>
      <x:c r="L275" s="508"/>
      <x:c r="M275" s="509"/>
      <x:c r="N275" s="508"/>
      <x:c r="O275" s="510"/>
      <x:c r="P275" s="511"/>
      <x:c r="Q275" s="522"/>
      <x:c r="R275" s="522"/>
      <x:c r="S275" s="523"/>
      <x:c r="T275" s="524"/>
      <x:c r="U275" s="519"/>
      <x:c r="V275" s="519"/>
      <x:c r="W275" s="521"/>
      <x:c r="X275" s="520"/>
      <x:c r="Y275" s="521"/>
      <x:c r="Z275" s="519"/>
      <x:c r="AA275" s="520"/>
      <x:c r="AB275" s="521"/>
      <x:c r="AC275" s="520"/>
    </x:row>
    <x:row r="276" ht="32" customHeight="1">
      <x:c r="A276" s="496"/>
      <x:c r="B276" s="497"/>
      <x:c r="C276" s="498"/>
      <x:c r="D276" s="498"/>
      <x:c r="E276" s="497"/>
      <x:c r="F276" s="497"/>
      <x:c r="G276" s="497"/>
      <x:c r="H276" s="497"/>
      <x:c r="I276" s="499"/>
      <x:c r="J276" s="508"/>
      <x:c r="K276" s="508"/>
      <x:c r="L276" s="508"/>
      <x:c r="M276" s="509"/>
      <x:c r="N276" s="508"/>
      <x:c r="O276" s="510"/>
      <x:c r="P276" s="511"/>
      <x:c r="Q276" s="522"/>
      <x:c r="R276" s="522"/>
      <x:c r="S276" s="523"/>
      <x:c r="T276" s="524"/>
      <x:c r="U276" s="519"/>
      <x:c r="V276" s="519"/>
      <x:c r="W276" s="521"/>
      <x:c r="X276" s="520"/>
      <x:c r="Y276" s="521"/>
      <x:c r="Z276" s="519"/>
      <x:c r="AA276" s="520"/>
      <x:c r="AB276" s="521"/>
      <x:c r="AC276" s="520"/>
    </x:row>
    <x:row r="277" ht="32" customHeight="1">
      <x:c r="A277" s="496"/>
      <x:c r="B277" s="497"/>
      <x:c r="C277" s="498"/>
      <x:c r="D277" s="498"/>
      <x:c r="E277" s="497"/>
      <x:c r="F277" s="497"/>
      <x:c r="G277" s="497"/>
      <x:c r="H277" s="497"/>
      <x:c r="I277" s="499"/>
      <x:c r="J277" s="508"/>
      <x:c r="K277" s="508"/>
      <x:c r="L277" s="508"/>
      <x:c r="M277" s="509"/>
      <x:c r="N277" s="508"/>
      <x:c r="O277" s="510"/>
      <x:c r="P277" s="511"/>
      <x:c r="Q277" s="522"/>
      <x:c r="R277" s="522"/>
      <x:c r="S277" s="523"/>
      <x:c r="T277" s="524"/>
      <x:c r="U277" s="519"/>
      <x:c r="V277" s="519"/>
      <x:c r="W277" s="521"/>
      <x:c r="X277" s="520"/>
      <x:c r="Y277" s="521"/>
      <x:c r="Z277" s="519"/>
      <x:c r="AA277" s="520"/>
      <x:c r="AB277" s="521"/>
      <x:c r="AC277" s="520"/>
    </x:row>
    <x:row r="278" ht="32" customHeight="1">
      <x:c r="A278" s="496"/>
      <x:c r="B278" s="497"/>
      <x:c r="C278" s="498"/>
      <x:c r="D278" s="498"/>
      <x:c r="E278" s="497"/>
      <x:c r="F278" s="497"/>
      <x:c r="G278" s="497"/>
      <x:c r="H278" s="497"/>
      <x:c r="I278" s="499"/>
      <x:c r="J278" s="508"/>
      <x:c r="K278" s="508"/>
      <x:c r="L278" s="508"/>
      <x:c r="M278" s="509"/>
      <x:c r="N278" s="508"/>
      <x:c r="O278" s="510"/>
      <x:c r="P278" s="511"/>
      <x:c r="Q278" s="522"/>
      <x:c r="R278" s="522"/>
      <x:c r="S278" s="523"/>
      <x:c r="T278" s="524"/>
      <x:c r="U278" s="519"/>
      <x:c r="V278" s="519"/>
      <x:c r="W278" s="521"/>
      <x:c r="X278" s="520"/>
      <x:c r="Y278" s="521"/>
      <x:c r="Z278" s="519"/>
      <x:c r="AA278" s="520"/>
      <x:c r="AB278" s="521"/>
      <x:c r="AC278" s="520"/>
    </x:row>
    <x:row r="279" ht="32" customHeight="1">
      <x:c r="A279" s="496"/>
      <x:c r="B279" s="497"/>
      <x:c r="C279" s="498"/>
      <x:c r="D279" s="498"/>
      <x:c r="E279" s="497"/>
      <x:c r="F279" s="497"/>
      <x:c r="G279" s="497"/>
      <x:c r="H279" s="497"/>
      <x:c r="I279" s="499"/>
      <x:c r="J279" s="508"/>
      <x:c r="K279" s="508"/>
      <x:c r="L279" s="508"/>
      <x:c r="M279" s="509"/>
      <x:c r="N279" s="508"/>
      <x:c r="O279" s="510"/>
      <x:c r="P279" s="511"/>
      <x:c r="Q279" s="522"/>
      <x:c r="R279" s="522"/>
      <x:c r="S279" s="523"/>
      <x:c r="T279" s="524"/>
      <x:c r="U279" s="519"/>
      <x:c r="V279" s="519"/>
      <x:c r="W279" s="521"/>
      <x:c r="X279" s="520"/>
      <x:c r="Y279" s="521"/>
      <x:c r="Z279" s="519"/>
      <x:c r="AA279" s="520"/>
      <x:c r="AB279" s="521"/>
      <x:c r="AC279" s="520"/>
    </x:row>
    <x:row r="280" ht="32" customHeight="1">
      <x:c r="A280" s="496"/>
      <x:c r="B280" s="497"/>
      <x:c r="C280" s="498"/>
      <x:c r="D280" s="498"/>
      <x:c r="E280" s="497"/>
      <x:c r="F280" s="497"/>
      <x:c r="G280" s="497"/>
      <x:c r="H280" s="497"/>
      <x:c r="I280" s="499"/>
      <x:c r="J280" s="508"/>
      <x:c r="K280" s="508"/>
      <x:c r="L280" s="508"/>
      <x:c r="M280" s="509"/>
      <x:c r="N280" s="508"/>
      <x:c r="O280" s="510"/>
      <x:c r="P280" s="511"/>
      <x:c r="Q280" s="522"/>
      <x:c r="R280" s="522"/>
      <x:c r="S280" s="523"/>
      <x:c r="T280" s="524"/>
      <x:c r="U280" s="519"/>
      <x:c r="V280" s="519"/>
      <x:c r="W280" s="521"/>
      <x:c r="X280" s="520"/>
      <x:c r="Y280" s="521"/>
      <x:c r="Z280" s="519"/>
      <x:c r="AA280" s="520"/>
      <x:c r="AB280" s="521"/>
      <x:c r="AC280" s="520"/>
    </x:row>
    <x:row r="281" ht="32" customHeight="1">
      <x:c r="A281" s="496"/>
      <x:c r="B281" s="497"/>
      <x:c r="C281" s="498"/>
      <x:c r="D281" s="498"/>
      <x:c r="E281" s="497"/>
      <x:c r="F281" s="497"/>
      <x:c r="G281" s="497"/>
      <x:c r="H281" s="497"/>
      <x:c r="I281" s="499"/>
      <x:c r="J281" s="508"/>
      <x:c r="K281" s="508"/>
      <x:c r="L281" s="508"/>
      <x:c r="M281" s="509"/>
      <x:c r="N281" s="508"/>
      <x:c r="O281" s="510"/>
      <x:c r="P281" s="511"/>
      <x:c r="Q281" s="522"/>
      <x:c r="R281" s="522"/>
      <x:c r="S281" s="523"/>
      <x:c r="T281" s="524"/>
      <x:c r="U281" s="519"/>
      <x:c r="V281" s="519"/>
      <x:c r="W281" s="521"/>
      <x:c r="X281" s="520"/>
      <x:c r="Y281" s="521"/>
      <x:c r="Z281" s="519"/>
      <x:c r="AA281" s="520"/>
      <x:c r="AB281" s="521"/>
      <x:c r="AC281" s="520"/>
    </x:row>
    <x:row r="282" ht="32" customHeight="1">
      <x:c r="A282" s="496"/>
      <x:c r="B282" s="497"/>
      <x:c r="C282" s="498"/>
      <x:c r="D282" s="498"/>
      <x:c r="E282" s="497"/>
      <x:c r="F282" s="497"/>
      <x:c r="G282" s="497"/>
      <x:c r="H282" s="497"/>
      <x:c r="I282" s="499"/>
      <x:c r="J282" s="508"/>
      <x:c r="K282" s="508"/>
      <x:c r="L282" s="508"/>
      <x:c r="M282" s="509"/>
      <x:c r="N282" s="508"/>
      <x:c r="O282" s="510"/>
      <x:c r="P282" s="511"/>
      <x:c r="Q282" s="522"/>
      <x:c r="R282" s="522"/>
      <x:c r="S282" s="523"/>
      <x:c r="T282" s="524"/>
      <x:c r="U282" s="519"/>
      <x:c r="V282" s="519"/>
      <x:c r="W282" s="521"/>
      <x:c r="X282" s="520"/>
      <x:c r="Y282" s="521"/>
      <x:c r="Z282" s="519"/>
      <x:c r="AA282" s="520"/>
      <x:c r="AB282" s="521"/>
      <x:c r="AC282" s="520"/>
    </x:row>
    <x:row r="283" ht="32" customHeight="1">
      <x:c r="A283" s="496"/>
      <x:c r="B283" s="497"/>
      <x:c r="C283" s="498"/>
      <x:c r="D283" s="498"/>
      <x:c r="E283" s="497"/>
      <x:c r="F283" s="497"/>
      <x:c r="G283" s="497"/>
      <x:c r="H283" s="497"/>
      <x:c r="I283" s="499"/>
      <x:c r="J283" s="508"/>
      <x:c r="K283" s="508"/>
      <x:c r="L283" s="508"/>
      <x:c r="M283" s="509"/>
      <x:c r="N283" s="508"/>
      <x:c r="O283" s="510"/>
      <x:c r="P283" s="511"/>
      <x:c r="Q283" s="522"/>
      <x:c r="R283" s="522"/>
      <x:c r="S283" s="523"/>
      <x:c r="T283" s="524"/>
      <x:c r="U283" s="519"/>
      <x:c r="V283" s="519"/>
      <x:c r="W283" s="521"/>
      <x:c r="X283" s="520"/>
      <x:c r="Y283" s="521"/>
      <x:c r="Z283" s="519"/>
      <x:c r="AA283" s="520"/>
      <x:c r="AB283" s="521"/>
      <x:c r="AC283" s="520"/>
    </x:row>
    <x:row r="284" ht="32" customHeight="1">
      <x:c r="A284" s="496"/>
      <x:c r="B284" s="497"/>
      <x:c r="C284" s="498"/>
      <x:c r="D284" s="498"/>
      <x:c r="E284" s="497"/>
      <x:c r="F284" s="497"/>
      <x:c r="G284" s="497"/>
      <x:c r="H284" s="497"/>
      <x:c r="I284" s="499"/>
      <x:c r="J284" s="508"/>
      <x:c r="K284" s="508"/>
      <x:c r="L284" s="508"/>
      <x:c r="M284" s="509"/>
      <x:c r="N284" s="508"/>
      <x:c r="O284" s="510"/>
      <x:c r="P284" s="511"/>
      <x:c r="Q284" s="522"/>
      <x:c r="R284" s="522"/>
      <x:c r="S284" s="523"/>
      <x:c r="T284" s="524"/>
      <x:c r="U284" s="519"/>
      <x:c r="V284" s="519"/>
      <x:c r="W284" s="521"/>
      <x:c r="X284" s="520"/>
      <x:c r="Y284" s="521"/>
      <x:c r="Z284" s="519"/>
      <x:c r="AA284" s="520"/>
      <x:c r="AB284" s="521"/>
      <x:c r="AC284" s="520"/>
    </x:row>
    <x:row r="285" ht="32" customHeight="1">
      <x:c r="A285" s="496"/>
      <x:c r="B285" s="497"/>
      <x:c r="C285" s="498"/>
      <x:c r="D285" s="498"/>
      <x:c r="E285" s="497"/>
      <x:c r="F285" s="497"/>
      <x:c r="G285" s="497"/>
      <x:c r="H285" s="497"/>
      <x:c r="I285" s="499"/>
      <x:c r="J285" s="508"/>
      <x:c r="K285" s="508"/>
      <x:c r="L285" s="508"/>
      <x:c r="M285" s="509"/>
      <x:c r="N285" s="508"/>
      <x:c r="O285" s="510"/>
      <x:c r="P285" s="511"/>
      <x:c r="Q285" s="522"/>
      <x:c r="R285" s="522"/>
      <x:c r="S285" s="523"/>
      <x:c r="T285" s="524"/>
      <x:c r="U285" s="519"/>
      <x:c r="V285" s="519"/>
      <x:c r="W285" s="521"/>
      <x:c r="X285" s="520"/>
      <x:c r="Y285" s="521"/>
      <x:c r="Z285" s="519"/>
      <x:c r="AA285" s="520"/>
      <x:c r="AB285" s="521"/>
      <x:c r="AC285" s="520"/>
    </x:row>
    <x:row r="286" ht="32" customHeight="1">
      <x:c r="A286" s="496"/>
      <x:c r="B286" s="497"/>
      <x:c r="C286" s="498"/>
      <x:c r="D286" s="498"/>
      <x:c r="E286" s="497"/>
      <x:c r="F286" s="497"/>
      <x:c r="G286" s="497"/>
      <x:c r="H286" s="497"/>
      <x:c r="I286" s="499"/>
      <x:c r="J286" s="508"/>
      <x:c r="K286" s="508"/>
      <x:c r="L286" s="508"/>
      <x:c r="M286" s="509"/>
      <x:c r="N286" s="508"/>
      <x:c r="O286" s="510"/>
      <x:c r="P286" s="511"/>
      <x:c r="Q286" s="522"/>
      <x:c r="R286" s="522"/>
      <x:c r="S286" s="523"/>
      <x:c r="T286" s="524"/>
      <x:c r="U286" s="519"/>
      <x:c r="V286" s="519"/>
      <x:c r="W286" s="521"/>
      <x:c r="X286" s="520"/>
      <x:c r="Y286" s="521"/>
      <x:c r="Z286" s="519"/>
      <x:c r="AA286" s="520"/>
      <x:c r="AB286" s="521"/>
      <x:c r="AC286" s="520"/>
    </x:row>
    <x:row r="287" ht="32" customHeight="1">
      <x:c r="A287" s="496"/>
      <x:c r="B287" s="497"/>
      <x:c r="C287" s="498"/>
      <x:c r="D287" s="498"/>
      <x:c r="E287" s="497"/>
      <x:c r="F287" s="497"/>
      <x:c r="G287" s="497"/>
      <x:c r="H287" s="497"/>
      <x:c r="I287" s="499"/>
      <x:c r="J287" s="508"/>
      <x:c r="K287" s="508"/>
      <x:c r="L287" s="508"/>
      <x:c r="M287" s="509"/>
      <x:c r="N287" s="508"/>
      <x:c r="O287" s="510"/>
      <x:c r="P287" s="511"/>
      <x:c r="Q287" s="522"/>
      <x:c r="R287" s="522"/>
      <x:c r="S287" s="523"/>
      <x:c r="T287" s="524"/>
      <x:c r="U287" s="519"/>
      <x:c r="V287" s="519"/>
      <x:c r="W287" s="521"/>
      <x:c r="X287" s="520"/>
      <x:c r="Y287" s="521"/>
      <x:c r="Z287" s="519"/>
      <x:c r="AA287" s="520"/>
      <x:c r="AB287" s="521"/>
      <x:c r="AC287" s="520"/>
    </x:row>
    <x:row r="288" ht="32" customHeight="1">
      <x:c r="A288" s="496"/>
      <x:c r="B288" s="497"/>
      <x:c r="C288" s="498"/>
      <x:c r="D288" s="498"/>
      <x:c r="E288" s="497"/>
      <x:c r="F288" s="497"/>
      <x:c r="G288" s="497"/>
      <x:c r="H288" s="497"/>
      <x:c r="I288" s="499"/>
      <x:c r="J288" s="508"/>
      <x:c r="K288" s="508"/>
      <x:c r="L288" s="508"/>
      <x:c r="M288" s="509"/>
      <x:c r="N288" s="508"/>
      <x:c r="O288" s="510"/>
      <x:c r="P288" s="511"/>
      <x:c r="Q288" s="522"/>
      <x:c r="R288" s="522"/>
      <x:c r="S288" s="523"/>
      <x:c r="T288" s="524"/>
      <x:c r="U288" s="519"/>
      <x:c r="V288" s="519"/>
      <x:c r="W288" s="521"/>
      <x:c r="X288" s="520"/>
      <x:c r="Y288" s="521"/>
      <x:c r="Z288" s="519"/>
      <x:c r="AA288" s="520"/>
      <x:c r="AB288" s="521"/>
      <x:c r="AC288" s="520"/>
    </x:row>
    <x:row r="289" ht="32" customHeight="1">
      <x:c r="A289" s="496"/>
      <x:c r="B289" s="497"/>
      <x:c r="C289" s="498"/>
      <x:c r="D289" s="498"/>
      <x:c r="E289" s="497"/>
      <x:c r="F289" s="497"/>
      <x:c r="G289" s="497"/>
      <x:c r="H289" s="497"/>
      <x:c r="I289" s="499"/>
      <x:c r="J289" s="508"/>
      <x:c r="K289" s="508"/>
      <x:c r="L289" s="508"/>
      <x:c r="M289" s="509"/>
      <x:c r="N289" s="508"/>
      <x:c r="O289" s="510"/>
      <x:c r="P289" s="511"/>
      <x:c r="Q289" s="522"/>
      <x:c r="R289" s="522"/>
      <x:c r="S289" s="523"/>
      <x:c r="T289" s="524"/>
      <x:c r="U289" s="519"/>
      <x:c r="V289" s="519"/>
      <x:c r="W289" s="521"/>
      <x:c r="X289" s="520"/>
      <x:c r="Y289" s="521"/>
      <x:c r="Z289" s="519"/>
      <x:c r="AA289" s="520"/>
      <x:c r="AB289" s="521"/>
      <x:c r="AC289" s="520"/>
    </x:row>
    <x:row r="290" ht="32" customHeight="1">
      <x:c r="A290" s="496"/>
      <x:c r="B290" s="497"/>
      <x:c r="C290" s="498"/>
      <x:c r="D290" s="498"/>
      <x:c r="E290" s="497"/>
      <x:c r="F290" s="497"/>
      <x:c r="G290" s="497"/>
      <x:c r="H290" s="497"/>
      <x:c r="I290" s="499"/>
      <x:c r="J290" s="508"/>
      <x:c r="K290" s="508"/>
      <x:c r="L290" s="508"/>
      <x:c r="M290" s="509"/>
      <x:c r="N290" s="508"/>
      <x:c r="O290" s="510"/>
      <x:c r="P290" s="511"/>
      <x:c r="Q290" s="522"/>
      <x:c r="R290" s="522"/>
      <x:c r="S290" s="523"/>
      <x:c r="T290" s="524"/>
      <x:c r="U290" s="519"/>
      <x:c r="V290" s="519"/>
      <x:c r="W290" s="521"/>
      <x:c r="X290" s="520"/>
      <x:c r="Y290" s="521"/>
      <x:c r="Z290" s="519"/>
      <x:c r="AA290" s="520"/>
      <x:c r="AB290" s="521"/>
      <x:c r="AC290" s="520"/>
    </x:row>
    <x:row r="291" ht="32" customHeight="1">
      <x:c r="A291" s="496"/>
      <x:c r="B291" s="497"/>
      <x:c r="C291" s="498"/>
      <x:c r="D291" s="498"/>
      <x:c r="E291" s="497"/>
      <x:c r="F291" s="497"/>
      <x:c r="G291" s="497"/>
      <x:c r="H291" s="497"/>
      <x:c r="I291" s="499"/>
      <x:c r="J291" s="508"/>
      <x:c r="K291" s="508"/>
      <x:c r="L291" s="508"/>
      <x:c r="M291" s="509"/>
      <x:c r="N291" s="508"/>
      <x:c r="O291" s="510"/>
      <x:c r="P291" s="511"/>
      <x:c r="Q291" s="522"/>
      <x:c r="R291" s="522"/>
      <x:c r="S291" s="523"/>
      <x:c r="T291" s="524"/>
      <x:c r="U291" s="519"/>
      <x:c r="V291" s="519"/>
      <x:c r="W291" s="521"/>
      <x:c r="X291" s="520"/>
      <x:c r="Y291" s="521"/>
      <x:c r="Z291" s="519"/>
      <x:c r="AA291" s="520"/>
      <x:c r="AB291" s="521"/>
      <x:c r="AC291" s="520"/>
    </x:row>
    <x:row r="292" ht="32" customHeight="1">
      <x:c r="A292" s="496"/>
      <x:c r="B292" s="497"/>
      <x:c r="C292" s="498"/>
      <x:c r="D292" s="498"/>
      <x:c r="E292" s="497"/>
      <x:c r="F292" s="497"/>
      <x:c r="G292" s="497"/>
      <x:c r="H292" s="497"/>
      <x:c r="I292" s="499"/>
      <x:c r="J292" s="508"/>
      <x:c r="K292" s="508"/>
      <x:c r="L292" s="508"/>
      <x:c r="M292" s="509"/>
      <x:c r="N292" s="508"/>
      <x:c r="O292" s="510"/>
      <x:c r="P292" s="511"/>
      <x:c r="Q292" s="522"/>
      <x:c r="R292" s="522"/>
      <x:c r="S292" s="523"/>
      <x:c r="T292" s="524"/>
      <x:c r="U292" s="519"/>
      <x:c r="V292" s="519"/>
      <x:c r="W292" s="521"/>
      <x:c r="X292" s="520"/>
      <x:c r="Y292" s="521"/>
      <x:c r="Z292" s="519"/>
      <x:c r="AA292" s="520"/>
      <x:c r="AB292" s="521"/>
      <x:c r="AC292" s="520"/>
    </x:row>
    <x:row r="293" ht="32" customHeight="1">
      <x:c r="A293" s="496"/>
      <x:c r="B293" s="497"/>
      <x:c r="C293" s="498"/>
      <x:c r="D293" s="498"/>
      <x:c r="E293" s="497"/>
      <x:c r="F293" s="497"/>
      <x:c r="G293" s="497"/>
      <x:c r="H293" s="497"/>
      <x:c r="I293" s="499"/>
      <x:c r="J293" s="508"/>
      <x:c r="K293" s="508"/>
      <x:c r="L293" s="508"/>
      <x:c r="M293" s="509"/>
      <x:c r="N293" s="508"/>
      <x:c r="O293" s="510"/>
      <x:c r="P293" s="511"/>
      <x:c r="Q293" s="522"/>
      <x:c r="R293" s="522"/>
      <x:c r="S293" s="523"/>
      <x:c r="T293" s="524"/>
      <x:c r="U293" s="519"/>
      <x:c r="V293" s="519"/>
      <x:c r="W293" s="521"/>
      <x:c r="X293" s="520"/>
      <x:c r="Y293" s="521"/>
      <x:c r="Z293" s="519"/>
      <x:c r="AA293" s="520"/>
      <x:c r="AB293" s="521"/>
      <x:c r="AC293" s="520"/>
    </x:row>
    <x:row r="294" ht="32" customHeight="1">
      <x:c r="A294" s="496"/>
      <x:c r="B294" s="497"/>
      <x:c r="C294" s="498"/>
      <x:c r="D294" s="498"/>
      <x:c r="E294" s="497"/>
      <x:c r="F294" s="497"/>
      <x:c r="G294" s="497"/>
      <x:c r="H294" s="497"/>
      <x:c r="I294" s="499"/>
      <x:c r="J294" s="508"/>
      <x:c r="K294" s="508"/>
      <x:c r="L294" s="508"/>
      <x:c r="M294" s="509"/>
      <x:c r="N294" s="508"/>
      <x:c r="O294" s="510"/>
      <x:c r="P294" s="511"/>
      <x:c r="Q294" s="522"/>
      <x:c r="R294" s="522"/>
      <x:c r="S294" s="523"/>
      <x:c r="T294" s="524"/>
      <x:c r="U294" s="519"/>
      <x:c r="V294" s="519"/>
      <x:c r="W294" s="521"/>
      <x:c r="X294" s="520"/>
      <x:c r="Y294" s="521"/>
      <x:c r="Z294" s="519"/>
      <x:c r="AA294" s="520"/>
      <x:c r="AB294" s="521"/>
      <x:c r="AC294" s="520"/>
    </x:row>
    <x:row r="295" ht="32" customHeight="1">
      <x:c r="A295" s="496"/>
      <x:c r="B295" s="497"/>
      <x:c r="C295" s="498"/>
      <x:c r="D295" s="498"/>
      <x:c r="E295" s="497"/>
      <x:c r="F295" s="497"/>
      <x:c r="G295" s="497"/>
      <x:c r="H295" s="497"/>
      <x:c r="I295" s="499"/>
      <x:c r="J295" s="508"/>
      <x:c r="K295" s="508"/>
      <x:c r="L295" s="508"/>
      <x:c r="M295" s="509"/>
      <x:c r="N295" s="508"/>
      <x:c r="O295" s="510"/>
      <x:c r="P295" s="511"/>
      <x:c r="Q295" s="522"/>
      <x:c r="R295" s="522"/>
      <x:c r="S295" s="523"/>
      <x:c r="T295" s="524"/>
      <x:c r="U295" s="519"/>
      <x:c r="V295" s="519"/>
      <x:c r="W295" s="521"/>
      <x:c r="X295" s="520"/>
      <x:c r="Y295" s="521"/>
      <x:c r="Z295" s="519"/>
      <x:c r="AA295" s="520"/>
      <x:c r="AB295" s="521"/>
      <x:c r="AC295" s="520"/>
    </x:row>
    <x:row r="296" ht="32" customHeight="1">
      <x:c r="A296" s="496"/>
      <x:c r="B296" s="497"/>
      <x:c r="C296" s="498"/>
      <x:c r="D296" s="498"/>
      <x:c r="E296" s="497"/>
      <x:c r="F296" s="497"/>
      <x:c r="G296" s="497"/>
      <x:c r="H296" s="497"/>
      <x:c r="I296" s="499"/>
      <x:c r="J296" s="508"/>
      <x:c r="K296" s="508"/>
      <x:c r="L296" s="508"/>
      <x:c r="M296" s="509"/>
      <x:c r="N296" s="508"/>
      <x:c r="O296" s="510"/>
      <x:c r="P296" s="511"/>
      <x:c r="Q296" s="522"/>
      <x:c r="R296" s="522"/>
      <x:c r="S296" s="523"/>
      <x:c r="T296" s="524"/>
      <x:c r="U296" s="519"/>
      <x:c r="V296" s="519"/>
      <x:c r="W296" s="521"/>
      <x:c r="X296" s="520"/>
      <x:c r="Y296" s="521"/>
      <x:c r="Z296" s="519"/>
      <x:c r="AA296" s="520"/>
      <x:c r="AB296" s="521"/>
      <x:c r="AC296" s="520"/>
    </x:row>
    <x:row r="297" ht="32" customHeight="1">
      <x:c r="A297" s="496"/>
      <x:c r="B297" s="497"/>
      <x:c r="C297" s="498"/>
      <x:c r="D297" s="498"/>
      <x:c r="E297" s="497"/>
      <x:c r="F297" s="497"/>
      <x:c r="G297" s="497"/>
      <x:c r="H297" s="497"/>
      <x:c r="I297" s="499"/>
      <x:c r="J297" s="508"/>
      <x:c r="K297" s="508"/>
      <x:c r="L297" s="508"/>
      <x:c r="M297" s="509"/>
      <x:c r="N297" s="508"/>
      <x:c r="O297" s="510"/>
      <x:c r="P297" s="511"/>
      <x:c r="Q297" s="522"/>
      <x:c r="R297" s="522"/>
      <x:c r="S297" s="523"/>
      <x:c r="T297" s="524"/>
      <x:c r="U297" s="519"/>
      <x:c r="V297" s="519"/>
      <x:c r="W297" s="521"/>
      <x:c r="X297" s="520"/>
      <x:c r="Y297" s="521"/>
      <x:c r="Z297" s="519"/>
      <x:c r="AA297" s="520"/>
      <x:c r="AB297" s="521"/>
      <x:c r="AC297" s="520"/>
    </x:row>
    <x:row r="298" ht="32" customHeight="1">
      <x:c r="A298" s="496"/>
      <x:c r="B298" s="497"/>
      <x:c r="C298" s="498"/>
      <x:c r="D298" s="498"/>
      <x:c r="E298" s="497"/>
      <x:c r="F298" s="497"/>
      <x:c r="G298" s="497"/>
      <x:c r="H298" s="497"/>
      <x:c r="I298" s="499"/>
      <x:c r="J298" s="508"/>
      <x:c r="K298" s="508"/>
      <x:c r="L298" s="508"/>
      <x:c r="M298" s="509"/>
      <x:c r="N298" s="508"/>
      <x:c r="O298" s="510"/>
      <x:c r="P298" s="511"/>
      <x:c r="Q298" s="522"/>
      <x:c r="R298" s="522"/>
      <x:c r="S298" s="523"/>
      <x:c r="T298" s="524"/>
      <x:c r="U298" s="519"/>
      <x:c r="V298" s="519"/>
      <x:c r="W298" s="521"/>
      <x:c r="X298" s="520"/>
      <x:c r="Y298" s="521"/>
      <x:c r="Z298" s="519"/>
      <x:c r="AA298" s="520"/>
      <x:c r="AB298" s="521"/>
      <x:c r="AC298" s="520"/>
    </x:row>
    <x:row r="299" ht="32" customHeight="1">
      <x:c r="A299" s="496"/>
      <x:c r="B299" s="497"/>
      <x:c r="C299" s="498"/>
      <x:c r="D299" s="498"/>
      <x:c r="E299" s="497"/>
      <x:c r="F299" s="497"/>
      <x:c r="G299" s="497"/>
      <x:c r="H299" s="497"/>
      <x:c r="I299" s="499"/>
      <x:c r="J299" s="508"/>
      <x:c r="K299" s="508"/>
      <x:c r="L299" s="508"/>
      <x:c r="M299" s="509"/>
      <x:c r="N299" s="508"/>
      <x:c r="O299" s="510"/>
      <x:c r="P299" s="511"/>
      <x:c r="Q299" s="522"/>
      <x:c r="R299" s="522"/>
      <x:c r="S299" s="523"/>
      <x:c r="T299" s="524"/>
      <x:c r="U299" s="519"/>
      <x:c r="V299" s="519"/>
      <x:c r="W299" s="521"/>
      <x:c r="X299" s="520"/>
      <x:c r="Y299" s="521"/>
      <x:c r="Z299" s="519"/>
      <x:c r="AA299" s="520"/>
      <x:c r="AB299" s="521"/>
      <x:c r="AC299" s="520"/>
    </x:row>
    <x:row r="300" ht="32" customHeight="1">
      <x:c r="A300" s="496"/>
      <x:c r="B300" s="497"/>
      <x:c r="C300" s="498"/>
      <x:c r="D300" s="498"/>
      <x:c r="E300" s="497"/>
      <x:c r="F300" s="497"/>
      <x:c r="G300" s="497"/>
      <x:c r="H300" s="497"/>
      <x:c r="I300" s="499"/>
      <x:c r="J300" s="508"/>
      <x:c r="K300" s="508"/>
      <x:c r="L300" s="508"/>
      <x:c r="M300" s="509"/>
      <x:c r="N300" s="508"/>
      <x:c r="O300" s="510"/>
      <x:c r="P300" s="511"/>
      <x:c r="Q300" s="522"/>
      <x:c r="R300" s="522"/>
      <x:c r="S300" s="523"/>
      <x:c r="T300" s="524"/>
      <x:c r="U300" s="519"/>
      <x:c r="V300" s="519"/>
      <x:c r="W300" s="521"/>
      <x:c r="X300" s="520"/>
      <x:c r="Y300" s="521"/>
      <x:c r="Z300" s="519"/>
      <x:c r="AA300" s="520"/>
      <x:c r="AB300" s="521"/>
      <x:c r="AC300" s="520"/>
    </x:row>
    <x:row r="301" ht="32" customHeight="1">
      <x:c r="A301" s="496"/>
      <x:c r="B301" s="497"/>
      <x:c r="C301" s="498"/>
      <x:c r="D301" s="498"/>
      <x:c r="E301" s="497"/>
      <x:c r="F301" s="497"/>
      <x:c r="G301" s="497"/>
      <x:c r="H301" s="497"/>
      <x:c r="I301" s="499"/>
      <x:c r="J301" s="508"/>
      <x:c r="K301" s="508"/>
      <x:c r="L301" s="508"/>
      <x:c r="M301" s="509"/>
      <x:c r="N301" s="508"/>
      <x:c r="O301" s="510"/>
      <x:c r="P301" s="511"/>
      <x:c r="Q301" s="522"/>
      <x:c r="R301" s="522"/>
      <x:c r="S301" s="523"/>
      <x:c r="T301" s="524"/>
      <x:c r="U301" s="519"/>
      <x:c r="V301" s="519"/>
      <x:c r="W301" s="521"/>
      <x:c r="X301" s="520"/>
      <x:c r="Y301" s="521"/>
      <x:c r="Z301" s="519"/>
      <x:c r="AA301" s="520"/>
      <x:c r="AB301" s="521"/>
      <x:c r="AC301" s="520"/>
    </x:row>
    <x:row r="302" ht="32" customHeight="1">
      <x:c r="A302" s="496"/>
      <x:c r="B302" s="497"/>
      <x:c r="C302" s="498"/>
      <x:c r="D302" s="498"/>
      <x:c r="E302" s="497"/>
      <x:c r="F302" s="497"/>
      <x:c r="G302" s="497"/>
      <x:c r="H302" s="497"/>
      <x:c r="I302" s="499"/>
      <x:c r="J302" s="508"/>
      <x:c r="K302" s="508"/>
      <x:c r="L302" s="508"/>
      <x:c r="M302" s="509"/>
      <x:c r="N302" s="508"/>
      <x:c r="O302" s="510"/>
      <x:c r="P302" s="511"/>
      <x:c r="Q302" s="522"/>
      <x:c r="R302" s="522"/>
      <x:c r="S302" s="523"/>
      <x:c r="T302" s="524"/>
      <x:c r="U302" s="519"/>
      <x:c r="V302" s="519"/>
      <x:c r="W302" s="521"/>
      <x:c r="X302" s="520"/>
      <x:c r="Y302" s="521"/>
      <x:c r="Z302" s="519"/>
      <x:c r="AA302" s="520"/>
      <x:c r="AB302" s="521"/>
      <x:c r="AC302" s="520"/>
    </x:row>
    <x:row r="303" ht="32" customHeight="1">
      <x:c r="A303" s="496"/>
      <x:c r="B303" s="497"/>
      <x:c r="C303" s="498"/>
      <x:c r="D303" s="498"/>
      <x:c r="E303" s="497"/>
      <x:c r="F303" s="497"/>
      <x:c r="G303" s="497"/>
      <x:c r="H303" s="497"/>
      <x:c r="I303" s="499"/>
      <x:c r="J303" s="508"/>
      <x:c r="K303" s="508"/>
      <x:c r="L303" s="508"/>
      <x:c r="M303" s="509"/>
      <x:c r="N303" s="508"/>
      <x:c r="O303" s="510"/>
      <x:c r="P303" s="511"/>
      <x:c r="Q303" s="522"/>
      <x:c r="R303" s="522"/>
      <x:c r="S303" s="523"/>
      <x:c r="T303" s="524"/>
      <x:c r="U303" s="519"/>
      <x:c r="V303" s="519"/>
      <x:c r="W303" s="521"/>
      <x:c r="X303" s="520"/>
      <x:c r="Y303" s="521"/>
      <x:c r="Z303" s="519"/>
      <x:c r="AA303" s="520"/>
      <x:c r="AB303" s="521"/>
      <x:c r="AC303" s="520"/>
    </x:row>
    <x:row r="304" ht="32" customHeight="1">
      <x:c r="A304" s="496"/>
      <x:c r="B304" s="497"/>
      <x:c r="C304" s="498"/>
      <x:c r="D304" s="498"/>
      <x:c r="E304" s="497"/>
      <x:c r="F304" s="497"/>
      <x:c r="G304" s="497"/>
      <x:c r="H304" s="497"/>
      <x:c r="I304" s="499"/>
      <x:c r="J304" s="508"/>
      <x:c r="K304" s="508"/>
      <x:c r="L304" s="508"/>
      <x:c r="M304" s="509"/>
      <x:c r="N304" s="508"/>
      <x:c r="O304" s="510"/>
      <x:c r="P304" s="511"/>
      <x:c r="Q304" s="522"/>
      <x:c r="R304" s="522"/>
      <x:c r="S304" s="523"/>
      <x:c r="T304" s="524"/>
      <x:c r="U304" s="519"/>
      <x:c r="V304" s="519"/>
      <x:c r="W304" s="521"/>
      <x:c r="X304" s="520"/>
      <x:c r="Y304" s="521"/>
      <x:c r="Z304" s="519"/>
      <x:c r="AA304" s="520"/>
      <x:c r="AB304" s="521"/>
      <x:c r="AC304" s="520"/>
    </x:row>
    <x:row r="305" ht="32" customHeight="1">
      <x:c r="A305" s="500"/>
      <x:c r="B305" s="501"/>
      <x:c r="C305" s="502"/>
      <x:c r="D305" s="502"/>
      <x:c r="E305" s="501"/>
      <x:c r="F305" s="501"/>
      <x:c r="G305" s="501"/>
      <x:c r="H305" s="501"/>
      <x:c r="I305" s="503"/>
      <x:c r="J305" s="512"/>
      <x:c r="K305" s="512"/>
      <x:c r="L305" s="512"/>
      <x:c r="M305" s="513"/>
      <x:c r="N305" s="512"/>
      <x:c r="O305" s="514"/>
      <x:c r="P305" s="515"/>
      <x:c r="Q305" s="525"/>
      <x:c r="R305" s="525"/>
      <x:c r="S305" s="526"/>
      <x:c r="T305" s="527"/>
      <x:c r="U305" s="519"/>
      <x:c r="V305" s="519"/>
      <x:c r="W305" s="521"/>
      <x:c r="X305" s="520"/>
      <x:c r="Y305" s="521"/>
      <x:c r="Z305" s="519"/>
      <x:c r="AA305" s="520"/>
      <x:c r="AB305" s="521"/>
      <x:c r="AC305" s="520"/>
    </x:row>
    <x:row r="308" ht="28" customHeight="1">
      <x:c r="A308" s="552" t="str">
        <x:v>PANDUAN PENGISIAN RTLH — TIPE KONSTRUKSI DAN KOMPONEN</x:v>
      </x:c>
      <x:c r="B308" s="552"/>
      <x:c r="C308" s="552"/>
      <x:c r="D308" s="552"/>
      <x:c r="E308" s="552"/>
      <x:c r="F308" s="552"/>
      <x:c r="G308" s="552"/>
      <x:c r="H308" s="552"/>
    </x:row>
    <x:row r="309" ht="32" customHeight="1">
      <x:c r="A309" s="557" t="str">
        <x:v>Gunakan hasil pengamatan lapangan. Material dan kondisi harus dipisahkan. Apabila catatan hanya menyebutkan material tanpa kondisi, pilih Belum Dinilai.</x:v>
      </x:c>
      <x:c r="B309" s="557"/>
      <x:c r="C309" s="557"/>
      <x:c r="D309" s="557"/>
      <x:c r="E309" s="557"/>
      <x:c r="F309" s="557"/>
      <x:c r="G309" s="557"/>
      <x:c r="H309" s="557"/>
    </x:row>
    <x:row r="311">
      <x:c r="A311" s="566" t="str">
        <x:v>TIPE KONSTRUKSI</x:v>
      </x:c>
      <x:c r="B311" s="567" t="str">
        <x:v>PEDOMAN PENGISIAN</x:v>
      </x:c>
    </x:row>
    <x:row r="312">
      <x:c r="A312" s="570" t="str">
        <x:v>Permanen</x:v>
      </x:c>
      <x:c r="B312" s="570" t="str">
        <x:v>Bangunan didominasi struktur dan material permanen, seperti bata/batako/beton. Bukan berarti seluruh komponennya otomatis berkondisi baik.</x:v>
      </x:c>
    </x:row>
    <x:row r="313">
      <x:c r="A313" s="570" t="str">
        <x:v>Semipermanen</x:v>
      </x:c>
      <x:c r="B313" s="570" t="str">
        <x:v>Bangunan menggunakan kombinasi material permanen dan nonpermanen, misalnya bagian depan bata dan bagian belakang papan.</x:v>
      </x:c>
    </x:row>
    <x:row r="314">
      <x:c r="A314" s="570" t="str">
        <x:v>Nonpermanen</x:v>
      </x:c>
      <x:c r="B314" s="570" t="str">
        <x:v>Bangunan didominasi papan/kayu/bambu atau material sederhana yang tidak tahan lama.</x:v>
      </x:c>
    </x:row>
    <x:row r="315">
      <x:c r="A315" s="570" t="str">
        <x:v>Belum Dapat Ditentukan</x:v>
      </x:c>
      <x:c r="B315" s="570" t="str">
        <x:v>Catatan atau hasil survei belum cukup untuk menetapkan tipe konstruksi.</x:v>
      </x:c>
    </x:row>
    <x:row r="316">
      <x:c r="A316" s="261" t="str"/>
      <x:c r="B316" s="261" t="str"/>
    </x:row>
    <x:row r="317">
      <x:c r="A317" s="568" t="str">
        <x:v>KONDISI KOMPONEN</x:v>
      </x:c>
      <x:c r="B317" s="569" t="str">
        <x:v>PEDOMAN PENGISIAN</x:v>
      </x:c>
    </x:row>
    <x:row r="318">
      <x:c r="A318" s="571" t="str">
        <x:v>Baik</x:v>
      </x:c>
      <x:c r="B318" s="571" t="str">
        <x:v>Komponen masih berfungsi, aman, dan tidak menunjukkan kerusakan berarti.</x:v>
      </x:c>
    </x:row>
    <x:row r="319">
      <x:c r="A319" s="571" t="str">
        <x:v>Rusak Ringan</x:v>
      </x:c>
      <x:c r="B319" s="571" t="str">
        <x:v>Kerusakan lokal/kecil; fungsi utama masih berjalan dan perbaikan terbatas.</x:v>
      </x:c>
    </x:row>
    <x:row r="320">
      <x:c r="A320" s="571" t="str">
        <x:v>Rusak Sedang</x:v>
      </x:c>
      <x:c r="B320" s="571" t="str">
        <x:v>Kerusakan cukup luas atau berulang; memerlukan perbaikan pada beberapa bagian.</x:v>
      </x:c>
    </x:row>
    <x:row r="321">
      <x:c r="A321" s="571" t="str">
        <x:v>Rusak Berat</x:v>
      </x:c>
      <x:c r="B321" s="571" t="str">
        <x:v>Sebagian besar komponen rusak, lapuk, hilang, atau membahayakan penghuni.</x:v>
      </x:c>
    </x:row>
    <x:row r="322">
      <x:c r="A322" s="571" t="str">
        <x:v>Tidak Ada/Terbuka</x:v>
      </x:c>
      <x:c r="B322" s="571" t="str">
        <x:v>Digunakan untuk atap atau dinding yang tidak tersedia/hilang sehingga bagian rumah terbuka.</x:v>
      </x:c>
    </x:row>
    <x:row r="323">
      <x:c r="A323" s="571" t="str">
        <x:v>Tidak Layak</x:v>
      </x:c>
      <x:c r="B323" s="571" t="str">
        <x:v>Digunakan khusus lantai, seperti lantai tanah, selalu tergenang, lapuk berat, atau membahayakan.</x:v>
      </x:c>
    </x:row>
    <x:row r="324">
      <x:c r="A324" s="571" t="str">
        <x:v>Belum Dinilai</x:v>
      </x:c>
      <x:c r="B324" s="571" t="str">
        <x:v>Material disebutkan, tetapi kondisi belum dijelaskan atau belum diperiksa.</x:v>
      </x:c>
    </x:row>
    <x:row r="325">
      <x:c r="A325" s="261" t="str"/>
      <x:c r="B325" s="261" t="str"/>
    </x:row>
    <x:row r="326">
      <x:c r="A326" s="572" t="str">
        <x:v>PRINSIP PENTING</x:v>
      </x:c>
      <x:c r="B326" s="573" t="str">
        <x:v>Catatan verifikasi tetap menjadi sumber utama. Dropdown membantu pengelompokan, tetapi tidak boleh menggantikan penilaian teknis petugas.</x:v>
      </x:c>
    </x:row>
  </x:sheetData>
  <x:mergeCells>
    <x:mergeCell ref="A1:AC1"/>
    <x:mergeCell ref="A2:AC2"/>
    <x:mergeCell ref="A3:AC3"/>
    <x:mergeCell ref="AE1:AM1"/>
    <x:mergeCell ref="AE2:AM2"/>
    <x:mergeCell ref="A308:H308"/>
    <x:mergeCell ref="A309:H309"/>
  </x:mergeCells>
  <x:conditionalFormatting sqref="I6:I30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conditionalFormatting sqref="O6:O305">
    <x:cfRule type="expression" dxfId="2" priority="3">
      <x:formula>O6="Selesai"</x:formula>
    </x:cfRule>
  </x:conditionalFormatting>
  <x:conditionalFormatting sqref="J6:J305">
    <x:cfRule type="expression" dxfId="3" priority="4">
      <x:formula>OR(J6="Rusak Berat/Parah",J6="Bencana/Kebakaran")</x:formula>
    </x:cfRule>
    <x:cfRule type="expression" dxfId="4" priority="5">
      <x:formula>J6="Rusak Sedang"</x:formula>
    </x:cfRule>
    <x:cfRule type="expression" dxfId="5" priority="6">
      <x:formula>J6="Rusak Ringan"</x:formula>
    </x:cfRule>
  </x:conditionalFormatting>
  <x:conditionalFormatting sqref="L6:L305">
    <x:cfRule type="expression" dxfId="6" priority="7">
      <x:formula>OR(L6="Rusak Berat",L6="Tidak Ada/Terbuka",L6="Tidak Layak")</x:formula>
    </x:cfRule>
    <x:cfRule type="expression" dxfId="7" priority="8">
      <x:formula>L6="Rusak Sedang"</x:formula>
    </x:cfRule>
    <x:cfRule type="expression" dxfId="8" priority="9">
      <x:formula>L6="Rusak Ringan"</x:formula>
    </x:cfRule>
    <x:cfRule type="expression" dxfId="9" priority="10">
      <x:formula>L6="Baik"</x:formula>
    </x:cfRule>
  </x:conditionalFormatting>
  <x:conditionalFormatting sqref="N6:N305">
    <x:cfRule type="expression" dxfId="10" priority="11">
      <x:formula>OR(N6="Rusak Berat",N6="Tidak Ada/Terbuka",N6="Tidak Layak")</x:formula>
    </x:cfRule>
    <x:cfRule type="expression" dxfId="11" priority="12">
      <x:formula>N6="Rusak Sedang"</x:formula>
    </x:cfRule>
    <x:cfRule type="expression" dxfId="12" priority="13">
      <x:formula>N6="Rusak Ringan"</x:formula>
    </x:cfRule>
    <x:cfRule type="expression" dxfId="13" priority="14">
      <x:formula>N6="Baik"</x:formula>
    </x:cfRule>
  </x:conditionalFormatting>
  <x:conditionalFormatting sqref="P6:P305">
    <x:cfRule type="expression" dxfId="14" priority="15">
      <x:formula>OR(P6="Rusak Berat",P6="Tidak Ada/Terbuka",P6="Tidak Layak")</x:formula>
    </x:cfRule>
    <x:cfRule type="expression" dxfId="15" priority="16">
      <x:formula>P6="Rusak Sedang"</x:formula>
    </x:cfRule>
    <x:cfRule type="expression" dxfId="16" priority="17">
      <x:formula>P6="Rusak Ringan"</x:formula>
    </x:cfRule>
    <x:cfRule type="expression" dxfId="17" priority="18">
      <x:formula>P6="Baik"</x:formula>
    </x:cfRule>
  </x:conditionalFormatting>
  <x:conditionalFormatting sqref="Q6:Q305">
    <x:cfRule type="expression" dxfId="18" priority="19">
      <x:formula>Q6="Belum Lengkap"</x:formula>
    </x:cfRule>
  </x:conditionalFormatting>
  <x:dataValidations count="17">
    <x:dataValidation type="list" sqref="G6:G305">
      <x:formula1>"Bukit Intan,Gabek,Gerunggang,Girimaya,Pangkal Balam,Rangkui,Taman Sari,Belum tersedia"</x:formula1>
    </x:dataValidation>
    <x:dataValidation type="list" sqref="J6:J305">
      <x:formula1>"Permanen,Semipermanen,Nonpermanen,Belum Dapat Ditentukan"</x:formula1>
    </x:dataValidation>
    <x:dataValidation type="list" sqref="K6:K305">
      <x:formula1>"Genteng,Seng,Asbes/Fiber Semen,Spandek,Beton/Dak,Sirap,Terpal/Material Darurat,Campuran,Lainnya,Belum Diidentifikasi"</x:formula1>
    </x:dataValidation>
    <x:dataValidation type="list" sqref="L6:L305">
      <x:formula1>"Baik,Rusak Ringan,Rusak Sedang,Rusak Berat,Tidak Ada/Terbuka,Belum Dinilai"</x:formula1>
    </x:dataValidation>
    <x:dataValidation type="list" sqref="N6:N305">
      <x:formula1>"Baik,Rusak Ringan,Rusak Sedang,Rusak Berat,Tidak Ada/Terbuka,Belum Dinilai"</x:formula1>
    </x:dataValidation>
    <x:dataValidation type="list" sqref="H6:H305">
      <x:formula1>"Pembangunan Baru,Peningkatan Kualitas,Belum Prioritas,Belum Ditentukan"</x:formula1>
    </x:dataValidation>
    <x:dataValidation type="list" sqref="O6:O305">
      <x:formula1>"Keramik,Tegel/Ubin,Semen/Plester,Papan/Kayu,Tanah,Campuran,Material Darurat,Lainnya,Belum Diidentifikasi"</x:formula1>
    </x:dataValidation>
    <x:dataValidation type="list" sqref="P6:P305">
      <x:formula1>"Baik,Rusak Ringan,Rusak Sedang,Rusak Berat,Tidak Layak,Belum Dinilai"</x:formula1>
    </x:dataValidation>
    <x:dataValidation type="list" sqref="R6:R305">
      <x:formula1>"Milik Sendiri,Kepemilikan Keluarga,Sewa/Kontrak,Menumpang,Belum Diverifikasi"</x:formula1>
    </x:dataValidation>
    <x:dataValidation type="list" sqref="V6:V305">
      <x:formula1>"Usulan Musrenbang/Pokir DPRD,Musrenbang,Pokir DPRD,Pendataan Dinas,Lainnya"</x:formula1>
    </x:dataValidation>
    <x:dataValidation type="list" sqref="M6:M305">
      <x:formula1>"Bata/Batako Diplester,Bata/Batako Belum Diplester,Beton,Dinding Permanen (Material tidak dirinci),Papan/Kayu,Bambu,Seng,Campuran Permanen dan Papan,Material Darurat,Lainnya,Belum Diidentifikasi"</x:formula1>
    </x:dataValidation>
    <x:dataValidation type="list" sqref="Q6:Q305">
      <x:formula1>"Lengkap,Belum Lengkap"</x:formula1>
    </x:dataValidation>
    <x:dataValidation type="list" sqref="S6:S305">
      <x:formula1>"Belum Diverifikasi,Sudah Diverifikasi"</x:formula1>
    </x:dataValidation>
    <x:dataValidation type="list" sqref="T6:T305">
      <x:formula1>"Belum Ditangani,Masuk Prioritas,Dalam Pelaksanaan,Selesai"</x:formula1>
    </x:dataValidation>
    <x:dataValidation type="list" sqref="U6:U305">
      <x:formula1>"APBD Kota,APBD Provinsi,BSPS,CSR,BAZNAS,Swadaya,Lainnya"</x:formula1>
    </x:dataValidation>
    <x:dataValidation type="list" sqref="W6:W305">
      <x:formula1>"Milik Sendiri,Kepemilikan Keluarga,Sewa/Kontrak,Menumpang,Belum Diverifikasi"</x:formula1>
    </x:dataValidation>
    <x:dataValidation type="list" sqref="AA6:AA305">
      <x:formula1>"Usulan Musrenbang/Pokir DPRD,Musrenbang,Pokir DPRD,Pendataan Dinas,Lainnya"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6bbe80199b4a9e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5" customWidth="1"/>
    <x:col min="2" max="2" width="28" customWidth="1"/>
    <x:col min="3" max="3" width="16" customWidth="1"/>
    <x:col min="4" max="4" width="12" customWidth="1"/>
    <x:col min="5" max="5" width="16" customWidth="1"/>
    <x:col min="6" max="6" width="15" customWidth="1"/>
    <x:col min="7" max="7" width="22" customWidth="1"/>
    <x:col min="8" max="8" width="20" customWidth="1"/>
    <x:col min="9" max="9" width="34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878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879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880</x:v>
      </x:c>
      <x:c r="B5" s="2" t="s">
        <x:v>881</x:v>
      </x:c>
      <x:c r="C5" s="2" t="s">
        <x:v>882</x:v>
      </x:c>
      <x:c r="D5" s="2" t="s">
        <x:v>883</x:v>
      </x:c>
      <x:c r="E5" s="2" t="s">
        <x:v>884</x:v>
      </x:c>
      <x:c r="F5" s="2" t="s">
        <x:v>885</x:v>
      </x:c>
      <x:c r="G5" s="2" t="s">
        <x:v>886</x:v>
      </x:c>
      <x:c r="H5" s="2" t="s">
        <x:v>887</x:v>
      </x:c>
      <x:c r="I5" s="2" t="s">
        <x:v>857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69" t="s">
        <x:v>888</x:v>
      </x:c>
      <x:c r="C6" s="10" t="s">
        <x:v>889</x:v>
      </x:c>
      <x:c r="D6" s="19" t="s">
        <x:v>890</x:v>
      </x:c>
      <x:c r="E6" s="46" t="s">
        <x:v>858</x:v>
      </x:c>
      <x:c r="F6" s="4"/>
      <x:c r="G6" s="10" t="s">
        <x:v>891</x:v>
      </x:c>
      <x:c r="H6" s="10" t="s">
        <x:v>892</x:v>
      </x:c>
      <x:c r="I6" s="4"/>
      <x:c r="J6" s="19"/>
      <x:c r="K6" s="10"/>
      <x:c r="L6" s="10"/>
      <x:c r="M6" s="13"/>
      <x:c r="N6" s="34"/>
    </x:row>
    <x:row r="7" ht="9.75" customHeight="1">
      <x:c r="A7" s="32"/>
      <x:c r="B7" s="69" t="s">
        <x:v>888</x:v>
      </x:c>
      <x:c r="C7" s="10" t="s">
        <x:v>889</x:v>
      </x:c>
      <x:c r="D7" s="20" t="s">
        <x:v>890</x:v>
      </x:c>
      <x:c r="E7" s="47" t="s">
        <x:v>862</x:v>
      </x:c>
      <x:c r="F7" s="6"/>
      <x:c r="G7" s="11" t="s">
        <x:v>891</x:v>
      </x:c>
      <x:c r="H7" s="11" t="s">
        <x:v>892</x:v>
      </x:c>
      <x:c r="I7" s="6"/>
      <x:c r="J7" s="20"/>
      <x:c r="K7" s="11"/>
      <x:c r="L7" s="11"/>
      <x:c r="M7" s="14"/>
      <x:c r="N7" s="35"/>
    </x:row>
    <x:row r="8" ht="9.75" customHeight="1">
      <x:c r="A8" s="32"/>
      <x:c r="B8" s="69" t="s">
        <x:v>888</x:v>
      </x:c>
      <x:c r="C8" s="10" t="s">
        <x:v>889</x:v>
      </x:c>
      <x:c r="D8" s="20" t="s">
        <x:v>890</x:v>
      </x:c>
      <x:c r="E8" s="47" t="s">
        <x:v>863</x:v>
      </x:c>
      <x:c r="F8" s="6"/>
      <x:c r="G8" s="11" t="s">
        <x:v>891</x:v>
      </x:c>
      <x:c r="H8" s="11" t="s">
        <x:v>892</x:v>
      </x:c>
      <x:c r="I8" s="6"/>
      <x:c r="J8" s="20"/>
      <x:c r="K8" s="11"/>
      <x:c r="L8" s="11"/>
      <x:c r="M8" s="14"/>
      <x:c r="N8" s="35"/>
    </x:row>
    <x:row r="9" ht="9.75" customHeight="1">
      <x:c r="A9" s="32"/>
      <x:c r="B9" s="69" t="s">
        <x:v>888</x:v>
      </x:c>
      <x:c r="C9" s="10" t="s">
        <x:v>889</x:v>
      </x:c>
      <x:c r="D9" s="20" t="s">
        <x:v>893</x:v>
      </x:c>
      <x:c r="E9" s="47" t="s">
        <x:v>858</x:v>
      </x:c>
      <x:c r="F9" s="6"/>
      <x:c r="G9" s="11" t="s">
        <x:v>894</x:v>
      </x:c>
      <x:c r="H9" s="11" t="s">
        <x:v>892</x:v>
      </x:c>
      <x:c r="I9" s="6"/>
      <x:c r="J9" s="20"/>
      <x:c r="K9" s="11"/>
      <x:c r="L9" s="11"/>
      <x:c r="M9" s="14"/>
      <x:c r="N9" s="35"/>
    </x:row>
    <x:row r="10" ht="9.75" customHeight="1">
      <x:c r="A10" s="32"/>
      <x:c r="B10" s="69" t="s">
        <x:v>888</x:v>
      </x:c>
      <x:c r="C10" s="10" t="s">
        <x:v>889</x:v>
      </x:c>
      <x:c r="D10" s="20" t="s">
        <x:v>893</x:v>
      </x:c>
      <x:c r="E10" s="47" t="s">
        <x:v>862</x:v>
      </x:c>
      <x:c r="F10" s="6"/>
      <x:c r="G10" s="11" t="s">
        <x:v>894</x:v>
      </x:c>
      <x:c r="H10" s="11" t="s">
        <x:v>895</x:v>
      </x:c>
      <x:c r="I10" s="6"/>
      <x:c r="J10" s="20"/>
      <x:c r="K10" s="11"/>
      <x:c r="L10" s="11"/>
      <x:c r="M10" s="14"/>
      <x:c r="N10" s="35"/>
    </x:row>
    <x:row r="11" ht="9.75" customHeight="1">
      <x:c r="A11" s="32"/>
      <x:c r="B11" s="69" t="s">
        <x:v>888</x:v>
      </x:c>
      <x:c r="C11" s="10" t="s">
        <x:v>889</x:v>
      </x:c>
      <x:c r="D11" s="20" t="s">
        <x:v>893</x:v>
      </x:c>
      <x:c r="E11" s="47" t="s">
        <x:v>863</x:v>
      </x:c>
      <x:c r="F11" s="6"/>
      <x:c r="G11" s="11" t="s">
        <x:v>894</x:v>
      </x:c>
      <x:c r="H11" s="11" t="s">
        <x:v>892</x:v>
      </x:c>
      <x:c r="I11" s="6"/>
      <x:c r="J11" s="20"/>
      <x:c r="K11" s="11"/>
      <x:c r="L11" s="11"/>
      <x:c r="M11" s="14"/>
      <x:c r="N11" s="35"/>
    </x:row>
    <x:row r="12" ht="9.75" customHeight="1">
      <x:c r="A12" s="32"/>
      <x:c r="B12" s="69" t="s">
        <x:v>888</x:v>
      </x:c>
      <x:c r="C12" s="10" t="s">
        <x:v>889</x:v>
      </x:c>
      <x:c r="D12" s="20" t="s">
        <x:v>893</x:v>
      </x:c>
      <x:c r="E12" s="47" t="s">
        <x:v>865</x:v>
      </x:c>
      <x:c r="F12" s="6"/>
      <x:c r="G12" s="11" t="s">
        <x:v>894</x:v>
      </x:c>
      <x:c r="H12" s="11" t="s">
        <x:v>892</x:v>
      </x:c>
      <x:c r="I12" s="6"/>
      <x:c r="J12" s="20"/>
      <x:c r="K12" s="11"/>
      <x:c r="L12" s="11"/>
      <x:c r="M12" s="14"/>
      <x:c r="N12" s="35"/>
    </x:row>
    <x:row r="13" ht="9.75" customHeight="1">
      <x:c r="A13" s="32"/>
      <x:c r="B13" s="69" t="s">
        <x:v>888</x:v>
      </x:c>
      <x:c r="C13" s="10" t="s">
        <x:v>889</x:v>
      </x:c>
      <x:c r="D13" s="20" t="s">
        <x:v>893</x:v>
      </x:c>
      <x:c r="E13" s="47" t="s">
        <x:v>866</x:v>
      </x:c>
      <x:c r="F13" s="6"/>
      <x:c r="G13" s="11" t="s">
        <x:v>891</x:v>
      </x:c>
      <x:c r="H13" s="11" t="s">
        <x:v>895</x:v>
      </x:c>
      <x:c r="I13" s="6"/>
      <x:c r="J13" s="20"/>
      <x:c r="K13" s="11"/>
      <x:c r="L13" s="11"/>
      <x:c r="M13" s="14"/>
      <x:c r="N13" s="35"/>
    </x:row>
    <x:row r="14" ht="9.75" customHeight="1">
      <x:c r="A14" s="32"/>
      <x:c r="B14" s="69" t="s">
        <x:v>888</x:v>
      </x:c>
      <x:c r="C14" s="10" t="s">
        <x:v>889</x:v>
      </x:c>
      <x:c r="D14" s="20" t="s">
        <x:v>893</x:v>
      </x:c>
      <x:c r="E14" s="47" t="s">
        <x:v>867</x:v>
      </x:c>
      <x:c r="F14" s="6"/>
      <x:c r="G14" s="11" t="s">
        <x:v>894</x:v>
      </x:c>
      <x:c r="H14" s="11" t="s">
        <x:v>895</x:v>
      </x:c>
      <x:c r="I14" s="6"/>
      <x:c r="J14" s="20"/>
      <x:c r="K14" s="11"/>
      <x:c r="L14" s="11"/>
      <x:c r="M14" s="14"/>
      <x:c r="N14" s="35"/>
    </x:row>
    <x:row r="15" ht="9.75" customHeight="1">
      <x:c r="A15" s="32"/>
      <x:c r="B15" s="69" t="s">
        <x:v>888</x:v>
      </x:c>
      <x:c r="C15" s="10" t="s">
        <x:v>889</x:v>
      </x:c>
      <x:c r="D15" s="20" t="s">
        <x:v>893</x:v>
      </x:c>
      <x:c r="E15" s="47" t="s">
        <x:v>868</x:v>
      </x:c>
      <x:c r="F15" s="6"/>
      <x:c r="G15" s="11" t="s">
        <x:v>894</x:v>
      </x:c>
      <x:c r="H15" s="11" t="s">
        <x:v>895</x:v>
      </x:c>
      <x:c r="I15" s="6"/>
      <x:c r="J15" s="20"/>
      <x:c r="K15" s="11"/>
      <x:c r="L15" s="11"/>
      <x:c r="M15" s="14"/>
      <x:c r="N15" s="35"/>
    </x:row>
    <x:row r="16" ht="9.75" customHeight="1">
      <x:c r="A16" s="32"/>
      <x:c r="B16" s="69" t="s">
        <x:v>888</x:v>
      </x:c>
      <x:c r="C16" s="10" t="s">
        <x:v>889</x:v>
      </x:c>
      <x:c r="D16" s="20" t="s">
        <x:v>893</x:v>
      </x:c>
      <x:c r="E16" s="47" t="s">
        <x:v>869</x:v>
      </x:c>
      <x:c r="F16" s="6"/>
      <x:c r="G16" s="11" t="s">
        <x:v>894</x:v>
      </x:c>
      <x:c r="H16" s="11" t="s">
        <x:v>892</x:v>
      </x:c>
      <x:c r="I16" s="6"/>
      <x:c r="J16" s="20"/>
      <x:c r="K16" s="11"/>
      <x:c r="L16" s="11"/>
      <x:c r="M16" s="14"/>
      <x:c r="N16" s="35"/>
    </x:row>
    <x:row r="17" ht="9.75" customHeight="1">
      <x:c r="A17" s="32"/>
      <x:c r="B17" s="69" t="s">
        <x:v>888</x:v>
      </x:c>
      <x:c r="C17" s="10" t="s">
        <x:v>889</x:v>
      </x:c>
      <x:c r="D17" s="20" t="s">
        <x:v>893</x:v>
      </x:c>
      <x:c r="E17" s="47" t="s">
        <x:v>896</x:v>
      </x:c>
      <x:c r="F17" s="6"/>
      <x:c r="G17" s="11" t="s">
        <x:v>891</x:v>
      </x:c>
      <x:c r="H17" s="11" t="s">
        <x:v>892</x:v>
      </x:c>
      <x:c r="I17" s="6"/>
      <x:c r="J17" s="20"/>
      <x:c r="K17" s="11"/>
      <x:c r="L17" s="11"/>
      <x:c r="M17" s="14"/>
      <x:c r="N17" s="35"/>
    </x:row>
    <x:row r="18" ht="9.75" customHeight="1">
      <x:c r="A18" s="32"/>
      <x:c r="B18" s="69" t="s">
        <x:v>888</x:v>
      </x:c>
      <x:c r="C18" s="10" t="s">
        <x:v>889</x:v>
      </x:c>
      <x:c r="D18" s="20" t="s">
        <x:v>893</x:v>
      </x:c>
      <x:c r="E18" s="47" t="s">
        <x:v>897</x:v>
      </x:c>
      <x:c r="F18" s="6"/>
      <x:c r="G18" s="11" t="s">
        <x:v>898</x:v>
      </x:c>
      <x:c r="H18" s="11" t="s">
        <x:v>899</x:v>
      </x:c>
      <x:c r="I18" s="6"/>
      <x:c r="J18" s="20"/>
      <x:c r="K18" s="11"/>
      <x:c r="L18" s="11"/>
      <x:c r="M18" s="14"/>
      <x:c r="N18" s="35"/>
    </x:row>
    <x:row r="19" ht="9.75" customHeight="1">
      <x:c r="A19" s="32"/>
      <x:c r="B19" s="69" t="s">
        <x:v>888</x:v>
      </x:c>
      <x:c r="C19" s="10" t="s">
        <x:v>889</x:v>
      </x:c>
      <x:c r="D19" s="20" t="s">
        <x:v>893</x:v>
      </x:c>
      <x:c r="E19" s="47" t="s">
        <x:v>900</x:v>
      </x:c>
      <x:c r="F19" s="6"/>
      <x:c r="G19" s="11" t="s">
        <x:v>898</x:v>
      </x:c>
      <x:c r="H19" s="11" t="s">
        <x:v>899</x:v>
      </x:c>
      <x:c r="I19" s="6"/>
      <x:c r="J19" s="20"/>
      <x:c r="K19" s="11"/>
      <x:c r="L19" s="11"/>
      <x:c r="M19" s="14"/>
      <x:c r="N19" s="35"/>
    </x:row>
    <x:row r="20" ht="9.75" customHeight="1">
      <x:c r="A20" s="32"/>
      <x:c r="B20" s="69" t="s">
        <x:v>888</x:v>
      </x:c>
      <x:c r="C20" s="10" t="s">
        <x:v>889</x:v>
      </x:c>
      <x:c r="D20" s="20" t="s">
        <x:v>893</x:v>
      </x:c>
      <x:c r="E20" s="47" t="s">
        <x:v>901</x:v>
      </x:c>
      <x:c r="F20" s="6"/>
      <x:c r="G20" s="11" t="s">
        <x:v>898</x:v>
      </x:c>
      <x:c r="H20" s="11" t="s">
        <x:v>899</x:v>
      </x:c>
      <x:c r="I20" s="6"/>
      <x:c r="J20" s="20"/>
      <x:c r="K20" s="11"/>
      <x:c r="L20" s="11"/>
      <x:c r="M20" s="14"/>
      <x:c r="N20" s="35"/>
    </x:row>
    <x:row r="21" ht="9.75" customHeight="1">
      <x:c r="A21" s="32"/>
      <x:c r="B21" s="69" t="s">
        <x:v>888</x:v>
      </x:c>
      <x:c r="C21" s="10" t="s">
        <x:v>889</x:v>
      </x:c>
      <x:c r="D21" s="20" t="s">
        <x:v>893</x:v>
      </x:c>
      <x:c r="E21" s="47" t="s">
        <x:v>902</x:v>
      </x:c>
      <x:c r="F21" s="6"/>
      <x:c r="G21" s="11" t="s">
        <x:v>891</x:v>
      </x:c>
      <x:c r="H21" s="11" t="s">
        <x:v>895</x:v>
      </x:c>
      <x:c r="I21" s="6"/>
      <x:c r="J21" s="20"/>
      <x:c r="K21" s="11"/>
      <x:c r="L21" s="11"/>
      <x:c r="M21" s="14"/>
      <x:c r="N21" s="35"/>
    </x:row>
    <x:row r="22" ht="9.75" customHeight="1">
      <x:c r="A22" s="32"/>
      <x:c r="B22" s="69" t="s">
        <x:v>888</x:v>
      </x:c>
      <x:c r="C22" s="10" t="s">
        <x:v>889</x:v>
      </x:c>
      <x:c r="D22" s="20" t="s">
        <x:v>893</x:v>
      </x:c>
      <x:c r="E22" s="47" t="s">
        <x:v>903</x:v>
      </x:c>
      <x:c r="F22" s="6"/>
      <x:c r="G22" s="11" t="s">
        <x:v>891</x:v>
      </x:c>
      <x:c r="H22" s="11" t="s">
        <x:v>895</x:v>
      </x:c>
      <x:c r="I22" s="6"/>
      <x:c r="J22" s="20"/>
      <x:c r="K22" s="11"/>
      <x:c r="L22" s="11"/>
      <x:c r="M22" s="14"/>
      <x:c r="N22" s="35"/>
    </x:row>
    <x:row r="23" ht="9.75" customHeight="1">
      <x:c r="A23" s="32"/>
      <x:c r="B23" s="69" t="s">
        <x:v>888</x:v>
      </x:c>
      <x:c r="C23" s="10" t="s">
        <x:v>889</x:v>
      </x:c>
      <x:c r="D23" s="20" t="s">
        <x:v>893</x:v>
      </x:c>
      <x:c r="E23" s="47" t="s">
        <x:v>904</x:v>
      </x:c>
      <x:c r="F23" s="6"/>
      <x:c r="G23" s="11" t="s">
        <x:v>891</x:v>
      </x:c>
      <x:c r="H23" s="11" t="s">
        <x:v>895</x:v>
      </x:c>
      <x:c r="I23" s="6"/>
      <x:c r="J23" s="20"/>
      <x:c r="K23" s="11"/>
      <x:c r="L23" s="11"/>
      <x:c r="M23" s="14"/>
      <x:c r="N23" s="35"/>
    </x:row>
    <x:row r="24" ht="9.75" customHeight="1">
      <x:c r="A24" s="32"/>
      <x:c r="B24" s="69" t="s">
        <x:v>888</x:v>
      </x:c>
      <x:c r="C24" s="10" t="s">
        <x:v>889</x:v>
      </x:c>
      <x:c r="D24" s="20" t="s">
        <x:v>893</x:v>
      </x:c>
      <x:c r="E24" s="47" t="s">
        <x:v>905</x:v>
      </x:c>
      <x:c r="F24" s="6"/>
      <x:c r="G24" s="11" t="s">
        <x:v>894</x:v>
      </x:c>
      <x:c r="H24" s="11" t="s">
        <x:v>895</x:v>
      </x:c>
      <x:c r="I24" s="6"/>
      <x:c r="J24" s="20"/>
      <x:c r="K24" s="11"/>
      <x:c r="L24" s="11"/>
      <x:c r="M24" s="14"/>
      <x:c r="N24" s="35"/>
    </x:row>
    <x:row r="25" ht="9.75" customHeight="1">
      <x:c r="A25" s="32"/>
      <x:c r="B25" s="69" t="s">
        <x:v>888</x:v>
      </x:c>
      <x:c r="C25" s="10" t="s">
        <x:v>889</x:v>
      </x:c>
      <x:c r="D25" s="20" t="s">
        <x:v>893</x:v>
      </x:c>
      <x:c r="E25" s="47" t="s">
        <x:v>906</x:v>
      </x:c>
      <x:c r="F25" s="6"/>
      <x:c r="G25" s="11" t="s">
        <x:v>894</x:v>
      </x:c>
      <x:c r="H25" s="11" t="s">
        <x:v>895</x:v>
      </x:c>
      <x:c r="I25" s="6"/>
      <x:c r="J25" s="20"/>
      <x:c r="K25" s="11"/>
      <x:c r="L25" s="11"/>
      <x:c r="M25" s="14"/>
      <x:c r="N25" s="35"/>
    </x:row>
    <x:row r="26" ht="9.75" customHeight="1">
      <x:c r="A26" s="32"/>
      <x:c r="B26" s="69" t="s">
        <x:v>888</x:v>
      </x:c>
      <x:c r="C26" s="10" t="s">
        <x:v>889</x:v>
      </x:c>
      <x:c r="D26" s="20" t="s">
        <x:v>893</x:v>
      </x:c>
      <x:c r="E26" s="47" t="s">
        <x:v>907</x:v>
      </x:c>
      <x:c r="F26" s="6"/>
      <x:c r="G26" s="11" t="s">
        <x:v>894</x:v>
      </x:c>
      <x:c r="H26" s="11" t="s">
        <x:v>895</x:v>
      </x:c>
      <x:c r="I26" s="6"/>
      <x:c r="J26" s="20"/>
      <x:c r="K26" s="11"/>
      <x:c r="L26" s="11"/>
      <x:c r="M26" s="14"/>
      <x:c r="N26" s="35"/>
    </x:row>
    <x:row r="27" ht="9.75" customHeight="1">
      <x:c r="A27" s="32"/>
      <x:c r="B27" s="69" t="s">
        <x:v>888</x:v>
      </x:c>
      <x:c r="C27" s="10" t="s">
        <x:v>889</x:v>
      </x:c>
      <x:c r="D27" s="20" t="s">
        <x:v>893</x:v>
      </x:c>
      <x:c r="E27" s="47" t="s">
        <x:v>908</x:v>
      </x:c>
      <x:c r="F27" s="6"/>
      <x:c r="G27" s="11" t="s">
        <x:v>891</x:v>
      </x:c>
      <x:c r="H27" s="11" t="s">
        <x:v>909</x:v>
      </x:c>
      <x:c r="I27" s="6"/>
      <x:c r="J27" s="20"/>
      <x:c r="K27" s="11"/>
      <x:c r="L27" s="11"/>
      <x:c r="M27" s="14"/>
      <x:c r="N27" s="35"/>
    </x:row>
    <x:row r="28" ht="9.75" customHeight="1">
      <x:c r="A28" s="32"/>
      <x:c r="B28" s="69" t="s">
        <x:v>888</x:v>
      </x:c>
      <x:c r="C28" s="10" t="s">
        <x:v>889</x:v>
      </x:c>
      <x:c r="D28" s="20" t="s">
        <x:v>893</x:v>
      </x:c>
      <x:c r="E28" s="47" t="s">
        <x:v>910</x:v>
      </x:c>
      <x:c r="F28" s="6"/>
      <x:c r="G28" s="11" t="s">
        <x:v>894</x:v>
      </x:c>
      <x:c r="H28" s="11" t="s">
        <x:v>895</x:v>
      </x:c>
      <x:c r="I28" s="6"/>
      <x:c r="J28" s="20"/>
      <x:c r="K28" s="11"/>
      <x:c r="L28" s="11"/>
      <x:c r="M28" s="14"/>
      <x:c r="N28" s="35"/>
    </x:row>
    <x:row r="29" ht="9.75" customHeight="1">
      <x:c r="A29" s="32"/>
      <x:c r="B29" s="69" t="s">
        <x:v>888</x:v>
      </x:c>
      <x:c r="C29" s="10" t="s">
        <x:v>889</x:v>
      </x:c>
      <x:c r="D29" s="20" t="s">
        <x:v>893</x:v>
      </x:c>
      <x:c r="E29" s="47" t="s">
        <x:v>911</x:v>
      </x:c>
      <x:c r="F29" s="6"/>
      <x:c r="G29" s="11" t="s">
        <x:v>894</x:v>
      </x:c>
      <x:c r="H29" s="11" t="s">
        <x:v>892</x:v>
      </x:c>
      <x:c r="I29" s="6"/>
      <x:c r="J29" s="20"/>
      <x:c r="K29" s="11"/>
      <x:c r="L29" s="11"/>
      <x:c r="M29" s="14"/>
      <x:c r="N29" s="35"/>
    </x:row>
    <x:row r="30" ht="9.75" customHeight="1">
      <x:c r="A30" s="32"/>
      <x:c r="B30" s="69" t="s">
        <x:v>888</x:v>
      </x:c>
      <x:c r="C30" s="10" t="s">
        <x:v>889</x:v>
      </x:c>
      <x:c r="D30" s="20" t="s">
        <x:v>893</x:v>
      </x:c>
      <x:c r="E30" s="47" t="s">
        <x:v>912</x:v>
      </x:c>
      <x:c r="F30" s="6"/>
      <x:c r="G30" s="11" t="s">
        <x:v>894</x:v>
      </x:c>
      <x:c r="H30" s="11" t="s">
        <x:v>892</x:v>
      </x:c>
      <x:c r="I30" s="6"/>
      <x:c r="J30" s="20"/>
      <x:c r="K30" s="11"/>
      <x:c r="L30" s="11"/>
      <x:c r="M30" s="14"/>
      <x:c r="N30" s="35"/>
    </x:row>
    <x:row r="31" ht="9.75" customHeight="1">
      <x:c r="A31" s="32"/>
      <x:c r="B31" s="69" t="s">
        <x:v>888</x:v>
      </x:c>
      <x:c r="C31" s="10" t="s">
        <x:v>889</x:v>
      </x:c>
      <x:c r="D31" s="20" t="s">
        <x:v>893</x:v>
      </x:c>
      <x:c r="E31" s="47" t="s">
        <x:v>913</x:v>
      </x:c>
      <x:c r="F31" s="6"/>
      <x:c r="G31" s="11" t="s">
        <x:v>891</x:v>
      </x:c>
      <x:c r="H31" s="11" t="s">
        <x:v>895</x:v>
      </x:c>
      <x:c r="I31" s="6"/>
      <x:c r="J31" s="20"/>
      <x:c r="K31" s="11"/>
      <x:c r="L31" s="11"/>
      <x:c r="M31" s="14"/>
      <x:c r="N31" s="35"/>
    </x:row>
    <x:row r="32" ht="9.75" customHeight="1">
      <x:c r="A32" s="32"/>
      <x:c r="B32" s="69" t="s">
        <x:v>888</x:v>
      </x:c>
      <x:c r="C32" s="10" t="s">
        <x:v>889</x:v>
      </x:c>
      <x:c r="D32" s="20" t="s">
        <x:v>893</x:v>
      </x:c>
      <x:c r="E32" s="47" t="s">
        <x:v>914</x:v>
      </x:c>
      <x:c r="F32" s="6"/>
      <x:c r="G32" s="11" t="s">
        <x:v>891</x:v>
      </x:c>
      <x:c r="H32" s="11" t="s">
        <x:v>895</x:v>
      </x:c>
      <x:c r="I32" s="6"/>
      <x:c r="J32" s="20"/>
      <x:c r="K32" s="11"/>
      <x:c r="L32" s="11"/>
      <x:c r="M32" s="14"/>
      <x:c r="N32" s="35"/>
    </x:row>
    <x:row r="33" ht="9.75" customHeight="1">
      <x:c r="A33" s="32"/>
      <x:c r="B33" s="69" t="s">
        <x:v>888</x:v>
      </x:c>
      <x:c r="C33" s="10" t="s">
        <x:v>889</x:v>
      </x:c>
      <x:c r="D33" s="20" t="s">
        <x:v>915</x:v>
      </x:c>
      <x:c r="E33" s="47" t="s">
        <x:v>858</x:v>
      </x:c>
      <x:c r="F33" s="6"/>
      <x:c r="G33" s="11" t="s">
        <x:v>894</x:v>
      </x:c>
      <x:c r="H33" s="11" t="s">
        <x:v>909</x:v>
      </x:c>
      <x:c r="I33" s="6"/>
      <x:c r="J33" s="20"/>
      <x:c r="K33" s="11"/>
      <x:c r="L33" s="11"/>
      <x:c r="M33" s="14"/>
      <x:c r="N33" s="35"/>
    </x:row>
    <x:row r="34" ht="9.75" customHeight="1">
      <x:c r="A34" s="32"/>
      <x:c r="B34" s="69" t="s">
        <x:v>888</x:v>
      </x:c>
      <x:c r="C34" s="10" t="s">
        <x:v>889</x:v>
      </x:c>
      <x:c r="D34" s="20" t="s">
        <x:v>915</x:v>
      </x:c>
      <x:c r="E34" s="47" t="s">
        <x:v>862</x:v>
      </x:c>
      <x:c r="F34" s="6"/>
      <x:c r="G34" s="11" t="s">
        <x:v>894</x:v>
      </x:c>
      <x:c r="H34" s="11" t="s">
        <x:v>909</x:v>
      </x:c>
      <x:c r="I34" s="6"/>
      <x:c r="J34" s="20"/>
      <x:c r="K34" s="11"/>
      <x:c r="L34" s="11"/>
      <x:c r="M34" s="14"/>
      <x:c r="N34" s="35"/>
    </x:row>
    <x:row r="35" ht="9.75" customHeight="1">
      <x:c r="A35" s="32"/>
      <x:c r="B35" s="69" t="s">
        <x:v>888</x:v>
      </x:c>
      <x:c r="C35" s="10" t="s">
        <x:v>889</x:v>
      </x:c>
      <x:c r="D35" s="20" t="s">
        <x:v>915</x:v>
      </x:c>
      <x:c r="E35" s="47" t="s">
        <x:v>863</x:v>
      </x:c>
      <x:c r="F35" s="6"/>
      <x:c r="G35" s="11" t="s">
        <x:v>894</x:v>
      </x:c>
      <x:c r="H35" s="11" t="s">
        <x:v>895</x:v>
      </x:c>
      <x:c r="I35" s="6"/>
      <x:c r="J35" s="20"/>
      <x:c r="K35" s="11"/>
      <x:c r="L35" s="11"/>
      <x:c r="M35" s="14"/>
      <x:c r="N35" s="35"/>
    </x:row>
    <x:row r="36" ht="9.75" customHeight="1">
      <x:c r="A36" s="32"/>
      <x:c r="B36" s="69" t="s">
        <x:v>888</x:v>
      </x:c>
      <x:c r="C36" s="10" t="s">
        <x:v>889</x:v>
      </x:c>
      <x:c r="D36" s="20" t="s">
        <x:v>915</x:v>
      </x:c>
      <x:c r="E36" s="47" t="s">
        <x:v>865</x:v>
      </x:c>
      <x:c r="F36" s="6"/>
      <x:c r="G36" s="11" t="s">
        <x:v>894</x:v>
      </x:c>
      <x:c r="H36" s="11" t="s">
        <x:v>895</x:v>
      </x:c>
      <x:c r="I36" s="6"/>
      <x:c r="J36" s="20"/>
      <x:c r="K36" s="11"/>
      <x:c r="L36" s="11"/>
      <x:c r="M36" s="14"/>
      <x:c r="N36" s="35"/>
    </x:row>
    <x:row r="37" ht="9.75" customHeight="1">
      <x:c r="A37" s="32"/>
      <x:c r="B37" s="69" t="s">
        <x:v>888</x:v>
      </x:c>
      <x:c r="C37" s="10" t="s">
        <x:v>889</x:v>
      </x:c>
      <x:c r="D37" s="20" t="s">
        <x:v>915</x:v>
      </x:c>
      <x:c r="E37" s="47" t="s">
        <x:v>866</x:v>
      </x:c>
      <x:c r="F37" s="6"/>
      <x:c r="G37" s="11" t="s">
        <x:v>898</x:v>
      </x:c>
      <x:c r="H37" s="11" t="s">
        <x:v>899</x:v>
      </x:c>
      <x:c r="I37" s="6"/>
      <x:c r="J37" s="20"/>
      <x:c r="K37" s="11"/>
      <x:c r="L37" s="11"/>
      <x:c r="M37" s="14"/>
      <x:c r="N37" s="35"/>
    </x:row>
    <x:row r="38" ht="9.75" customHeight="1">
      <x:c r="A38" s="32"/>
      <x:c r="B38" s="69" t="s">
        <x:v>888</x:v>
      </x:c>
      <x:c r="C38" s="10" t="s">
        <x:v>889</x:v>
      </x:c>
      <x:c r="D38" s="20" t="s">
        <x:v>915</x:v>
      </x:c>
      <x:c r="E38" s="47" t="s">
        <x:v>867</x:v>
      </x:c>
      <x:c r="F38" s="6"/>
      <x:c r="G38" s="11" t="s">
        <x:v>898</x:v>
      </x:c>
      <x:c r="H38" s="11" t="s">
        <x:v>899</x:v>
      </x:c>
      <x:c r="I38" s="6"/>
      <x:c r="J38" s="20"/>
      <x:c r="K38" s="11"/>
      <x:c r="L38" s="11"/>
      <x:c r="M38" s="14"/>
      <x:c r="N38" s="35"/>
    </x:row>
    <x:row r="39" ht="9.75" customHeight="1">
      <x:c r="A39" s="32"/>
      <x:c r="B39" s="69" t="s">
        <x:v>888</x:v>
      </x:c>
      <x:c r="C39" s="10" t="s">
        <x:v>889</x:v>
      </x:c>
      <x:c r="D39" s="20" t="s">
        <x:v>915</x:v>
      </x:c>
      <x:c r="E39" s="47" t="s">
        <x:v>868</x:v>
      </x:c>
      <x:c r="F39" s="6"/>
      <x:c r="G39" s="11" t="s">
        <x:v>891</x:v>
      </x:c>
      <x:c r="H39" s="11" t="s">
        <x:v>895</x:v>
      </x:c>
      <x:c r="I39" s="6"/>
      <x:c r="J39" s="20"/>
      <x:c r="K39" s="11"/>
      <x:c r="L39" s="11"/>
      <x:c r="M39" s="14"/>
      <x:c r="N39" s="35"/>
    </x:row>
    <x:row r="40" ht="9.75" customHeight="1">
      <x:c r="A40" s="32"/>
      <x:c r="B40" s="69" t="s">
        <x:v>888</x:v>
      </x:c>
      <x:c r="C40" s="10" t="s">
        <x:v>889</x:v>
      </x:c>
      <x:c r="D40" s="20" t="s">
        <x:v>915</x:v>
      </x:c>
      <x:c r="E40" s="47" t="s">
        <x:v>869</x:v>
      </x:c>
      <x:c r="F40" s="6"/>
      <x:c r="G40" s="11" t="s">
        <x:v>894</x:v>
      </x:c>
      <x:c r="H40" s="11" t="s">
        <x:v>895</x:v>
      </x:c>
      <x:c r="I40" s="6"/>
      <x:c r="J40" s="20"/>
      <x:c r="K40" s="11"/>
      <x:c r="L40" s="11"/>
      <x:c r="M40" s="14"/>
      <x:c r="N40" s="35"/>
    </x:row>
    <x:row r="41" ht="9.75" customHeight="1">
      <x:c r="A41" s="32"/>
      <x:c r="B41" s="69" t="s">
        <x:v>888</x:v>
      </x:c>
      <x:c r="C41" s="10" t="s">
        <x:v>889</x:v>
      </x:c>
      <x:c r="D41" s="20" t="s">
        <x:v>915</x:v>
      </x:c>
      <x:c r="E41" s="47" t="s">
        <x:v>896</x:v>
      </x:c>
      <x:c r="F41" s="6"/>
      <x:c r="G41" s="11" t="s">
        <x:v>891</x:v>
      </x:c>
      <x:c r="H41" s="11" t="s">
        <x:v>909</x:v>
      </x:c>
      <x:c r="I41" s="6"/>
      <x:c r="J41" s="20"/>
      <x:c r="K41" s="11"/>
      <x:c r="L41" s="11"/>
      <x:c r="M41" s="14"/>
      <x:c r="N41" s="35"/>
    </x:row>
    <x:row r="42" ht="9.75" customHeight="1">
      <x:c r="A42" s="32"/>
      <x:c r="B42" s="69" t="s">
        <x:v>888</x:v>
      </x:c>
      <x:c r="C42" s="10" t="s">
        <x:v>889</x:v>
      </x:c>
      <x:c r="D42" s="20" t="s">
        <x:v>915</x:v>
      </x:c>
      <x:c r="E42" s="47" t="s">
        <x:v>897</x:v>
      </x:c>
      <x:c r="F42" s="6"/>
      <x:c r="G42" s="11" t="s">
        <x:v>891</x:v>
      </x:c>
      <x:c r="H42" s="11" t="s">
        <x:v>909</x:v>
      </x:c>
      <x:c r="I42" s="6"/>
      <x:c r="J42" s="20"/>
      <x:c r="K42" s="11"/>
      <x:c r="L42" s="11"/>
      <x:c r="M42" s="14"/>
      <x:c r="N42" s="35"/>
    </x:row>
    <x:row r="43" ht="9.75" customHeight="1">
      <x:c r="A43" s="32"/>
      <x:c r="B43" s="69" t="s">
        <x:v>888</x:v>
      </x:c>
      <x:c r="C43" s="10" t="s">
        <x:v>889</x:v>
      </x:c>
      <x:c r="D43" s="20" t="s">
        <x:v>915</x:v>
      </x:c>
      <x:c r="E43" s="47" t="s">
        <x:v>900</x:v>
      </x:c>
      <x:c r="F43" s="6"/>
      <x:c r="G43" s="11" t="s">
        <x:v>891</x:v>
      </x:c>
      <x:c r="H43" s="11" t="s">
        <x:v>909</x:v>
      </x:c>
      <x:c r="I43" s="6"/>
      <x:c r="J43" s="20"/>
      <x:c r="K43" s="11"/>
      <x:c r="L43" s="11"/>
      <x:c r="M43" s="14"/>
      <x:c r="N43" s="35"/>
    </x:row>
    <x:row r="44" ht="9.75" customHeight="1">
      <x:c r="A44" s="32"/>
      <x:c r="B44" s="69" t="s">
        <x:v>888</x:v>
      </x:c>
      <x:c r="C44" s="10" t="s">
        <x:v>889</x:v>
      </x:c>
      <x:c r="D44" s="20" t="s">
        <x:v>915</x:v>
      </x:c>
      <x:c r="E44" s="47" t="s">
        <x:v>901</x:v>
      </x:c>
      <x:c r="F44" s="6"/>
      <x:c r="G44" s="11" t="s">
        <x:v>894</x:v>
      </x:c>
      <x:c r="H44" s="11" t="s">
        <x:v>895</x:v>
      </x:c>
      <x:c r="I44" s="6"/>
      <x:c r="J44" s="20"/>
      <x:c r="K44" s="11"/>
      <x:c r="L44" s="11"/>
      <x:c r="M44" s="14"/>
      <x:c r="N44" s="35"/>
    </x:row>
    <x:row r="45" ht="9.75" customHeight="1">
      <x:c r="A45" s="32"/>
      <x:c r="B45" s="69" t="s">
        <x:v>888</x:v>
      </x:c>
      <x:c r="C45" s="10" t="s">
        <x:v>889</x:v>
      </x:c>
      <x:c r="D45" s="20" t="s">
        <x:v>915</x:v>
      </x:c>
      <x:c r="E45" s="47" t="s">
        <x:v>902</x:v>
      </x:c>
      <x:c r="F45" s="6"/>
      <x:c r="G45" s="11" t="s">
        <x:v>891</x:v>
      </x:c>
      <x:c r="H45" s="11" t="s">
        <x:v>909</x:v>
      </x:c>
      <x:c r="I45" s="6"/>
      <x:c r="J45" s="20"/>
      <x:c r="K45" s="11"/>
      <x:c r="L45" s="11"/>
      <x:c r="M45" s="14"/>
      <x:c r="N45" s="35"/>
    </x:row>
    <x:row r="46" ht="9.75" customHeight="1">
      <x:c r="A46" s="32"/>
      <x:c r="B46" s="69" t="s">
        <x:v>888</x:v>
      </x:c>
      <x:c r="C46" s="10" t="s">
        <x:v>889</x:v>
      </x:c>
      <x:c r="D46" s="20" t="s">
        <x:v>915</x:v>
      </x:c>
      <x:c r="E46" s="47" t="s">
        <x:v>903</x:v>
      </x:c>
      <x:c r="F46" s="6"/>
      <x:c r="G46" s="11" t="s">
        <x:v>894</x:v>
      </x:c>
      <x:c r="H46" s="11" t="s">
        <x:v>895</x:v>
      </x:c>
      <x:c r="I46" s="6"/>
      <x:c r="J46" s="20"/>
      <x:c r="K46" s="11"/>
      <x:c r="L46" s="11"/>
      <x:c r="M46" s="14"/>
      <x:c r="N46" s="35"/>
    </x:row>
    <x:row r="47" ht="9.75" customHeight="1">
      <x:c r="A47" s="32"/>
      <x:c r="B47" s="69" t="s">
        <x:v>888</x:v>
      </x:c>
      <x:c r="C47" s="10" t="s">
        <x:v>889</x:v>
      </x:c>
      <x:c r="D47" s="20" t="s">
        <x:v>915</x:v>
      </x:c>
      <x:c r="E47" s="47" t="s">
        <x:v>904</x:v>
      </x:c>
      <x:c r="F47" s="6"/>
      <x:c r="G47" s="11" t="s">
        <x:v>894</x:v>
      </x:c>
      <x:c r="H47" s="11" t="s">
        <x:v>895</x:v>
      </x:c>
      <x:c r="I47" s="6"/>
      <x:c r="J47" s="20"/>
      <x:c r="K47" s="11"/>
      <x:c r="L47" s="11"/>
      <x:c r="M47" s="14"/>
      <x:c r="N47" s="35"/>
    </x:row>
    <x:row r="48" ht="9.75" customHeight="1">
      <x:c r="A48" s="32"/>
      <x:c r="B48" s="69" t="s">
        <x:v>888</x:v>
      </x:c>
      <x:c r="C48" s="10" t="s">
        <x:v>889</x:v>
      </x:c>
      <x:c r="D48" s="20" t="s">
        <x:v>915</x:v>
      </x:c>
      <x:c r="E48" s="47" t="s">
        <x:v>905</x:v>
      </x:c>
      <x:c r="F48" s="6"/>
      <x:c r="G48" s="11" t="s">
        <x:v>894</x:v>
      </x:c>
      <x:c r="H48" s="11" t="s">
        <x:v>895</x:v>
      </x:c>
      <x:c r="I48" s="6"/>
      <x:c r="J48" s="20"/>
      <x:c r="K48" s="11"/>
      <x:c r="L48" s="11"/>
      <x:c r="M48" s="14"/>
      <x:c r="N48" s="35"/>
    </x:row>
    <x:row r="49" ht="9.75" customHeight="1">
      <x:c r="A49" s="32"/>
      <x:c r="B49" s="69" t="s">
        <x:v>888</x:v>
      </x:c>
      <x:c r="C49" s="10" t="s">
        <x:v>889</x:v>
      </x:c>
      <x:c r="D49" s="20" t="s">
        <x:v>915</x:v>
      </x:c>
      <x:c r="E49" s="47" t="s">
        <x:v>906</x:v>
      </x:c>
      <x:c r="F49" s="6"/>
      <x:c r="G49" s="11" t="s">
        <x:v>894</x:v>
      </x:c>
      <x:c r="H49" s="11" t="s">
        <x:v>895</x:v>
      </x:c>
      <x:c r="I49" s="6"/>
      <x:c r="J49" s="20"/>
      <x:c r="K49" s="11"/>
      <x:c r="L49" s="11"/>
      <x:c r="M49" s="14"/>
      <x:c r="N49" s="35"/>
    </x:row>
    <x:row r="50" ht="9.75" customHeight="1">
      <x:c r="A50" s="32"/>
      <x:c r="B50" s="69" t="s">
        <x:v>888</x:v>
      </x:c>
      <x:c r="C50" s="10" t="s">
        <x:v>889</x:v>
      </x:c>
      <x:c r="D50" s="20" t="s">
        <x:v>915</x:v>
      </x:c>
      <x:c r="E50" s="47" t="s">
        <x:v>907</x:v>
      </x:c>
      <x:c r="F50" s="6"/>
      <x:c r="G50" s="11" t="s">
        <x:v>894</x:v>
      </x:c>
      <x:c r="H50" s="11" t="s">
        <x:v>895</x:v>
      </x:c>
      <x:c r="I50" s="6"/>
      <x:c r="J50" s="20"/>
      <x:c r="K50" s="11"/>
      <x:c r="L50" s="11"/>
      <x:c r="M50" s="14"/>
      <x:c r="N50" s="35"/>
    </x:row>
    <x:row r="51" ht="9.75" customHeight="1">
      <x:c r="A51" s="32"/>
      <x:c r="B51" s="69" t="s">
        <x:v>888</x:v>
      </x:c>
      <x:c r="C51" s="10" t="s">
        <x:v>889</x:v>
      </x:c>
      <x:c r="D51" s="20" t="s">
        <x:v>915</x:v>
      </x:c>
      <x:c r="E51" s="47" t="s">
        <x:v>908</x:v>
      </x:c>
      <x:c r="F51" s="6"/>
      <x:c r="G51" s="11" t="s">
        <x:v>894</x:v>
      </x:c>
      <x:c r="H51" s="11" t="s">
        <x:v>909</x:v>
      </x:c>
      <x:c r="I51" s="6"/>
      <x:c r="J51" s="20"/>
      <x:c r="K51" s="11"/>
      <x:c r="L51" s="11"/>
      <x:c r="M51" s="14"/>
      <x:c r="N51" s="35"/>
    </x:row>
    <x:row r="52" ht="9.75" customHeight="1">
      <x:c r="A52" s="32"/>
      <x:c r="B52" s="69" t="s">
        <x:v>888</x:v>
      </x:c>
      <x:c r="C52" s="10" t="s">
        <x:v>889</x:v>
      </x:c>
      <x:c r="D52" s="20" t="s">
        <x:v>915</x:v>
      </x:c>
      <x:c r="E52" s="47" t="s">
        <x:v>910</x:v>
      </x:c>
      <x:c r="F52" s="6"/>
      <x:c r="G52" s="11" t="s">
        <x:v>894</x:v>
      </x:c>
      <x:c r="H52" s="11" t="s">
        <x:v>909</x:v>
      </x:c>
      <x:c r="I52" s="6"/>
      <x:c r="J52" s="20"/>
      <x:c r="K52" s="11"/>
      <x:c r="L52" s="11"/>
      <x:c r="M52" s="14"/>
      <x:c r="N52" s="35"/>
    </x:row>
    <x:row r="53" ht="9.75" customHeight="1">
      <x:c r="A53" s="32"/>
      <x:c r="B53" s="69" t="s">
        <x:v>888</x:v>
      </x:c>
      <x:c r="C53" s="10" t="s">
        <x:v>889</x:v>
      </x:c>
      <x:c r="D53" s="20" t="s">
        <x:v>915</x:v>
      </x:c>
      <x:c r="E53" s="47" t="s">
        <x:v>911</x:v>
      </x:c>
      <x:c r="F53" s="6"/>
      <x:c r="G53" s="11" t="s">
        <x:v>894</x:v>
      </x:c>
      <x:c r="H53" s="11" t="s">
        <x:v>895</x:v>
      </x:c>
      <x:c r="I53" s="6"/>
      <x:c r="J53" s="20"/>
      <x:c r="K53" s="11"/>
      <x:c r="L53" s="11"/>
      <x:c r="M53" s="14"/>
      <x:c r="N53" s="35"/>
    </x:row>
    <x:row r="54" ht="9.75" customHeight="1">
      <x:c r="A54" s="32"/>
      <x:c r="B54" s="69" t="s">
        <x:v>888</x:v>
      </x:c>
      <x:c r="C54" s="10" t="s">
        <x:v>889</x:v>
      </x:c>
      <x:c r="D54" s="20" t="s">
        <x:v>915</x:v>
      </x:c>
      <x:c r="E54" s="47" t="s">
        <x:v>912</x:v>
      </x:c>
      <x:c r="F54" s="6"/>
      <x:c r="G54" s="11" t="s">
        <x:v>891</x:v>
      </x:c>
      <x:c r="H54" s="11" t="s">
        <x:v>909</x:v>
      </x:c>
      <x:c r="I54" s="6"/>
      <x:c r="J54" s="20"/>
      <x:c r="K54" s="11"/>
      <x:c r="L54" s="11"/>
      <x:c r="M54" s="14"/>
      <x:c r="N54" s="35"/>
    </x:row>
    <x:row r="55" ht="9.75" customHeight="1">
      <x:c r="A55" s="32"/>
      <x:c r="B55" s="69" t="s">
        <x:v>888</x:v>
      </x:c>
      <x:c r="C55" s="10" t="s">
        <x:v>889</x:v>
      </x:c>
      <x:c r="D55" s="20" t="s">
        <x:v>915</x:v>
      </x:c>
      <x:c r="E55" s="47" t="s">
        <x:v>913</x:v>
      </x:c>
      <x:c r="F55" s="6"/>
      <x:c r="G55" s="11" t="s">
        <x:v>898</x:v>
      </x:c>
      <x:c r="H55" s="11" t="s">
        <x:v>899</x:v>
      </x:c>
      <x:c r="I55" s="6"/>
      <x:c r="J55" s="20"/>
      <x:c r="K55" s="11"/>
      <x:c r="L55" s="11"/>
      <x:c r="M55" s="14"/>
      <x:c r="N55" s="35"/>
    </x:row>
    <x:row r="56" ht="9.75" customHeight="1">
      <x:c r="A56" s="32"/>
      <x:c r="B56" s="69" t="s">
        <x:v>888</x:v>
      </x:c>
      <x:c r="C56" s="10" t="s">
        <x:v>889</x:v>
      </x:c>
      <x:c r="D56" s="20" t="s">
        <x:v>915</x:v>
      </x:c>
      <x:c r="E56" s="47" t="s">
        <x:v>914</x:v>
      </x:c>
      <x:c r="F56" s="6"/>
      <x:c r="G56" s="11" t="s">
        <x:v>898</x:v>
      </x:c>
      <x:c r="H56" s="11" t="s">
        <x:v>899</x:v>
      </x:c>
      <x:c r="I56" s="6"/>
      <x:c r="J56" s="20"/>
      <x:c r="K56" s="11"/>
      <x:c r="L56" s="11"/>
      <x:c r="M56" s="14"/>
      <x:c r="N56" s="35"/>
    </x:row>
    <x:row r="57" ht="9.75" customHeight="1">
      <x:c r="A57" s="32"/>
      <x:c r="B57" s="69" t="s">
        <x:v>888</x:v>
      </x:c>
      <x:c r="C57" s="10" t="s">
        <x:v>889</x:v>
      </x:c>
      <x:c r="D57" s="20" t="s">
        <x:v>916</x:v>
      </x:c>
      <x:c r="E57" s="47" t="s">
        <x:v>858</x:v>
      </x:c>
      <x:c r="F57" s="6"/>
      <x:c r="G57" s="11" t="s">
        <x:v>894</x:v>
      </x:c>
      <x:c r="H57" s="11" t="s">
        <x:v>895</x:v>
      </x:c>
      <x:c r="I57" s="6"/>
      <x:c r="J57" s="20"/>
      <x:c r="K57" s="11"/>
      <x:c r="L57" s="11"/>
      <x:c r="M57" s="14"/>
      <x:c r="N57" s="35"/>
    </x:row>
    <x:row r="58" ht="9.75" customHeight="1">
      <x:c r="A58" s="32"/>
      <x:c r="B58" s="69" t="s">
        <x:v>888</x:v>
      </x:c>
      <x:c r="C58" s="10" t="s">
        <x:v>889</x:v>
      </x:c>
      <x:c r="D58" s="20" t="s">
        <x:v>916</x:v>
      </x:c>
      <x:c r="E58" s="47" t="s">
        <x:v>862</x:v>
      </x:c>
      <x:c r="F58" s="6"/>
      <x:c r="G58" s="11" t="s">
        <x:v>894</x:v>
      </x:c>
      <x:c r="H58" s="11" t="s">
        <x:v>895</x:v>
      </x:c>
      <x:c r="I58" s="6"/>
      <x:c r="J58" s="20"/>
      <x:c r="K58" s="11"/>
      <x:c r="L58" s="11"/>
      <x:c r="M58" s="14"/>
      <x:c r="N58" s="35"/>
    </x:row>
    <x:row r="59" ht="9.75" customHeight="1">
      <x:c r="A59" s="32"/>
      <x:c r="B59" s="69" t="s">
        <x:v>888</x:v>
      </x:c>
      <x:c r="C59" s="10" t="s">
        <x:v>889</x:v>
      </x:c>
      <x:c r="D59" s="20" t="s">
        <x:v>916</x:v>
      </x:c>
      <x:c r="E59" s="47" t="s">
        <x:v>863</x:v>
      </x:c>
      <x:c r="F59" s="6"/>
      <x:c r="G59" s="11" t="s">
        <x:v>894</x:v>
      </x:c>
      <x:c r="H59" s="11" t="s">
        <x:v>895</x:v>
      </x:c>
      <x:c r="I59" s="6"/>
      <x:c r="J59" s="20"/>
      <x:c r="K59" s="11"/>
      <x:c r="L59" s="11"/>
      <x:c r="M59" s="14"/>
      <x:c r="N59" s="35"/>
    </x:row>
    <x:row r="60" ht="9.75" customHeight="1">
      <x:c r="A60" s="32"/>
      <x:c r="B60" s="69" t="s">
        <x:v>888</x:v>
      </x:c>
      <x:c r="C60" s="10" t="s">
        <x:v>889</x:v>
      </x:c>
      <x:c r="D60" s="20" t="s">
        <x:v>916</x:v>
      </x:c>
      <x:c r="E60" s="47" t="s">
        <x:v>865</x:v>
      </x:c>
      <x:c r="F60" s="6"/>
      <x:c r="G60" s="11" t="s">
        <x:v>894</x:v>
      </x:c>
      <x:c r="H60" s="11" t="s">
        <x:v>909</x:v>
      </x:c>
      <x:c r="I60" s="6"/>
      <x:c r="J60" s="20"/>
      <x:c r="K60" s="11"/>
      <x:c r="L60" s="11"/>
      <x:c r="M60" s="14"/>
      <x:c r="N60" s="35"/>
    </x:row>
    <x:row r="61" ht="9.75" customHeight="1">
      <x:c r="A61" s="32"/>
      <x:c r="B61" s="69" t="s">
        <x:v>888</x:v>
      </x:c>
      <x:c r="C61" s="10" t="s">
        <x:v>889</x:v>
      </x:c>
      <x:c r="D61" s="20" t="s">
        <x:v>916</x:v>
      </x:c>
      <x:c r="E61" s="47" t="s">
        <x:v>866</x:v>
      </x:c>
      <x:c r="F61" s="6"/>
      <x:c r="G61" s="11" t="s">
        <x:v>894</x:v>
      </x:c>
      <x:c r="H61" s="11" t="s">
        <x:v>895</x:v>
      </x:c>
      <x:c r="I61" s="6"/>
      <x:c r="J61" s="20"/>
      <x:c r="K61" s="11"/>
      <x:c r="L61" s="11"/>
      <x:c r="M61" s="14"/>
      <x:c r="N61" s="35"/>
    </x:row>
    <x:row r="62" ht="9.75" customHeight="1">
      <x:c r="A62" s="32"/>
      <x:c r="B62" s="69" t="s">
        <x:v>888</x:v>
      </x:c>
      <x:c r="C62" s="10" t="s">
        <x:v>889</x:v>
      </x:c>
      <x:c r="D62" s="20" t="s">
        <x:v>916</x:v>
      </x:c>
      <x:c r="E62" s="47" t="s">
        <x:v>867</x:v>
      </x:c>
      <x:c r="F62" s="6"/>
      <x:c r="G62" s="11" t="s">
        <x:v>894</x:v>
      </x:c>
      <x:c r="H62" s="11" t="s">
        <x:v>892</x:v>
      </x:c>
      <x:c r="I62" s="6"/>
      <x:c r="J62" s="20"/>
      <x:c r="K62" s="11"/>
      <x:c r="L62" s="11"/>
      <x:c r="M62" s="14"/>
      <x:c r="N62" s="35"/>
    </x:row>
    <x:row r="63" ht="9.75" customHeight="1">
      <x:c r="A63" s="32"/>
      <x:c r="B63" s="69" t="s">
        <x:v>888</x:v>
      </x:c>
      <x:c r="C63" s="10" t="s">
        <x:v>889</x:v>
      </x:c>
      <x:c r="D63" s="20" t="s">
        <x:v>916</x:v>
      </x:c>
      <x:c r="E63" s="47" t="s">
        <x:v>868</x:v>
      </x:c>
      <x:c r="F63" s="6"/>
      <x:c r="G63" s="11" t="s">
        <x:v>894</x:v>
      </x:c>
      <x:c r="H63" s="11" t="s">
        <x:v>895</x:v>
      </x:c>
      <x:c r="I63" s="6"/>
      <x:c r="J63" s="20"/>
      <x:c r="K63" s="11"/>
      <x:c r="L63" s="11"/>
      <x:c r="M63" s="14"/>
      <x:c r="N63" s="35"/>
    </x:row>
    <x:row r="64" ht="9.75" customHeight="1">
      <x:c r="A64" s="32"/>
      <x:c r="B64" s="69" t="s">
        <x:v>888</x:v>
      </x:c>
      <x:c r="C64" s="10" t="s">
        <x:v>889</x:v>
      </x:c>
      <x:c r="D64" s="20" t="s">
        <x:v>916</x:v>
      </x:c>
      <x:c r="E64" s="47" t="s">
        <x:v>869</x:v>
      </x:c>
      <x:c r="F64" s="6"/>
      <x:c r="G64" s="11" t="s">
        <x:v>894</x:v>
      </x:c>
      <x:c r="H64" s="11" t="s">
        <x:v>895</x:v>
      </x:c>
      <x:c r="I64" s="6"/>
      <x:c r="J64" s="20"/>
      <x:c r="K64" s="11"/>
      <x:c r="L64" s="11"/>
      <x:c r="M64" s="14"/>
      <x:c r="N64" s="35"/>
    </x:row>
    <x:row r="65" ht="9.75" customHeight="1">
      <x:c r="A65" s="32"/>
      <x:c r="B65" s="69" t="s">
        <x:v>888</x:v>
      </x:c>
      <x:c r="C65" s="10" t="s">
        <x:v>889</x:v>
      </x:c>
      <x:c r="D65" s="20" t="s">
        <x:v>916</x:v>
      </x:c>
      <x:c r="E65" s="47" t="s">
        <x:v>896</x:v>
      </x:c>
      <x:c r="F65" s="6"/>
      <x:c r="G65" s="11" t="s">
        <x:v>894</x:v>
      </x:c>
      <x:c r="H65" s="11" t="s">
        <x:v>909</x:v>
      </x:c>
      <x:c r="I65" s="6"/>
      <x:c r="J65" s="20"/>
      <x:c r="K65" s="11"/>
      <x:c r="L65" s="11"/>
      <x:c r="M65" s="14"/>
      <x:c r="N65" s="35"/>
    </x:row>
    <x:row r="66" ht="9.75" customHeight="1">
      <x:c r="A66" s="32"/>
      <x:c r="B66" s="69" t="s">
        <x:v>888</x:v>
      </x:c>
      <x:c r="C66" s="10" t="s">
        <x:v>889</x:v>
      </x:c>
      <x:c r="D66" s="20" t="s">
        <x:v>916</x:v>
      </x:c>
      <x:c r="E66" s="47" t="s">
        <x:v>897</x:v>
      </x:c>
      <x:c r="F66" s="6"/>
      <x:c r="G66" s="11" t="s">
        <x:v>894</x:v>
      </x:c>
      <x:c r="H66" s="11" t="s">
        <x:v>892</x:v>
      </x:c>
      <x:c r="I66" s="6"/>
      <x:c r="J66" s="20"/>
      <x:c r="K66" s="11"/>
      <x:c r="L66" s="11"/>
      <x:c r="M66" s="14"/>
      <x:c r="N66" s="35"/>
    </x:row>
    <x:row r="67" ht="9.75" customHeight="1">
      <x:c r="A67" s="32"/>
      <x:c r="B67" s="69" t="s">
        <x:v>888</x:v>
      </x:c>
      <x:c r="C67" s="10" t="s">
        <x:v>889</x:v>
      </x:c>
      <x:c r="D67" s="20" t="s">
        <x:v>916</x:v>
      </x:c>
      <x:c r="E67" s="47" t="s">
        <x:v>900</x:v>
      </x:c>
      <x:c r="F67" s="6"/>
      <x:c r="G67" s="11" t="s">
        <x:v>894</x:v>
      </x:c>
      <x:c r="H67" s="11" t="s">
        <x:v>892</x:v>
      </x:c>
      <x:c r="I67" s="6"/>
      <x:c r="J67" s="20"/>
      <x:c r="K67" s="11"/>
      <x:c r="L67" s="11"/>
      <x:c r="M67" s="14"/>
      <x:c r="N67" s="35"/>
    </x:row>
    <x:row r="68" ht="9.75" customHeight="1">
      <x:c r="A68" s="32"/>
      <x:c r="B68" s="69" t="s">
        <x:v>888</x:v>
      </x:c>
      <x:c r="C68" s="10" t="s">
        <x:v>889</x:v>
      </x:c>
      <x:c r="D68" s="20" t="s">
        <x:v>916</x:v>
      </x:c>
      <x:c r="E68" s="47" t="s">
        <x:v>901</x:v>
      </x:c>
      <x:c r="F68" s="6"/>
      <x:c r="G68" s="11" t="s">
        <x:v>894</x:v>
      </x:c>
      <x:c r="H68" s="11" t="s">
        <x:v>892</x:v>
      </x:c>
      <x:c r="I68" s="6"/>
      <x:c r="J68" s="20"/>
      <x:c r="K68" s="11"/>
      <x:c r="L68" s="11"/>
      <x:c r="M68" s="14"/>
      <x:c r="N68" s="35"/>
    </x:row>
    <x:row r="69" ht="9.75" customHeight="1">
      <x:c r="A69" s="32"/>
      <x:c r="B69" s="69" t="s">
        <x:v>888</x:v>
      </x:c>
      <x:c r="C69" s="10" t="s">
        <x:v>889</x:v>
      </x:c>
      <x:c r="D69" s="20" t="s">
        <x:v>916</x:v>
      </x:c>
      <x:c r="E69" s="47" t="s">
        <x:v>902</x:v>
      </x:c>
      <x:c r="F69" s="6"/>
      <x:c r="G69" s="11" t="s">
        <x:v>894</x:v>
      </x:c>
      <x:c r="H69" s="11" t="s">
        <x:v>909</x:v>
      </x:c>
      <x:c r="I69" s="6"/>
      <x:c r="J69" s="20"/>
      <x:c r="K69" s="11"/>
      <x:c r="L69" s="11"/>
      <x:c r="M69" s="14"/>
      <x:c r="N69" s="35"/>
    </x:row>
    <x:row r="70" ht="9.75" customHeight="1">
      <x:c r="A70" s="32"/>
      <x:c r="B70" s="69" t="s">
        <x:v>888</x:v>
      </x:c>
      <x:c r="C70" s="10" t="s">
        <x:v>889</x:v>
      </x:c>
      <x:c r="D70" s="20" t="s">
        <x:v>916</x:v>
      </x:c>
      <x:c r="E70" s="47" t="s">
        <x:v>903</x:v>
      </x:c>
      <x:c r="F70" s="6"/>
      <x:c r="G70" s="11" t="s">
        <x:v>894</x:v>
      </x:c>
      <x:c r="H70" s="11" t="s">
        <x:v>895</x:v>
      </x:c>
      <x:c r="I70" s="6"/>
      <x:c r="J70" s="20"/>
      <x:c r="K70" s="11"/>
      <x:c r="L70" s="11"/>
      <x:c r="M70" s="14"/>
      <x:c r="N70" s="35"/>
    </x:row>
    <x:row r="71" ht="9.75" customHeight="1">
      <x:c r="A71" s="32"/>
      <x:c r="B71" s="69" t="s">
        <x:v>888</x:v>
      </x:c>
      <x:c r="C71" s="10" t="s">
        <x:v>889</x:v>
      </x:c>
      <x:c r="D71" s="20" t="s">
        <x:v>916</x:v>
      </x:c>
      <x:c r="E71" s="47" t="s">
        <x:v>904</x:v>
      </x:c>
      <x:c r="F71" s="6"/>
      <x:c r="G71" s="11" t="s">
        <x:v>894</x:v>
      </x:c>
      <x:c r="H71" s="11" t="s">
        <x:v>895</x:v>
      </x:c>
      <x:c r="I71" s="6"/>
      <x:c r="J71" s="20"/>
      <x:c r="K71" s="11"/>
      <x:c r="L71" s="11"/>
      <x:c r="M71" s="14"/>
      <x:c r="N71" s="35"/>
    </x:row>
    <x:row r="72" ht="9.75" customHeight="1">
      <x:c r="A72" s="32"/>
      <x:c r="B72" s="69" t="s">
        <x:v>888</x:v>
      </x:c>
      <x:c r="C72" s="10" t="s">
        <x:v>889</x:v>
      </x:c>
      <x:c r="D72" s="20" t="s">
        <x:v>916</x:v>
      </x:c>
      <x:c r="E72" s="47" t="s">
        <x:v>905</x:v>
      </x:c>
      <x:c r="F72" s="6"/>
      <x:c r="G72" s="11" t="s">
        <x:v>894</x:v>
      </x:c>
      <x:c r="H72" s="11" t="s">
        <x:v>895</x:v>
      </x:c>
      <x:c r="I72" s="6"/>
      <x:c r="J72" s="20"/>
      <x:c r="K72" s="11"/>
      <x:c r="L72" s="11"/>
      <x:c r="M72" s="14"/>
      <x:c r="N72" s="35"/>
    </x:row>
    <x:row r="73" ht="9.75" customHeight="1">
      <x:c r="A73" s="32"/>
      <x:c r="B73" s="69" t="s">
        <x:v>888</x:v>
      </x:c>
      <x:c r="C73" s="10" t="s">
        <x:v>889</x:v>
      </x:c>
      <x:c r="D73" s="20" t="s">
        <x:v>916</x:v>
      </x:c>
      <x:c r="E73" s="47" t="s">
        <x:v>906</x:v>
      </x:c>
      <x:c r="F73" s="6"/>
      <x:c r="G73" s="11" t="s">
        <x:v>891</x:v>
      </x:c>
      <x:c r="H73" s="11" t="s">
        <x:v>895</x:v>
      </x:c>
      <x:c r="I73" s="6"/>
      <x:c r="J73" s="20"/>
      <x:c r="K73" s="11"/>
      <x:c r="L73" s="11"/>
      <x:c r="M73" s="14"/>
      <x:c r="N73" s="35"/>
    </x:row>
    <x:row r="74" ht="9.75" customHeight="1">
      <x:c r="A74" s="32"/>
      <x:c r="B74" s="69" t="s">
        <x:v>888</x:v>
      </x:c>
      <x:c r="C74" s="10" t="s">
        <x:v>889</x:v>
      </x:c>
      <x:c r="D74" s="20" t="s">
        <x:v>916</x:v>
      </x:c>
      <x:c r="E74" s="47" t="s">
        <x:v>907</x:v>
      </x:c>
      <x:c r="F74" s="6"/>
      <x:c r="G74" s="11" t="s">
        <x:v>894</x:v>
      </x:c>
      <x:c r="H74" s="11" t="s">
        <x:v>895</x:v>
      </x:c>
      <x:c r="I74" s="6"/>
      <x:c r="J74" s="20"/>
      <x:c r="K74" s="11"/>
      <x:c r="L74" s="11"/>
      <x:c r="M74" s="14"/>
      <x:c r="N74" s="35"/>
    </x:row>
    <x:row r="75" ht="9.75" customHeight="1">
      <x:c r="A75" s="32"/>
      <x:c r="B75" s="69" t="s">
        <x:v>888</x:v>
      </x:c>
      <x:c r="C75" s="10" t="s">
        <x:v>889</x:v>
      </x:c>
      <x:c r="D75" s="20" t="s">
        <x:v>916</x:v>
      </x:c>
      <x:c r="E75" s="47" t="s">
        <x:v>908</x:v>
      </x:c>
      <x:c r="F75" s="6"/>
      <x:c r="G75" s="11" t="s">
        <x:v>894</x:v>
      </x:c>
      <x:c r="H75" s="11" t="s">
        <x:v>909</x:v>
      </x:c>
      <x:c r="I75" s="6"/>
      <x:c r="J75" s="20"/>
      <x:c r="K75" s="11"/>
      <x:c r="L75" s="11"/>
      <x:c r="M75" s="14"/>
      <x:c r="N75" s="35"/>
    </x:row>
    <x:row r="76" ht="9.75" customHeight="1">
      <x:c r="A76" s="32"/>
      <x:c r="B76" s="69" t="s">
        <x:v>888</x:v>
      </x:c>
      <x:c r="C76" s="10" t="s">
        <x:v>889</x:v>
      </x:c>
      <x:c r="D76" s="20" t="s">
        <x:v>916</x:v>
      </x:c>
      <x:c r="E76" s="47" t="s">
        <x:v>910</x:v>
      </x:c>
      <x:c r="F76" s="6"/>
      <x:c r="G76" s="11" t="s">
        <x:v>894</x:v>
      </x:c>
      <x:c r="H76" s="11" t="s">
        <x:v>895</x:v>
      </x:c>
      <x:c r="I76" s="6"/>
      <x:c r="J76" s="20"/>
      <x:c r="K76" s="11"/>
      <x:c r="L76" s="11"/>
      <x:c r="M76" s="14"/>
      <x:c r="N76" s="35"/>
    </x:row>
    <x:row r="77" ht="9.75" customHeight="1">
      <x:c r="A77" s="32"/>
      <x:c r="B77" s="69" t="s">
        <x:v>888</x:v>
      </x:c>
      <x:c r="C77" s="10" t="s">
        <x:v>889</x:v>
      </x:c>
      <x:c r="D77" s="20" t="s">
        <x:v>916</x:v>
      </x:c>
      <x:c r="E77" s="47" t="s">
        <x:v>911</x:v>
      </x:c>
      <x:c r="F77" s="6"/>
      <x:c r="G77" s="11" t="s">
        <x:v>894</x:v>
      </x:c>
      <x:c r="H77" s="11" t="s">
        <x:v>895</x:v>
      </x:c>
      <x:c r="I77" s="6"/>
      <x:c r="J77" s="20"/>
      <x:c r="K77" s="11"/>
      <x:c r="L77" s="11"/>
      <x:c r="M77" s="14"/>
      <x:c r="N77" s="35"/>
    </x:row>
    <x:row r="78" ht="9.75" customHeight="1">
      <x:c r="A78" s="32"/>
      <x:c r="B78" s="69" t="s">
        <x:v>888</x:v>
      </x:c>
      <x:c r="C78" s="10" t="s">
        <x:v>889</x:v>
      </x:c>
      <x:c r="D78" s="20" t="s">
        <x:v>916</x:v>
      </x:c>
      <x:c r="E78" s="47" t="s">
        <x:v>912</x:v>
      </x:c>
      <x:c r="F78" s="6"/>
      <x:c r="G78" s="11" t="s">
        <x:v>894</x:v>
      </x:c>
      <x:c r="H78" s="11" t="s">
        <x:v>895</x:v>
      </x:c>
      <x:c r="I78" s="6"/>
      <x:c r="J78" s="20"/>
      <x:c r="K78" s="11"/>
      <x:c r="L78" s="11"/>
      <x:c r="M78" s="14"/>
      <x:c r="N78" s="35"/>
    </x:row>
    <x:row r="79" ht="9.75" customHeight="1">
      <x:c r="A79" s="32"/>
      <x:c r="B79" s="69" t="s">
        <x:v>888</x:v>
      </x:c>
      <x:c r="C79" s="10" t="s">
        <x:v>889</x:v>
      </x:c>
      <x:c r="D79" s="20" t="s">
        <x:v>916</x:v>
      </x:c>
      <x:c r="E79" s="47" t="s">
        <x:v>913</x:v>
      </x:c>
      <x:c r="F79" s="6"/>
      <x:c r="G79" s="11" t="s">
        <x:v>891</x:v>
      </x:c>
      <x:c r="H79" s="11" t="s">
        <x:v>909</x:v>
      </x:c>
      <x:c r="I79" s="6"/>
      <x:c r="J79" s="20"/>
      <x:c r="K79" s="11"/>
      <x:c r="L79" s="11"/>
      <x:c r="M79" s="14"/>
      <x:c r="N79" s="35"/>
    </x:row>
    <x:row r="80" ht="9.75" customHeight="1">
      <x:c r="A80" s="32"/>
      <x:c r="B80" s="69" t="s">
        <x:v>888</x:v>
      </x:c>
      <x:c r="C80" s="10" t="s">
        <x:v>889</x:v>
      </x:c>
      <x:c r="D80" s="20" t="s">
        <x:v>916</x:v>
      </x:c>
      <x:c r="E80" s="47" t="s">
        <x:v>914</x:v>
      </x:c>
      <x:c r="F80" s="6"/>
      <x:c r="G80" s="11" t="s">
        <x:v>891</x:v>
      </x:c>
      <x:c r="H80" s="11" t="s">
        <x:v>909</x:v>
      </x:c>
      <x:c r="I80" s="6"/>
      <x:c r="J80" s="20"/>
      <x:c r="K80" s="11"/>
      <x:c r="L80" s="11"/>
      <x:c r="M80" s="14"/>
      <x:c r="N80" s="35"/>
    </x:row>
    <x:row r="81" ht="9.75" customHeight="1">
      <x:c r="A81" s="32"/>
      <x:c r="B81" s="69" t="s">
        <x:v>888</x:v>
      </x:c>
      <x:c r="C81" s="10" t="s">
        <x:v>889</x:v>
      </x:c>
      <x:c r="D81" s="20" t="s">
        <x:v>917</x:v>
      </x:c>
      <x:c r="E81" s="47" t="s">
        <x:v>858</x:v>
      </x:c>
      <x:c r="F81" s="6"/>
      <x:c r="G81" s="11" t="s">
        <x:v>894</x:v>
      </x:c>
      <x:c r="H81" s="11" t="s">
        <x:v>895</x:v>
      </x:c>
      <x:c r="I81" s="6"/>
      <x:c r="J81" s="20"/>
      <x:c r="K81" s="11"/>
      <x:c r="L81" s="11"/>
      <x:c r="M81" s="14"/>
      <x:c r="N81" s="35"/>
    </x:row>
    <x:row r="82" ht="9.75" customHeight="1">
      <x:c r="A82" s="32"/>
      <x:c r="B82" s="69" t="s">
        <x:v>888</x:v>
      </x:c>
      <x:c r="C82" s="10" t="s">
        <x:v>889</x:v>
      </x:c>
      <x:c r="D82" s="20" t="s">
        <x:v>917</x:v>
      </x:c>
      <x:c r="E82" s="47" t="s">
        <x:v>862</x:v>
      </x:c>
      <x:c r="F82" s="6"/>
      <x:c r="G82" s="11" t="s">
        <x:v>894</x:v>
      </x:c>
      <x:c r="H82" s="11" t="s">
        <x:v>892</x:v>
      </x:c>
      <x:c r="I82" s="6"/>
      <x:c r="J82" s="20"/>
      <x:c r="K82" s="11"/>
      <x:c r="L82" s="11"/>
      <x:c r="M82" s="14"/>
      <x:c r="N82" s="35"/>
    </x:row>
    <x:row r="83" ht="9.75" customHeight="1">
      <x:c r="A83" s="32"/>
      <x:c r="B83" s="69" t="s">
        <x:v>888</x:v>
      </x:c>
      <x:c r="C83" s="10" t="s">
        <x:v>889</x:v>
      </x:c>
      <x:c r="D83" s="20" t="s">
        <x:v>917</x:v>
      </x:c>
      <x:c r="E83" s="47" t="s">
        <x:v>863</x:v>
      </x:c>
      <x:c r="F83" s="6"/>
      <x:c r="G83" s="11" t="s">
        <x:v>891</x:v>
      </x:c>
      <x:c r="H83" s="11" t="s">
        <x:v>892</x:v>
      </x:c>
      <x:c r="I83" s="6"/>
      <x:c r="J83" s="20"/>
      <x:c r="K83" s="11"/>
      <x:c r="L83" s="11"/>
      <x:c r="M83" s="14"/>
      <x:c r="N83" s="35"/>
    </x:row>
    <x:row r="84" ht="9.75" customHeight="1">
      <x:c r="A84" s="32"/>
      <x:c r="B84" s="69" t="s">
        <x:v>888</x:v>
      </x:c>
      <x:c r="C84" s="10" t="s">
        <x:v>889</x:v>
      </x:c>
      <x:c r="D84" s="20" t="s">
        <x:v>917</x:v>
      </x:c>
      <x:c r="E84" s="47" t="s">
        <x:v>865</x:v>
      </x:c>
      <x:c r="F84" s="6"/>
      <x:c r="G84" s="11" t="s">
        <x:v>894</x:v>
      </x:c>
      <x:c r="H84" s="11" t="s">
        <x:v>892</x:v>
      </x:c>
      <x:c r="I84" s="6"/>
      <x:c r="J84" s="20"/>
      <x:c r="K84" s="11"/>
      <x:c r="L84" s="11"/>
      <x:c r="M84" s="14"/>
      <x:c r="N84" s="35"/>
    </x:row>
    <x:row r="85" ht="9.75" customHeight="1">
      <x:c r="A85" s="32"/>
      <x:c r="B85" s="69" t="s">
        <x:v>888</x:v>
      </x:c>
      <x:c r="C85" s="10" t="s">
        <x:v>889</x:v>
      </x:c>
      <x:c r="D85" s="20" t="s">
        <x:v>917</x:v>
      </x:c>
      <x:c r="E85" s="47" t="s">
        <x:v>866</x:v>
      </x:c>
      <x:c r="F85" s="6"/>
      <x:c r="G85" s="11" t="s">
        <x:v>894</x:v>
      </x:c>
      <x:c r="H85" s="11" t="s">
        <x:v>892</x:v>
      </x:c>
      <x:c r="I85" s="6"/>
      <x:c r="J85" s="20"/>
      <x:c r="K85" s="11"/>
      <x:c r="L85" s="11"/>
      <x:c r="M85" s="14"/>
      <x:c r="N85" s="35"/>
    </x:row>
    <x:row r="86" ht="9.75" customHeight="1">
      <x:c r="A86" s="32"/>
      <x:c r="B86" s="69" t="s">
        <x:v>888</x:v>
      </x:c>
      <x:c r="C86" s="10" t="s">
        <x:v>889</x:v>
      </x:c>
      <x:c r="D86" s="20" t="s">
        <x:v>917</x:v>
      </x:c>
      <x:c r="E86" s="47" t="s">
        <x:v>867</x:v>
      </x:c>
      <x:c r="F86" s="6"/>
      <x:c r="G86" s="11" t="s">
        <x:v>894</x:v>
      </x:c>
      <x:c r="H86" s="11" t="s">
        <x:v>892</x:v>
      </x:c>
      <x:c r="I86" s="6"/>
      <x:c r="J86" s="20"/>
      <x:c r="K86" s="11"/>
      <x:c r="L86" s="11"/>
      <x:c r="M86" s="14"/>
      <x:c r="N86" s="35"/>
    </x:row>
    <x:row r="87" ht="9.75" customHeight="1">
      <x:c r="A87" s="32"/>
      <x:c r="B87" s="69" t="s">
        <x:v>888</x:v>
      </x:c>
      <x:c r="C87" s="10" t="s">
        <x:v>889</x:v>
      </x:c>
      <x:c r="D87" s="20" t="s">
        <x:v>917</x:v>
      </x:c>
      <x:c r="E87" s="47" t="s">
        <x:v>868</x:v>
      </x:c>
      <x:c r="F87" s="6"/>
      <x:c r="G87" s="11" t="s">
        <x:v>894</x:v>
      </x:c>
      <x:c r="H87" s="11" t="s">
        <x:v>892</x:v>
      </x:c>
      <x:c r="I87" s="6"/>
      <x:c r="J87" s="20"/>
      <x:c r="K87" s="11"/>
      <x:c r="L87" s="11"/>
      <x:c r="M87" s="14"/>
      <x:c r="N87" s="35"/>
    </x:row>
    <x:row r="88" ht="9.75" customHeight="1">
      <x:c r="A88" s="32"/>
      <x:c r="B88" s="69" t="s">
        <x:v>888</x:v>
      </x:c>
      <x:c r="C88" s="10" t="s">
        <x:v>889</x:v>
      </x:c>
      <x:c r="D88" s="20" t="s">
        <x:v>917</x:v>
      </x:c>
      <x:c r="E88" s="47" t="s">
        <x:v>869</x:v>
      </x:c>
      <x:c r="F88" s="6"/>
      <x:c r="G88" s="11" t="s">
        <x:v>894</x:v>
      </x:c>
      <x:c r="H88" s="11" t="s">
        <x:v>892</x:v>
      </x:c>
      <x:c r="I88" s="6"/>
      <x:c r="J88" s="20"/>
      <x:c r="K88" s="11"/>
      <x:c r="L88" s="11"/>
      <x:c r="M88" s="14"/>
      <x:c r="N88" s="35"/>
    </x:row>
    <x:row r="89" ht="9.75" customHeight="1">
      <x:c r="A89" s="32"/>
      <x:c r="B89" s="69" t="s">
        <x:v>888</x:v>
      </x:c>
      <x:c r="C89" s="10" t="s">
        <x:v>889</x:v>
      </x:c>
      <x:c r="D89" s="20" t="s">
        <x:v>917</x:v>
      </x:c>
      <x:c r="E89" s="47" t="s">
        <x:v>896</x:v>
      </x:c>
      <x:c r="F89" s="6"/>
      <x:c r="G89" s="11" t="s">
        <x:v>894</x:v>
      </x:c>
      <x:c r="H89" s="11" t="s">
        <x:v>892</x:v>
      </x:c>
      <x:c r="I89" s="6"/>
      <x:c r="J89" s="20"/>
      <x:c r="K89" s="11"/>
      <x:c r="L89" s="11"/>
      <x:c r="M89" s="14"/>
      <x:c r="N89" s="35"/>
    </x:row>
    <x:row r="90" ht="9.75" customHeight="1">
      <x:c r="A90" s="32"/>
      <x:c r="B90" s="69" t="s">
        <x:v>888</x:v>
      </x:c>
      <x:c r="C90" s="10" t="s">
        <x:v>889</x:v>
      </x:c>
      <x:c r="D90" s="20" t="s">
        <x:v>917</x:v>
      </x:c>
      <x:c r="E90" s="47" t="s">
        <x:v>897</x:v>
      </x:c>
      <x:c r="F90" s="6"/>
      <x:c r="G90" s="11" t="s">
        <x:v>891</x:v>
      </x:c>
      <x:c r="H90" s="11" t="s">
        <x:v>895</x:v>
      </x:c>
      <x:c r="I90" s="6"/>
      <x:c r="J90" s="20"/>
      <x:c r="K90" s="11"/>
      <x:c r="L90" s="11"/>
      <x:c r="M90" s="14"/>
      <x:c r="N90" s="35"/>
    </x:row>
    <x:row r="91" ht="9.75" customHeight="1">
      <x:c r="A91" s="32"/>
      <x:c r="B91" s="69" t="s">
        <x:v>888</x:v>
      </x:c>
      <x:c r="C91" s="10" t="s">
        <x:v>889</x:v>
      </x:c>
      <x:c r="D91" s="20" t="s">
        <x:v>917</x:v>
      </x:c>
      <x:c r="E91" s="47" t="s">
        <x:v>900</x:v>
      </x:c>
      <x:c r="F91" s="6"/>
      <x:c r="G91" s="11" t="s">
        <x:v>891</x:v>
      </x:c>
      <x:c r="H91" s="11" t="s">
        <x:v>895</x:v>
      </x:c>
      <x:c r="I91" s="6"/>
      <x:c r="J91" s="20"/>
      <x:c r="K91" s="11"/>
      <x:c r="L91" s="11"/>
      <x:c r="M91" s="14"/>
      <x:c r="N91" s="35"/>
    </x:row>
    <x:row r="92" ht="9.75" customHeight="1">
      <x:c r="A92" s="32"/>
      <x:c r="B92" s="69" t="s">
        <x:v>888</x:v>
      </x:c>
      <x:c r="C92" s="10" t="s">
        <x:v>889</x:v>
      </x:c>
      <x:c r="D92" s="20" t="s">
        <x:v>917</x:v>
      </x:c>
      <x:c r="E92" s="47" t="s">
        <x:v>901</x:v>
      </x:c>
      <x:c r="F92" s="6"/>
      <x:c r="G92" s="11" t="s">
        <x:v>891</x:v>
      </x:c>
      <x:c r="H92" s="11" t="s">
        <x:v>895</x:v>
      </x:c>
      <x:c r="I92" s="6"/>
      <x:c r="J92" s="20"/>
      <x:c r="K92" s="11"/>
      <x:c r="L92" s="11"/>
      <x:c r="M92" s="14"/>
      <x:c r="N92" s="35"/>
    </x:row>
    <x:row r="93" ht="9.75" customHeight="1">
      <x:c r="A93" s="32"/>
      <x:c r="B93" s="69" t="s">
        <x:v>888</x:v>
      </x:c>
      <x:c r="C93" s="10" t="s">
        <x:v>889</x:v>
      </x:c>
      <x:c r="D93" s="20" t="s">
        <x:v>917</x:v>
      </x:c>
      <x:c r="E93" s="47" t="s">
        <x:v>902</x:v>
      </x:c>
      <x:c r="F93" s="6"/>
      <x:c r="G93" s="11" t="s">
        <x:v>894</x:v>
      </x:c>
      <x:c r="H93" s="11" t="s">
        <x:v>892</x:v>
      </x:c>
      <x:c r="I93" s="6"/>
      <x:c r="J93" s="20"/>
      <x:c r="K93" s="11"/>
      <x:c r="L93" s="11"/>
      <x:c r="M93" s="14"/>
      <x:c r="N93" s="35"/>
    </x:row>
    <x:row r="94" ht="9.75" customHeight="1">
      <x:c r="A94" s="32"/>
      <x:c r="B94" s="69" t="s">
        <x:v>888</x:v>
      </x:c>
      <x:c r="C94" s="10" t="s">
        <x:v>889</x:v>
      </x:c>
      <x:c r="D94" s="20" t="s">
        <x:v>917</x:v>
      </x:c>
      <x:c r="E94" s="47" t="s">
        <x:v>903</x:v>
      </x:c>
      <x:c r="F94" s="6"/>
      <x:c r="G94" s="11" t="s">
        <x:v>894</x:v>
      </x:c>
      <x:c r="H94" s="11" t="s">
        <x:v>892</x:v>
      </x:c>
      <x:c r="I94" s="6"/>
      <x:c r="J94" s="20"/>
      <x:c r="K94" s="11"/>
      <x:c r="L94" s="11"/>
      <x:c r="M94" s="14"/>
      <x:c r="N94" s="35"/>
    </x:row>
    <x:row r="95" ht="9.75" customHeight="1">
      <x:c r="A95" s="32"/>
      <x:c r="B95" s="69" t="s">
        <x:v>888</x:v>
      </x:c>
      <x:c r="C95" s="10" t="s">
        <x:v>889</x:v>
      </x:c>
      <x:c r="D95" s="20" t="s">
        <x:v>917</x:v>
      </x:c>
      <x:c r="E95" s="47" t="s">
        <x:v>904</x:v>
      </x:c>
      <x:c r="F95" s="6"/>
      <x:c r="G95" s="11" t="s">
        <x:v>894</x:v>
      </x:c>
      <x:c r="H95" s="11" t="s">
        <x:v>892</x:v>
      </x:c>
      <x:c r="I95" s="6"/>
      <x:c r="J95" s="20"/>
      <x:c r="K95" s="11"/>
      <x:c r="L95" s="11"/>
      <x:c r="M95" s="14"/>
      <x:c r="N95" s="35"/>
    </x:row>
    <x:row r="96" ht="9.75" customHeight="1">
      <x:c r="A96" s="32"/>
      <x:c r="B96" s="69" t="s">
        <x:v>888</x:v>
      </x:c>
      <x:c r="C96" s="10" t="s">
        <x:v>889</x:v>
      </x:c>
      <x:c r="D96" s="20" t="s">
        <x:v>917</x:v>
      </x:c>
      <x:c r="E96" s="47" t="s">
        <x:v>905</x:v>
      </x:c>
      <x:c r="F96" s="6"/>
      <x:c r="G96" s="11" t="s">
        <x:v>894</x:v>
      </x:c>
      <x:c r="H96" s="11" t="s">
        <x:v>895</x:v>
      </x:c>
      <x:c r="I96" s="6"/>
      <x:c r="J96" s="20"/>
      <x:c r="K96" s="11"/>
      <x:c r="L96" s="11"/>
      <x:c r="M96" s="14"/>
      <x:c r="N96" s="35"/>
    </x:row>
    <x:row r="97" ht="9.75" customHeight="1">
      <x:c r="A97" s="32"/>
      <x:c r="B97" s="69" t="s">
        <x:v>888</x:v>
      </x:c>
      <x:c r="C97" s="10" t="s">
        <x:v>889</x:v>
      </x:c>
      <x:c r="D97" s="20" t="s">
        <x:v>917</x:v>
      </x:c>
      <x:c r="E97" s="47" t="s">
        <x:v>906</x:v>
      </x:c>
      <x:c r="F97" s="6"/>
      <x:c r="G97" s="11" t="s">
        <x:v>894</x:v>
      </x:c>
      <x:c r="H97" s="11" t="s">
        <x:v>892</x:v>
      </x:c>
      <x:c r="I97" s="6"/>
      <x:c r="J97" s="20"/>
      <x:c r="K97" s="11"/>
      <x:c r="L97" s="11"/>
      <x:c r="M97" s="14"/>
      <x:c r="N97" s="35"/>
    </x:row>
    <x:row r="98" ht="9.75" customHeight="1">
      <x:c r="A98" s="32"/>
      <x:c r="B98" s="69" t="s">
        <x:v>888</x:v>
      </x:c>
      <x:c r="C98" s="10" t="s">
        <x:v>889</x:v>
      </x:c>
      <x:c r="D98" s="20" t="s">
        <x:v>917</x:v>
      </x:c>
      <x:c r="E98" s="47" t="s">
        <x:v>907</x:v>
      </x:c>
      <x:c r="F98" s="6"/>
      <x:c r="G98" s="11" t="s">
        <x:v>894</x:v>
      </x:c>
      <x:c r="H98" s="11" t="s">
        <x:v>892</x:v>
      </x:c>
      <x:c r="I98" s="6"/>
      <x:c r="J98" s="20"/>
      <x:c r="K98" s="11"/>
      <x:c r="L98" s="11"/>
      <x:c r="M98" s="14"/>
      <x:c r="N98" s="35"/>
    </x:row>
    <x:row r="99" ht="9.75" customHeight="1">
      <x:c r="A99" s="32"/>
      <x:c r="B99" s="69" t="s">
        <x:v>888</x:v>
      </x:c>
      <x:c r="C99" s="10" t="s">
        <x:v>889</x:v>
      </x:c>
      <x:c r="D99" s="20" t="s">
        <x:v>917</x:v>
      </x:c>
      <x:c r="E99" s="47" t="s">
        <x:v>908</x:v>
      </x:c>
      <x:c r="F99" s="6"/>
      <x:c r="G99" s="11" t="s">
        <x:v>894</x:v>
      </x:c>
      <x:c r="H99" s="11" t="s">
        <x:v>892</x:v>
      </x:c>
      <x:c r="I99" s="6"/>
      <x:c r="J99" s="20"/>
      <x:c r="K99" s="11"/>
      <x:c r="L99" s="11"/>
      <x:c r="M99" s="14"/>
      <x:c r="N99" s="35"/>
    </x:row>
    <x:row r="100" ht="9.75" customHeight="1">
      <x:c r="A100" s="32"/>
      <x:c r="B100" s="69" t="s">
        <x:v>888</x:v>
      </x:c>
      <x:c r="C100" s="10" t="s">
        <x:v>889</x:v>
      </x:c>
      <x:c r="D100" s="20" t="s">
        <x:v>917</x:v>
      </x:c>
      <x:c r="E100" s="47" t="s">
        <x:v>910</x:v>
      </x:c>
      <x:c r="F100" s="6"/>
      <x:c r="G100" s="11" t="s">
        <x:v>891</x:v>
      </x:c>
      <x:c r="H100" s="11" t="s">
        <x:v>892</x:v>
      </x:c>
      <x:c r="I100" s="6"/>
      <x:c r="J100" s="20"/>
      <x:c r="K100" s="11"/>
      <x:c r="L100" s="11"/>
      <x:c r="M100" s="14"/>
      <x:c r="N100" s="35"/>
    </x:row>
    <x:row r="101" ht="9.75" customHeight="1">
      <x:c r="A101" s="32"/>
      <x:c r="B101" s="69" t="s">
        <x:v>888</x:v>
      </x:c>
      <x:c r="C101" s="10" t="s">
        <x:v>889</x:v>
      </x:c>
      <x:c r="D101" s="20" t="s">
        <x:v>917</x:v>
      </x:c>
      <x:c r="E101" s="47" t="s">
        <x:v>911</x:v>
      </x:c>
      <x:c r="F101" s="6"/>
      <x:c r="G101" s="11" t="s">
        <x:v>891</x:v>
      </x:c>
      <x:c r="H101" s="11" t="s">
        <x:v>895</x:v>
      </x:c>
      <x:c r="I101" s="6"/>
      <x:c r="J101" s="20"/>
      <x:c r="K101" s="11"/>
      <x:c r="L101" s="11"/>
      <x:c r="M101" s="14"/>
      <x:c r="N101" s="35"/>
    </x:row>
    <x:row r="102" ht="9.75" customHeight="1">
      <x:c r="A102" s="32"/>
      <x:c r="B102" s="69" t="s">
        <x:v>888</x:v>
      </x:c>
      <x:c r="C102" s="10" t="s">
        <x:v>889</x:v>
      </x:c>
      <x:c r="D102" s="20" t="s">
        <x:v>917</x:v>
      </x:c>
      <x:c r="E102" s="47" t="s">
        <x:v>912</x:v>
      </x:c>
      <x:c r="F102" s="6"/>
      <x:c r="G102" s="11" t="s">
        <x:v>894</x:v>
      </x:c>
      <x:c r="H102" s="11" t="s">
        <x:v>892</x:v>
      </x:c>
      <x:c r="I102" s="6"/>
      <x:c r="J102" s="20"/>
      <x:c r="K102" s="11"/>
      <x:c r="L102" s="11"/>
      <x:c r="M102" s="14"/>
      <x:c r="N102" s="35"/>
    </x:row>
    <x:row r="103" ht="9.75" customHeight="1">
      <x:c r="A103" s="32"/>
      <x:c r="B103" s="69" t="s">
        <x:v>888</x:v>
      </x:c>
      <x:c r="C103" s="10" t="s">
        <x:v>889</x:v>
      </x:c>
      <x:c r="D103" s="20" t="s">
        <x:v>917</x:v>
      </x:c>
      <x:c r="E103" s="47" t="s">
        <x:v>913</x:v>
      </x:c>
      <x:c r="F103" s="6"/>
      <x:c r="G103" s="11" t="s">
        <x:v>891</x:v>
      </x:c>
      <x:c r="H103" s="11" t="s">
        <x:v>895</x:v>
      </x:c>
      <x:c r="I103" s="6"/>
      <x:c r="J103" s="20"/>
      <x:c r="K103" s="11"/>
      <x:c r="L103" s="11"/>
      <x:c r="M103" s="14"/>
      <x:c r="N103" s="35"/>
    </x:row>
    <x:row r="104" ht="9.75" customHeight="1">
      <x:c r="A104" s="32"/>
      <x:c r="B104" s="69" t="s">
        <x:v>888</x:v>
      </x:c>
      <x:c r="C104" s="10" t="s">
        <x:v>889</x:v>
      </x:c>
      <x:c r="D104" s="20" t="s">
        <x:v>917</x:v>
      </x:c>
      <x:c r="E104" s="47" t="s">
        <x:v>914</x:v>
      </x:c>
      <x:c r="F104" s="6"/>
      <x:c r="G104" s="11" t="s">
        <x:v>894</x:v>
      </x:c>
      <x:c r="H104" s="11" t="s">
        <x:v>892</x:v>
      </x:c>
      <x:c r="I104" s="6"/>
      <x:c r="J104" s="20"/>
      <x:c r="K104" s="11"/>
      <x:c r="L104" s="11"/>
      <x:c r="M104" s="14"/>
      <x:c r="N104" s="35"/>
    </x:row>
    <x:row r="105" ht="9.75" customHeight="1">
      <x:c r="A105" s="32"/>
      <x:c r="B105" s="69" t="s">
        <x:v>888</x:v>
      </x:c>
      <x:c r="C105" s="10" t="s">
        <x:v>918</x:v>
      </x:c>
      <x:c r="D105" s="20" t="s">
        <x:v>890</x:v>
      </x:c>
      <x:c r="E105" s="47" t="s">
        <x:v>858</x:v>
      </x:c>
      <x:c r="F105" s="6"/>
      <x:c r="G105" s="11" t="s">
        <x:v>898</x:v>
      </x:c>
      <x:c r="H105" s="11" t="s">
        <x:v>899</x:v>
      </x:c>
      <x:c r="I105" s="6"/>
      <x:c r="J105" s="20"/>
      <x:c r="K105" s="11"/>
      <x:c r="L105" s="11"/>
      <x:c r="M105" s="14"/>
      <x:c r="N105" s="35"/>
    </x:row>
    <x:row r="106" ht="9.75" customHeight="1">
      <x:c r="A106" s="32"/>
      <x:c r="B106" s="69" t="s">
        <x:v>888</x:v>
      </x:c>
      <x:c r="C106" s="10" t="s">
        <x:v>918</x:v>
      </x:c>
      <x:c r="D106" s="20" t="s">
        <x:v>890</x:v>
      </x:c>
      <x:c r="E106" s="47" t="s">
        <x:v>862</x:v>
      </x:c>
      <x:c r="F106" s="6"/>
      <x:c r="G106" s="11" t="s">
        <x:v>894</x:v>
      </x:c>
      <x:c r="H106" s="11" t="s">
        <x:v>895</x:v>
      </x:c>
      <x:c r="I106" s="6"/>
      <x:c r="J106" s="20"/>
      <x:c r="K106" s="11"/>
      <x:c r="L106" s="11"/>
      <x:c r="M106" s="14"/>
      <x:c r="N106" s="35"/>
    </x:row>
    <x:row r="107" ht="9.75" customHeight="1">
      <x:c r="A107" s="32"/>
      <x:c r="B107" s="69" t="s">
        <x:v>888</x:v>
      </x:c>
      <x:c r="C107" s="10" t="s">
        <x:v>918</x:v>
      </x:c>
      <x:c r="D107" s="20" t="s">
        <x:v>890</x:v>
      </x:c>
      <x:c r="E107" s="47" t="s">
        <x:v>863</x:v>
      </x:c>
      <x:c r="F107" s="6"/>
      <x:c r="G107" s="11" t="s">
        <x:v>894</x:v>
      </x:c>
      <x:c r="H107" s="11" t="s">
        <x:v>895</x:v>
      </x:c>
      <x:c r="I107" s="6"/>
      <x:c r="J107" s="20"/>
      <x:c r="K107" s="11"/>
      <x:c r="L107" s="11"/>
      <x:c r="M107" s="14"/>
      <x:c r="N107" s="35"/>
    </x:row>
    <x:row r="108" ht="9.75" customHeight="1">
      <x:c r="A108" s="32"/>
      <x:c r="B108" s="69" t="s">
        <x:v>888</x:v>
      </x:c>
      <x:c r="C108" s="10" t="s">
        <x:v>918</x:v>
      </x:c>
      <x:c r="D108" s="20" t="s">
        <x:v>893</x:v>
      </x:c>
      <x:c r="E108" s="47" t="s">
        <x:v>858</x:v>
      </x:c>
      <x:c r="F108" s="6"/>
      <x:c r="G108" s="11" t="s">
        <x:v>898</x:v>
      </x:c>
      <x:c r="H108" s="11" t="s">
        <x:v>899</x:v>
      </x:c>
      <x:c r="I108" s="6"/>
      <x:c r="J108" s="20"/>
      <x:c r="K108" s="11"/>
      <x:c r="L108" s="11"/>
      <x:c r="M108" s="14"/>
      <x:c r="N108" s="35"/>
    </x:row>
    <x:row r="109" ht="9.75" customHeight="1">
      <x:c r="A109" s="32"/>
      <x:c r="B109" s="69" t="s">
        <x:v>888</x:v>
      </x:c>
      <x:c r="C109" s="10" t="s">
        <x:v>918</x:v>
      </x:c>
      <x:c r="D109" s="20" t="s">
        <x:v>893</x:v>
      </x:c>
      <x:c r="E109" s="47" t="s">
        <x:v>862</x:v>
      </x:c>
      <x:c r="F109" s="6"/>
      <x:c r="G109" s="11" t="s">
        <x:v>894</x:v>
      </x:c>
      <x:c r="H109" s="11" t="s">
        <x:v>892</x:v>
      </x:c>
      <x:c r="I109" s="6"/>
      <x:c r="J109" s="20"/>
      <x:c r="K109" s="11"/>
      <x:c r="L109" s="11"/>
      <x:c r="M109" s="14"/>
      <x:c r="N109" s="35"/>
    </x:row>
    <x:row r="110" ht="9.75" customHeight="1">
      <x:c r="A110" s="32"/>
      <x:c r="B110" s="69" t="s">
        <x:v>888</x:v>
      </x:c>
      <x:c r="C110" s="10" t="s">
        <x:v>918</x:v>
      </x:c>
      <x:c r="D110" s="20" t="s">
        <x:v>893</x:v>
      </x:c>
      <x:c r="E110" s="47" t="s">
        <x:v>863</x:v>
      </x:c>
      <x:c r="F110" s="6"/>
      <x:c r="G110" s="11" t="s">
        <x:v>894</x:v>
      </x:c>
      <x:c r="H110" s="11" t="s">
        <x:v>892</x:v>
      </x:c>
      <x:c r="I110" s="6"/>
      <x:c r="J110" s="20"/>
      <x:c r="K110" s="11"/>
      <x:c r="L110" s="11"/>
      <x:c r="M110" s="14"/>
      <x:c r="N110" s="35"/>
    </x:row>
    <x:row r="111" ht="9.75" customHeight="1">
      <x:c r="A111" s="32"/>
      <x:c r="B111" s="69" t="s">
        <x:v>888</x:v>
      </x:c>
      <x:c r="C111" s="10" t="s">
        <x:v>918</x:v>
      </x:c>
      <x:c r="D111" s="20" t="s">
        <x:v>893</x:v>
      </x:c>
      <x:c r="E111" s="47" t="s">
        <x:v>865</x:v>
      </x:c>
      <x:c r="F111" s="6"/>
      <x:c r="G111" s="11" t="s">
        <x:v>894</x:v>
      </x:c>
      <x:c r="H111" s="11" t="s">
        <x:v>895</x:v>
      </x:c>
      <x:c r="I111" s="6"/>
      <x:c r="J111" s="20"/>
      <x:c r="K111" s="11"/>
      <x:c r="L111" s="11"/>
      <x:c r="M111" s="14"/>
      <x:c r="N111" s="35"/>
    </x:row>
    <x:row r="112" ht="9.75" customHeight="1">
      <x:c r="A112" s="32"/>
      <x:c r="B112" s="69" t="s">
        <x:v>888</x:v>
      </x:c>
      <x:c r="C112" s="10" t="s">
        <x:v>918</x:v>
      </x:c>
      <x:c r="D112" s="20" t="s">
        <x:v>893</x:v>
      </x:c>
      <x:c r="E112" s="47" t="s">
        <x:v>866</x:v>
      </x:c>
      <x:c r="F112" s="6"/>
      <x:c r="G112" s="11" t="s">
        <x:v>894</x:v>
      </x:c>
      <x:c r="H112" s="11" t="s">
        <x:v>895</x:v>
      </x:c>
      <x:c r="I112" s="6"/>
      <x:c r="J112" s="20"/>
      <x:c r="K112" s="11"/>
      <x:c r="L112" s="11"/>
      <x:c r="M112" s="14"/>
      <x:c r="N112" s="35"/>
    </x:row>
    <x:row r="113" ht="9.75" customHeight="1">
      <x:c r="A113" s="32"/>
      <x:c r="B113" s="69" t="s">
        <x:v>888</x:v>
      </x:c>
      <x:c r="C113" s="10" t="s">
        <x:v>918</x:v>
      </x:c>
      <x:c r="D113" s="20" t="s">
        <x:v>893</x:v>
      </x:c>
      <x:c r="E113" s="47" t="s">
        <x:v>867</x:v>
      </x:c>
      <x:c r="F113" s="6"/>
      <x:c r="G113" s="11" t="s">
        <x:v>891</x:v>
      </x:c>
      <x:c r="H113" s="11" t="s">
        <x:v>895</x:v>
      </x:c>
      <x:c r="I113" s="6"/>
      <x:c r="J113" s="20"/>
      <x:c r="K113" s="11"/>
      <x:c r="L113" s="11"/>
      <x:c r="M113" s="14"/>
      <x:c r="N113" s="35"/>
    </x:row>
    <x:row r="114" ht="9.75" customHeight="1">
      <x:c r="A114" s="32"/>
      <x:c r="B114" s="69" t="s">
        <x:v>888</x:v>
      </x:c>
      <x:c r="C114" s="10" t="s">
        <x:v>918</x:v>
      </x:c>
      <x:c r="D114" s="20" t="s">
        <x:v>893</x:v>
      </x:c>
      <x:c r="E114" s="47" t="s">
        <x:v>868</x:v>
      </x:c>
      <x:c r="F114" s="6"/>
      <x:c r="G114" s="11" t="s">
        <x:v>894</x:v>
      </x:c>
      <x:c r="H114" s="11" t="s">
        <x:v>895</x:v>
      </x:c>
      <x:c r="I114" s="6"/>
      <x:c r="J114" s="20"/>
      <x:c r="K114" s="11"/>
      <x:c r="L114" s="11"/>
      <x:c r="M114" s="14"/>
      <x:c r="N114" s="35"/>
    </x:row>
    <x:row r="115" ht="9.75" customHeight="1">
      <x:c r="A115" s="32"/>
      <x:c r="B115" s="69" t="s">
        <x:v>888</x:v>
      </x:c>
      <x:c r="C115" s="10" t="s">
        <x:v>918</x:v>
      </x:c>
      <x:c r="D115" s="20" t="s">
        <x:v>893</x:v>
      </x:c>
      <x:c r="E115" s="47" t="s">
        <x:v>869</x:v>
      </x:c>
      <x:c r="F115" s="6"/>
      <x:c r="G115" s="11" t="s">
        <x:v>894</x:v>
      </x:c>
      <x:c r="H115" s="11" t="s">
        <x:v>895</x:v>
      </x:c>
      <x:c r="I115" s="6"/>
      <x:c r="J115" s="20"/>
      <x:c r="K115" s="11"/>
      <x:c r="L115" s="11"/>
      <x:c r="M115" s="14"/>
      <x:c r="N115" s="35"/>
    </x:row>
    <x:row r="116" ht="9.75" customHeight="1">
      <x:c r="A116" s="32"/>
      <x:c r="B116" s="69" t="s">
        <x:v>888</x:v>
      </x:c>
      <x:c r="C116" s="10" t="s">
        <x:v>918</x:v>
      </x:c>
      <x:c r="D116" s="20" t="s">
        <x:v>893</x:v>
      </x:c>
      <x:c r="E116" s="47" t="s">
        <x:v>896</x:v>
      </x:c>
      <x:c r="F116" s="6"/>
      <x:c r="G116" s="11" t="s">
        <x:v>894</x:v>
      </x:c>
      <x:c r="H116" s="11" t="s">
        <x:v>892</x:v>
      </x:c>
      <x:c r="I116" s="6"/>
      <x:c r="J116" s="20"/>
      <x:c r="K116" s="11"/>
      <x:c r="L116" s="11"/>
      <x:c r="M116" s="14"/>
      <x:c r="N116" s="35"/>
    </x:row>
    <x:row r="117" ht="9.75" customHeight="1">
      <x:c r="A117" s="32"/>
      <x:c r="B117" s="69" t="s">
        <x:v>888</x:v>
      </x:c>
      <x:c r="C117" s="10" t="s">
        <x:v>918</x:v>
      </x:c>
      <x:c r="D117" s="20" t="s">
        <x:v>893</x:v>
      </x:c>
      <x:c r="E117" s="47" t="s">
        <x:v>897</x:v>
      </x:c>
      <x:c r="F117" s="6"/>
      <x:c r="G117" s="11" t="s">
        <x:v>898</x:v>
      </x:c>
      <x:c r="H117" s="11" t="s">
        <x:v>899</x:v>
      </x:c>
      <x:c r="I117" s="6"/>
      <x:c r="J117" s="20"/>
      <x:c r="K117" s="11"/>
      <x:c r="L117" s="11"/>
      <x:c r="M117" s="14"/>
      <x:c r="N117" s="35"/>
    </x:row>
    <x:row r="118" ht="9.75" customHeight="1">
      <x:c r="A118" s="32"/>
      <x:c r="B118" s="69" t="s">
        <x:v>888</x:v>
      </x:c>
      <x:c r="C118" s="10" t="s">
        <x:v>918</x:v>
      </x:c>
      <x:c r="D118" s="20" t="s">
        <x:v>893</x:v>
      </x:c>
      <x:c r="E118" s="47" t="s">
        <x:v>900</x:v>
      </x:c>
      <x:c r="F118" s="6"/>
      <x:c r="G118" s="11" t="s">
        <x:v>894</x:v>
      </x:c>
      <x:c r="H118" s="11" t="s">
        <x:v>895</x:v>
      </x:c>
      <x:c r="I118" s="6"/>
      <x:c r="J118" s="20"/>
      <x:c r="K118" s="11"/>
      <x:c r="L118" s="11"/>
      <x:c r="M118" s="14"/>
      <x:c r="N118" s="35"/>
    </x:row>
    <x:row r="119" ht="9.75" customHeight="1">
      <x:c r="A119" s="32"/>
      <x:c r="B119" s="69" t="s">
        <x:v>888</x:v>
      </x:c>
      <x:c r="C119" s="10" t="s">
        <x:v>918</x:v>
      </x:c>
      <x:c r="D119" s="20" t="s">
        <x:v>893</x:v>
      </x:c>
      <x:c r="E119" s="47" t="s">
        <x:v>901</x:v>
      </x:c>
      <x:c r="F119" s="6"/>
      <x:c r="G119" s="11" t="s">
        <x:v>894</x:v>
      </x:c>
      <x:c r="H119" s="11" t="s">
        <x:v>892</x:v>
      </x:c>
      <x:c r="I119" s="6"/>
      <x:c r="J119" s="20"/>
      <x:c r="K119" s="11"/>
      <x:c r="L119" s="11"/>
      <x:c r="M119" s="14"/>
      <x:c r="N119" s="35"/>
    </x:row>
    <x:row r="120" ht="9.75" customHeight="1">
      <x:c r="A120" s="32"/>
      <x:c r="B120" s="69" t="s">
        <x:v>888</x:v>
      </x:c>
      <x:c r="C120" s="10" t="s">
        <x:v>918</x:v>
      </x:c>
      <x:c r="D120" s="20" t="s">
        <x:v>893</x:v>
      </x:c>
      <x:c r="E120" s="47" t="s">
        <x:v>902</x:v>
      </x:c>
      <x:c r="F120" s="6"/>
      <x:c r="G120" s="11" t="s">
        <x:v>891</x:v>
      </x:c>
      <x:c r="H120" s="11" t="s">
        <x:v>895</x:v>
      </x:c>
      <x:c r="I120" s="6"/>
      <x:c r="J120" s="20"/>
      <x:c r="K120" s="11"/>
      <x:c r="L120" s="11"/>
      <x:c r="M120" s="14"/>
      <x:c r="N120" s="35"/>
    </x:row>
    <x:row r="121" ht="9.75" customHeight="1">
      <x:c r="A121" s="32"/>
      <x:c r="B121" s="69" t="s">
        <x:v>888</x:v>
      </x:c>
      <x:c r="C121" s="10" t="s">
        <x:v>918</x:v>
      </x:c>
      <x:c r="D121" s="20" t="s">
        <x:v>893</x:v>
      </x:c>
      <x:c r="E121" s="47" t="s">
        <x:v>903</x:v>
      </x:c>
      <x:c r="F121" s="6"/>
      <x:c r="G121" s="11" t="s">
        <x:v>898</x:v>
      </x:c>
      <x:c r="H121" s="11" t="s">
        <x:v>899</x:v>
      </x:c>
      <x:c r="I121" s="6"/>
      <x:c r="J121" s="20"/>
      <x:c r="K121" s="11"/>
      <x:c r="L121" s="11"/>
      <x:c r="M121" s="14"/>
      <x:c r="N121" s="35"/>
    </x:row>
    <x:row r="122" ht="9.75" customHeight="1">
      <x:c r="A122" s="32"/>
      <x:c r="B122" s="69" t="s">
        <x:v>888</x:v>
      </x:c>
      <x:c r="C122" s="10" t="s">
        <x:v>918</x:v>
      </x:c>
      <x:c r="D122" s="20" t="s">
        <x:v>893</x:v>
      </x:c>
      <x:c r="E122" s="47" t="s">
        <x:v>904</x:v>
      </x:c>
      <x:c r="F122" s="6"/>
      <x:c r="G122" s="11" t="s">
        <x:v>898</x:v>
      </x:c>
      <x:c r="H122" s="11" t="s">
        <x:v>899</x:v>
      </x:c>
      <x:c r="I122" s="6"/>
      <x:c r="J122" s="20"/>
      <x:c r="K122" s="11"/>
      <x:c r="L122" s="11"/>
      <x:c r="M122" s="14"/>
      <x:c r="N122" s="35"/>
    </x:row>
    <x:row r="123" ht="9.75" customHeight="1">
      <x:c r="A123" s="32"/>
      <x:c r="B123" s="69" t="s">
        <x:v>888</x:v>
      </x:c>
      <x:c r="C123" s="10" t="s">
        <x:v>918</x:v>
      </x:c>
      <x:c r="D123" s="20" t="s">
        <x:v>893</x:v>
      </x:c>
      <x:c r="E123" s="47" t="s">
        <x:v>905</x:v>
      </x:c>
      <x:c r="F123" s="6"/>
      <x:c r="G123" s="11" t="s">
        <x:v>894</x:v>
      </x:c>
      <x:c r="H123" s="11" t="s">
        <x:v>895</x:v>
      </x:c>
      <x:c r="I123" s="6"/>
      <x:c r="J123" s="20"/>
      <x:c r="K123" s="11"/>
      <x:c r="L123" s="11"/>
      <x:c r="M123" s="14"/>
      <x:c r="N123" s="35"/>
    </x:row>
    <x:row r="124" ht="9.75" customHeight="1">
      <x:c r="A124" s="32"/>
      <x:c r="B124" s="69" t="s">
        <x:v>888</x:v>
      </x:c>
      <x:c r="C124" s="10" t="s">
        <x:v>918</x:v>
      </x:c>
      <x:c r="D124" s="20" t="s">
        <x:v>893</x:v>
      </x:c>
      <x:c r="E124" s="47" t="s">
        <x:v>906</x:v>
      </x:c>
      <x:c r="F124" s="6"/>
      <x:c r="G124" s="11" t="s">
        <x:v>891</x:v>
      </x:c>
      <x:c r="H124" s="11" t="s">
        <x:v>909</x:v>
      </x:c>
      <x:c r="I124" s="6"/>
      <x:c r="J124" s="20"/>
      <x:c r="K124" s="11"/>
      <x:c r="L124" s="11"/>
      <x:c r="M124" s="14"/>
      <x:c r="N124" s="35"/>
    </x:row>
    <x:row r="125" ht="9.75" customHeight="1">
      <x:c r="A125" s="32"/>
      <x:c r="B125" s="69" t="s">
        <x:v>888</x:v>
      </x:c>
      <x:c r="C125" s="10" t="s">
        <x:v>918</x:v>
      </x:c>
      <x:c r="D125" s="20" t="s">
        <x:v>893</x:v>
      </x:c>
      <x:c r="E125" s="47" t="s">
        <x:v>907</x:v>
      </x:c>
      <x:c r="F125" s="6"/>
      <x:c r="G125" s="11" t="s">
        <x:v>894</x:v>
      </x:c>
      <x:c r="H125" s="11" t="s">
        <x:v>892</x:v>
      </x:c>
      <x:c r="I125" s="6"/>
      <x:c r="J125" s="20"/>
      <x:c r="K125" s="11"/>
      <x:c r="L125" s="11"/>
      <x:c r="M125" s="14"/>
      <x:c r="N125" s="35"/>
    </x:row>
    <x:row r="126" ht="9.75" customHeight="1">
      <x:c r="A126" s="32"/>
      <x:c r="B126" s="69" t="s">
        <x:v>888</x:v>
      </x:c>
      <x:c r="C126" s="10" t="s">
        <x:v>918</x:v>
      </x:c>
      <x:c r="D126" s="20" t="s">
        <x:v>893</x:v>
      </x:c>
      <x:c r="E126" s="47" t="s">
        <x:v>908</x:v>
      </x:c>
      <x:c r="F126" s="6"/>
      <x:c r="G126" s="11" t="s">
        <x:v>894</x:v>
      </x:c>
      <x:c r="H126" s="11" t="s">
        <x:v>895</x:v>
      </x:c>
      <x:c r="I126" s="6"/>
      <x:c r="J126" s="20"/>
      <x:c r="K126" s="11"/>
      <x:c r="L126" s="11"/>
      <x:c r="M126" s="14"/>
      <x:c r="N126" s="35"/>
    </x:row>
    <x:row r="127" ht="9.75" customHeight="1">
      <x:c r="A127" s="32"/>
      <x:c r="B127" s="69" t="s">
        <x:v>888</x:v>
      </x:c>
      <x:c r="C127" s="10" t="s">
        <x:v>918</x:v>
      </x:c>
      <x:c r="D127" s="20" t="s">
        <x:v>893</x:v>
      </x:c>
      <x:c r="E127" s="47" t="s">
        <x:v>910</x:v>
      </x:c>
      <x:c r="F127" s="6"/>
      <x:c r="G127" s="11" t="s">
        <x:v>894</x:v>
      </x:c>
      <x:c r="H127" s="11" t="s">
        <x:v>895</x:v>
      </x:c>
      <x:c r="I127" s="6"/>
      <x:c r="J127" s="20"/>
      <x:c r="K127" s="11"/>
      <x:c r="L127" s="11"/>
      <x:c r="M127" s="14"/>
      <x:c r="N127" s="35"/>
    </x:row>
    <x:row r="128" ht="9.75" customHeight="1">
      <x:c r="A128" s="32"/>
      <x:c r="B128" s="69" t="s">
        <x:v>888</x:v>
      </x:c>
      <x:c r="C128" s="10" t="s">
        <x:v>918</x:v>
      </x:c>
      <x:c r="D128" s="20" t="s">
        <x:v>893</x:v>
      </x:c>
      <x:c r="E128" s="47" t="s">
        <x:v>911</x:v>
      </x:c>
      <x:c r="F128" s="6"/>
      <x:c r="G128" s="11" t="s">
        <x:v>898</x:v>
      </x:c>
      <x:c r="H128" s="11" t="s">
        <x:v>899</x:v>
      </x:c>
      <x:c r="I128" s="6"/>
      <x:c r="J128" s="20"/>
      <x:c r="K128" s="11"/>
      <x:c r="L128" s="11"/>
      <x:c r="M128" s="14"/>
      <x:c r="N128" s="35"/>
    </x:row>
    <x:row r="129" ht="9.75" customHeight="1">
      <x:c r="A129" s="32"/>
      <x:c r="B129" s="69" t="s">
        <x:v>888</x:v>
      </x:c>
      <x:c r="C129" s="10" t="s">
        <x:v>918</x:v>
      </x:c>
      <x:c r="D129" s="20" t="s">
        <x:v>893</x:v>
      </x:c>
      <x:c r="E129" s="47" t="s">
        <x:v>912</x:v>
      </x:c>
      <x:c r="F129" s="6"/>
      <x:c r="G129" s="11" t="s">
        <x:v>894</x:v>
      </x:c>
      <x:c r="H129" s="11" t="s">
        <x:v>895</x:v>
      </x:c>
      <x:c r="I129" s="6"/>
      <x:c r="J129" s="20"/>
      <x:c r="K129" s="11"/>
      <x:c r="L129" s="11"/>
      <x:c r="M129" s="14"/>
      <x:c r="N129" s="35"/>
    </x:row>
    <x:row r="130" ht="9.75" customHeight="1">
      <x:c r="A130" s="32"/>
      <x:c r="B130" s="69" t="s">
        <x:v>888</x:v>
      </x:c>
      <x:c r="C130" s="10" t="s">
        <x:v>918</x:v>
      </x:c>
      <x:c r="D130" s="20" t="s">
        <x:v>893</x:v>
      </x:c>
      <x:c r="E130" s="47" t="s">
        <x:v>913</x:v>
      </x:c>
      <x:c r="F130" s="6"/>
      <x:c r="G130" s="11" t="s">
        <x:v>894</x:v>
      </x:c>
      <x:c r="H130" s="11" t="s">
        <x:v>895</x:v>
      </x:c>
      <x:c r="I130" s="6"/>
      <x:c r="J130" s="20"/>
      <x:c r="K130" s="11"/>
      <x:c r="L130" s="11"/>
      <x:c r="M130" s="14"/>
      <x:c r="N130" s="35"/>
    </x:row>
    <x:row r="131" ht="9.75" customHeight="1">
      <x:c r="A131" s="32"/>
      <x:c r="B131" s="69" t="s">
        <x:v>888</x:v>
      </x:c>
      <x:c r="C131" s="10" t="s">
        <x:v>918</x:v>
      </x:c>
      <x:c r="D131" s="20" t="s">
        <x:v>893</x:v>
      </x:c>
      <x:c r="E131" s="47" t="s">
        <x:v>914</x:v>
      </x:c>
      <x:c r="F131" s="6"/>
      <x:c r="G131" s="11" t="s">
        <x:v>894</x:v>
      </x:c>
      <x:c r="H131" s="11" t="s">
        <x:v>899</x:v>
      </x:c>
      <x:c r="I131" s="6"/>
      <x:c r="J131" s="20"/>
      <x:c r="K131" s="11"/>
      <x:c r="L131" s="11"/>
      <x:c r="M131" s="14"/>
      <x:c r="N131" s="35"/>
    </x:row>
    <x:row r="132" ht="9.75" customHeight="1">
      <x:c r="A132" s="32"/>
      <x:c r="B132" s="69" t="s">
        <x:v>888</x:v>
      </x:c>
      <x:c r="C132" s="10" t="s">
        <x:v>918</x:v>
      </x:c>
      <x:c r="D132" s="20" t="s">
        <x:v>915</x:v>
      </x:c>
      <x:c r="E132" s="47" t="s">
        <x:v>858</x:v>
      </x:c>
      <x:c r="F132" s="6"/>
      <x:c r="G132" s="11" t="s">
        <x:v>894</x:v>
      </x:c>
      <x:c r="H132" s="11" t="s">
        <x:v>892</x:v>
      </x:c>
      <x:c r="I132" s="6"/>
      <x:c r="J132" s="20"/>
      <x:c r="K132" s="11"/>
      <x:c r="L132" s="11"/>
      <x:c r="M132" s="14"/>
      <x:c r="N132" s="35"/>
    </x:row>
    <x:row r="133" ht="9.75" customHeight="1">
      <x:c r="A133" s="32"/>
      <x:c r="B133" s="69" t="s">
        <x:v>888</x:v>
      </x:c>
      <x:c r="C133" s="10" t="s">
        <x:v>918</x:v>
      </x:c>
      <x:c r="D133" s="20" t="s">
        <x:v>915</x:v>
      </x:c>
      <x:c r="E133" s="47" t="s">
        <x:v>862</x:v>
      </x:c>
      <x:c r="F133" s="6"/>
      <x:c r="G133" s="11" t="s">
        <x:v>894</x:v>
      </x:c>
      <x:c r="H133" s="11" t="s">
        <x:v>895</x:v>
      </x:c>
      <x:c r="I133" s="6"/>
      <x:c r="J133" s="20"/>
      <x:c r="K133" s="11"/>
      <x:c r="L133" s="11"/>
      <x:c r="M133" s="14"/>
      <x:c r="N133" s="35"/>
    </x:row>
    <x:row r="134" ht="9.75" customHeight="1">
      <x:c r="A134" s="32"/>
      <x:c r="B134" s="69" t="s">
        <x:v>888</x:v>
      </x:c>
      <x:c r="C134" s="10" t="s">
        <x:v>918</x:v>
      </x:c>
      <x:c r="D134" s="20" t="s">
        <x:v>915</x:v>
      </x:c>
      <x:c r="E134" s="47" t="s">
        <x:v>863</x:v>
      </x:c>
      <x:c r="F134" s="6"/>
      <x:c r="G134" s="11" t="s">
        <x:v>894</x:v>
      </x:c>
      <x:c r="H134" s="11" t="s">
        <x:v>895</x:v>
      </x:c>
      <x:c r="I134" s="6"/>
      <x:c r="J134" s="20"/>
      <x:c r="K134" s="11"/>
      <x:c r="L134" s="11"/>
      <x:c r="M134" s="14"/>
      <x:c r="N134" s="35"/>
    </x:row>
    <x:row r="135" ht="9.75" customHeight="1">
      <x:c r="A135" s="32"/>
      <x:c r="B135" s="69" t="s">
        <x:v>888</x:v>
      </x:c>
      <x:c r="C135" s="10" t="s">
        <x:v>918</x:v>
      </x:c>
      <x:c r="D135" s="20" t="s">
        <x:v>915</x:v>
      </x:c>
      <x:c r="E135" s="47" t="s">
        <x:v>865</x:v>
      </x:c>
      <x:c r="F135" s="6"/>
      <x:c r="G135" s="11" t="s">
        <x:v>894</x:v>
      </x:c>
      <x:c r="H135" s="11" t="s">
        <x:v>895</x:v>
      </x:c>
      <x:c r="I135" s="6"/>
      <x:c r="J135" s="20"/>
      <x:c r="K135" s="11"/>
      <x:c r="L135" s="11"/>
      <x:c r="M135" s="14"/>
      <x:c r="N135" s="35"/>
    </x:row>
    <x:row r="136" ht="9.75" customHeight="1">
      <x:c r="A136" s="32"/>
      <x:c r="B136" s="69" t="s">
        <x:v>888</x:v>
      </x:c>
      <x:c r="C136" s="10" t="s">
        <x:v>918</x:v>
      </x:c>
      <x:c r="D136" s="20" t="s">
        <x:v>915</x:v>
      </x:c>
      <x:c r="E136" s="47" t="s">
        <x:v>866</x:v>
      </x:c>
      <x:c r="F136" s="6"/>
      <x:c r="G136" s="11" t="s">
        <x:v>894</x:v>
      </x:c>
      <x:c r="H136" s="11" t="s">
        <x:v>895</x:v>
      </x:c>
      <x:c r="I136" s="6"/>
      <x:c r="J136" s="20"/>
      <x:c r="K136" s="11"/>
      <x:c r="L136" s="11"/>
      <x:c r="M136" s="14"/>
      <x:c r="N136" s="35"/>
    </x:row>
    <x:row r="137" ht="9.75" customHeight="1">
      <x:c r="A137" s="32"/>
      <x:c r="B137" s="69" t="s">
        <x:v>888</x:v>
      </x:c>
      <x:c r="C137" s="10" t="s">
        <x:v>918</x:v>
      </x:c>
      <x:c r="D137" s="20" t="s">
        <x:v>915</x:v>
      </x:c>
      <x:c r="E137" s="47" t="s">
        <x:v>867</x:v>
      </x:c>
      <x:c r="F137" s="6"/>
      <x:c r="G137" s="11" t="s">
        <x:v>894</x:v>
      </x:c>
      <x:c r="H137" s="11" t="s">
        <x:v>899</x:v>
      </x:c>
      <x:c r="I137" s="6"/>
      <x:c r="J137" s="20"/>
      <x:c r="K137" s="11"/>
      <x:c r="L137" s="11"/>
      <x:c r="M137" s="14"/>
      <x:c r="N137" s="35"/>
    </x:row>
    <x:row r="138" ht="9.75" customHeight="1">
      <x:c r="A138" s="32"/>
      <x:c r="B138" s="69" t="s">
        <x:v>888</x:v>
      </x:c>
      <x:c r="C138" s="10" t="s">
        <x:v>918</x:v>
      </x:c>
      <x:c r="D138" s="20" t="s">
        <x:v>915</x:v>
      </x:c>
      <x:c r="E138" s="47" t="s">
        <x:v>868</x:v>
      </x:c>
      <x:c r="F138" s="6"/>
      <x:c r="G138" s="11" t="s">
        <x:v>894</x:v>
      </x:c>
      <x:c r="H138" s="11" t="s">
        <x:v>895</x:v>
      </x:c>
      <x:c r="I138" s="6"/>
      <x:c r="J138" s="20"/>
      <x:c r="K138" s="11"/>
      <x:c r="L138" s="11"/>
      <x:c r="M138" s="14"/>
      <x:c r="N138" s="35"/>
    </x:row>
    <x:row r="139" ht="9.75" customHeight="1">
      <x:c r="A139" s="32"/>
      <x:c r="B139" s="69" t="s">
        <x:v>888</x:v>
      </x:c>
      <x:c r="C139" s="10" t="s">
        <x:v>918</x:v>
      </x:c>
      <x:c r="D139" s="20" t="s">
        <x:v>915</x:v>
      </x:c>
      <x:c r="E139" s="47" t="s">
        <x:v>869</x:v>
      </x:c>
      <x:c r="F139" s="6"/>
      <x:c r="G139" s="11" t="s">
        <x:v>894</x:v>
      </x:c>
      <x:c r="H139" s="11" t="s">
        <x:v>892</x:v>
      </x:c>
      <x:c r="I139" s="6"/>
      <x:c r="J139" s="20"/>
      <x:c r="K139" s="11"/>
      <x:c r="L139" s="11"/>
      <x:c r="M139" s="14"/>
      <x:c r="N139" s="35"/>
    </x:row>
    <x:row r="140" ht="9.75" customHeight="1">
      <x:c r="A140" s="32"/>
      <x:c r="B140" s="69" t="s">
        <x:v>888</x:v>
      </x:c>
      <x:c r="C140" s="10" t="s">
        <x:v>918</x:v>
      </x:c>
      <x:c r="D140" s="20" t="s">
        <x:v>915</x:v>
      </x:c>
      <x:c r="E140" s="47" t="s">
        <x:v>896</x:v>
      </x:c>
      <x:c r="F140" s="6"/>
      <x:c r="G140" s="11" t="s">
        <x:v>894</x:v>
      </x:c>
      <x:c r="H140" s="11" t="s">
        <x:v>895</x:v>
      </x:c>
      <x:c r="I140" s="6"/>
      <x:c r="J140" s="20"/>
      <x:c r="K140" s="11"/>
      <x:c r="L140" s="11"/>
      <x:c r="M140" s="14"/>
      <x:c r="N140" s="35"/>
    </x:row>
    <x:row r="141" ht="9.75" customHeight="1">
      <x:c r="A141" s="32"/>
      <x:c r="B141" s="69" t="s">
        <x:v>888</x:v>
      </x:c>
      <x:c r="C141" s="10" t="s">
        <x:v>918</x:v>
      </x:c>
      <x:c r="D141" s="20" t="s">
        <x:v>915</x:v>
      </x:c>
      <x:c r="E141" s="47" t="s">
        <x:v>897</x:v>
      </x:c>
      <x:c r="F141" s="6"/>
      <x:c r="G141" s="11" t="s">
        <x:v>894</x:v>
      </x:c>
      <x:c r="H141" s="11" t="s">
        <x:v>895</x:v>
      </x:c>
      <x:c r="I141" s="6"/>
      <x:c r="J141" s="20"/>
      <x:c r="K141" s="11"/>
      <x:c r="L141" s="11"/>
      <x:c r="M141" s="14"/>
      <x:c r="N141" s="35"/>
    </x:row>
    <x:row r="142" ht="9.75" customHeight="1">
      <x:c r="A142" s="32"/>
      <x:c r="B142" s="69" t="s">
        <x:v>888</x:v>
      </x:c>
      <x:c r="C142" s="10" t="s">
        <x:v>918</x:v>
      </x:c>
      <x:c r="D142" s="20" t="s">
        <x:v>915</x:v>
      </x:c>
      <x:c r="E142" s="47" t="s">
        <x:v>900</x:v>
      </x:c>
      <x:c r="F142" s="6"/>
      <x:c r="G142" s="11" t="s">
        <x:v>894</x:v>
      </x:c>
      <x:c r="H142" s="11" t="s">
        <x:v>892</x:v>
      </x:c>
      <x:c r="I142" s="6"/>
      <x:c r="J142" s="20"/>
      <x:c r="K142" s="11"/>
      <x:c r="L142" s="11"/>
      <x:c r="M142" s="14"/>
      <x:c r="N142" s="35"/>
    </x:row>
    <x:row r="143" ht="9.75" customHeight="1">
      <x:c r="A143" s="32"/>
      <x:c r="B143" s="69" t="s">
        <x:v>888</x:v>
      </x:c>
      <x:c r="C143" s="10" t="s">
        <x:v>918</x:v>
      </x:c>
      <x:c r="D143" s="20" t="s">
        <x:v>915</x:v>
      </x:c>
      <x:c r="E143" s="47" t="s">
        <x:v>901</x:v>
      </x:c>
      <x:c r="F143" s="6"/>
      <x:c r="G143" s="11" t="s">
        <x:v>894</x:v>
      </x:c>
      <x:c r="H143" s="11" t="s">
        <x:v>895</x:v>
      </x:c>
      <x:c r="I143" s="6"/>
      <x:c r="J143" s="20"/>
      <x:c r="K143" s="11"/>
      <x:c r="L143" s="11"/>
      <x:c r="M143" s="14"/>
      <x:c r="N143" s="35"/>
    </x:row>
    <x:row r="144" ht="9.75" customHeight="1">
      <x:c r="A144" s="32"/>
      <x:c r="B144" s="69" t="s">
        <x:v>888</x:v>
      </x:c>
      <x:c r="C144" s="10" t="s">
        <x:v>918</x:v>
      </x:c>
      <x:c r="D144" s="20" t="s">
        <x:v>915</x:v>
      </x:c>
      <x:c r="E144" s="47" t="s">
        <x:v>902</x:v>
      </x:c>
      <x:c r="F144" s="6"/>
      <x:c r="G144" s="11" t="s">
        <x:v>894</x:v>
      </x:c>
      <x:c r="H144" s="11" t="s">
        <x:v>895</x:v>
      </x:c>
      <x:c r="I144" s="6"/>
      <x:c r="J144" s="20"/>
      <x:c r="K144" s="11"/>
      <x:c r="L144" s="11"/>
      <x:c r="M144" s="14"/>
      <x:c r="N144" s="35"/>
    </x:row>
    <x:row r="145" ht="9.75" customHeight="1">
      <x:c r="A145" s="32"/>
      <x:c r="B145" s="69" t="s">
        <x:v>888</x:v>
      </x:c>
      <x:c r="C145" s="10" t="s">
        <x:v>918</x:v>
      </x:c>
      <x:c r="D145" s="20" t="s">
        <x:v>915</x:v>
      </x:c>
      <x:c r="E145" s="47" t="s">
        <x:v>903</x:v>
      </x:c>
      <x:c r="F145" s="6"/>
      <x:c r="G145" s="11" t="s">
        <x:v>894</x:v>
      </x:c>
      <x:c r="H145" s="11" t="s">
        <x:v>895</x:v>
      </x:c>
      <x:c r="I145" s="6"/>
      <x:c r="J145" s="20"/>
      <x:c r="K145" s="11"/>
      <x:c r="L145" s="11"/>
      <x:c r="M145" s="14"/>
      <x:c r="N145" s="35"/>
    </x:row>
    <x:row r="146" ht="9.75" customHeight="1">
      <x:c r="A146" s="32"/>
      <x:c r="B146" s="69" t="s">
        <x:v>888</x:v>
      </x:c>
      <x:c r="C146" s="10" t="s">
        <x:v>918</x:v>
      </x:c>
      <x:c r="D146" s="20" t="s">
        <x:v>915</x:v>
      </x:c>
      <x:c r="E146" s="47" t="s">
        <x:v>904</x:v>
      </x:c>
      <x:c r="F146" s="6"/>
      <x:c r="G146" s="11" t="s">
        <x:v>891</x:v>
      </x:c>
      <x:c r="H146" s="11" t="s">
        <x:v>895</x:v>
      </x:c>
      <x:c r="I146" s="6"/>
      <x:c r="J146" s="20"/>
      <x:c r="K146" s="11"/>
      <x:c r="L146" s="11"/>
      <x:c r="M146" s="14"/>
      <x:c r="N146" s="35"/>
    </x:row>
    <x:row r="147" ht="9.75" customHeight="1">
      <x:c r="A147" s="32"/>
      <x:c r="B147" s="69" t="s">
        <x:v>888</x:v>
      </x:c>
      <x:c r="C147" s="10" t="s">
        <x:v>918</x:v>
      </x:c>
      <x:c r="D147" s="20" t="s">
        <x:v>915</x:v>
      </x:c>
      <x:c r="E147" s="47" t="s">
        <x:v>905</x:v>
      </x:c>
      <x:c r="F147" s="6"/>
      <x:c r="G147" s="11" t="s">
        <x:v>891</x:v>
      </x:c>
      <x:c r="H147" s="11" t="s">
        <x:v>892</x:v>
      </x:c>
      <x:c r="I147" s="6"/>
      <x:c r="J147" s="20"/>
      <x:c r="K147" s="11"/>
      <x:c r="L147" s="11"/>
      <x:c r="M147" s="14"/>
      <x:c r="N147" s="35"/>
    </x:row>
    <x:row r="148" ht="9.75" customHeight="1">
      <x:c r="A148" s="32"/>
      <x:c r="B148" s="69" t="s">
        <x:v>888</x:v>
      </x:c>
      <x:c r="C148" s="10" t="s">
        <x:v>918</x:v>
      </x:c>
      <x:c r="D148" s="20" t="s">
        <x:v>915</x:v>
      </x:c>
      <x:c r="E148" s="47" t="s">
        <x:v>906</x:v>
      </x:c>
      <x:c r="F148" s="6"/>
      <x:c r="G148" s="11" t="s">
        <x:v>898</x:v>
      </x:c>
      <x:c r="H148" s="11" t="s">
        <x:v>899</x:v>
      </x:c>
      <x:c r="I148" s="6"/>
      <x:c r="J148" s="20"/>
      <x:c r="K148" s="11"/>
      <x:c r="L148" s="11"/>
      <x:c r="M148" s="14"/>
      <x:c r="N148" s="35"/>
    </x:row>
    <x:row r="149" ht="9.75" customHeight="1">
      <x:c r="A149" s="32"/>
      <x:c r="B149" s="69" t="s">
        <x:v>888</x:v>
      </x:c>
      <x:c r="C149" s="10" t="s">
        <x:v>918</x:v>
      </x:c>
      <x:c r="D149" s="20" t="s">
        <x:v>915</x:v>
      </x:c>
      <x:c r="E149" s="47" t="s">
        <x:v>907</x:v>
      </x:c>
      <x:c r="F149" s="6"/>
      <x:c r="G149" s="11" t="s">
        <x:v>894</x:v>
      </x:c>
      <x:c r="H149" s="11" t="s">
        <x:v>895</x:v>
      </x:c>
      <x:c r="I149" s="6"/>
      <x:c r="J149" s="20"/>
      <x:c r="K149" s="11"/>
      <x:c r="L149" s="11"/>
      <x:c r="M149" s="14"/>
      <x:c r="N149" s="35"/>
    </x:row>
    <x:row r="150" ht="9.75" customHeight="1">
      <x:c r="A150" s="32"/>
      <x:c r="B150" s="69" t="s">
        <x:v>888</x:v>
      </x:c>
      <x:c r="C150" s="10" t="s">
        <x:v>918</x:v>
      </x:c>
      <x:c r="D150" s="20" t="s">
        <x:v>915</x:v>
      </x:c>
      <x:c r="E150" s="47" t="s">
        <x:v>908</x:v>
      </x:c>
      <x:c r="F150" s="6"/>
      <x:c r="G150" s="11" t="s">
        <x:v>894</x:v>
      </x:c>
      <x:c r="H150" s="11" t="s">
        <x:v>892</x:v>
      </x:c>
      <x:c r="I150" s="6"/>
      <x:c r="J150" s="20"/>
      <x:c r="K150" s="11"/>
      <x:c r="L150" s="11"/>
      <x:c r="M150" s="14"/>
      <x:c r="N150" s="35"/>
    </x:row>
    <x:row r="151" ht="9.75" customHeight="1">
      <x:c r="A151" s="32"/>
      <x:c r="B151" s="69" t="s">
        <x:v>888</x:v>
      </x:c>
      <x:c r="C151" s="10" t="s">
        <x:v>918</x:v>
      </x:c>
      <x:c r="D151" s="20" t="s">
        <x:v>915</x:v>
      </x:c>
      <x:c r="E151" s="47" t="s">
        <x:v>910</x:v>
      </x:c>
      <x:c r="F151" s="6"/>
      <x:c r="G151" s="11" t="s">
        <x:v>894</x:v>
      </x:c>
      <x:c r="H151" s="11" t="s">
        <x:v>909</x:v>
      </x:c>
      <x:c r="I151" s="6"/>
      <x:c r="J151" s="20"/>
      <x:c r="K151" s="11"/>
      <x:c r="L151" s="11"/>
      <x:c r="M151" s="14"/>
      <x:c r="N151" s="35"/>
    </x:row>
    <x:row r="152" ht="9.75" customHeight="1">
      <x:c r="A152" s="32"/>
      <x:c r="B152" s="69" t="s">
        <x:v>888</x:v>
      </x:c>
      <x:c r="C152" s="10" t="s">
        <x:v>918</x:v>
      </x:c>
      <x:c r="D152" s="20" t="s">
        <x:v>915</x:v>
      </x:c>
      <x:c r="E152" s="47" t="s">
        <x:v>911</x:v>
      </x:c>
      <x:c r="F152" s="6"/>
      <x:c r="G152" s="11" t="s">
        <x:v>894</x:v>
      </x:c>
      <x:c r="H152" s="11" t="s">
        <x:v>895</x:v>
      </x:c>
      <x:c r="I152" s="6"/>
      <x:c r="J152" s="20"/>
      <x:c r="K152" s="11"/>
      <x:c r="L152" s="11"/>
      <x:c r="M152" s="14"/>
      <x:c r="N152" s="35"/>
    </x:row>
    <x:row r="153" ht="9.75" customHeight="1">
      <x:c r="A153" s="32"/>
      <x:c r="B153" s="69" t="s">
        <x:v>888</x:v>
      </x:c>
      <x:c r="C153" s="10" t="s">
        <x:v>918</x:v>
      </x:c>
      <x:c r="D153" s="20" t="s">
        <x:v>915</x:v>
      </x:c>
      <x:c r="E153" s="47" t="s">
        <x:v>912</x:v>
      </x:c>
      <x:c r="F153" s="6"/>
      <x:c r="G153" s="11" t="s">
        <x:v>894</x:v>
      </x:c>
      <x:c r="H153" s="11" t="s">
        <x:v>892</x:v>
      </x:c>
      <x:c r="I153" s="6"/>
      <x:c r="J153" s="20"/>
      <x:c r="K153" s="11"/>
      <x:c r="L153" s="11"/>
      <x:c r="M153" s="14"/>
      <x:c r="N153" s="35"/>
    </x:row>
    <x:row r="154" ht="9.75" customHeight="1">
      <x:c r="A154" s="32"/>
      <x:c r="B154" s="69" t="s">
        <x:v>888</x:v>
      </x:c>
      <x:c r="C154" s="10" t="s">
        <x:v>918</x:v>
      </x:c>
      <x:c r="D154" s="20" t="s">
        <x:v>915</x:v>
      </x:c>
      <x:c r="E154" s="47" t="s">
        <x:v>913</x:v>
      </x:c>
      <x:c r="F154" s="6"/>
      <x:c r="G154" s="11" t="s">
        <x:v>894</x:v>
      </x:c>
      <x:c r="H154" s="11" t="s">
        <x:v>895</x:v>
      </x:c>
      <x:c r="I154" s="6"/>
      <x:c r="J154" s="20"/>
      <x:c r="K154" s="11"/>
      <x:c r="L154" s="11"/>
      <x:c r="M154" s="14"/>
      <x:c r="N154" s="35"/>
    </x:row>
    <x:row r="155" ht="9.75" customHeight="1">
      <x:c r="A155" s="32"/>
      <x:c r="B155" s="69" t="s">
        <x:v>888</x:v>
      </x:c>
      <x:c r="C155" s="10" t="s">
        <x:v>918</x:v>
      </x:c>
      <x:c r="D155" s="20" t="s">
        <x:v>915</x:v>
      </x:c>
      <x:c r="E155" s="47" t="s">
        <x:v>914</x:v>
      </x:c>
      <x:c r="F155" s="6"/>
      <x:c r="G155" s="11" t="s">
        <x:v>894</x:v>
      </x:c>
      <x:c r="H155" s="11" t="s">
        <x:v>892</x:v>
      </x:c>
      <x:c r="I155" s="6"/>
      <x:c r="J155" s="20"/>
      <x:c r="K155" s="11"/>
      <x:c r="L155" s="11"/>
      <x:c r="M155" s="14"/>
      <x:c r="N155" s="35"/>
    </x:row>
    <x:row r="156" ht="9.75" customHeight="1">
      <x:c r="A156" s="32"/>
      <x:c r="B156" s="69" t="s">
        <x:v>888</x:v>
      </x:c>
      <x:c r="C156" s="10" t="s">
        <x:v>918</x:v>
      </x:c>
      <x:c r="D156" s="20" t="s">
        <x:v>916</x:v>
      </x:c>
      <x:c r="E156" s="47" t="s">
        <x:v>858</x:v>
      </x:c>
      <x:c r="F156" s="6"/>
      <x:c r="G156" s="11" t="s">
        <x:v>894</x:v>
      </x:c>
      <x:c r="H156" s="11" t="s">
        <x:v>892</x:v>
      </x:c>
      <x:c r="I156" s="6"/>
      <x:c r="J156" s="20"/>
      <x:c r="K156" s="11"/>
      <x:c r="L156" s="11"/>
      <x:c r="M156" s="14"/>
      <x:c r="N156" s="35"/>
    </x:row>
    <x:row r="157" ht="9.75" customHeight="1">
      <x:c r="A157" s="32"/>
      <x:c r="B157" s="69" t="s">
        <x:v>888</x:v>
      </x:c>
      <x:c r="C157" s="10" t="s">
        <x:v>918</x:v>
      </x:c>
      <x:c r="D157" s="20" t="s">
        <x:v>916</x:v>
      </x:c>
      <x:c r="E157" s="47" t="s">
        <x:v>862</x:v>
      </x:c>
      <x:c r="F157" s="6"/>
      <x:c r="G157" s="11" t="s">
        <x:v>894</x:v>
      </x:c>
      <x:c r="H157" s="11" t="s">
        <x:v>892</x:v>
      </x:c>
      <x:c r="I157" s="6"/>
      <x:c r="J157" s="20"/>
      <x:c r="K157" s="11"/>
      <x:c r="L157" s="11"/>
      <x:c r="M157" s="14"/>
      <x:c r="N157" s="35"/>
    </x:row>
    <x:row r="158" ht="9.75" customHeight="1">
      <x:c r="A158" s="32"/>
      <x:c r="B158" s="69" t="s">
        <x:v>888</x:v>
      </x:c>
      <x:c r="C158" s="10" t="s">
        <x:v>918</x:v>
      </x:c>
      <x:c r="D158" s="20" t="s">
        <x:v>916</x:v>
      </x:c>
      <x:c r="E158" s="47" t="s">
        <x:v>863</x:v>
      </x:c>
      <x:c r="F158" s="6"/>
      <x:c r="G158" s="11" t="s">
        <x:v>894</x:v>
      </x:c>
      <x:c r="H158" s="11" t="s">
        <x:v>892</x:v>
      </x:c>
      <x:c r="I158" s="6"/>
      <x:c r="J158" s="20"/>
      <x:c r="K158" s="11"/>
      <x:c r="L158" s="11"/>
      <x:c r="M158" s="14"/>
      <x:c r="N158" s="35"/>
    </x:row>
    <x:row r="159" ht="9.75" customHeight="1">
      <x:c r="A159" s="32"/>
      <x:c r="B159" s="69" t="s">
        <x:v>888</x:v>
      </x:c>
      <x:c r="C159" s="10" t="s">
        <x:v>918</x:v>
      </x:c>
      <x:c r="D159" s="20" t="s">
        <x:v>916</x:v>
      </x:c>
      <x:c r="E159" s="47" t="s">
        <x:v>865</x:v>
      </x:c>
      <x:c r="F159" s="6"/>
      <x:c r="G159" s="11" t="s">
        <x:v>891</x:v>
      </x:c>
      <x:c r="H159" s="11" t="s">
        <x:v>909</x:v>
      </x:c>
      <x:c r="I159" s="6"/>
      <x:c r="J159" s="20"/>
      <x:c r="K159" s="11"/>
      <x:c r="L159" s="11"/>
      <x:c r="M159" s="14"/>
      <x:c r="N159" s="35"/>
    </x:row>
    <x:row r="160" ht="9.75" customHeight="1">
      <x:c r="A160" s="32"/>
      <x:c r="B160" s="69" t="s">
        <x:v>888</x:v>
      </x:c>
      <x:c r="C160" s="10" t="s">
        <x:v>918</x:v>
      </x:c>
      <x:c r="D160" s="20" t="s">
        <x:v>916</x:v>
      </x:c>
      <x:c r="E160" s="47" t="s">
        <x:v>866</x:v>
      </x:c>
      <x:c r="F160" s="6"/>
      <x:c r="G160" s="11" t="s">
        <x:v>894</x:v>
      </x:c>
      <x:c r="H160" s="11" t="s">
        <x:v>895</x:v>
      </x:c>
      <x:c r="I160" s="6"/>
      <x:c r="J160" s="20"/>
      <x:c r="K160" s="11"/>
      <x:c r="L160" s="11"/>
      <x:c r="M160" s="14"/>
      <x:c r="N160" s="35"/>
    </x:row>
    <x:row r="161" ht="9.75" customHeight="1">
      <x:c r="A161" s="32"/>
      <x:c r="B161" s="69" t="s">
        <x:v>888</x:v>
      </x:c>
      <x:c r="C161" s="10" t="s">
        <x:v>918</x:v>
      </x:c>
      <x:c r="D161" s="20" t="s">
        <x:v>916</x:v>
      </x:c>
      <x:c r="E161" s="47" t="s">
        <x:v>867</x:v>
      </x:c>
      <x:c r="F161" s="6"/>
      <x:c r="G161" s="11" t="s">
        <x:v>894</x:v>
      </x:c>
      <x:c r="H161" s="11" t="s">
        <x:v>899</x:v>
      </x:c>
      <x:c r="I161" s="6"/>
      <x:c r="J161" s="20"/>
      <x:c r="K161" s="11"/>
      <x:c r="L161" s="11"/>
      <x:c r="M161" s="14"/>
      <x:c r="N161" s="35"/>
    </x:row>
    <x:row r="162" ht="9.75" customHeight="1">
      <x:c r="A162" s="32"/>
      <x:c r="B162" s="69" t="s">
        <x:v>888</x:v>
      </x:c>
      <x:c r="C162" s="10" t="s">
        <x:v>918</x:v>
      </x:c>
      <x:c r="D162" s="20" t="s">
        <x:v>916</x:v>
      </x:c>
      <x:c r="E162" s="47" t="s">
        <x:v>868</x:v>
      </x:c>
      <x:c r="F162" s="6"/>
      <x:c r="G162" s="11" t="s">
        <x:v>894</x:v>
      </x:c>
      <x:c r="H162" s="11" t="s">
        <x:v>895</x:v>
      </x:c>
      <x:c r="I162" s="6"/>
      <x:c r="J162" s="20"/>
      <x:c r="K162" s="11"/>
      <x:c r="L162" s="11"/>
      <x:c r="M162" s="14"/>
      <x:c r="N162" s="35"/>
    </x:row>
    <x:row r="163" ht="9.75" customHeight="1">
      <x:c r="A163" s="32"/>
      <x:c r="B163" s="69" t="s">
        <x:v>888</x:v>
      </x:c>
      <x:c r="C163" s="10" t="s">
        <x:v>918</x:v>
      </x:c>
      <x:c r="D163" s="20" t="s">
        <x:v>916</x:v>
      </x:c>
      <x:c r="E163" s="47" t="s">
        <x:v>869</x:v>
      </x:c>
      <x:c r="F163" s="6"/>
      <x:c r="G163" s="11" t="s">
        <x:v>894</x:v>
      </x:c>
      <x:c r="H163" s="11" t="s">
        <x:v>892</x:v>
      </x:c>
      <x:c r="I163" s="6"/>
      <x:c r="J163" s="20"/>
      <x:c r="K163" s="11"/>
      <x:c r="L163" s="11"/>
      <x:c r="M163" s="14"/>
      <x:c r="N163" s="35"/>
    </x:row>
    <x:row r="164" ht="9.75" customHeight="1">
      <x:c r="A164" s="32"/>
      <x:c r="B164" s="69" t="s">
        <x:v>888</x:v>
      </x:c>
      <x:c r="C164" s="10" t="s">
        <x:v>918</x:v>
      </x:c>
      <x:c r="D164" s="20" t="s">
        <x:v>916</x:v>
      </x:c>
      <x:c r="E164" s="47" t="s">
        <x:v>896</x:v>
      </x:c>
      <x:c r="F164" s="6"/>
      <x:c r="G164" s="11" t="s">
        <x:v>894</x:v>
      </x:c>
      <x:c r="H164" s="11" t="s">
        <x:v>892</x:v>
      </x:c>
      <x:c r="I164" s="6"/>
      <x:c r="J164" s="20"/>
      <x:c r="K164" s="11"/>
      <x:c r="L164" s="11"/>
      <x:c r="M164" s="14"/>
      <x:c r="N164" s="35"/>
    </x:row>
    <x:row r="165" ht="9.75" customHeight="1">
      <x:c r="A165" s="32"/>
      <x:c r="B165" s="69" t="s">
        <x:v>888</x:v>
      </x:c>
      <x:c r="C165" s="10" t="s">
        <x:v>918</x:v>
      </x:c>
      <x:c r="D165" s="20" t="s">
        <x:v>916</x:v>
      </x:c>
      <x:c r="E165" s="47" t="s">
        <x:v>897</x:v>
      </x:c>
      <x:c r="F165" s="6"/>
      <x:c r="G165" s="11" t="s">
        <x:v>894</x:v>
      </x:c>
      <x:c r="H165" s="11" t="s">
        <x:v>892</x:v>
      </x:c>
      <x:c r="I165" s="6"/>
      <x:c r="J165" s="20"/>
      <x:c r="K165" s="11"/>
      <x:c r="L165" s="11"/>
      <x:c r="M165" s="14"/>
      <x:c r="N165" s="35"/>
    </x:row>
    <x:row r="166" ht="9.75" customHeight="1">
      <x:c r="A166" s="32"/>
      <x:c r="B166" s="69" t="s">
        <x:v>888</x:v>
      </x:c>
      <x:c r="C166" s="10" t="s">
        <x:v>918</x:v>
      </x:c>
      <x:c r="D166" s="20" t="s">
        <x:v>916</x:v>
      </x:c>
      <x:c r="E166" s="47" t="s">
        <x:v>900</x:v>
      </x:c>
      <x:c r="F166" s="6"/>
      <x:c r="G166" s="11" t="s">
        <x:v>894</x:v>
      </x:c>
      <x:c r="H166" s="11" t="s">
        <x:v>892</x:v>
      </x:c>
      <x:c r="I166" s="6"/>
      <x:c r="J166" s="20"/>
      <x:c r="K166" s="11"/>
      <x:c r="L166" s="11"/>
      <x:c r="M166" s="14"/>
      <x:c r="N166" s="35"/>
    </x:row>
    <x:row r="167" ht="9.75" customHeight="1">
      <x:c r="A167" s="32"/>
      <x:c r="B167" s="69" t="s">
        <x:v>888</x:v>
      </x:c>
      <x:c r="C167" s="10" t="s">
        <x:v>918</x:v>
      </x:c>
      <x:c r="D167" s="20" t="s">
        <x:v>916</x:v>
      </x:c>
      <x:c r="E167" s="47" t="s">
        <x:v>901</x:v>
      </x:c>
      <x:c r="F167" s="6"/>
      <x:c r="G167" s="11" t="s">
        <x:v>894</x:v>
      </x:c>
      <x:c r="H167" s="11" t="s">
        <x:v>892</x:v>
      </x:c>
      <x:c r="I167" s="6"/>
      <x:c r="J167" s="20"/>
      <x:c r="K167" s="11"/>
      <x:c r="L167" s="11"/>
      <x:c r="M167" s="14"/>
      <x:c r="N167" s="35"/>
    </x:row>
    <x:row r="168" ht="9.75" customHeight="1">
      <x:c r="A168" s="32"/>
      <x:c r="B168" s="69" t="s">
        <x:v>888</x:v>
      </x:c>
      <x:c r="C168" s="10" t="s">
        <x:v>918</x:v>
      </x:c>
      <x:c r="D168" s="20" t="s">
        <x:v>916</x:v>
      </x:c>
      <x:c r="E168" s="47" t="s">
        <x:v>902</x:v>
      </x:c>
      <x:c r="F168" s="6"/>
      <x:c r="G168" s="11" t="s">
        <x:v>891</x:v>
      </x:c>
      <x:c r="H168" s="11" t="s">
        <x:v>895</x:v>
      </x:c>
      <x:c r="I168" s="6"/>
      <x:c r="J168" s="20"/>
      <x:c r="K168" s="11"/>
      <x:c r="L168" s="11"/>
      <x:c r="M168" s="14"/>
      <x:c r="N168" s="35"/>
    </x:row>
    <x:row r="169" ht="9.75" customHeight="1">
      <x:c r="A169" s="32"/>
      <x:c r="B169" s="69" t="s">
        <x:v>888</x:v>
      </x:c>
      <x:c r="C169" s="10" t="s">
        <x:v>918</x:v>
      </x:c>
      <x:c r="D169" s="20" t="s">
        <x:v>916</x:v>
      </x:c>
      <x:c r="E169" s="47" t="s">
        <x:v>903</x:v>
      </x:c>
      <x:c r="F169" s="6"/>
      <x:c r="G169" s="11" t="s">
        <x:v>894</x:v>
      </x:c>
      <x:c r="H169" s="11" t="s">
        <x:v>892</x:v>
      </x:c>
      <x:c r="I169" s="6"/>
      <x:c r="J169" s="20"/>
      <x:c r="K169" s="11"/>
      <x:c r="L169" s="11"/>
      <x:c r="M169" s="14"/>
      <x:c r="N169" s="35"/>
    </x:row>
    <x:row r="170" ht="9.75" customHeight="1">
      <x:c r="A170" s="32"/>
      <x:c r="B170" s="69" t="s">
        <x:v>888</x:v>
      </x:c>
      <x:c r="C170" s="10" t="s">
        <x:v>918</x:v>
      </x:c>
      <x:c r="D170" s="20" t="s">
        <x:v>916</x:v>
      </x:c>
      <x:c r="E170" s="47" t="s">
        <x:v>904</x:v>
      </x:c>
      <x:c r="F170" s="6"/>
      <x:c r="G170" s="11" t="s">
        <x:v>894</x:v>
      </x:c>
      <x:c r="H170" s="11" t="s">
        <x:v>892</x:v>
      </x:c>
      <x:c r="I170" s="6"/>
      <x:c r="J170" s="20"/>
      <x:c r="K170" s="11"/>
      <x:c r="L170" s="11"/>
      <x:c r="M170" s="14"/>
      <x:c r="N170" s="35"/>
    </x:row>
    <x:row r="171" ht="9.75" customHeight="1">
      <x:c r="A171" s="32"/>
      <x:c r="B171" s="69" t="s">
        <x:v>888</x:v>
      </x:c>
      <x:c r="C171" s="10" t="s">
        <x:v>918</x:v>
      </x:c>
      <x:c r="D171" s="20" t="s">
        <x:v>916</x:v>
      </x:c>
      <x:c r="E171" s="47" t="s">
        <x:v>905</x:v>
      </x:c>
      <x:c r="F171" s="6"/>
      <x:c r="G171" s="11" t="s">
        <x:v>894</x:v>
      </x:c>
      <x:c r="H171" s="11" t="s">
        <x:v>892</x:v>
      </x:c>
      <x:c r="I171" s="6"/>
      <x:c r="J171" s="20"/>
      <x:c r="K171" s="11"/>
      <x:c r="L171" s="11"/>
      <x:c r="M171" s="14"/>
      <x:c r="N171" s="35"/>
    </x:row>
    <x:row r="172" ht="9.75" customHeight="1">
      <x:c r="A172" s="32"/>
      <x:c r="B172" s="69" t="s">
        <x:v>888</x:v>
      </x:c>
      <x:c r="C172" s="10" t="s">
        <x:v>918</x:v>
      </x:c>
      <x:c r="D172" s="20" t="s">
        <x:v>916</x:v>
      </x:c>
      <x:c r="E172" s="47" t="s">
        <x:v>906</x:v>
      </x:c>
      <x:c r="F172" s="6"/>
      <x:c r="G172" s="11" t="s">
        <x:v>894</x:v>
      </x:c>
      <x:c r="H172" s="11" t="s">
        <x:v>892</x:v>
      </x:c>
      <x:c r="I172" s="6"/>
      <x:c r="J172" s="20"/>
      <x:c r="K172" s="11"/>
      <x:c r="L172" s="11"/>
      <x:c r="M172" s="14"/>
      <x:c r="N172" s="35"/>
    </x:row>
    <x:row r="173" ht="9.75" customHeight="1">
      <x:c r="A173" s="32"/>
      <x:c r="B173" s="69" t="s">
        <x:v>888</x:v>
      </x:c>
      <x:c r="C173" s="10" t="s">
        <x:v>918</x:v>
      </x:c>
      <x:c r="D173" s="20" t="s">
        <x:v>916</x:v>
      </x:c>
      <x:c r="E173" s="47" t="s">
        <x:v>907</x:v>
      </x:c>
      <x:c r="F173" s="6"/>
      <x:c r="G173" s="11" t="s">
        <x:v>894</x:v>
      </x:c>
      <x:c r="H173" s="11" t="s">
        <x:v>892</x:v>
      </x:c>
      <x:c r="I173" s="6"/>
      <x:c r="J173" s="20"/>
      <x:c r="K173" s="11"/>
      <x:c r="L173" s="11"/>
      <x:c r="M173" s="14"/>
      <x:c r="N173" s="35"/>
    </x:row>
    <x:row r="174" ht="9.75" customHeight="1">
      <x:c r="A174" s="32"/>
      <x:c r="B174" s="69" t="s">
        <x:v>888</x:v>
      </x:c>
      <x:c r="C174" s="10" t="s">
        <x:v>918</x:v>
      </x:c>
      <x:c r="D174" s="20" t="s">
        <x:v>916</x:v>
      </x:c>
      <x:c r="E174" s="47" t="s">
        <x:v>908</x:v>
      </x:c>
      <x:c r="F174" s="6"/>
      <x:c r="G174" s="11" t="s">
        <x:v>894</x:v>
      </x:c>
      <x:c r="H174" s="11" t="s">
        <x:v>895</x:v>
      </x:c>
      <x:c r="I174" s="6"/>
      <x:c r="J174" s="20"/>
      <x:c r="K174" s="11"/>
      <x:c r="L174" s="11"/>
      <x:c r="M174" s="14"/>
      <x:c r="N174" s="35"/>
    </x:row>
    <x:row r="175" ht="9.75" customHeight="1">
      <x:c r="A175" s="32"/>
      <x:c r="B175" s="69" t="s">
        <x:v>888</x:v>
      </x:c>
      <x:c r="C175" s="10" t="s">
        <x:v>918</x:v>
      </x:c>
      <x:c r="D175" s="20" t="s">
        <x:v>916</x:v>
      </x:c>
      <x:c r="E175" s="47" t="s">
        <x:v>910</x:v>
      </x:c>
      <x:c r="F175" s="6"/>
      <x:c r="G175" s="11" t="s">
        <x:v>894</x:v>
      </x:c>
      <x:c r="H175" s="11" t="s">
        <x:v>892</x:v>
      </x:c>
      <x:c r="I175" s="6"/>
      <x:c r="J175" s="20"/>
      <x:c r="K175" s="11"/>
      <x:c r="L175" s="11"/>
      <x:c r="M175" s="14"/>
      <x:c r="N175" s="35"/>
    </x:row>
    <x:row r="176" ht="9.75" customHeight="1">
      <x:c r="A176" s="32"/>
      <x:c r="B176" s="69" t="s">
        <x:v>888</x:v>
      </x:c>
      <x:c r="C176" s="10" t="s">
        <x:v>918</x:v>
      </x:c>
      <x:c r="D176" s="20" t="s">
        <x:v>916</x:v>
      </x:c>
      <x:c r="E176" s="47" t="s">
        <x:v>911</x:v>
      </x:c>
      <x:c r="F176" s="6"/>
      <x:c r="G176" s="11" t="s">
        <x:v>894</x:v>
      </x:c>
      <x:c r="H176" s="11" t="s">
        <x:v>892</x:v>
      </x:c>
      <x:c r="I176" s="6"/>
      <x:c r="J176" s="20"/>
      <x:c r="K176" s="11"/>
      <x:c r="L176" s="11"/>
      <x:c r="M176" s="14"/>
      <x:c r="N176" s="35"/>
    </x:row>
    <x:row r="177" ht="9.75" customHeight="1">
      <x:c r="A177" s="32"/>
      <x:c r="B177" s="69" t="s">
        <x:v>888</x:v>
      </x:c>
      <x:c r="C177" s="10" t="s">
        <x:v>918</x:v>
      </x:c>
      <x:c r="D177" s="20" t="s">
        <x:v>916</x:v>
      </x:c>
      <x:c r="E177" s="47" t="s">
        <x:v>912</x:v>
      </x:c>
      <x:c r="F177" s="6"/>
      <x:c r="G177" s="11" t="s">
        <x:v>891</x:v>
      </x:c>
      <x:c r="H177" s="11" t="s">
        <x:v>895</x:v>
      </x:c>
      <x:c r="I177" s="6"/>
      <x:c r="J177" s="20"/>
      <x:c r="K177" s="11"/>
      <x:c r="L177" s="11"/>
      <x:c r="M177" s="14"/>
      <x:c r="N177" s="35"/>
    </x:row>
    <x:row r="178" ht="9.75" customHeight="1">
      <x:c r="A178" s="32"/>
      <x:c r="B178" s="69" t="s">
        <x:v>888</x:v>
      </x:c>
      <x:c r="C178" s="10" t="s">
        <x:v>918</x:v>
      </x:c>
      <x:c r="D178" s="20" t="s">
        <x:v>916</x:v>
      </x:c>
      <x:c r="E178" s="47" t="s">
        <x:v>913</x:v>
      </x:c>
      <x:c r="F178" s="6"/>
      <x:c r="G178" s="11" t="s">
        <x:v>894</x:v>
      </x:c>
      <x:c r="H178" s="11" t="s">
        <x:v>892</x:v>
      </x:c>
      <x:c r="I178" s="6"/>
      <x:c r="J178" s="20"/>
      <x:c r="K178" s="11"/>
      <x:c r="L178" s="11"/>
      <x:c r="M178" s="14"/>
      <x:c r="N178" s="35"/>
    </x:row>
    <x:row r="179" ht="9.75" customHeight="1">
      <x:c r="A179" s="32"/>
      <x:c r="B179" s="69" t="s">
        <x:v>888</x:v>
      </x:c>
      <x:c r="C179" s="10" t="s">
        <x:v>918</x:v>
      </x:c>
      <x:c r="D179" s="20" t="s">
        <x:v>916</x:v>
      </x:c>
      <x:c r="E179" s="47" t="s">
        <x:v>914</x:v>
      </x:c>
      <x:c r="F179" s="6"/>
      <x:c r="G179" s="11" t="s">
        <x:v>894</x:v>
      </x:c>
      <x:c r="H179" s="11" t="s">
        <x:v>892</x:v>
      </x:c>
      <x:c r="I179" s="6"/>
      <x:c r="J179" s="20"/>
      <x:c r="K179" s="11"/>
      <x:c r="L179" s="11"/>
      <x:c r="M179" s="14"/>
      <x:c r="N179" s="35"/>
    </x:row>
    <x:row r="180" ht="9.75" customHeight="1">
      <x:c r="A180" s="32"/>
      <x:c r="B180" s="69" t="s">
        <x:v>888</x:v>
      </x:c>
      <x:c r="C180" s="10" t="s">
        <x:v>918</x:v>
      </x:c>
      <x:c r="D180" s="20" t="s">
        <x:v>917</x:v>
      </x:c>
      <x:c r="E180" s="47" t="s">
        <x:v>858</x:v>
      </x:c>
      <x:c r="F180" s="6"/>
      <x:c r="G180" s="11" t="s">
        <x:v>891</x:v>
      </x:c>
      <x:c r="H180" s="11" t="s">
        <x:v>892</x:v>
      </x:c>
      <x:c r="I180" s="6"/>
      <x:c r="J180" s="20"/>
      <x:c r="K180" s="11"/>
      <x:c r="L180" s="11"/>
      <x:c r="M180" s="14"/>
      <x:c r="N180" s="35"/>
    </x:row>
    <x:row r="181" ht="9.75" customHeight="1">
      <x:c r="A181" s="32"/>
      <x:c r="B181" s="69" t="s">
        <x:v>888</x:v>
      </x:c>
      <x:c r="C181" s="10" t="s">
        <x:v>918</x:v>
      </x:c>
      <x:c r="D181" s="20" t="s">
        <x:v>917</x:v>
      </x:c>
      <x:c r="E181" s="47" t="s">
        <x:v>862</x:v>
      </x:c>
      <x:c r="F181" s="6"/>
      <x:c r="G181" s="11" t="s">
        <x:v>898</x:v>
      </x:c>
      <x:c r="H181" s="11" t="s">
        <x:v>899</x:v>
      </x:c>
      <x:c r="I181" s="6"/>
      <x:c r="J181" s="20"/>
      <x:c r="K181" s="11"/>
      <x:c r="L181" s="11"/>
      <x:c r="M181" s="14"/>
      <x:c r="N181" s="35"/>
    </x:row>
    <x:row r="182" ht="9.75" customHeight="1">
      <x:c r="A182" s="32"/>
      <x:c r="B182" s="69" t="s">
        <x:v>888</x:v>
      </x:c>
      <x:c r="C182" s="10" t="s">
        <x:v>918</x:v>
      </x:c>
      <x:c r="D182" s="20" t="s">
        <x:v>917</x:v>
      </x:c>
      <x:c r="E182" s="47" t="s">
        <x:v>863</x:v>
      </x:c>
      <x:c r="F182" s="6"/>
      <x:c r="G182" s="11" t="s">
        <x:v>891</x:v>
      </x:c>
      <x:c r="H182" s="11" t="s">
        <x:v>895</x:v>
      </x:c>
      <x:c r="I182" s="6"/>
      <x:c r="J182" s="20"/>
      <x:c r="K182" s="11"/>
      <x:c r="L182" s="11"/>
      <x:c r="M182" s="14"/>
      <x:c r="N182" s="35"/>
    </x:row>
    <x:row r="183" ht="9.75" customHeight="1">
      <x:c r="A183" s="32"/>
      <x:c r="B183" s="69" t="s">
        <x:v>888</x:v>
      </x:c>
      <x:c r="C183" s="10" t="s">
        <x:v>918</x:v>
      </x:c>
      <x:c r="D183" s="20" t="s">
        <x:v>917</x:v>
      </x:c>
      <x:c r="E183" s="47" t="s">
        <x:v>865</x:v>
      </x:c>
      <x:c r="F183" s="6"/>
      <x:c r="G183" s="11" t="s">
        <x:v>894</x:v>
      </x:c>
      <x:c r="H183" s="11" t="s">
        <x:v>892</x:v>
      </x:c>
      <x:c r="I183" s="6"/>
      <x:c r="J183" s="20"/>
      <x:c r="K183" s="11"/>
      <x:c r="L183" s="11"/>
      <x:c r="M183" s="14"/>
      <x:c r="N183" s="35"/>
    </x:row>
    <x:row r="184" ht="9.75" customHeight="1">
      <x:c r="A184" s="32"/>
      <x:c r="B184" s="69" t="s">
        <x:v>888</x:v>
      </x:c>
      <x:c r="C184" s="10" t="s">
        <x:v>918</x:v>
      </x:c>
      <x:c r="D184" s="20" t="s">
        <x:v>917</x:v>
      </x:c>
      <x:c r="E184" s="47" t="s">
        <x:v>866</x:v>
      </x:c>
      <x:c r="F184" s="6"/>
      <x:c r="G184" s="11" t="s">
        <x:v>894</x:v>
      </x:c>
      <x:c r="H184" s="11" t="s">
        <x:v>892</x:v>
      </x:c>
      <x:c r="I184" s="6"/>
      <x:c r="J184" s="20"/>
      <x:c r="K184" s="11"/>
      <x:c r="L184" s="11"/>
      <x:c r="M184" s="14"/>
      <x:c r="N184" s="35"/>
    </x:row>
    <x:row r="185" ht="9.75" customHeight="1">
      <x:c r="A185" s="32"/>
      <x:c r="B185" s="69" t="s">
        <x:v>888</x:v>
      </x:c>
      <x:c r="C185" s="10" t="s">
        <x:v>918</x:v>
      </x:c>
      <x:c r="D185" s="20" t="s">
        <x:v>917</x:v>
      </x:c>
      <x:c r="E185" s="47" t="s">
        <x:v>867</x:v>
      </x:c>
      <x:c r="F185" s="6"/>
      <x:c r="G185" s="11" t="s">
        <x:v>894</x:v>
      </x:c>
      <x:c r="H185" s="11" t="s">
        <x:v>892</x:v>
      </x:c>
      <x:c r="I185" s="6"/>
      <x:c r="J185" s="20"/>
      <x:c r="K185" s="11"/>
      <x:c r="L185" s="11"/>
      <x:c r="M185" s="14"/>
      <x:c r="N185" s="35"/>
    </x:row>
    <x:row r="186" ht="9.75" customHeight="1">
      <x:c r="A186" s="32"/>
      <x:c r="B186" s="69" t="s">
        <x:v>888</x:v>
      </x:c>
      <x:c r="C186" s="10" t="s">
        <x:v>918</x:v>
      </x:c>
      <x:c r="D186" s="20" t="s">
        <x:v>917</x:v>
      </x:c>
      <x:c r="E186" s="47" t="s">
        <x:v>868</x:v>
      </x:c>
      <x:c r="F186" s="6"/>
      <x:c r="G186" s="11" t="s">
        <x:v>894</x:v>
      </x:c>
      <x:c r="H186" s="11" t="s">
        <x:v>892</x:v>
      </x:c>
      <x:c r="I186" s="6"/>
      <x:c r="J186" s="20"/>
      <x:c r="K186" s="11"/>
      <x:c r="L186" s="11"/>
      <x:c r="M186" s="14"/>
      <x:c r="N186" s="35"/>
    </x:row>
    <x:row r="187" ht="9.75" customHeight="1">
      <x:c r="A187" s="32"/>
      <x:c r="B187" s="69" t="s">
        <x:v>888</x:v>
      </x:c>
      <x:c r="C187" s="10" t="s">
        <x:v>918</x:v>
      </x:c>
      <x:c r="D187" s="20" t="s">
        <x:v>917</x:v>
      </x:c>
      <x:c r="E187" s="47" t="s">
        <x:v>869</x:v>
      </x:c>
      <x:c r="F187" s="6"/>
      <x:c r="G187" s="11" t="s">
        <x:v>898</x:v>
      </x:c>
      <x:c r="H187" s="11" t="s">
        <x:v>899</x:v>
      </x:c>
      <x:c r="I187" s="6"/>
      <x:c r="J187" s="20"/>
      <x:c r="K187" s="11"/>
      <x:c r="L187" s="11"/>
      <x:c r="M187" s="14"/>
      <x:c r="N187" s="35"/>
    </x:row>
    <x:row r="188" ht="9.75" customHeight="1">
      <x:c r="A188" s="32"/>
      <x:c r="B188" s="69" t="s">
        <x:v>888</x:v>
      </x:c>
      <x:c r="C188" s="10" t="s">
        <x:v>918</x:v>
      </x:c>
      <x:c r="D188" s="20" t="s">
        <x:v>917</x:v>
      </x:c>
      <x:c r="E188" s="47" t="s">
        <x:v>896</x:v>
      </x:c>
      <x:c r="F188" s="6"/>
      <x:c r="G188" s="11" t="s">
        <x:v>898</x:v>
      </x:c>
      <x:c r="H188" s="11" t="s">
        <x:v>899</x:v>
      </x:c>
      <x:c r="I188" s="6"/>
      <x:c r="J188" s="20"/>
      <x:c r="K188" s="11"/>
      <x:c r="L188" s="11"/>
      <x:c r="M188" s="14"/>
      <x:c r="N188" s="35"/>
    </x:row>
    <x:row r="189" ht="9.75" customHeight="1">
      <x:c r="A189" s="32"/>
      <x:c r="B189" s="69" t="s">
        <x:v>888</x:v>
      </x:c>
      <x:c r="C189" s="10" t="s">
        <x:v>918</x:v>
      </x:c>
      <x:c r="D189" s="20" t="s">
        <x:v>917</x:v>
      </x:c>
      <x:c r="E189" s="47" t="s">
        <x:v>897</x:v>
      </x:c>
      <x:c r="F189" s="6"/>
      <x:c r="G189" s="11" t="s">
        <x:v>898</x:v>
      </x:c>
      <x:c r="H189" s="11" t="s">
        <x:v>899</x:v>
      </x:c>
      <x:c r="I189" s="6"/>
      <x:c r="J189" s="20"/>
      <x:c r="K189" s="11"/>
      <x:c r="L189" s="11"/>
      <x:c r="M189" s="14"/>
      <x:c r="N189" s="35"/>
    </x:row>
    <x:row r="190" ht="9.75" customHeight="1">
      <x:c r="A190" s="32"/>
      <x:c r="B190" s="69" t="s">
        <x:v>888</x:v>
      </x:c>
      <x:c r="C190" s="10" t="s">
        <x:v>918</x:v>
      </x:c>
      <x:c r="D190" s="20" t="s">
        <x:v>917</x:v>
      </x:c>
      <x:c r="E190" s="47" t="s">
        <x:v>900</x:v>
      </x:c>
      <x:c r="F190" s="6"/>
      <x:c r="G190" s="11" t="s">
        <x:v>891</x:v>
      </x:c>
      <x:c r="H190" s="11" t="s">
        <x:v>895</x:v>
      </x:c>
      <x:c r="I190" s="6"/>
      <x:c r="J190" s="20"/>
      <x:c r="K190" s="11"/>
      <x:c r="L190" s="11"/>
      <x:c r="M190" s="14"/>
      <x:c r="N190" s="35"/>
    </x:row>
    <x:row r="191" ht="9.75" customHeight="1">
      <x:c r="A191" s="32"/>
      <x:c r="B191" s="69" t="s">
        <x:v>888</x:v>
      </x:c>
      <x:c r="C191" s="10" t="s">
        <x:v>918</x:v>
      </x:c>
      <x:c r="D191" s="20" t="s">
        <x:v>917</x:v>
      </x:c>
      <x:c r="E191" s="47" t="s">
        <x:v>901</x:v>
      </x:c>
      <x:c r="F191" s="6"/>
      <x:c r="G191" s="11" t="s">
        <x:v>891</x:v>
      </x:c>
      <x:c r="H191" s="11" t="s">
        <x:v>895</x:v>
      </x:c>
      <x:c r="I191" s="6"/>
      <x:c r="J191" s="20"/>
      <x:c r="K191" s="11"/>
      <x:c r="L191" s="11"/>
      <x:c r="M191" s="14"/>
      <x:c r="N191" s="35"/>
    </x:row>
    <x:row r="192" ht="9.75" customHeight="1">
      <x:c r="A192" s="32"/>
      <x:c r="B192" s="69" t="s">
        <x:v>888</x:v>
      </x:c>
      <x:c r="C192" s="10" t="s">
        <x:v>918</x:v>
      </x:c>
      <x:c r="D192" s="20" t="s">
        <x:v>917</x:v>
      </x:c>
      <x:c r="E192" s="47" t="s">
        <x:v>902</x:v>
      </x:c>
      <x:c r="F192" s="6"/>
      <x:c r="G192" s="11" t="s">
        <x:v>898</x:v>
      </x:c>
      <x:c r="H192" s="11" t="s">
        <x:v>899</x:v>
      </x:c>
      <x:c r="I192" s="6"/>
      <x:c r="J192" s="20"/>
      <x:c r="K192" s="11"/>
      <x:c r="L192" s="11"/>
      <x:c r="M192" s="14"/>
      <x:c r="N192" s="35"/>
    </x:row>
    <x:row r="193" ht="9.75" customHeight="1">
      <x:c r="A193" s="32"/>
      <x:c r="B193" s="69" t="s">
        <x:v>888</x:v>
      </x:c>
      <x:c r="C193" s="10" t="s">
        <x:v>918</x:v>
      </x:c>
      <x:c r="D193" s="20" t="s">
        <x:v>917</x:v>
      </x:c>
      <x:c r="E193" s="47" t="s">
        <x:v>903</x:v>
      </x:c>
      <x:c r="F193" s="6"/>
      <x:c r="G193" s="11" t="s">
        <x:v>898</x:v>
      </x:c>
      <x:c r="H193" s="11" t="s">
        <x:v>899</x:v>
      </x:c>
      <x:c r="I193" s="6"/>
      <x:c r="J193" s="20"/>
      <x:c r="K193" s="11"/>
      <x:c r="L193" s="11"/>
      <x:c r="M193" s="14"/>
      <x:c r="N193" s="35"/>
    </x:row>
    <x:row r="194" ht="9.75" customHeight="1">
      <x:c r="A194" s="32"/>
      <x:c r="B194" s="69" t="s">
        <x:v>888</x:v>
      </x:c>
      <x:c r="C194" s="10" t="s">
        <x:v>918</x:v>
      </x:c>
      <x:c r="D194" s="20" t="s">
        <x:v>917</x:v>
      </x:c>
      <x:c r="E194" s="47" t="s">
        <x:v>904</x:v>
      </x:c>
      <x:c r="F194" s="6"/>
      <x:c r="G194" s="11" t="s">
        <x:v>898</x:v>
      </x:c>
      <x:c r="H194" s="11" t="s">
        <x:v>899</x:v>
      </x:c>
      <x:c r="I194" s="6"/>
      <x:c r="J194" s="20"/>
      <x:c r="K194" s="11"/>
      <x:c r="L194" s="11"/>
      <x:c r="M194" s="14"/>
      <x:c r="N194" s="35"/>
    </x:row>
    <x:row r="195" ht="9.75" customHeight="1">
      <x:c r="A195" s="32"/>
      <x:c r="B195" s="69" t="s">
        <x:v>888</x:v>
      </x:c>
      <x:c r="C195" s="10" t="s">
        <x:v>918</x:v>
      </x:c>
      <x:c r="D195" s="20" t="s">
        <x:v>917</x:v>
      </x:c>
      <x:c r="E195" s="47" t="s">
        <x:v>905</x:v>
      </x:c>
      <x:c r="F195" s="6"/>
      <x:c r="G195" s="11" t="s">
        <x:v>898</x:v>
      </x:c>
      <x:c r="H195" s="11" t="s">
        <x:v>899</x:v>
      </x:c>
      <x:c r="I195" s="6"/>
      <x:c r="J195" s="20"/>
      <x:c r="K195" s="11"/>
      <x:c r="L195" s="11"/>
      <x:c r="M195" s="14"/>
      <x:c r="N195" s="35"/>
    </x:row>
    <x:row r="196" ht="9.75" customHeight="1">
      <x:c r="A196" s="32"/>
      <x:c r="B196" s="69" t="s">
        <x:v>888</x:v>
      </x:c>
      <x:c r="C196" s="10" t="s">
        <x:v>918</x:v>
      </x:c>
      <x:c r="D196" s="20" t="s">
        <x:v>917</x:v>
      </x:c>
      <x:c r="E196" s="47" t="s">
        <x:v>906</x:v>
      </x:c>
      <x:c r="F196" s="6"/>
      <x:c r="G196" s="11" t="s">
        <x:v>891</x:v>
      </x:c>
      <x:c r="H196" s="11" t="s">
        <x:v>895</x:v>
      </x:c>
      <x:c r="I196" s="6"/>
      <x:c r="J196" s="20"/>
      <x:c r="K196" s="11"/>
      <x:c r="L196" s="11"/>
      <x:c r="M196" s="14"/>
      <x:c r="N196" s="35"/>
    </x:row>
    <x:row r="197" ht="9.75" customHeight="1">
      <x:c r="A197" s="32"/>
      <x:c r="B197" s="69" t="s">
        <x:v>888</x:v>
      </x:c>
      <x:c r="C197" s="10" t="s">
        <x:v>918</x:v>
      </x:c>
      <x:c r="D197" s="20" t="s">
        <x:v>917</x:v>
      </x:c>
      <x:c r="E197" s="47" t="s">
        <x:v>907</x:v>
      </x:c>
      <x:c r="F197" s="6"/>
      <x:c r="G197" s="11" t="s">
        <x:v>894</x:v>
      </x:c>
      <x:c r="H197" s="11" t="s">
        <x:v>892</x:v>
      </x:c>
      <x:c r="I197" s="6"/>
      <x:c r="J197" s="20"/>
      <x:c r="K197" s="11"/>
      <x:c r="L197" s="11"/>
      <x:c r="M197" s="14"/>
      <x:c r="N197" s="35"/>
    </x:row>
    <x:row r="198" ht="9.75" customHeight="1">
      <x:c r="A198" s="32"/>
      <x:c r="B198" s="69" t="s">
        <x:v>888</x:v>
      </x:c>
      <x:c r="C198" s="10" t="s">
        <x:v>918</x:v>
      </x:c>
      <x:c r="D198" s="20" t="s">
        <x:v>917</x:v>
      </x:c>
      <x:c r="E198" s="47" t="s">
        <x:v>908</x:v>
      </x:c>
      <x:c r="F198" s="6"/>
      <x:c r="G198" s="11" t="s">
        <x:v>894</x:v>
      </x:c>
      <x:c r="H198" s="11" t="s">
        <x:v>892</x:v>
      </x:c>
      <x:c r="I198" s="6"/>
      <x:c r="J198" s="20"/>
      <x:c r="K198" s="11"/>
      <x:c r="L198" s="11"/>
      <x:c r="M198" s="14"/>
      <x:c r="N198" s="35"/>
    </x:row>
    <x:row r="199" ht="9.75" customHeight="1">
      <x:c r="A199" s="32"/>
      <x:c r="B199" s="69" t="s">
        <x:v>888</x:v>
      </x:c>
      <x:c r="C199" s="10" t="s">
        <x:v>918</x:v>
      </x:c>
      <x:c r="D199" s="20" t="s">
        <x:v>917</x:v>
      </x:c>
      <x:c r="E199" s="47" t="s">
        <x:v>910</x:v>
      </x:c>
      <x:c r="F199" s="6"/>
      <x:c r="G199" s="11" t="s">
        <x:v>894</x:v>
      </x:c>
      <x:c r="H199" s="11" t="s">
        <x:v>892</x:v>
      </x:c>
      <x:c r="I199" s="6"/>
      <x:c r="J199" s="20"/>
      <x:c r="K199" s="11"/>
      <x:c r="L199" s="11"/>
      <x:c r="M199" s="14"/>
      <x:c r="N199" s="35"/>
    </x:row>
    <x:row r="200" ht="9.75" customHeight="1">
      <x:c r="A200" s="32"/>
      <x:c r="B200" s="69" t="s">
        <x:v>888</x:v>
      </x:c>
      <x:c r="C200" s="10" t="s">
        <x:v>918</x:v>
      </x:c>
      <x:c r="D200" s="20" t="s">
        <x:v>917</x:v>
      </x:c>
      <x:c r="E200" s="47" t="s">
        <x:v>911</x:v>
      </x:c>
      <x:c r="F200" s="6"/>
      <x:c r="G200" s="11" t="s">
        <x:v>894</x:v>
      </x:c>
      <x:c r="H200" s="11" t="s">
        <x:v>892</x:v>
      </x:c>
      <x:c r="I200" s="6"/>
      <x:c r="J200" s="20"/>
      <x:c r="K200" s="11"/>
      <x:c r="L200" s="11"/>
      <x:c r="M200" s="14"/>
      <x:c r="N200" s="35"/>
    </x:row>
    <x:row r="201" ht="9.75" customHeight="1">
      <x:c r="A201" s="32"/>
      <x:c r="B201" s="69" t="s">
        <x:v>888</x:v>
      </x:c>
      <x:c r="C201" s="10" t="s">
        <x:v>918</x:v>
      </x:c>
      <x:c r="D201" s="20" t="s">
        <x:v>917</x:v>
      </x:c>
      <x:c r="E201" s="47" t="s">
        <x:v>912</x:v>
      </x:c>
      <x:c r="F201" s="6"/>
      <x:c r="G201" s="11" t="s">
        <x:v>894</x:v>
      </x:c>
      <x:c r="H201" s="11" t="s">
        <x:v>892</x:v>
      </x:c>
      <x:c r="I201" s="6"/>
      <x:c r="J201" s="20"/>
      <x:c r="K201" s="11"/>
      <x:c r="L201" s="11"/>
      <x:c r="M201" s="14"/>
      <x:c r="N201" s="35"/>
    </x:row>
    <x:row r="202" ht="9.75" customHeight="1">
      <x:c r="A202" s="32"/>
      <x:c r="B202" s="69" t="s">
        <x:v>888</x:v>
      </x:c>
      <x:c r="C202" s="10" t="s">
        <x:v>918</x:v>
      </x:c>
      <x:c r="D202" s="20" t="s">
        <x:v>917</x:v>
      </x:c>
      <x:c r="E202" s="47" t="s">
        <x:v>913</x:v>
      </x:c>
      <x:c r="F202" s="6"/>
      <x:c r="G202" s="11" t="s">
        <x:v>894</x:v>
      </x:c>
      <x:c r="H202" s="11" t="s">
        <x:v>892</x:v>
      </x:c>
      <x:c r="I202" s="6"/>
      <x:c r="J202" s="20"/>
      <x:c r="K202" s="11"/>
      <x:c r="L202" s="11"/>
      <x:c r="M202" s="14"/>
      <x:c r="N202" s="35"/>
    </x:row>
    <x:row r="203" ht="9.75" customHeight="1">
      <x:c r="A203" s="32"/>
      <x:c r="B203" s="69" t="s">
        <x:v>888</x:v>
      </x:c>
      <x:c r="C203" s="10" t="s">
        <x:v>918</x:v>
      </x:c>
      <x:c r="D203" s="20" t="s">
        <x:v>917</x:v>
      </x:c>
      <x:c r="E203" s="47" t="s">
        <x:v>914</x:v>
      </x:c>
      <x:c r="F203" s="6"/>
      <x:c r="G203" s="11" t="s">
        <x:v>898</x:v>
      </x:c>
      <x:c r="H203" s="11" t="s">
        <x:v>899</x:v>
      </x:c>
      <x:c r="I203" s="6"/>
      <x:c r="J203" s="20"/>
      <x:c r="K203" s="11"/>
      <x:c r="L203" s="11"/>
      <x:c r="M203" s="14"/>
      <x:c r="N203" s="35"/>
    </x:row>
    <x:row r="204" ht="9.75" customHeight="1">
      <x:c r="A204" s="32"/>
      <x:c r="B204" s="11"/>
      <x:c r="C204" s="11"/>
      <x:c r="D204" s="20"/>
      <x:c r="E204" s="47"/>
      <x:c r="F204" s="6"/>
      <x:c r="G204" s="11"/>
      <x:c r="H204" s="11"/>
      <x:c r="I204" s="6"/>
      <x:c r="J204" s="20"/>
      <x:c r="K204" s="11"/>
      <x:c r="L204" s="11"/>
      <x:c r="M204" s="14"/>
      <x:c r="N204" s="35"/>
    </x:row>
    <x:row r="205" ht="9.75" customHeight="1">
      <x:c r="A205" s="33"/>
      <x:c r="B205" s="12"/>
      <x:c r="C205" s="12"/>
      <x:c r="D205" s="21"/>
      <x:c r="E205" s="48"/>
      <x:c r="F205" s="8"/>
      <x:c r="G205" s="12"/>
      <x:c r="H205" s="12"/>
      <x:c r="I205" s="8"/>
      <x:c r="J205" s="21"/>
      <x:c r="K205" s="12"/>
      <x:c r="L205" s="12"/>
      <x:c r="M205" s="15"/>
      <x:c r="N205" s="36"/>
    </x:row>
  </x:sheetData>
  <x:mergeCells>
    <x:mergeCell ref="A1:N1"/>
    <x:mergeCell ref="A2:N2"/>
    <x:mergeCell ref="A3:N3"/>
  </x:mergeCells>
  <x:dataValidations count="3">
    <x:dataValidation type="list" sqref="G6:G205">
      <x:formula1>"Terisi,Kosong,Dalam Perbaikan,Tidak Dapat Digunakan"</x:formula1>
    </x:dataValidation>
    <x:dataValidation type="list" sqref="H6:H205">
      <x:formula1>"Baik,Rusak Ringan,Rusak Sedang,Rusak Berat"</x:formula1>
    </x:dataValidation>
    <x:dataValidation type="list" sqref="L6:L20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101e5fc23d46df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8" customWidth="1"/>
    <x:col min="2" max="2" width="30" customWidth="1"/>
    <x:col min="3" max="3" width="10" customWidth="1"/>
    <x:col min="4" max="4" width="14" customWidth="1"/>
    <x:col min="5" max="5" width="19" customWidth="1"/>
    <x:col min="6" max="6" width="18" customWidth="1"/>
    <x:col min="7" max="7" width="22" customWidth="1"/>
    <x:col min="8" max="8" width="18" customWidth="1"/>
    <x:col min="9" max="9" width="22" customWidth="1"/>
    <x:col min="10" max="10" width="26" customWidth="1"/>
    <x:col min="11" max="11" width="17" customWidth="1"/>
    <x:col min="12" max="12" width="18" customWidth="1"/>
    <x:col min="13" max="13" width="42" customWidth="1"/>
  </x:cols>
  <x:sheetData>
    <x:row r="1" ht="14.25" customHeight="1">
      <x:c r="A1" s="82" t="s">
        <x:v>919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3"/>
    </x:row>
    <x:row r="2" ht="15.149999618530273" customHeight="1">
      <x:c r="A2" s="84" t="s">
        <x:v>920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5"/>
    </x:row>
    <x:row r="3" ht="15.149999618530273" customHeight="1">
      <x:c r="A3" s="86" t="s">
        <x:v>921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7"/>
    </x:row>
    <x:row r="5" ht="17.75" customHeight="1">
      <x:c r="A5" s="67" t="s">
        <x:v>922</x:v>
      </x:c>
      <x:c r="B5" s="67" t="s">
        <x:v>881</x:v>
      </x:c>
      <x:c r="C5" s="67" t="s">
        <x:v>923</x:v>
      </x:c>
      <x:c r="D5" s="67" t="s">
        <x:v>924</x:v>
      </x:c>
      <x:c r="E5" s="67" t="s">
        <x:v>925</x:v>
      </x:c>
      <x:c r="F5" s="67" t="s">
        <x:v>926</x:v>
      </x:c>
      <x:c r="G5" s="67" t="s">
        <x:v>927</x:v>
      </x:c>
      <x:c r="H5" s="67" t="s">
        <x:v>928</x:v>
      </x:c>
      <x:c r="I5" s="67" t="s">
        <x:v>28</x:v>
      </x:c>
      <x:c r="J5" s="67" t="s">
        <x:v>27</x:v>
      </x:c>
      <x:c r="K5" s="67" t="s">
        <x:v>29</x:v>
      </x:c>
      <x:c r="L5" s="67" t="s">
        <x:v>30</x:v>
      </x:c>
      <x:c r="M5" s="67" t="s">
        <x:v>23</x:v>
      </x:c>
    </x:row>
    <x:row r="6" ht="15.149999618530273" customHeight="1">
      <x:c r="A6" s="68" t="s">
        <x:v>929</x:v>
      </x:c>
      <x:c r="B6" s="69" t="s">
        <x:v>888</x:v>
      </x:c>
      <x:c r="C6" s="70">
        <x:v>2026</x:v>
      </x:c>
      <x:c r="D6" s="68" t="s">
        <x:v>930</x:v>
      </x:c>
      <x:c r="E6" s="71">
        <x:v>350000000</x:v>
      </x:c>
      <x:c r="F6" s="71">
        <x:v>15850000</x:v>
      </x:c>
      <x:c r="G6" s="72" t="n">
        <x:f t="shared" ref="G6:G69" si="0">IF(A6="","",SUMIFS($F$6:F6,$B$6:B6,B6,$C$6:C6,C6))</x:f>
        <x:v>15850000</x:v>
      </x:c>
      <x:c r="H6" s="73" t="n">
        <x:f t="shared" ref="H6:H69" si="1">IF(A6="","",IFERROR(G6/E6,0))</x:f>
        <x:v>0.04528571428571428</x:v>
      </x:c>
      <x:c r="I6" s="68" t="s">
        <x:v>931</x:v>
      </x:c>
      <x:c r="J6" s="74"/>
      <x:c r="K6" s="74"/>
      <x:c r="L6" s="68"/>
      <x:c r="M6" s="69" t="s">
        <x:v>932</x:v>
      </x:c>
    </x:row>
    <x:row r="7" ht="10.649999618530273" customHeight="1">
      <x:c r="A7" s="68" t="s">
        <x:v>933</x:v>
      </x:c>
      <x:c r="B7" s="69" t="s">
        <x:v>888</x:v>
      </x:c>
      <x:c r="C7" s="70">
        <x:v>2026</x:v>
      </x:c>
      <x:c r="D7" s="68" t="s">
        <x:v>934</x:v>
      </x:c>
      <x:c r="E7" s="71">
        <x:v>350000000</x:v>
      </x:c>
      <x:c r="F7" s="71">
        <x:v>13675000</x:v>
      </x:c>
      <x:c r="G7" s="72">
        <x:f t="shared" si="0"/>
        <x:v>29525000</x:v>
      </x:c>
      <x:c r="H7" s="73">
        <x:f t="shared" si="1"/>
        <x:v>8.4357142857142853E-2</x:v>
      </x:c>
      <x:c r="I7" s="68" t="s">
        <x:v>931</x:v>
      </x:c>
      <x:c r="J7" s="74"/>
      <x:c r="K7" s="74"/>
      <x:c r="L7" s="68"/>
      <x:c r="M7" s="69"/>
    </x:row>
    <x:row r="8" ht="10.649999618530273" customHeight="1">
      <x:c r="A8" s="68" t="s">
        <x:v>935</x:v>
      </x:c>
      <x:c r="B8" s="69" t="s">
        <x:v>888</x:v>
      </x:c>
      <x:c r="C8" s="70">
        <x:v>2026</x:v>
      </x:c>
      <x:c r="D8" s="68" t="s">
        <x:v>936</x:v>
      </x:c>
      <x:c r="E8" s="71">
        <x:v>350000000</x:v>
      </x:c>
      <x:c r="F8" s="71">
        <x:v>24950000</x:v>
      </x:c>
      <x:c r="G8" s="72">
        <x:f t="shared" si="0"/>
        <x:v>54475000</x:v>
      </x:c>
      <x:c r="H8" s="73">
        <x:f t="shared" si="1"/>
        <x:v>0.15564285714285714</x:v>
      </x:c>
      <x:c r="I8" s="68" t="s">
        <x:v>931</x:v>
      </x:c>
      <x:c r="J8" s="74"/>
      <x:c r="K8" s="74"/>
      <x:c r="L8" s="68"/>
      <x:c r="M8" s="69"/>
    </x:row>
    <x:row r="9" ht="10.649999618530273" customHeight="1">
      <x:c r="A9" s="68" t="s">
        <x:v>937</x:v>
      </x:c>
      <x:c r="B9" s="69" t="s">
        <x:v>888</x:v>
      </x:c>
      <x:c r="C9" s="70">
        <x:v>2026</x:v>
      </x:c>
      <x:c r="D9" s="68" t="s">
        <x:v>938</x:v>
      </x:c>
      <x:c r="E9" s="71">
        <x:v>350000000</x:v>
      </x:c>
      <x:c r="F9" s="71">
        <x:v>32950000</x:v>
      </x:c>
      <x:c r="G9" s="72">
        <x:f t="shared" si="0"/>
        <x:v>87425000</x:v>
      </x:c>
      <x:c r="H9" s="73">
        <x:f t="shared" si="1"/>
        <x:v>0.24978571428571428</x:v>
      </x:c>
      <x:c r="I9" s="68" t="s">
        <x:v>931</x:v>
      </x:c>
      <x:c r="J9" s="74"/>
      <x:c r="K9" s="74"/>
      <x:c r="L9" s="68"/>
      <x:c r="M9" s="69"/>
    </x:row>
    <x:row r="10" ht="10.649999618530273" customHeight="1">
      <x:c r="A10" s="68" t="s">
        <x:v>939</x:v>
      </x:c>
      <x:c r="B10" s="69" t="s">
        <x:v>888</x:v>
      </x:c>
      <x:c r="C10" s="70">
        <x:v>2026</x:v>
      </x:c>
      <x:c r="D10" s="68" t="s">
        <x:v>940</x:v>
      </x:c>
      <x:c r="E10" s="71">
        <x:v>350000000</x:v>
      </x:c>
      <x:c r="F10" s="71">
        <x:v>32950000</x:v>
      </x:c>
      <x:c r="G10" s="72">
        <x:f t="shared" si="0"/>
        <x:v>120375000</x:v>
      </x:c>
      <x:c r="H10" s="73">
        <x:f t="shared" si="1"/>
        <x:v>0.34392857142857142</x:v>
      </x:c>
      <x:c r="I10" s="68" t="s">
        <x:v>931</x:v>
      </x:c>
      <x:c r="J10" s="74"/>
      <x:c r="K10" s="74"/>
      <x:c r="L10" s="68"/>
      <x:c r="M10" s="69"/>
    </x:row>
    <x:row r="11" ht="6.5" customHeight="1">
      <x:c r="A11" s="68"/>
      <x:c r="B11" s="69"/>
      <x:c r="C11" s="70"/>
      <x:c r="D11" s="68"/>
      <x:c r="E11" s="71"/>
      <x:c r="F11" s="71"/>
      <x:c r="G11" s="72" t="str">
        <x:f t="shared" si="0"/>
      </x:c>
      <x:c r="H11" s="73" t="str">
        <x:f t="shared" si="1"/>
      </x:c>
      <x:c r="I11" s="68"/>
      <x:c r="J11" s="74"/>
      <x:c r="K11" s="74"/>
      <x:c r="L11" s="68"/>
      <x:c r="M11" s="69"/>
    </x:row>
    <x:row r="12" ht="6.5" customHeight="1">
      <x:c r="A12" s="68"/>
      <x:c r="B12" s="69"/>
      <x:c r="C12" s="70"/>
      <x:c r="D12" s="68"/>
      <x:c r="E12" s="71"/>
      <x:c r="F12" s="71"/>
      <x:c r="G12" s="72" t="str">
        <x:f t="shared" si="0"/>
      </x:c>
      <x:c r="H12" s="73" t="str">
        <x:f t="shared" si="1"/>
      </x:c>
      <x:c r="I12" s="68"/>
      <x:c r="J12" s="74"/>
      <x:c r="K12" s="74"/>
      <x:c r="L12" s="68"/>
      <x:c r="M12" s="69"/>
    </x:row>
    <x:row r="13" ht="6.5" customHeight="1">
      <x:c r="A13" s="68"/>
      <x:c r="B13" s="69"/>
      <x:c r="C13" s="70"/>
      <x:c r="D13" s="68"/>
      <x:c r="E13" s="71"/>
      <x:c r="F13" s="71"/>
      <x:c r="G13" s="72" t="str">
        <x:f t="shared" si="0"/>
      </x:c>
      <x:c r="H13" s="73" t="str">
        <x:f t="shared" si="1"/>
      </x:c>
      <x:c r="I13" s="68"/>
      <x:c r="J13" s="74"/>
      <x:c r="K13" s="74"/>
      <x:c r="L13" s="68"/>
      <x:c r="M13" s="69"/>
    </x:row>
    <x:row r="14" ht="6.5" customHeight="1">
      <x:c r="A14" s="68"/>
      <x:c r="B14" s="69"/>
      <x:c r="C14" s="70"/>
      <x:c r="D14" s="68"/>
      <x:c r="E14" s="71"/>
      <x:c r="F14" s="71"/>
      <x:c r="G14" s="72" t="str">
        <x:f t="shared" si="0"/>
      </x:c>
      <x:c r="H14" s="73" t="str">
        <x:f t="shared" si="1"/>
      </x:c>
      <x:c r="I14" s="68"/>
      <x:c r="J14" s="74"/>
      <x:c r="K14" s="74"/>
      <x:c r="L14" s="68"/>
      <x:c r="M14" s="69"/>
    </x:row>
    <x:row r="15" ht="6.5" customHeight="1">
      <x:c r="A15" s="68"/>
      <x:c r="B15" s="69"/>
      <x:c r="C15" s="70"/>
      <x:c r="D15" s="68"/>
      <x:c r="E15" s="71"/>
      <x:c r="F15" s="71"/>
      <x:c r="G15" s="72" t="str">
        <x:f t="shared" si="0"/>
      </x:c>
      <x:c r="H15" s="73" t="str">
        <x:f t="shared" si="1"/>
      </x:c>
      <x:c r="I15" s="68"/>
      <x:c r="J15" s="74"/>
      <x:c r="K15" s="74"/>
      <x:c r="L15" s="68"/>
      <x:c r="M15" s="69"/>
    </x:row>
    <x:row r="16" ht="6.5" customHeight="1">
      <x:c r="A16" s="68"/>
      <x:c r="B16" s="69"/>
      <x:c r="C16" s="70"/>
      <x:c r="D16" s="68"/>
      <x:c r="E16" s="71"/>
      <x:c r="F16" s="71"/>
      <x:c r="G16" s="72" t="str">
        <x:f t="shared" si="0"/>
      </x:c>
      <x:c r="H16" s="73" t="str">
        <x:f t="shared" si="1"/>
      </x:c>
      <x:c r="I16" s="68"/>
      <x:c r="J16" s="74"/>
      <x:c r="K16" s="74"/>
      <x:c r="L16" s="68"/>
      <x:c r="M16" s="69"/>
    </x:row>
    <x:row r="17" ht="6.5" customHeight="1">
      <x:c r="A17" s="68"/>
      <x:c r="B17" s="69"/>
      <x:c r="C17" s="70"/>
      <x:c r="D17" s="68"/>
      <x:c r="E17" s="71"/>
      <x:c r="F17" s="71"/>
      <x:c r="G17" s="72" t="str">
        <x:f t="shared" si="0"/>
      </x:c>
      <x:c r="H17" s="73" t="str">
        <x:f t="shared" si="1"/>
      </x:c>
      <x:c r="I17" s="68"/>
      <x:c r="J17" s="74"/>
      <x:c r="K17" s="74"/>
      <x:c r="L17" s="68"/>
      <x:c r="M17" s="69"/>
    </x:row>
    <x:row r="18" ht="6.5" customHeight="1">
      <x:c r="A18" s="68"/>
      <x:c r="B18" s="69"/>
      <x:c r="C18" s="70"/>
      <x:c r="D18" s="68"/>
      <x:c r="E18" s="71"/>
      <x:c r="F18" s="71"/>
      <x:c r="G18" s="72" t="str">
        <x:f t="shared" si="0"/>
      </x:c>
      <x:c r="H18" s="73" t="str">
        <x:f t="shared" si="1"/>
      </x:c>
      <x:c r="I18" s="68"/>
      <x:c r="J18" s="74"/>
      <x:c r="K18" s="74"/>
      <x:c r="L18" s="68"/>
      <x:c r="M18" s="69"/>
    </x:row>
    <x:row r="19" ht="6.5" customHeight="1">
      <x:c r="A19" s="68"/>
      <x:c r="B19" s="69"/>
      <x:c r="C19" s="70"/>
      <x:c r="D19" s="68"/>
      <x:c r="E19" s="71"/>
      <x:c r="F19" s="71"/>
      <x:c r="G19" s="72" t="str">
        <x:f t="shared" si="0"/>
      </x:c>
      <x:c r="H19" s="73" t="str">
        <x:f t="shared" si="1"/>
      </x:c>
      <x:c r="I19" s="68"/>
      <x:c r="J19" s="74"/>
      <x:c r="K19" s="74"/>
      <x:c r="L19" s="68"/>
      <x:c r="M19" s="69"/>
    </x:row>
    <x:row r="20" ht="6.5" customHeight="1">
      <x:c r="A20" s="68"/>
      <x:c r="B20" s="69"/>
      <x:c r="C20" s="70"/>
      <x:c r="D20" s="68"/>
      <x:c r="E20" s="71"/>
      <x:c r="F20" s="71"/>
      <x:c r="G20" s="72" t="str">
        <x:f t="shared" si="0"/>
      </x:c>
      <x:c r="H20" s="73" t="str">
        <x:f t="shared" si="1"/>
      </x:c>
      <x:c r="I20" s="68"/>
      <x:c r="J20" s="74"/>
      <x:c r="K20" s="74"/>
      <x:c r="L20" s="68"/>
      <x:c r="M20" s="69"/>
    </x:row>
    <x:row r="21" ht="6.5" customHeight="1">
      <x:c r="A21" s="68"/>
      <x:c r="B21" s="69"/>
      <x:c r="C21" s="70"/>
      <x:c r="D21" s="68"/>
      <x:c r="E21" s="71"/>
      <x:c r="F21" s="71"/>
      <x:c r="G21" s="72" t="str">
        <x:f t="shared" si="0"/>
      </x:c>
      <x:c r="H21" s="73" t="str">
        <x:f t="shared" si="1"/>
      </x:c>
      <x:c r="I21" s="68"/>
      <x:c r="J21" s="74"/>
      <x:c r="K21" s="74"/>
      <x:c r="L21" s="68"/>
      <x:c r="M21" s="69"/>
    </x:row>
    <x:row r="22" ht="6.5" customHeight="1">
      <x:c r="A22" s="68"/>
      <x:c r="B22" s="69"/>
      <x:c r="C22" s="70"/>
      <x:c r="D22" s="68"/>
      <x:c r="E22" s="71"/>
      <x:c r="F22" s="71"/>
      <x:c r="G22" s="72" t="str">
        <x:f t="shared" si="0"/>
      </x:c>
      <x:c r="H22" s="73" t="str">
        <x:f t="shared" si="1"/>
      </x:c>
      <x:c r="I22" s="68"/>
      <x:c r="J22" s="74"/>
      <x:c r="K22" s="74"/>
      <x:c r="L22" s="68"/>
      <x:c r="M22" s="69"/>
    </x:row>
    <x:row r="23" ht="6.5" customHeight="1">
      <x:c r="A23" s="68"/>
      <x:c r="B23" s="69"/>
      <x:c r="C23" s="70"/>
      <x:c r="D23" s="68"/>
      <x:c r="E23" s="71"/>
      <x:c r="F23" s="71"/>
      <x:c r="G23" s="72" t="str">
        <x:f t="shared" si="0"/>
      </x:c>
      <x:c r="H23" s="73" t="str">
        <x:f t="shared" si="1"/>
      </x:c>
      <x:c r="I23" s="68"/>
      <x:c r="J23" s="74"/>
      <x:c r="K23" s="74"/>
      <x:c r="L23" s="68"/>
      <x:c r="M23" s="69"/>
    </x:row>
    <x:row r="24" ht="6.5" customHeight="1">
      <x:c r="A24" s="68"/>
      <x:c r="B24" s="69"/>
      <x:c r="C24" s="70"/>
      <x:c r="D24" s="68"/>
      <x:c r="E24" s="71"/>
      <x:c r="F24" s="71"/>
      <x:c r="G24" s="72" t="str">
        <x:f t="shared" si="0"/>
      </x:c>
      <x:c r="H24" s="73" t="str">
        <x:f t="shared" si="1"/>
      </x:c>
      <x:c r="I24" s="68"/>
      <x:c r="J24" s="74"/>
      <x:c r="K24" s="74"/>
      <x:c r="L24" s="68"/>
      <x:c r="M24" s="69"/>
    </x:row>
    <x:row r="25" ht="6.5" customHeight="1">
      <x:c r="A25" s="68"/>
      <x:c r="B25" s="69"/>
      <x:c r="C25" s="70"/>
      <x:c r="D25" s="68"/>
      <x:c r="E25" s="71"/>
      <x:c r="F25" s="71"/>
      <x:c r="G25" s="72" t="str">
        <x:f t="shared" si="0"/>
      </x:c>
      <x:c r="H25" s="73" t="str">
        <x:f t="shared" si="1"/>
      </x:c>
      <x:c r="I25" s="68"/>
      <x:c r="J25" s="74"/>
      <x:c r="K25" s="74"/>
      <x:c r="L25" s="68"/>
      <x:c r="M25" s="69"/>
    </x:row>
    <x:row r="26" ht="6.5" customHeight="1">
      <x:c r="A26" s="68"/>
      <x:c r="B26" s="69"/>
      <x:c r="C26" s="70"/>
      <x:c r="D26" s="68"/>
      <x:c r="E26" s="71"/>
      <x:c r="F26" s="71"/>
      <x:c r="G26" s="72" t="str">
        <x:f t="shared" si="0"/>
      </x:c>
      <x:c r="H26" s="73" t="str">
        <x:f t="shared" si="1"/>
      </x:c>
      <x:c r="I26" s="68"/>
      <x:c r="J26" s="74"/>
      <x:c r="K26" s="74"/>
      <x:c r="L26" s="68"/>
      <x:c r="M26" s="69"/>
    </x:row>
    <x:row r="27" ht="6.5" customHeight="1">
      <x:c r="A27" s="68"/>
      <x:c r="B27" s="69"/>
      <x:c r="C27" s="70"/>
      <x:c r="D27" s="68"/>
      <x:c r="E27" s="71"/>
      <x:c r="F27" s="71"/>
      <x:c r="G27" s="72" t="str">
        <x:f t="shared" si="0"/>
      </x:c>
      <x:c r="H27" s="73" t="str">
        <x:f t="shared" si="1"/>
      </x:c>
      <x:c r="I27" s="68"/>
      <x:c r="J27" s="74"/>
      <x:c r="K27" s="74"/>
      <x:c r="L27" s="68"/>
      <x:c r="M27" s="69"/>
    </x:row>
    <x:row r="28" ht="6.5" customHeight="1">
      <x:c r="A28" s="68"/>
      <x:c r="B28" s="69"/>
      <x:c r="C28" s="70"/>
      <x:c r="D28" s="68"/>
      <x:c r="E28" s="71"/>
      <x:c r="F28" s="71"/>
      <x:c r="G28" s="72" t="str">
        <x:f t="shared" si="0"/>
      </x:c>
      <x:c r="H28" s="73" t="str">
        <x:f t="shared" si="1"/>
      </x:c>
      <x:c r="I28" s="68"/>
      <x:c r="J28" s="74"/>
      <x:c r="K28" s="74"/>
      <x:c r="L28" s="68"/>
      <x:c r="M28" s="69"/>
    </x:row>
    <x:row r="29" ht="6.5" customHeight="1">
      <x:c r="A29" s="68"/>
      <x:c r="B29" s="69"/>
      <x:c r="C29" s="70"/>
      <x:c r="D29" s="68"/>
      <x:c r="E29" s="71"/>
      <x:c r="F29" s="71"/>
      <x:c r="G29" s="72" t="str">
        <x:f t="shared" si="0"/>
      </x:c>
      <x:c r="H29" s="73" t="str">
        <x:f t="shared" si="1"/>
      </x:c>
      <x:c r="I29" s="68"/>
      <x:c r="J29" s="74"/>
      <x:c r="K29" s="74"/>
      <x:c r="L29" s="68"/>
      <x:c r="M29" s="69"/>
    </x:row>
    <x:row r="30" ht="6.5" customHeight="1">
      <x:c r="A30" s="68"/>
      <x:c r="B30" s="69"/>
      <x:c r="C30" s="70"/>
      <x:c r="D30" s="68"/>
      <x:c r="E30" s="71"/>
      <x:c r="F30" s="71"/>
      <x:c r="G30" s="72" t="str">
        <x:f t="shared" si="0"/>
      </x:c>
      <x:c r="H30" s="73" t="str">
        <x:f t="shared" si="1"/>
      </x:c>
      <x:c r="I30" s="68"/>
      <x:c r="J30" s="74"/>
      <x:c r="K30" s="74"/>
      <x:c r="L30" s="68"/>
      <x:c r="M30" s="69"/>
    </x:row>
    <x:row r="31" ht="6.5" customHeight="1">
      <x:c r="A31" s="68"/>
      <x:c r="B31" s="69"/>
      <x:c r="C31" s="70"/>
      <x:c r="D31" s="68"/>
      <x:c r="E31" s="71"/>
      <x:c r="F31" s="71"/>
      <x:c r="G31" s="72" t="str">
        <x:f t="shared" si="0"/>
      </x:c>
      <x:c r="H31" s="73" t="str">
        <x:f t="shared" si="1"/>
      </x:c>
      <x:c r="I31" s="68"/>
      <x:c r="J31" s="74"/>
      <x:c r="K31" s="74"/>
      <x:c r="L31" s="68"/>
      <x:c r="M31" s="69"/>
    </x:row>
    <x:row r="32" ht="6.5" customHeight="1">
      <x:c r="A32" s="68"/>
      <x:c r="B32" s="69"/>
      <x:c r="C32" s="70"/>
      <x:c r="D32" s="68"/>
      <x:c r="E32" s="71"/>
      <x:c r="F32" s="71"/>
      <x:c r="G32" s="72" t="str">
        <x:f t="shared" si="0"/>
      </x:c>
      <x:c r="H32" s="73" t="str">
        <x:f t="shared" si="1"/>
      </x:c>
      <x:c r="I32" s="68"/>
      <x:c r="J32" s="74"/>
      <x:c r="K32" s="74"/>
      <x:c r="L32" s="68"/>
      <x:c r="M32" s="69"/>
    </x:row>
    <x:row r="33" ht="6.5" customHeight="1">
      <x:c r="A33" s="68"/>
      <x:c r="B33" s="69"/>
      <x:c r="C33" s="70"/>
      <x:c r="D33" s="68"/>
      <x:c r="E33" s="71"/>
      <x:c r="F33" s="71"/>
      <x:c r="G33" s="72" t="str">
        <x:f t="shared" si="0"/>
      </x:c>
      <x:c r="H33" s="73" t="str">
        <x:f t="shared" si="1"/>
      </x:c>
      <x:c r="I33" s="68"/>
      <x:c r="J33" s="74"/>
      <x:c r="K33" s="74"/>
      <x:c r="L33" s="68"/>
      <x:c r="M33" s="69"/>
    </x:row>
    <x:row r="34" ht="6.5" customHeight="1">
      <x:c r="A34" s="68"/>
      <x:c r="B34" s="69"/>
      <x:c r="C34" s="70"/>
      <x:c r="D34" s="68"/>
      <x:c r="E34" s="71"/>
      <x:c r="F34" s="71"/>
      <x:c r="G34" s="72" t="str">
        <x:f t="shared" si="0"/>
      </x:c>
      <x:c r="H34" s="73" t="str">
        <x:f t="shared" si="1"/>
      </x:c>
      <x:c r="I34" s="68"/>
      <x:c r="J34" s="74"/>
      <x:c r="K34" s="74"/>
      <x:c r="L34" s="68"/>
      <x:c r="M34" s="69"/>
    </x:row>
    <x:row r="35" ht="6.5" customHeight="1">
      <x:c r="A35" s="68"/>
      <x:c r="B35" s="69"/>
      <x:c r="C35" s="70"/>
      <x:c r="D35" s="68"/>
      <x:c r="E35" s="71"/>
      <x:c r="F35" s="71"/>
      <x:c r="G35" s="72" t="str">
        <x:f t="shared" si="0"/>
      </x:c>
      <x:c r="H35" s="73" t="str">
        <x:f t="shared" si="1"/>
      </x:c>
      <x:c r="I35" s="68"/>
      <x:c r="J35" s="74"/>
      <x:c r="K35" s="74"/>
      <x:c r="L35" s="68"/>
      <x:c r="M35" s="69"/>
    </x:row>
    <x:row r="36" ht="6.5" customHeight="1">
      <x:c r="A36" s="68"/>
      <x:c r="B36" s="69"/>
      <x:c r="C36" s="70"/>
      <x:c r="D36" s="68"/>
      <x:c r="E36" s="71"/>
      <x:c r="F36" s="71"/>
      <x:c r="G36" s="72" t="str">
        <x:f t="shared" si="0"/>
      </x:c>
      <x:c r="H36" s="73" t="str">
        <x:f t="shared" si="1"/>
      </x:c>
      <x:c r="I36" s="68"/>
      <x:c r="J36" s="74"/>
      <x:c r="K36" s="74"/>
      <x:c r="L36" s="68"/>
      <x:c r="M36" s="69"/>
    </x:row>
    <x:row r="37" ht="6.5" customHeight="1">
      <x:c r="A37" s="68"/>
      <x:c r="B37" s="69"/>
      <x:c r="C37" s="70"/>
      <x:c r="D37" s="68"/>
      <x:c r="E37" s="71"/>
      <x:c r="F37" s="71"/>
      <x:c r="G37" s="72" t="str">
        <x:f t="shared" si="0"/>
      </x:c>
      <x:c r="H37" s="73" t="str">
        <x:f t="shared" si="1"/>
      </x:c>
      <x:c r="I37" s="68"/>
      <x:c r="J37" s="74"/>
      <x:c r="K37" s="74"/>
      <x:c r="L37" s="68"/>
      <x:c r="M37" s="69"/>
    </x:row>
    <x:row r="38" ht="6.5" customHeight="1">
      <x:c r="A38" s="68"/>
      <x:c r="B38" s="69"/>
      <x:c r="C38" s="70"/>
      <x:c r="D38" s="68"/>
      <x:c r="E38" s="71"/>
      <x:c r="F38" s="71"/>
      <x:c r="G38" s="72" t="str">
        <x:f t="shared" si="0"/>
      </x:c>
      <x:c r="H38" s="73" t="str">
        <x:f t="shared" si="1"/>
      </x:c>
      <x:c r="I38" s="68"/>
      <x:c r="J38" s="74"/>
      <x:c r="K38" s="74"/>
      <x:c r="L38" s="68"/>
      <x:c r="M38" s="69"/>
    </x:row>
    <x:row r="39" ht="6.5" customHeight="1">
      <x:c r="A39" s="68"/>
      <x:c r="B39" s="69"/>
      <x:c r="C39" s="70"/>
      <x:c r="D39" s="68"/>
      <x:c r="E39" s="71"/>
      <x:c r="F39" s="71"/>
      <x:c r="G39" s="72" t="str">
        <x:f t="shared" si="0"/>
      </x:c>
      <x:c r="H39" s="73" t="str">
        <x:f t="shared" si="1"/>
      </x:c>
      <x:c r="I39" s="68"/>
      <x:c r="J39" s="74"/>
      <x:c r="K39" s="74"/>
      <x:c r="L39" s="68"/>
      <x:c r="M39" s="69"/>
    </x:row>
    <x:row r="40" ht="6.5" customHeight="1">
      <x:c r="A40" s="68"/>
      <x:c r="B40" s="69"/>
      <x:c r="C40" s="70"/>
      <x:c r="D40" s="68"/>
      <x:c r="E40" s="71"/>
      <x:c r="F40" s="71"/>
      <x:c r="G40" s="72" t="str">
        <x:f t="shared" si="0"/>
      </x:c>
      <x:c r="H40" s="73" t="str">
        <x:f t="shared" si="1"/>
      </x:c>
      <x:c r="I40" s="68"/>
      <x:c r="J40" s="74"/>
      <x:c r="K40" s="74"/>
      <x:c r="L40" s="68"/>
      <x:c r="M40" s="69"/>
    </x:row>
    <x:row r="41" ht="6.5" customHeight="1">
      <x:c r="A41" s="68"/>
      <x:c r="B41" s="69"/>
      <x:c r="C41" s="70"/>
      <x:c r="D41" s="68"/>
      <x:c r="E41" s="71"/>
      <x:c r="F41" s="71"/>
      <x:c r="G41" s="72" t="str">
        <x:f t="shared" si="0"/>
      </x:c>
      <x:c r="H41" s="73" t="str">
        <x:f t="shared" si="1"/>
      </x:c>
      <x:c r="I41" s="68"/>
      <x:c r="J41" s="74"/>
      <x:c r="K41" s="74"/>
      <x:c r="L41" s="68"/>
      <x:c r="M41" s="69"/>
    </x:row>
    <x:row r="42" ht="6.5" customHeight="1">
      <x:c r="A42" s="68"/>
      <x:c r="B42" s="69"/>
      <x:c r="C42" s="70"/>
      <x:c r="D42" s="68"/>
      <x:c r="E42" s="71"/>
      <x:c r="F42" s="71"/>
      <x:c r="G42" s="72" t="str">
        <x:f t="shared" si="0"/>
      </x:c>
      <x:c r="H42" s="73" t="str">
        <x:f t="shared" si="1"/>
      </x:c>
      <x:c r="I42" s="68"/>
      <x:c r="J42" s="74"/>
      <x:c r="K42" s="74"/>
      <x:c r="L42" s="68"/>
      <x:c r="M42" s="69"/>
    </x:row>
    <x:row r="43" ht="6.5" customHeight="1">
      <x:c r="A43" s="68"/>
      <x:c r="B43" s="69"/>
      <x:c r="C43" s="70"/>
      <x:c r="D43" s="68"/>
      <x:c r="E43" s="71"/>
      <x:c r="F43" s="71"/>
      <x:c r="G43" s="72" t="str">
        <x:f t="shared" si="0"/>
      </x:c>
      <x:c r="H43" s="73" t="str">
        <x:f t="shared" si="1"/>
      </x:c>
      <x:c r="I43" s="68"/>
      <x:c r="J43" s="74"/>
      <x:c r="K43" s="74"/>
      <x:c r="L43" s="68"/>
      <x:c r="M43" s="69"/>
    </x:row>
    <x:row r="44" ht="6.5" customHeight="1">
      <x:c r="A44" s="68"/>
      <x:c r="B44" s="69"/>
      <x:c r="C44" s="70"/>
      <x:c r="D44" s="68"/>
      <x:c r="E44" s="71"/>
      <x:c r="F44" s="71"/>
      <x:c r="G44" s="72" t="str">
        <x:f t="shared" si="0"/>
      </x:c>
      <x:c r="H44" s="73" t="str">
        <x:f t="shared" si="1"/>
      </x:c>
      <x:c r="I44" s="68"/>
      <x:c r="J44" s="74"/>
      <x:c r="K44" s="74"/>
      <x:c r="L44" s="68"/>
      <x:c r="M44" s="69"/>
    </x:row>
    <x:row r="45" ht="6.5" customHeight="1">
      <x:c r="A45" s="68"/>
      <x:c r="B45" s="69"/>
      <x:c r="C45" s="70"/>
      <x:c r="D45" s="68"/>
      <x:c r="E45" s="71"/>
      <x:c r="F45" s="71"/>
      <x:c r="G45" s="72" t="str">
        <x:f t="shared" si="0"/>
      </x:c>
      <x:c r="H45" s="73" t="str">
        <x:f t="shared" si="1"/>
      </x:c>
      <x:c r="I45" s="68"/>
      <x:c r="J45" s="74"/>
      <x:c r="K45" s="74"/>
      <x:c r="L45" s="68"/>
      <x:c r="M45" s="69"/>
    </x:row>
    <x:row r="46" ht="6.5" customHeight="1">
      <x:c r="A46" s="68"/>
      <x:c r="B46" s="69"/>
      <x:c r="C46" s="70"/>
      <x:c r="D46" s="68"/>
      <x:c r="E46" s="71"/>
      <x:c r="F46" s="71"/>
      <x:c r="G46" s="72" t="str">
        <x:f t="shared" si="0"/>
      </x:c>
      <x:c r="H46" s="73" t="str">
        <x:f t="shared" si="1"/>
      </x:c>
      <x:c r="I46" s="68"/>
      <x:c r="J46" s="74"/>
      <x:c r="K46" s="74"/>
      <x:c r="L46" s="68"/>
      <x:c r="M46" s="69"/>
    </x:row>
    <x:row r="47" ht="6.5" customHeight="1">
      <x:c r="A47" s="68"/>
      <x:c r="B47" s="69"/>
      <x:c r="C47" s="70"/>
      <x:c r="D47" s="68"/>
      <x:c r="E47" s="71"/>
      <x:c r="F47" s="71"/>
      <x:c r="G47" s="72" t="str">
        <x:f t="shared" si="0"/>
      </x:c>
      <x:c r="H47" s="73" t="str">
        <x:f t="shared" si="1"/>
      </x:c>
      <x:c r="I47" s="68"/>
      <x:c r="J47" s="74"/>
      <x:c r="K47" s="74"/>
      <x:c r="L47" s="68"/>
      <x:c r="M47" s="69"/>
    </x:row>
    <x:row r="48" ht="6.5" customHeight="1">
      <x:c r="A48" s="68"/>
      <x:c r="B48" s="69"/>
      <x:c r="C48" s="70"/>
      <x:c r="D48" s="68"/>
      <x:c r="E48" s="71"/>
      <x:c r="F48" s="71"/>
      <x:c r="G48" s="72" t="str">
        <x:f t="shared" si="0"/>
      </x:c>
      <x:c r="H48" s="73" t="str">
        <x:f t="shared" si="1"/>
      </x:c>
      <x:c r="I48" s="68"/>
      <x:c r="J48" s="74"/>
      <x:c r="K48" s="74"/>
      <x:c r="L48" s="68"/>
      <x:c r="M48" s="69"/>
    </x:row>
    <x:row r="49" ht="6.5" customHeight="1">
      <x:c r="A49" s="68"/>
      <x:c r="B49" s="69"/>
      <x:c r="C49" s="70"/>
      <x:c r="D49" s="68"/>
      <x:c r="E49" s="71"/>
      <x:c r="F49" s="71"/>
      <x:c r="G49" s="72" t="str">
        <x:f t="shared" si="0"/>
      </x:c>
      <x:c r="H49" s="73" t="str">
        <x:f t="shared" si="1"/>
      </x:c>
      <x:c r="I49" s="68"/>
      <x:c r="J49" s="74"/>
      <x:c r="K49" s="74"/>
      <x:c r="L49" s="68"/>
      <x:c r="M49" s="69"/>
    </x:row>
    <x:row r="50" ht="6.5" customHeight="1">
      <x:c r="A50" s="68"/>
      <x:c r="B50" s="69"/>
      <x:c r="C50" s="70"/>
      <x:c r="D50" s="68"/>
      <x:c r="E50" s="71"/>
      <x:c r="F50" s="71"/>
      <x:c r="G50" s="72" t="str">
        <x:f t="shared" si="0"/>
      </x:c>
      <x:c r="H50" s="73" t="str">
        <x:f t="shared" si="1"/>
      </x:c>
      <x:c r="I50" s="68"/>
      <x:c r="J50" s="74"/>
      <x:c r="K50" s="74"/>
      <x:c r="L50" s="68"/>
      <x:c r="M50" s="69"/>
    </x:row>
    <x:row r="51" ht="6.5" customHeight="1">
      <x:c r="A51" s="68"/>
      <x:c r="B51" s="69"/>
      <x:c r="C51" s="70"/>
      <x:c r="D51" s="68"/>
      <x:c r="E51" s="71"/>
      <x:c r="F51" s="71"/>
      <x:c r="G51" s="72" t="str">
        <x:f t="shared" si="0"/>
      </x:c>
      <x:c r="H51" s="73" t="str">
        <x:f t="shared" si="1"/>
      </x:c>
      <x:c r="I51" s="68"/>
      <x:c r="J51" s="74"/>
      <x:c r="K51" s="74"/>
      <x:c r="L51" s="68"/>
      <x:c r="M51" s="69"/>
    </x:row>
    <x:row r="52" ht="6.5" customHeight="1">
      <x:c r="A52" s="68"/>
      <x:c r="B52" s="69"/>
      <x:c r="C52" s="70"/>
      <x:c r="D52" s="68"/>
      <x:c r="E52" s="71"/>
      <x:c r="F52" s="71"/>
      <x:c r="G52" s="72" t="str">
        <x:f t="shared" si="0"/>
      </x:c>
      <x:c r="H52" s="73" t="str">
        <x:f t="shared" si="1"/>
      </x:c>
      <x:c r="I52" s="68"/>
      <x:c r="J52" s="74"/>
      <x:c r="K52" s="74"/>
      <x:c r="L52" s="68"/>
      <x:c r="M52" s="69"/>
    </x:row>
    <x:row r="53" ht="6.5" customHeight="1">
      <x:c r="A53" s="68"/>
      <x:c r="B53" s="69"/>
      <x:c r="C53" s="70"/>
      <x:c r="D53" s="68"/>
      <x:c r="E53" s="71"/>
      <x:c r="F53" s="71"/>
      <x:c r="G53" s="72" t="str">
        <x:f t="shared" si="0"/>
      </x:c>
      <x:c r="H53" s="73" t="str">
        <x:f t="shared" si="1"/>
      </x:c>
      <x:c r="I53" s="68"/>
      <x:c r="J53" s="74"/>
      <x:c r="K53" s="74"/>
      <x:c r="L53" s="68"/>
      <x:c r="M53" s="69"/>
    </x:row>
    <x:row r="54" ht="6.5" customHeight="1">
      <x:c r="A54" s="68"/>
      <x:c r="B54" s="69"/>
      <x:c r="C54" s="70"/>
      <x:c r="D54" s="68"/>
      <x:c r="E54" s="71"/>
      <x:c r="F54" s="71"/>
      <x:c r="G54" s="72" t="str">
        <x:f t="shared" si="0"/>
      </x:c>
      <x:c r="H54" s="73" t="str">
        <x:f t="shared" si="1"/>
      </x:c>
      <x:c r="I54" s="68"/>
      <x:c r="J54" s="74"/>
      <x:c r="K54" s="74"/>
      <x:c r="L54" s="68"/>
      <x:c r="M54" s="69"/>
    </x:row>
    <x:row r="55" ht="6.5" customHeight="1">
      <x:c r="A55" s="68"/>
      <x:c r="B55" s="69"/>
      <x:c r="C55" s="70"/>
      <x:c r="D55" s="68"/>
      <x:c r="E55" s="71"/>
      <x:c r="F55" s="71"/>
      <x:c r="G55" s="72" t="str">
        <x:f t="shared" si="0"/>
      </x:c>
      <x:c r="H55" s="73" t="str">
        <x:f t="shared" si="1"/>
      </x:c>
      <x:c r="I55" s="68"/>
      <x:c r="J55" s="74"/>
      <x:c r="K55" s="74"/>
      <x:c r="L55" s="68"/>
      <x:c r="M55" s="69"/>
    </x:row>
    <x:row r="56" ht="6.5" customHeight="1">
      <x:c r="A56" s="68"/>
      <x:c r="B56" s="69"/>
      <x:c r="C56" s="70"/>
      <x:c r="D56" s="68"/>
      <x:c r="E56" s="71"/>
      <x:c r="F56" s="71"/>
      <x:c r="G56" s="72" t="str">
        <x:f t="shared" si="0"/>
      </x:c>
      <x:c r="H56" s="73" t="str">
        <x:f t="shared" si="1"/>
      </x:c>
      <x:c r="I56" s="68"/>
      <x:c r="J56" s="74"/>
      <x:c r="K56" s="74"/>
      <x:c r="L56" s="68"/>
      <x:c r="M56" s="69"/>
    </x:row>
    <x:row r="57" ht="6.5" customHeight="1">
      <x:c r="A57" s="68"/>
      <x:c r="B57" s="69"/>
      <x:c r="C57" s="70"/>
      <x:c r="D57" s="68"/>
      <x:c r="E57" s="71"/>
      <x:c r="F57" s="71"/>
      <x:c r="G57" s="72" t="str">
        <x:f t="shared" si="0"/>
      </x:c>
      <x:c r="H57" s="73" t="str">
        <x:f t="shared" si="1"/>
      </x:c>
      <x:c r="I57" s="68"/>
      <x:c r="J57" s="74"/>
      <x:c r="K57" s="74"/>
      <x:c r="L57" s="68"/>
      <x:c r="M57" s="69"/>
    </x:row>
    <x:row r="58" ht="6.5" customHeight="1">
      <x:c r="A58" s="68"/>
      <x:c r="B58" s="69"/>
      <x:c r="C58" s="70"/>
      <x:c r="D58" s="68"/>
      <x:c r="E58" s="71"/>
      <x:c r="F58" s="71"/>
      <x:c r="G58" s="72" t="str">
        <x:f t="shared" si="0"/>
      </x:c>
      <x:c r="H58" s="73" t="str">
        <x:f t="shared" si="1"/>
      </x:c>
      <x:c r="I58" s="68"/>
      <x:c r="J58" s="74"/>
      <x:c r="K58" s="74"/>
      <x:c r="L58" s="68"/>
      <x:c r="M58" s="69"/>
    </x:row>
    <x:row r="59" ht="6.5" customHeight="1">
      <x:c r="A59" s="68"/>
      <x:c r="B59" s="69"/>
      <x:c r="C59" s="70"/>
      <x:c r="D59" s="68"/>
      <x:c r="E59" s="71"/>
      <x:c r="F59" s="71"/>
      <x:c r="G59" s="72" t="str">
        <x:f t="shared" si="0"/>
      </x:c>
      <x:c r="H59" s="73" t="str">
        <x:f t="shared" si="1"/>
      </x:c>
      <x:c r="I59" s="68"/>
      <x:c r="J59" s="74"/>
      <x:c r="K59" s="74"/>
      <x:c r="L59" s="68"/>
      <x:c r="M59" s="69"/>
    </x:row>
    <x:row r="60" ht="6.5" customHeight="1">
      <x:c r="A60" s="68"/>
      <x:c r="B60" s="69"/>
      <x:c r="C60" s="70"/>
      <x:c r="D60" s="68"/>
      <x:c r="E60" s="71"/>
      <x:c r="F60" s="71"/>
      <x:c r="G60" s="72" t="str">
        <x:f t="shared" si="0"/>
      </x:c>
      <x:c r="H60" s="73" t="str">
        <x:f t="shared" si="1"/>
      </x:c>
      <x:c r="I60" s="68"/>
      <x:c r="J60" s="74"/>
      <x:c r="K60" s="74"/>
      <x:c r="L60" s="68"/>
      <x:c r="M60" s="69"/>
    </x:row>
    <x:row r="61" ht="6.5" customHeight="1">
      <x:c r="A61" s="68"/>
      <x:c r="B61" s="69"/>
      <x:c r="C61" s="70"/>
      <x:c r="D61" s="68"/>
      <x:c r="E61" s="71"/>
      <x:c r="F61" s="71"/>
      <x:c r="G61" s="72" t="str">
        <x:f t="shared" si="0"/>
      </x:c>
      <x:c r="H61" s="73" t="str">
        <x:f t="shared" si="1"/>
      </x:c>
      <x:c r="I61" s="68"/>
      <x:c r="J61" s="74"/>
      <x:c r="K61" s="74"/>
      <x:c r="L61" s="68"/>
      <x:c r="M61" s="69"/>
    </x:row>
    <x:row r="62" ht="6.5" customHeight="1">
      <x:c r="A62" s="68"/>
      <x:c r="B62" s="69"/>
      <x:c r="C62" s="70"/>
      <x:c r="D62" s="68"/>
      <x:c r="E62" s="71"/>
      <x:c r="F62" s="71"/>
      <x:c r="G62" s="72" t="str">
        <x:f t="shared" si="0"/>
      </x:c>
      <x:c r="H62" s="73" t="str">
        <x:f t="shared" si="1"/>
      </x:c>
      <x:c r="I62" s="68"/>
      <x:c r="J62" s="74"/>
      <x:c r="K62" s="74"/>
      <x:c r="L62" s="68"/>
      <x:c r="M62" s="69"/>
    </x:row>
    <x:row r="63" ht="6.5" customHeight="1">
      <x:c r="A63" s="68"/>
      <x:c r="B63" s="69"/>
      <x:c r="C63" s="70"/>
      <x:c r="D63" s="68"/>
      <x:c r="E63" s="71"/>
      <x:c r="F63" s="71"/>
      <x:c r="G63" s="72" t="str">
        <x:f t="shared" si="0"/>
      </x:c>
      <x:c r="H63" s="73" t="str">
        <x:f t="shared" si="1"/>
      </x:c>
      <x:c r="I63" s="68"/>
      <x:c r="J63" s="74"/>
      <x:c r="K63" s="74"/>
      <x:c r="L63" s="68"/>
      <x:c r="M63" s="69"/>
    </x:row>
    <x:row r="64" ht="6.5" customHeight="1">
      <x:c r="A64" s="68"/>
      <x:c r="B64" s="69"/>
      <x:c r="C64" s="70"/>
      <x:c r="D64" s="68"/>
      <x:c r="E64" s="71"/>
      <x:c r="F64" s="71"/>
      <x:c r="G64" s="72" t="str">
        <x:f t="shared" si="0"/>
      </x:c>
      <x:c r="H64" s="73" t="str">
        <x:f t="shared" si="1"/>
      </x:c>
      <x:c r="I64" s="68"/>
      <x:c r="J64" s="74"/>
      <x:c r="K64" s="74"/>
      <x:c r="L64" s="68"/>
      <x:c r="M64" s="69"/>
    </x:row>
    <x:row r="65" ht="6.5" customHeight="1">
      <x:c r="A65" s="68"/>
      <x:c r="B65" s="69"/>
      <x:c r="C65" s="70"/>
      <x:c r="D65" s="68"/>
      <x:c r="E65" s="71"/>
      <x:c r="F65" s="71"/>
      <x:c r="G65" s="72" t="str">
        <x:f t="shared" si="0"/>
      </x:c>
      <x:c r="H65" s="73" t="str">
        <x:f t="shared" si="1"/>
      </x:c>
      <x:c r="I65" s="68"/>
      <x:c r="J65" s="74"/>
      <x:c r="K65" s="74"/>
      <x:c r="L65" s="68"/>
      <x:c r="M65" s="69"/>
    </x:row>
    <x:row r="66" ht="6.5" customHeight="1">
      <x:c r="A66" s="68"/>
      <x:c r="B66" s="69"/>
      <x:c r="C66" s="70"/>
      <x:c r="D66" s="68"/>
      <x:c r="E66" s="71"/>
      <x:c r="F66" s="71"/>
      <x:c r="G66" s="72" t="str">
        <x:f t="shared" si="0"/>
      </x:c>
      <x:c r="H66" s="73" t="str">
        <x:f t="shared" si="1"/>
      </x:c>
      <x:c r="I66" s="68"/>
      <x:c r="J66" s="74"/>
      <x:c r="K66" s="74"/>
      <x:c r="L66" s="68"/>
      <x:c r="M66" s="69"/>
    </x:row>
    <x:row r="67" ht="6.5" customHeight="1">
      <x:c r="A67" s="68"/>
      <x:c r="B67" s="69"/>
      <x:c r="C67" s="70"/>
      <x:c r="D67" s="68"/>
      <x:c r="E67" s="71"/>
      <x:c r="F67" s="71"/>
      <x:c r="G67" s="72" t="str">
        <x:f t="shared" si="0"/>
      </x:c>
      <x:c r="H67" s="73" t="str">
        <x:f t="shared" si="1"/>
      </x:c>
      <x:c r="I67" s="68"/>
      <x:c r="J67" s="74"/>
      <x:c r="K67" s="74"/>
      <x:c r="L67" s="68"/>
      <x:c r="M67" s="69"/>
    </x:row>
    <x:row r="68" ht="6.5" customHeight="1">
      <x:c r="A68" s="68"/>
      <x:c r="B68" s="69"/>
      <x:c r="C68" s="70"/>
      <x:c r="D68" s="68"/>
      <x:c r="E68" s="71"/>
      <x:c r="F68" s="71"/>
      <x:c r="G68" s="72" t="str">
        <x:f t="shared" si="0"/>
      </x:c>
      <x:c r="H68" s="73" t="str">
        <x:f t="shared" si="1"/>
      </x:c>
      <x:c r="I68" s="68"/>
      <x:c r="J68" s="74"/>
      <x:c r="K68" s="74"/>
      <x:c r="L68" s="68"/>
      <x:c r="M68" s="69"/>
    </x:row>
    <x:row r="69" ht="6.5" customHeight="1">
      <x:c r="A69" s="68"/>
      <x:c r="B69" s="69"/>
      <x:c r="C69" s="70"/>
      <x:c r="D69" s="68"/>
      <x:c r="E69" s="71"/>
      <x:c r="F69" s="71"/>
      <x:c r="G69" s="72" t="str">
        <x:f t="shared" si="0"/>
      </x:c>
      <x:c r="H69" s="73" t="str">
        <x:f t="shared" si="1"/>
      </x:c>
      <x:c r="I69" s="68"/>
      <x:c r="J69" s="74"/>
      <x:c r="K69" s="74"/>
      <x:c r="L69" s="68"/>
      <x:c r="M69" s="69"/>
    </x:row>
    <x:row r="70" ht="6.5" customHeight="1">
      <x:c r="A70" s="68"/>
      <x:c r="B70" s="69"/>
      <x:c r="C70" s="70"/>
      <x:c r="D70" s="68"/>
      <x:c r="E70" s="71"/>
      <x:c r="F70" s="71"/>
      <x:c r="G70" s="72" t="str">
        <x:f t="shared" ref="G70:G105" si="2">IF(A70="","",SUMIFS($F$6:F70,$B$6:B70,B70,$C$6:C70,C70))</x:f>
      </x:c>
      <x:c r="H70" s="73" t="str">
        <x:f t="shared" ref="H70:H105" si="3">IF(A70="","",IFERROR(G70/E70,0))</x:f>
      </x:c>
      <x:c r="I70" s="68"/>
      <x:c r="J70" s="74"/>
      <x:c r="K70" s="74"/>
      <x:c r="L70" s="68"/>
      <x:c r="M70" s="69"/>
    </x:row>
    <x:row r="71" ht="6.5" customHeight="1">
      <x:c r="A71" s="68"/>
      <x:c r="B71" s="69"/>
      <x:c r="C71" s="70"/>
      <x:c r="D71" s="68"/>
      <x:c r="E71" s="71"/>
      <x:c r="F71" s="71"/>
      <x:c r="G71" s="72" t="str">
        <x:f t="shared" si="2"/>
      </x:c>
      <x:c r="H71" s="73" t="str">
        <x:f t="shared" si="3"/>
      </x:c>
      <x:c r="I71" s="68"/>
      <x:c r="J71" s="74"/>
      <x:c r="K71" s="74"/>
      <x:c r="L71" s="68"/>
      <x:c r="M71" s="69"/>
    </x:row>
    <x:row r="72" ht="6.5" customHeight="1">
      <x:c r="A72" s="68"/>
      <x:c r="B72" s="69"/>
      <x:c r="C72" s="70"/>
      <x:c r="D72" s="68"/>
      <x:c r="E72" s="71"/>
      <x:c r="F72" s="71"/>
      <x:c r="G72" s="72" t="str">
        <x:f t="shared" si="2"/>
      </x:c>
      <x:c r="H72" s="73" t="str">
        <x:f t="shared" si="3"/>
      </x:c>
      <x:c r="I72" s="68"/>
      <x:c r="J72" s="74"/>
      <x:c r="K72" s="74"/>
      <x:c r="L72" s="68"/>
      <x:c r="M72" s="69"/>
    </x:row>
    <x:row r="73" ht="6.5" customHeight="1">
      <x:c r="A73" s="68"/>
      <x:c r="B73" s="69"/>
      <x:c r="C73" s="70"/>
      <x:c r="D73" s="68"/>
      <x:c r="E73" s="71"/>
      <x:c r="F73" s="71"/>
      <x:c r="G73" s="72" t="str">
        <x:f t="shared" si="2"/>
      </x:c>
      <x:c r="H73" s="73" t="str">
        <x:f t="shared" si="3"/>
      </x:c>
      <x:c r="I73" s="68"/>
      <x:c r="J73" s="74"/>
      <x:c r="K73" s="74"/>
      <x:c r="L73" s="68"/>
      <x:c r="M73" s="69"/>
    </x:row>
    <x:row r="74" ht="6.5" customHeight="1">
      <x:c r="A74" s="68"/>
      <x:c r="B74" s="69"/>
      <x:c r="C74" s="70"/>
      <x:c r="D74" s="68"/>
      <x:c r="E74" s="71"/>
      <x:c r="F74" s="71"/>
      <x:c r="G74" s="72" t="str">
        <x:f t="shared" si="2"/>
      </x:c>
      <x:c r="H74" s="73" t="str">
        <x:f t="shared" si="3"/>
      </x:c>
      <x:c r="I74" s="68"/>
      <x:c r="J74" s="74"/>
      <x:c r="K74" s="74"/>
      <x:c r="L74" s="68"/>
      <x:c r="M74" s="69"/>
    </x:row>
    <x:row r="75" ht="6.5" customHeight="1">
      <x:c r="A75" s="68"/>
      <x:c r="B75" s="69"/>
      <x:c r="C75" s="70"/>
      <x:c r="D75" s="68"/>
      <x:c r="E75" s="71"/>
      <x:c r="F75" s="71"/>
      <x:c r="G75" s="72" t="str">
        <x:f t="shared" si="2"/>
      </x:c>
      <x:c r="H75" s="73" t="str">
        <x:f t="shared" si="3"/>
      </x:c>
      <x:c r="I75" s="68"/>
      <x:c r="J75" s="74"/>
      <x:c r="K75" s="74"/>
      <x:c r="L75" s="68"/>
      <x:c r="M75" s="69"/>
    </x:row>
    <x:row r="76" ht="6.5" customHeight="1">
      <x:c r="A76" s="68"/>
      <x:c r="B76" s="69"/>
      <x:c r="C76" s="70"/>
      <x:c r="D76" s="68"/>
      <x:c r="E76" s="71"/>
      <x:c r="F76" s="71"/>
      <x:c r="G76" s="72" t="str">
        <x:f t="shared" si="2"/>
      </x:c>
      <x:c r="H76" s="73" t="str">
        <x:f t="shared" si="3"/>
      </x:c>
      <x:c r="I76" s="68"/>
      <x:c r="J76" s="74"/>
      <x:c r="K76" s="74"/>
      <x:c r="L76" s="68"/>
      <x:c r="M76" s="69"/>
    </x:row>
    <x:row r="77" ht="6.5" customHeight="1">
      <x:c r="A77" s="68"/>
      <x:c r="B77" s="69"/>
      <x:c r="C77" s="70"/>
      <x:c r="D77" s="68"/>
      <x:c r="E77" s="71"/>
      <x:c r="F77" s="71"/>
      <x:c r="G77" s="72" t="str">
        <x:f t="shared" si="2"/>
      </x:c>
      <x:c r="H77" s="73" t="str">
        <x:f t="shared" si="3"/>
      </x:c>
      <x:c r="I77" s="68"/>
      <x:c r="J77" s="74"/>
      <x:c r="K77" s="74"/>
      <x:c r="L77" s="68"/>
      <x:c r="M77" s="69"/>
    </x:row>
    <x:row r="78" ht="6.5" customHeight="1">
      <x:c r="A78" s="68"/>
      <x:c r="B78" s="69"/>
      <x:c r="C78" s="70"/>
      <x:c r="D78" s="68"/>
      <x:c r="E78" s="71"/>
      <x:c r="F78" s="71"/>
      <x:c r="G78" s="72" t="str">
        <x:f t="shared" si="2"/>
      </x:c>
      <x:c r="H78" s="73" t="str">
        <x:f t="shared" si="3"/>
      </x:c>
      <x:c r="I78" s="68"/>
      <x:c r="J78" s="74"/>
      <x:c r="K78" s="74"/>
      <x:c r="L78" s="68"/>
      <x:c r="M78" s="69"/>
    </x:row>
    <x:row r="79" ht="6.5" customHeight="1">
      <x:c r="A79" s="68"/>
      <x:c r="B79" s="69"/>
      <x:c r="C79" s="70"/>
      <x:c r="D79" s="68"/>
      <x:c r="E79" s="71"/>
      <x:c r="F79" s="71"/>
      <x:c r="G79" s="72" t="str">
        <x:f t="shared" si="2"/>
      </x:c>
      <x:c r="H79" s="73" t="str">
        <x:f t="shared" si="3"/>
      </x:c>
      <x:c r="I79" s="68"/>
      <x:c r="J79" s="74"/>
      <x:c r="K79" s="74"/>
      <x:c r="L79" s="68"/>
      <x:c r="M79" s="69"/>
    </x:row>
    <x:row r="80" ht="6.5" customHeight="1">
      <x:c r="A80" s="68"/>
      <x:c r="B80" s="69"/>
      <x:c r="C80" s="70"/>
      <x:c r="D80" s="68"/>
      <x:c r="E80" s="71"/>
      <x:c r="F80" s="71"/>
      <x:c r="G80" s="72" t="str">
        <x:f t="shared" si="2"/>
      </x:c>
      <x:c r="H80" s="73" t="str">
        <x:f t="shared" si="3"/>
      </x:c>
      <x:c r="I80" s="68"/>
      <x:c r="J80" s="74"/>
      <x:c r="K80" s="74"/>
      <x:c r="L80" s="68"/>
      <x:c r="M80" s="69"/>
    </x:row>
    <x:row r="81" ht="6.5" customHeight="1">
      <x:c r="A81" s="68"/>
      <x:c r="B81" s="69"/>
      <x:c r="C81" s="70"/>
      <x:c r="D81" s="68"/>
      <x:c r="E81" s="71"/>
      <x:c r="F81" s="71"/>
      <x:c r="G81" s="72" t="str">
        <x:f t="shared" si="2"/>
      </x:c>
      <x:c r="H81" s="73" t="str">
        <x:f t="shared" si="3"/>
      </x:c>
      <x:c r="I81" s="68"/>
      <x:c r="J81" s="74"/>
      <x:c r="K81" s="74"/>
      <x:c r="L81" s="68"/>
      <x:c r="M81" s="69"/>
    </x:row>
    <x:row r="82" ht="6.5" customHeight="1">
      <x:c r="A82" s="68"/>
      <x:c r="B82" s="69"/>
      <x:c r="C82" s="70"/>
      <x:c r="D82" s="68"/>
      <x:c r="E82" s="71"/>
      <x:c r="F82" s="71"/>
      <x:c r="G82" s="72" t="str">
        <x:f t="shared" si="2"/>
      </x:c>
      <x:c r="H82" s="73" t="str">
        <x:f t="shared" si="3"/>
      </x:c>
      <x:c r="I82" s="68"/>
      <x:c r="J82" s="74"/>
      <x:c r="K82" s="74"/>
      <x:c r="L82" s="68"/>
      <x:c r="M82" s="69"/>
    </x:row>
    <x:row r="83" ht="6.5" customHeight="1">
      <x:c r="A83" s="68"/>
      <x:c r="B83" s="69"/>
      <x:c r="C83" s="70"/>
      <x:c r="D83" s="68"/>
      <x:c r="E83" s="71"/>
      <x:c r="F83" s="71"/>
      <x:c r="G83" s="72" t="str">
        <x:f t="shared" si="2"/>
      </x:c>
      <x:c r="H83" s="73" t="str">
        <x:f t="shared" si="3"/>
      </x:c>
      <x:c r="I83" s="68"/>
      <x:c r="J83" s="74"/>
      <x:c r="K83" s="74"/>
      <x:c r="L83" s="68"/>
      <x:c r="M83" s="69"/>
    </x:row>
    <x:row r="84" ht="6.5" customHeight="1">
      <x:c r="A84" s="68"/>
      <x:c r="B84" s="69"/>
      <x:c r="C84" s="70"/>
      <x:c r="D84" s="68"/>
      <x:c r="E84" s="71"/>
      <x:c r="F84" s="71"/>
      <x:c r="G84" s="72" t="str">
        <x:f t="shared" si="2"/>
      </x:c>
      <x:c r="H84" s="73" t="str">
        <x:f t="shared" si="3"/>
      </x:c>
      <x:c r="I84" s="68"/>
      <x:c r="J84" s="74"/>
      <x:c r="K84" s="74"/>
      <x:c r="L84" s="68"/>
      <x:c r="M84" s="69"/>
    </x:row>
    <x:row r="85" ht="6.5" customHeight="1">
      <x:c r="A85" s="68"/>
      <x:c r="B85" s="69"/>
      <x:c r="C85" s="70"/>
      <x:c r="D85" s="68"/>
      <x:c r="E85" s="71"/>
      <x:c r="F85" s="71"/>
      <x:c r="G85" s="72" t="str">
        <x:f t="shared" si="2"/>
      </x:c>
      <x:c r="H85" s="73" t="str">
        <x:f t="shared" si="3"/>
      </x:c>
      <x:c r="I85" s="68"/>
      <x:c r="J85" s="74"/>
      <x:c r="K85" s="74"/>
      <x:c r="L85" s="68"/>
      <x:c r="M85" s="69"/>
    </x:row>
    <x:row r="86" ht="6.5" customHeight="1">
      <x:c r="A86" s="68"/>
      <x:c r="B86" s="69"/>
      <x:c r="C86" s="70"/>
      <x:c r="D86" s="68"/>
      <x:c r="E86" s="71"/>
      <x:c r="F86" s="71"/>
      <x:c r="G86" s="72" t="str">
        <x:f t="shared" si="2"/>
      </x:c>
      <x:c r="H86" s="73" t="str">
        <x:f t="shared" si="3"/>
      </x:c>
      <x:c r="I86" s="68"/>
      <x:c r="J86" s="74"/>
      <x:c r="K86" s="74"/>
      <x:c r="L86" s="68"/>
      <x:c r="M86" s="69"/>
    </x:row>
    <x:row r="87" ht="6.5" customHeight="1">
      <x:c r="A87" s="68"/>
      <x:c r="B87" s="69"/>
      <x:c r="C87" s="70"/>
      <x:c r="D87" s="68"/>
      <x:c r="E87" s="71"/>
      <x:c r="F87" s="71"/>
      <x:c r="G87" s="72" t="str">
        <x:f t="shared" si="2"/>
      </x:c>
      <x:c r="H87" s="73" t="str">
        <x:f t="shared" si="3"/>
      </x:c>
      <x:c r="I87" s="68"/>
      <x:c r="J87" s="74"/>
      <x:c r="K87" s="74"/>
      <x:c r="L87" s="68"/>
      <x:c r="M87" s="69"/>
    </x:row>
    <x:row r="88" ht="6.5" customHeight="1">
      <x:c r="A88" s="68"/>
      <x:c r="B88" s="69"/>
      <x:c r="C88" s="70"/>
      <x:c r="D88" s="68"/>
      <x:c r="E88" s="71"/>
      <x:c r="F88" s="71"/>
      <x:c r="G88" s="72" t="str">
        <x:f t="shared" si="2"/>
      </x:c>
      <x:c r="H88" s="73" t="str">
        <x:f t="shared" si="3"/>
      </x:c>
      <x:c r="I88" s="68"/>
      <x:c r="J88" s="74"/>
      <x:c r="K88" s="74"/>
      <x:c r="L88" s="68"/>
      <x:c r="M88" s="69"/>
    </x:row>
    <x:row r="89" ht="6.5" customHeight="1">
      <x:c r="A89" s="68"/>
      <x:c r="B89" s="69"/>
      <x:c r="C89" s="70"/>
      <x:c r="D89" s="68"/>
      <x:c r="E89" s="71"/>
      <x:c r="F89" s="71"/>
      <x:c r="G89" s="72" t="str">
        <x:f t="shared" si="2"/>
      </x:c>
      <x:c r="H89" s="73" t="str">
        <x:f t="shared" si="3"/>
      </x:c>
      <x:c r="I89" s="68"/>
      <x:c r="J89" s="74"/>
      <x:c r="K89" s="74"/>
      <x:c r="L89" s="68"/>
      <x:c r="M89" s="69"/>
    </x:row>
    <x:row r="90" ht="6.5" customHeight="1">
      <x:c r="A90" s="68"/>
      <x:c r="B90" s="69"/>
      <x:c r="C90" s="70"/>
      <x:c r="D90" s="68"/>
      <x:c r="E90" s="71"/>
      <x:c r="F90" s="71"/>
      <x:c r="G90" s="72" t="str">
        <x:f t="shared" si="2"/>
      </x:c>
      <x:c r="H90" s="73" t="str">
        <x:f t="shared" si="3"/>
      </x:c>
      <x:c r="I90" s="68"/>
      <x:c r="J90" s="74"/>
      <x:c r="K90" s="74"/>
      <x:c r="L90" s="68"/>
      <x:c r="M90" s="69"/>
    </x:row>
    <x:row r="91" ht="6.5" customHeight="1">
      <x:c r="A91" s="68"/>
      <x:c r="B91" s="69"/>
      <x:c r="C91" s="70"/>
      <x:c r="D91" s="68"/>
      <x:c r="E91" s="71"/>
      <x:c r="F91" s="71"/>
      <x:c r="G91" s="72" t="str">
        <x:f t="shared" si="2"/>
      </x:c>
      <x:c r="H91" s="73" t="str">
        <x:f t="shared" si="3"/>
      </x:c>
      <x:c r="I91" s="68"/>
      <x:c r="J91" s="74"/>
      <x:c r="K91" s="74"/>
      <x:c r="L91" s="68"/>
      <x:c r="M91" s="69"/>
    </x:row>
    <x:row r="92" ht="6.5" customHeight="1">
      <x:c r="A92" s="68"/>
      <x:c r="B92" s="69"/>
      <x:c r="C92" s="70"/>
      <x:c r="D92" s="68"/>
      <x:c r="E92" s="71"/>
      <x:c r="F92" s="71"/>
      <x:c r="G92" s="72" t="str">
        <x:f t="shared" si="2"/>
      </x:c>
      <x:c r="H92" s="73" t="str">
        <x:f t="shared" si="3"/>
      </x:c>
      <x:c r="I92" s="68"/>
      <x:c r="J92" s="74"/>
      <x:c r="K92" s="74"/>
      <x:c r="L92" s="68"/>
      <x:c r="M92" s="69"/>
    </x:row>
    <x:row r="93" ht="6.5" customHeight="1">
      <x:c r="A93" s="68"/>
      <x:c r="B93" s="69"/>
      <x:c r="C93" s="70"/>
      <x:c r="D93" s="68"/>
      <x:c r="E93" s="71"/>
      <x:c r="F93" s="71"/>
      <x:c r="G93" s="72" t="str">
        <x:f t="shared" si="2"/>
      </x:c>
      <x:c r="H93" s="73" t="str">
        <x:f t="shared" si="3"/>
      </x:c>
      <x:c r="I93" s="68"/>
      <x:c r="J93" s="74"/>
      <x:c r="K93" s="74"/>
      <x:c r="L93" s="68"/>
      <x:c r="M93" s="69"/>
    </x:row>
    <x:row r="94" ht="6.5" customHeight="1">
      <x:c r="A94" s="68"/>
      <x:c r="B94" s="69"/>
      <x:c r="C94" s="70"/>
      <x:c r="D94" s="68"/>
      <x:c r="E94" s="71"/>
      <x:c r="F94" s="71"/>
      <x:c r="G94" s="72" t="str">
        <x:f t="shared" si="2"/>
      </x:c>
      <x:c r="H94" s="73" t="str">
        <x:f t="shared" si="3"/>
      </x:c>
      <x:c r="I94" s="68"/>
      <x:c r="J94" s="74"/>
      <x:c r="K94" s="74"/>
      <x:c r="L94" s="68"/>
      <x:c r="M94" s="69"/>
    </x:row>
    <x:row r="95" ht="6.5" customHeight="1">
      <x:c r="A95" s="68"/>
      <x:c r="B95" s="69"/>
      <x:c r="C95" s="70"/>
      <x:c r="D95" s="68"/>
      <x:c r="E95" s="71"/>
      <x:c r="F95" s="71"/>
      <x:c r="G95" s="72" t="str">
        <x:f t="shared" si="2"/>
      </x:c>
      <x:c r="H95" s="73" t="str">
        <x:f t="shared" si="3"/>
      </x:c>
      <x:c r="I95" s="68"/>
      <x:c r="J95" s="74"/>
      <x:c r="K95" s="74"/>
      <x:c r="L95" s="68"/>
      <x:c r="M95" s="69"/>
    </x:row>
    <x:row r="96" ht="6.5" customHeight="1">
      <x:c r="A96" s="68"/>
      <x:c r="B96" s="69"/>
      <x:c r="C96" s="70"/>
      <x:c r="D96" s="68"/>
      <x:c r="E96" s="71"/>
      <x:c r="F96" s="71"/>
      <x:c r="G96" s="72" t="str">
        <x:f t="shared" si="2"/>
      </x:c>
      <x:c r="H96" s="73" t="str">
        <x:f t="shared" si="3"/>
      </x:c>
      <x:c r="I96" s="68"/>
      <x:c r="J96" s="74"/>
      <x:c r="K96" s="74"/>
      <x:c r="L96" s="68"/>
      <x:c r="M96" s="69"/>
    </x:row>
    <x:row r="97" ht="6.5" customHeight="1">
      <x:c r="A97" s="68"/>
      <x:c r="B97" s="69"/>
      <x:c r="C97" s="70"/>
      <x:c r="D97" s="68"/>
      <x:c r="E97" s="71"/>
      <x:c r="F97" s="71"/>
      <x:c r="G97" s="72" t="str">
        <x:f t="shared" si="2"/>
      </x:c>
      <x:c r="H97" s="73" t="str">
        <x:f t="shared" si="3"/>
      </x:c>
      <x:c r="I97" s="68"/>
      <x:c r="J97" s="74"/>
      <x:c r="K97" s="74"/>
      <x:c r="L97" s="68"/>
      <x:c r="M97" s="69"/>
    </x:row>
    <x:row r="98" ht="6.5" customHeight="1">
      <x:c r="A98" s="68"/>
      <x:c r="B98" s="69"/>
      <x:c r="C98" s="70"/>
      <x:c r="D98" s="68"/>
      <x:c r="E98" s="71"/>
      <x:c r="F98" s="71"/>
      <x:c r="G98" s="72" t="str">
        <x:f t="shared" si="2"/>
      </x:c>
      <x:c r="H98" s="73" t="str">
        <x:f t="shared" si="3"/>
      </x:c>
      <x:c r="I98" s="68"/>
      <x:c r="J98" s="74"/>
      <x:c r="K98" s="74"/>
      <x:c r="L98" s="68"/>
      <x:c r="M98" s="69"/>
    </x:row>
    <x:row r="99" ht="6.5" customHeight="1">
      <x:c r="A99" s="68"/>
      <x:c r="B99" s="69"/>
      <x:c r="C99" s="70"/>
      <x:c r="D99" s="68"/>
      <x:c r="E99" s="71"/>
      <x:c r="F99" s="71"/>
      <x:c r="G99" s="72" t="str">
        <x:f t="shared" si="2"/>
      </x:c>
      <x:c r="H99" s="73" t="str">
        <x:f t="shared" si="3"/>
      </x:c>
      <x:c r="I99" s="68"/>
      <x:c r="J99" s="74"/>
      <x:c r="K99" s="74"/>
      <x:c r="L99" s="68"/>
      <x:c r="M99" s="69"/>
    </x:row>
    <x:row r="100" ht="6.5" customHeight="1">
      <x:c r="A100" s="68"/>
      <x:c r="B100" s="69"/>
      <x:c r="C100" s="70"/>
      <x:c r="D100" s="68"/>
      <x:c r="E100" s="71"/>
      <x:c r="F100" s="71"/>
      <x:c r="G100" s="72" t="str">
        <x:f t="shared" si="2"/>
      </x:c>
      <x:c r="H100" s="73" t="str">
        <x:f t="shared" si="3"/>
      </x:c>
      <x:c r="I100" s="68"/>
      <x:c r="J100" s="74"/>
      <x:c r="K100" s="74"/>
      <x:c r="L100" s="68"/>
      <x:c r="M100" s="69"/>
    </x:row>
    <x:row r="101" ht="6.5" customHeight="1">
      <x:c r="A101" s="68"/>
      <x:c r="B101" s="69"/>
      <x:c r="C101" s="70"/>
      <x:c r="D101" s="68"/>
      <x:c r="E101" s="71"/>
      <x:c r="F101" s="71"/>
      <x:c r="G101" s="72" t="str">
        <x:f t="shared" si="2"/>
      </x:c>
      <x:c r="H101" s="73" t="str">
        <x:f t="shared" si="3"/>
      </x:c>
      <x:c r="I101" s="68"/>
      <x:c r="J101" s="74"/>
      <x:c r="K101" s="74"/>
      <x:c r="L101" s="68"/>
      <x:c r="M101" s="69"/>
    </x:row>
    <x:row r="102" ht="6.5" customHeight="1">
      <x:c r="A102" s="68"/>
      <x:c r="B102" s="69"/>
      <x:c r="C102" s="70"/>
      <x:c r="D102" s="68"/>
      <x:c r="E102" s="71"/>
      <x:c r="F102" s="71"/>
      <x:c r="G102" s="72" t="str">
        <x:f t="shared" si="2"/>
      </x:c>
      <x:c r="H102" s="73" t="str">
        <x:f t="shared" si="3"/>
      </x:c>
      <x:c r="I102" s="68"/>
      <x:c r="J102" s="74"/>
      <x:c r="K102" s="74"/>
      <x:c r="L102" s="68"/>
      <x:c r="M102" s="69"/>
    </x:row>
    <x:row r="103" ht="6.5" customHeight="1">
      <x:c r="A103" s="68"/>
      <x:c r="B103" s="69"/>
      <x:c r="C103" s="70"/>
      <x:c r="D103" s="68"/>
      <x:c r="E103" s="71"/>
      <x:c r="F103" s="71"/>
      <x:c r="G103" s="72" t="str">
        <x:f t="shared" si="2"/>
      </x:c>
      <x:c r="H103" s="73" t="str">
        <x:f t="shared" si="3"/>
      </x:c>
      <x:c r="I103" s="68"/>
      <x:c r="J103" s="74"/>
      <x:c r="K103" s="74"/>
      <x:c r="L103" s="68"/>
      <x:c r="M103" s="69"/>
    </x:row>
    <x:row r="104" ht="6.5" customHeight="1">
      <x:c r="A104" s="68"/>
      <x:c r="B104" s="69"/>
      <x:c r="C104" s="70"/>
      <x:c r="D104" s="68"/>
      <x:c r="E104" s="71"/>
      <x:c r="F104" s="71"/>
      <x:c r="G104" s="72" t="str">
        <x:f t="shared" si="2"/>
      </x:c>
      <x:c r="H104" s="73" t="str">
        <x:f t="shared" si="3"/>
      </x:c>
      <x:c r="I104" s="68"/>
      <x:c r="J104" s="74"/>
      <x:c r="K104" s="74"/>
      <x:c r="L104" s="68"/>
      <x:c r="M104" s="69"/>
    </x:row>
    <x:row r="105" ht="6.5" customHeight="1">
      <x:c r="A105" s="68"/>
      <x:c r="B105" s="69"/>
      <x:c r="C105" s="70"/>
      <x:c r="D105" s="68"/>
      <x:c r="E105" s="71"/>
      <x:c r="F105" s="71"/>
      <x:c r="G105" s="72" t="str">
        <x:f t="shared" si="2"/>
      </x:c>
      <x:c r="H105" s="73" t="str">
        <x:f t="shared" si="3"/>
      </x:c>
      <x:c r="I105" s="68"/>
      <x:c r="J105" s="74"/>
      <x:c r="K105" s="74"/>
      <x:c r="L105" s="68"/>
      <x:c r="M105" s="69"/>
    </x:row>
  </x:sheetData>
  <x:mergeCells>
    <x:mergeCell ref="A1:M1"/>
    <x:mergeCell ref="A2:M2"/>
    <x:mergeCell ref="A3:M3"/>
  </x:mergeCells>
  <x:conditionalFormatting sqref="G6:G105">
    <x:cfRule type="dataBar" priority="1">
      <x:dataBar>
        <x:cfvo type="min"/>
        <x:cfvo type="max"/>
        <x:color rgb="FFE8F4F4"/>
      </x:dataBar>
    </x:cfRule>
    <x:cfRule type="dataBar" priority="2">
      <x:dataBar>
        <x:cfvo type="min"/>
        <x:cfvo type="max"/>
        <x:color rgb="FFE8F4F4"/>
      </x:dataBar>
    </x:cfRule>
    <x:cfRule type="dataBar" priority="4">
      <x:dataBar>
        <x:cfvo type="min"/>
        <x:cfvo type="max"/>
        <x:color rgb="FFE8F4F4"/>
      </x:dataBar>
    </x:cfRule>
    <x:cfRule type="dataBar" priority="6">
      <x:dataBar>
        <x:cfvo type="min"/>
        <x:cfvo type="max"/>
        <x:color rgb="FFE8F4F4"/>
      </x:dataBar>
      <x:extLst>
        <x:ext xmlns:x14="http://schemas.microsoft.com/office/spreadsheetml/2009/9/main" uri="{B025F937-C7B1-47D3-B67F-A62EFF666E3E}">
          <x14:id>{1BDB8642-C99B-45A4-A39A-F48C122B76D7}</x14:id>
        </x:ext>
      </x:extLst>
    </x:cfRule>
  </x:conditionalFormatting>
  <x:conditionalFormatting sqref="H6:H105">
    <x:cfRule type="dataBar" priority="3">
      <x:dataBar>
        <x:cfvo type="min"/>
        <x:cfvo type="max"/>
        <x:color rgb="FF175B72"/>
      </x:dataBar>
    </x:cfRule>
    <x:cfRule type="dataBar" priority="5">
      <x:dataBar>
        <x:cfvo type="min"/>
        <x:cfvo type="max"/>
        <x:color rgb="FF175B72"/>
      </x:dataBar>
    </x:cfRule>
    <x:cfRule type="dataBar" priority="7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{CB30F313-E5F9-4971-AD65-553A1399BD80}</x14:id>
        </x:ext>
      </x:extLst>
    </x:cfRule>
  </x:conditionalFormatting>
  <x:dataValidations count="3">
    <x:dataValidation type="list" sqref="D6:D105">
      <x:formula1>"Januari,Februari,Maret,April,Mei,Juni,Juli,Agustus,September,Oktober,November,Desember"</x:formula1>
    </x:dataValidation>
    <x:dataValidation type="list" sqref="I6:I105">
      <x:formula1>"Belum Diverifikasi,Sudah Diverifikasi"</x:formula1>
    </x:dataValidation>
    <x:dataValidation type="list" sqref="G6:H105">
      <x:formula1>"Belum Diverifikasi,Terverifikasi,Perlu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9ef3642a7d4b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BDB8642-C99B-45A4-A39A-F48C122B76D7}">
            <x14:dataBar>
              <x14:cfvo type="min"/>
              <x14:cfvo type="max"/>
              <x14:fillColor rgb="FFE8F4F4"/>
              <x14:negativeFillColor auto="1"/>
              <x14:axisColor auto="1"/>
            </x14:dataBar>
          </x14:cfRule>
          <xm:sqref>G6:G105</xm:sqref>
        </x14:conditionalFormatting>
        <x14:conditionalFormatting>
          <x14:cfRule type="dataBar" priority="7" id="{CB30F313-E5F9-4971-AD65-553A1399BD80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H6:H105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4"/>
  <x:cols>
    <x:col min="1" max="1" width="16" customWidth="1"/>
    <x:col min="2" max="3" width="28" customWidth="1"/>
    <x:col min="4" max="4" width="24" customWidth="1"/>
    <x:col min="5" max="5" width="22" customWidth="1"/>
    <x:col min="6" max="6" width="14" style="75" customWidth="1"/>
    <x:col min="7" max="7" width="36" customWidth="1"/>
    <x:col min="8" max="8" width="24" customWidth="1"/>
    <x:col min="9" max="9" width="20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941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942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943</x:v>
      </x:c>
      <x:c r="B5" s="2" t="s">
        <x:v>881</x:v>
      </x:c>
      <x:c r="C5" s="2" t="s">
        <x:v>944</x:v>
      </x:c>
      <x:c r="D5" s="2" t="s">
        <x:v>945</x:v>
      </x:c>
      <x:c r="E5" s="2" t="s">
        <x:v>946</x:v>
      </x:c>
      <x:c r="F5" s="76" t="s">
        <x:v>947</x:v>
      </x:c>
      <x:c r="G5" s="2" t="s">
        <x:v>948</x:v>
      </x:c>
      <x:c r="H5" s="2" t="s">
        <x:v>949</x:v>
      </x:c>
      <x:c r="I5" s="2" t="s">
        <x:v>950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10"/>
      <x:c r="C6" s="10" t="s">
        <x:v>951</x:v>
      </x:c>
      <x:c r="D6" s="4"/>
      <x:c r="E6" s="10" t="s">
        <x:v>952</x:v>
      </x:c>
      <x:c r="F6" s="10" t="s">
        <x:v>953</x:v>
      </x:c>
      <x:c r="G6" s="10"/>
      <x:c r="H6" s="10"/>
      <x:c r="I6" s="13"/>
      <x:c r="J6" s="19"/>
      <x:c r="K6" s="10"/>
      <x:c r="L6" s="10"/>
      <x:c r="M6" s="13"/>
      <x:c r="N6" s="34"/>
    </x:row>
    <x:row r="7" ht="9.75" customHeight="1">
      <x:c r="A7" s="32"/>
      <x:c r="B7" s="11"/>
      <x:c r="C7" s="11" t="s">
        <x:v>954</x:v>
      </x:c>
      <x:c r="D7" s="6"/>
      <x:c r="E7" s="11" t="s">
        <x:v>892</x:v>
      </x:c>
      <x:c r="F7" s="11" t="s">
        <x:v>953</x:v>
      </x:c>
      <x:c r="G7" s="11"/>
      <x:c r="H7" s="11"/>
      <x:c r="I7" s="14"/>
      <x:c r="J7" s="20"/>
      <x:c r="K7" s="11"/>
      <x:c r="L7" s="11"/>
      <x:c r="M7" s="14"/>
      <x:c r="N7" s="35"/>
    </x:row>
    <x:row r="8" ht="9.75" customHeight="1">
      <x:c r="A8" s="32"/>
      <x:c r="B8" s="11"/>
      <x:c r="C8" s="11" t="s">
        <x:v>955</x:v>
      </x:c>
      <x:c r="D8" s="6"/>
      <x:c r="E8" s="11" t="s">
        <x:v>909</x:v>
      </x:c>
      <x:c r="F8" s="11" t="s">
        <x:v>956</x:v>
      </x:c>
      <x:c r="G8" s="11"/>
      <x:c r="H8" s="11"/>
      <x:c r="I8" s="14"/>
      <x:c r="J8" s="20"/>
      <x:c r="K8" s="11"/>
      <x:c r="L8" s="11"/>
      <x:c r="M8" s="14"/>
      <x:c r="N8" s="35"/>
    </x:row>
    <x:row r="9" ht="9.75" customHeight="1">
      <x:c r="A9" s="32"/>
      <x:c r="B9" s="11"/>
      <x:c r="C9" s="11" t="s">
        <x:v>957</x:v>
      </x:c>
      <x:c r="D9" s="6"/>
      <x:c r="E9" s="11" t="s">
        <x:v>952</x:v>
      </x:c>
      <x:c r="F9" s="11" t="s">
        <x:v>953</x:v>
      </x:c>
      <x:c r="G9" s="11"/>
      <x:c r="H9" s="11"/>
      <x:c r="I9" s="14"/>
      <x:c r="J9" s="20"/>
      <x:c r="K9" s="11"/>
      <x:c r="L9" s="11"/>
      <x:c r="M9" s="14"/>
      <x:c r="N9" s="35"/>
    </x:row>
    <x:row r="10" ht="9.75" customHeight="1">
      <x:c r="A10" s="32"/>
      <x:c r="B10" s="11"/>
      <x:c r="C10" s="11" t="s">
        <x:v>958</x:v>
      </x:c>
      <x:c r="D10" s="6"/>
      <x:c r="E10" s="11" t="s">
        <x:v>895</x:v>
      </x:c>
      <x:c r="F10" s="11" t="s">
        <x:v>953</x:v>
      </x:c>
      <x:c r="G10" s="11"/>
      <x:c r="H10" s="11"/>
      <x:c r="I10" s="14"/>
      <x:c r="J10" s="20"/>
      <x:c r="K10" s="11"/>
      <x:c r="L10" s="11"/>
      <x:c r="M10" s="14"/>
      <x:c r="N10" s="35"/>
    </x:row>
    <x:row r="11" ht="9.75" customHeight="1">
      <x:c r="A11" s="32"/>
      <x:c r="B11" s="11"/>
      <x:c r="C11" s="11" t="s">
        <x:v>959</x:v>
      </x:c>
      <x:c r="D11" s="6"/>
      <x:c r="E11" s="11" t="s">
        <x:v>895</x:v>
      </x:c>
      <x:c r="F11" s="11" t="s">
        <x:v>953</x:v>
      </x:c>
      <x:c r="G11" s="11"/>
      <x:c r="H11" s="11"/>
      <x:c r="I11" s="14"/>
      <x:c r="J11" s="20"/>
      <x:c r="K11" s="11"/>
      <x:c r="L11" s="11"/>
      <x:c r="M11" s="14"/>
      <x:c r="N11" s="35"/>
    </x:row>
    <x:row r="12" ht="9.75" customHeight="1">
      <x:c r="A12" s="32"/>
      <x:c r="B12" s="11"/>
      <x:c r="C12" s="11" t="s">
        <x:v>960</x:v>
      </x:c>
      <x:c r="D12" s="6"/>
      <x:c r="E12" s="11" t="s">
        <x:v>952</x:v>
      </x:c>
      <x:c r="F12" s="11" t="s">
        <x:v>953</x:v>
      </x:c>
      <x:c r="G12" s="11"/>
      <x:c r="H12" s="11"/>
      <x:c r="I12" s="14"/>
      <x:c r="J12" s="20"/>
      <x:c r="K12" s="11"/>
      <x:c r="L12" s="11"/>
      <x:c r="M12" s="14"/>
      <x:c r="N12" s="35"/>
    </x:row>
    <x:row r="13" ht="9.75" customHeight="1">
      <x:c r="A13" s="32"/>
      <x:c r="B13" s="11"/>
      <x:c r="C13" s="11"/>
      <x:c r="D13" s="6"/>
      <x:c r="E13" s="11"/>
      <x:c r="F13" s="11"/>
      <x:c r="G13" s="11"/>
      <x:c r="H13" s="11"/>
      <x:c r="I13" s="14"/>
      <x:c r="J13" s="20"/>
      <x:c r="K13" s="11"/>
      <x:c r="L13" s="11"/>
      <x:c r="M13" s="14"/>
      <x:c r="N13" s="35"/>
    </x:row>
    <x:row r="14" ht="9.75" customHeight="1">
      <x:c r="A14" s="32"/>
      <x:c r="B14" s="11"/>
      <x:c r="C14" s="11"/>
      <x:c r="D14" s="6"/>
      <x:c r="E14" s="11"/>
      <x:c r="F14" s="11"/>
      <x:c r="G14" s="11"/>
      <x:c r="H14" s="11"/>
      <x:c r="I14" s="14"/>
      <x:c r="J14" s="20"/>
      <x:c r="K14" s="11"/>
      <x:c r="L14" s="11"/>
      <x:c r="M14" s="14"/>
      <x:c r="N14" s="35"/>
    </x:row>
    <x:row r="15" ht="9.75" customHeight="1">
      <x:c r="A15" s="32"/>
      <x:c r="B15" s="11"/>
      <x:c r="C15" s="11"/>
      <x:c r="D15" s="6"/>
      <x:c r="E15" s="11"/>
      <x:c r="F15" s="11"/>
      <x:c r="G15" s="11"/>
      <x:c r="H15" s="11"/>
      <x:c r="I15" s="14"/>
      <x:c r="J15" s="20"/>
      <x:c r="K15" s="11"/>
      <x:c r="L15" s="11"/>
      <x:c r="M15" s="14"/>
      <x:c r="N15" s="35"/>
    </x:row>
    <x:row r="16" ht="9.75" customHeight="1">
      <x:c r="A16" s="32"/>
      <x:c r="B16" s="11"/>
      <x:c r="C16" s="11"/>
      <x:c r="D16" s="6"/>
      <x:c r="E16" s="11"/>
      <x:c r="F16" s="11"/>
      <x:c r="G16" s="11"/>
      <x:c r="H16" s="11"/>
      <x:c r="I16" s="14"/>
      <x:c r="J16" s="20"/>
      <x:c r="K16" s="11"/>
      <x:c r="L16" s="11"/>
      <x:c r="M16" s="14"/>
      <x:c r="N16" s="35"/>
    </x:row>
    <x:row r="17" ht="9.75" customHeight="1">
      <x:c r="A17" s="32"/>
      <x:c r="B17" s="11"/>
      <x:c r="C17" s="11"/>
      <x:c r="D17" s="6"/>
      <x:c r="E17" s="11"/>
      <x:c r="F17" s="11"/>
      <x:c r="G17" s="11"/>
      <x:c r="H17" s="11"/>
      <x:c r="I17" s="14"/>
      <x:c r="J17" s="20"/>
      <x:c r="K17" s="11"/>
      <x:c r="L17" s="11"/>
      <x:c r="M17" s="14"/>
      <x:c r="N17" s="35"/>
    </x:row>
    <x:row r="18" ht="9.75" customHeight="1">
      <x:c r="A18" s="32"/>
      <x:c r="B18" s="11"/>
      <x:c r="C18" s="11"/>
      <x:c r="D18" s="6"/>
      <x:c r="E18" s="11"/>
      <x:c r="F18" s="11"/>
      <x:c r="G18" s="11"/>
      <x:c r="H18" s="11"/>
      <x:c r="I18" s="14"/>
      <x:c r="J18" s="20"/>
      <x:c r="K18" s="11"/>
      <x:c r="L18" s="11"/>
      <x:c r="M18" s="14"/>
      <x:c r="N18" s="35"/>
    </x:row>
    <x:row r="19" ht="9.75" customHeight="1">
      <x:c r="A19" s="32"/>
      <x:c r="B19" s="11"/>
      <x:c r="C19" s="11"/>
      <x:c r="D19" s="6"/>
      <x:c r="E19" s="11"/>
      <x:c r="F19" s="11"/>
      <x:c r="G19" s="11"/>
      <x:c r="H19" s="11"/>
      <x:c r="I19" s="14"/>
      <x:c r="J19" s="20"/>
      <x:c r="K19" s="11"/>
      <x:c r="L19" s="11"/>
      <x:c r="M19" s="14"/>
      <x:c r="N19" s="35"/>
    </x:row>
    <x:row r="20" ht="9.75" customHeight="1">
      <x:c r="A20" s="32"/>
      <x:c r="B20" s="11"/>
      <x:c r="C20" s="11"/>
      <x:c r="D20" s="6"/>
      <x:c r="E20" s="11"/>
      <x:c r="F20" s="11"/>
      <x:c r="G20" s="11"/>
      <x:c r="H20" s="11"/>
      <x:c r="I20" s="14"/>
      <x:c r="J20" s="20"/>
      <x:c r="K20" s="11"/>
      <x:c r="L20" s="11"/>
      <x:c r="M20" s="14"/>
      <x:c r="N20" s="35"/>
    </x:row>
    <x:row r="21" ht="9.75" customHeight="1">
      <x:c r="A21" s="32"/>
      <x:c r="B21" s="11"/>
      <x:c r="C21" s="11"/>
      <x:c r="D21" s="6"/>
      <x:c r="E21" s="11"/>
      <x:c r="F21" s="11"/>
      <x:c r="G21" s="11"/>
      <x:c r="H21" s="11"/>
      <x:c r="I21" s="14"/>
      <x:c r="J21" s="20"/>
      <x:c r="K21" s="11"/>
      <x:c r="L21" s="11"/>
      <x:c r="M21" s="14"/>
      <x:c r="N21" s="35"/>
    </x:row>
    <x:row r="22" ht="9.75" customHeight="1">
      <x:c r="A22" s="32"/>
      <x:c r="B22" s="11"/>
      <x:c r="C22" s="11"/>
      <x:c r="D22" s="6"/>
      <x:c r="E22" s="11"/>
      <x:c r="F22" s="11"/>
      <x:c r="G22" s="11"/>
      <x:c r="H22" s="11"/>
      <x:c r="I22" s="14"/>
      <x:c r="J22" s="20"/>
      <x:c r="K22" s="11"/>
      <x:c r="L22" s="11"/>
      <x:c r="M22" s="14"/>
      <x:c r="N22" s="35"/>
    </x:row>
    <x:row r="23" ht="9.75" customHeight="1">
      <x:c r="A23" s="32"/>
      <x:c r="B23" s="11"/>
      <x:c r="C23" s="11"/>
      <x:c r="D23" s="6"/>
      <x:c r="E23" s="11"/>
      <x:c r="F23" s="11"/>
      <x:c r="G23" s="11"/>
      <x:c r="H23" s="11"/>
      <x:c r="I23" s="14"/>
      <x:c r="J23" s="20"/>
      <x:c r="K23" s="11"/>
      <x:c r="L23" s="11"/>
      <x:c r="M23" s="14"/>
      <x:c r="N23" s="35"/>
    </x:row>
    <x:row r="24" ht="9.75" customHeight="1">
      <x:c r="A24" s="32"/>
      <x:c r="B24" s="11"/>
      <x:c r="C24" s="11"/>
      <x:c r="D24" s="6"/>
      <x:c r="E24" s="11"/>
      <x:c r="F24" s="11"/>
      <x:c r="G24" s="11"/>
      <x:c r="H24" s="11"/>
      <x:c r="I24" s="14"/>
      <x:c r="J24" s="20"/>
      <x:c r="K24" s="11"/>
      <x:c r="L24" s="11"/>
      <x:c r="M24" s="14"/>
      <x:c r="N24" s="35"/>
    </x:row>
    <x:row r="25" ht="9.75" customHeight="1">
      <x:c r="A25" s="32"/>
      <x:c r="B25" s="11"/>
      <x:c r="C25" s="11"/>
      <x:c r="D25" s="6"/>
      <x:c r="E25" s="11"/>
      <x:c r="F25" s="11"/>
      <x:c r="G25" s="11"/>
      <x:c r="H25" s="11"/>
      <x:c r="I25" s="14"/>
      <x:c r="J25" s="20"/>
      <x:c r="K25" s="11"/>
      <x:c r="L25" s="11"/>
      <x:c r="M25" s="14"/>
      <x:c r="N25" s="35"/>
    </x:row>
    <x:row r="26" ht="9.75" customHeight="1">
      <x:c r="A26" s="32"/>
      <x:c r="B26" s="11"/>
      <x:c r="C26" s="11"/>
      <x:c r="D26" s="6"/>
      <x:c r="E26" s="11"/>
      <x:c r="F26" s="11"/>
      <x:c r="G26" s="11"/>
      <x:c r="H26" s="11"/>
      <x:c r="I26" s="14"/>
      <x:c r="J26" s="20"/>
      <x:c r="K26" s="11"/>
      <x:c r="L26" s="11"/>
      <x:c r="M26" s="14"/>
      <x:c r="N26" s="35"/>
    </x:row>
    <x:row r="27" ht="9.75" customHeight="1">
      <x:c r="A27" s="32"/>
      <x:c r="B27" s="11"/>
      <x:c r="C27" s="11"/>
      <x:c r="D27" s="6"/>
      <x:c r="E27" s="11"/>
      <x:c r="F27" s="11"/>
      <x:c r="G27" s="11"/>
      <x:c r="H27" s="11"/>
      <x:c r="I27" s="14"/>
      <x:c r="J27" s="20"/>
      <x:c r="K27" s="11"/>
      <x:c r="L27" s="11"/>
      <x:c r="M27" s="14"/>
      <x:c r="N27" s="35"/>
    </x:row>
    <x:row r="28" ht="9.75" customHeight="1">
      <x:c r="A28" s="32"/>
      <x:c r="B28" s="11"/>
      <x:c r="C28" s="11"/>
      <x:c r="D28" s="6"/>
      <x:c r="E28" s="11"/>
      <x:c r="F28" s="11"/>
      <x:c r="G28" s="11"/>
      <x:c r="H28" s="11"/>
      <x:c r="I28" s="14"/>
      <x:c r="J28" s="20"/>
      <x:c r="K28" s="11"/>
      <x:c r="L28" s="11"/>
      <x:c r="M28" s="14"/>
      <x:c r="N28" s="35"/>
    </x:row>
    <x:row r="29" ht="9.75" customHeight="1">
      <x:c r="A29" s="32"/>
      <x:c r="B29" s="11"/>
      <x:c r="C29" s="11"/>
      <x:c r="D29" s="6"/>
      <x:c r="E29" s="11"/>
      <x:c r="F29" s="11"/>
      <x:c r="G29" s="11"/>
      <x:c r="H29" s="11"/>
      <x:c r="I29" s="14"/>
      <x:c r="J29" s="20"/>
      <x:c r="K29" s="11"/>
      <x:c r="L29" s="11"/>
      <x:c r="M29" s="14"/>
      <x:c r="N29" s="35"/>
    </x:row>
    <x:row r="30" ht="9.75" customHeight="1">
      <x:c r="A30" s="32"/>
      <x:c r="B30" s="11"/>
      <x:c r="C30" s="11"/>
      <x:c r="D30" s="6"/>
      <x:c r="E30" s="11"/>
      <x:c r="F30" s="11"/>
      <x:c r="G30" s="11"/>
      <x:c r="H30" s="11"/>
      <x:c r="I30" s="14"/>
      <x:c r="J30" s="20"/>
      <x:c r="K30" s="11"/>
      <x:c r="L30" s="11"/>
      <x:c r="M30" s="14"/>
      <x:c r="N30" s="35"/>
    </x:row>
    <x:row r="31" ht="9.75" customHeight="1">
      <x:c r="A31" s="32"/>
      <x:c r="B31" s="11"/>
      <x:c r="C31" s="11"/>
      <x:c r="D31" s="6"/>
      <x:c r="E31" s="11"/>
      <x:c r="F31" s="11"/>
      <x:c r="G31" s="11"/>
      <x:c r="H31" s="11"/>
      <x:c r="I31" s="14"/>
      <x:c r="J31" s="20"/>
      <x:c r="K31" s="11"/>
      <x:c r="L31" s="11"/>
      <x:c r="M31" s="14"/>
      <x:c r="N31" s="35"/>
    </x:row>
    <x:row r="32" ht="9.75" customHeight="1">
      <x:c r="A32" s="32"/>
      <x:c r="B32" s="11"/>
      <x:c r="C32" s="11"/>
      <x:c r="D32" s="6"/>
      <x:c r="E32" s="11"/>
      <x:c r="F32" s="11"/>
      <x:c r="G32" s="11"/>
      <x:c r="H32" s="11"/>
      <x:c r="I32" s="14"/>
      <x:c r="J32" s="20"/>
      <x:c r="K32" s="11"/>
      <x:c r="L32" s="11"/>
      <x:c r="M32" s="14"/>
      <x:c r="N32" s="35"/>
    </x:row>
    <x:row r="33" ht="9.75" customHeight="1">
      <x:c r="A33" s="32"/>
      <x:c r="B33" s="11"/>
      <x:c r="C33" s="11"/>
      <x:c r="D33" s="6"/>
      <x:c r="E33" s="11"/>
      <x:c r="F33" s="11"/>
      <x:c r="G33" s="11"/>
      <x:c r="H33" s="11"/>
      <x:c r="I33" s="14"/>
      <x:c r="J33" s="20"/>
      <x:c r="K33" s="11"/>
      <x:c r="L33" s="11"/>
      <x:c r="M33" s="14"/>
      <x:c r="N33" s="35"/>
    </x:row>
    <x:row r="34" ht="9.75" customHeight="1">
      <x:c r="A34" s="32"/>
      <x:c r="B34" s="11"/>
      <x:c r="C34" s="11"/>
      <x:c r="D34" s="6"/>
      <x:c r="E34" s="11"/>
      <x:c r="F34" s="11"/>
      <x:c r="G34" s="11"/>
      <x:c r="H34" s="11"/>
      <x:c r="I34" s="14"/>
      <x:c r="J34" s="20"/>
      <x:c r="K34" s="11"/>
      <x:c r="L34" s="11"/>
      <x:c r="M34" s="14"/>
      <x:c r="N34" s="35"/>
    </x:row>
    <x:row r="35" ht="9.75" customHeight="1">
      <x:c r="A35" s="32"/>
      <x:c r="B35" s="11"/>
      <x:c r="C35" s="11"/>
      <x:c r="D35" s="6"/>
      <x:c r="E35" s="11"/>
      <x:c r="F35" s="11"/>
      <x:c r="G35" s="11"/>
      <x:c r="H35" s="11"/>
      <x:c r="I35" s="14"/>
      <x:c r="J35" s="20"/>
      <x:c r="K35" s="11"/>
      <x:c r="L35" s="11"/>
      <x:c r="M35" s="14"/>
      <x:c r="N35" s="35"/>
    </x:row>
    <x:row r="36" ht="9.75" customHeight="1">
      <x:c r="A36" s="32"/>
      <x:c r="B36" s="11"/>
      <x:c r="C36" s="11"/>
      <x:c r="D36" s="6"/>
      <x:c r="E36" s="11"/>
      <x:c r="F36" s="11"/>
      <x:c r="G36" s="11"/>
      <x:c r="H36" s="11"/>
      <x:c r="I36" s="14"/>
      <x:c r="J36" s="20"/>
      <x:c r="K36" s="11"/>
      <x:c r="L36" s="11"/>
      <x:c r="M36" s="14"/>
      <x:c r="N36" s="35"/>
    </x:row>
    <x:row r="37" ht="9.75" customHeight="1">
      <x:c r="A37" s="32"/>
      <x:c r="B37" s="11"/>
      <x:c r="C37" s="11"/>
      <x:c r="D37" s="6"/>
      <x:c r="E37" s="11"/>
      <x:c r="F37" s="11"/>
      <x:c r="G37" s="11"/>
      <x:c r="H37" s="11"/>
      <x:c r="I37" s="14"/>
      <x:c r="J37" s="20"/>
      <x:c r="K37" s="11"/>
      <x:c r="L37" s="11"/>
      <x:c r="M37" s="14"/>
      <x:c r="N37" s="35"/>
    </x:row>
    <x:row r="38" ht="9.75" customHeight="1">
      <x:c r="A38" s="32"/>
      <x:c r="B38" s="11"/>
      <x:c r="C38" s="11"/>
      <x:c r="D38" s="6"/>
      <x:c r="E38" s="11"/>
      <x:c r="F38" s="11"/>
      <x:c r="G38" s="11"/>
      <x:c r="H38" s="11"/>
      <x:c r="I38" s="14"/>
      <x:c r="J38" s="20"/>
      <x:c r="K38" s="11"/>
      <x:c r="L38" s="11"/>
      <x:c r="M38" s="14"/>
      <x:c r="N38" s="35"/>
    </x:row>
    <x:row r="39" ht="9.75" customHeight="1">
      <x:c r="A39" s="32"/>
      <x:c r="B39" s="11"/>
      <x:c r="C39" s="11"/>
      <x:c r="D39" s="6"/>
      <x:c r="E39" s="11"/>
      <x:c r="F39" s="11"/>
      <x:c r="G39" s="11"/>
      <x:c r="H39" s="11"/>
      <x:c r="I39" s="14"/>
      <x:c r="J39" s="20"/>
      <x:c r="K39" s="11"/>
      <x:c r="L39" s="11"/>
      <x:c r="M39" s="14"/>
      <x:c r="N39" s="35"/>
    </x:row>
    <x:row r="40" ht="9.75" customHeight="1">
      <x:c r="A40" s="32"/>
      <x:c r="B40" s="11"/>
      <x:c r="C40" s="11"/>
      <x:c r="D40" s="6"/>
      <x:c r="E40" s="11"/>
      <x:c r="F40" s="11"/>
      <x:c r="G40" s="11"/>
      <x:c r="H40" s="11"/>
      <x:c r="I40" s="14"/>
      <x:c r="J40" s="20"/>
      <x:c r="K40" s="11"/>
      <x:c r="L40" s="11"/>
      <x:c r="M40" s="14"/>
      <x:c r="N40" s="35"/>
    </x:row>
    <x:row r="41" ht="9.75" customHeight="1">
      <x:c r="A41" s="32"/>
      <x:c r="B41" s="11"/>
      <x:c r="C41" s="11"/>
      <x:c r="D41" s="6"/>
      <x:c r="E41" s="11"/>
      <x:c r="F41" s="11"/>
      <x:c r="G41" s="11"/>
      <x:c r="H41" s="11"/>
      <x:c r="I41" s="14"/>
      <x:c r="J41" s="20"/>
      <x:c r="K41" s="11"/>
      <x:c r="L41" s="11"/>
      <x:c r="M41" s="14"/>
      <x:c r="N41" s="35"/>
    </x:row>
    <x:row r="42" ht="9.75" customHeight="1">
      <x:c r="A42" s="32"/>
      <x:c r="B42" s="11"/>
      <x:c r="C42" s="11"/>
      <x:c r="D42" s="6"/>
      <x:c r="E42" s="11"/>
      <x:c r="F42" s="11"/>
      <x:c r="G42" s="11"/>
      <x:c r="H42" s="11"/>
      <x:c r="I42" s="14"/>
      <x:c r="J42" s="20"/>
      <x:c r="K42" s="11"/>
      <x:c r="L42" s="11"/>
      <x:c r="M42" s="14"/>
      <x:c r="N42" s="35"/>
    </x:row>
    <x:row r="43" ht="9.75" customHeight="1">
      <x:c r="A43" s="32"/>
      <x:c r="B43" s="11"/>
      <x:c r="C43" s="11"/>
      <x:c r="D43" s="6"/>
      <x:c r="E43" s="11"/>
      <x:c r="F43" s="11"/>
      <x:c r="G43" s="11"/>
      <x:c r="H43" s="11"/>
      <x:c r="I43" s="14"/>
      <x:c r="J43" s="20"/>
      <x:c r="K43" s="11"/>
      <x:c r="L43" s="11"/>
      <x:c r="M43" s="14"/>
      <x:c r="N43" s="35"/>
    </x:row>
    <x:row r="44" ht="9.75" customHeight="1">
      <x:c r="A44" s="32"/>
      <x:c r="B44" s="11"/>
      <x:c r="C44" s="11"/>
      <x:c r="D44" s="6"/>
      <x:c r="E44" s="11"/>
      <x:c r="F44" s="11"/>
      <x:c r="G44" s="11"/>
      <x:c r="H44" s="11"/>
      <x:c r="I44" s="14"/>
      <x:c r="J44" s="20"/>
      <x:c r="K44" s="11"/>
      <x:c r="L44" s="11"/>
      <x:c r="M44" s="14"/>
      <x:c r="N44" s="35"/>
    </x:row>
    <x:row r="45" ht="9.75" customHeight="1">
      <x:c r="A45" s="32"/>
      <x:c r="B45" s="11"/>
      <x:c r="C45" s="11"/>
      <x:c r="D45" s="6"/>
      <x:c r="E45" s="11"/>
      <x:c r="F45" s="11"/>
      <x:c r="G45" s="11"/>
      <x:c r="H45" s="11"/>
      <x:c r="I45" s="14"/>
      <x:c r="J45" s="20"/>
      <x:c r="K45" s="11"/>
      <x:c r="L45" s="11"/>
      <x:c r="M45" s="14"/>
      <x:c r="N45" s="35"/>
    </x:row>
    <x:row r="46" ht="9.75" customHeight="1">
      <x:c r="A46" s="32"/>
      <x:c r="B46" s="11"/>
      <x:c r="C46" s="11"/>
      <x:c r="D46" s="6"/>
      <x:c r="E46" s="11"/>
      <x:c r="F46" s="11"/>
      <x:c r="G46" s="11"/>
      <x:c r="H46" s="11"/>
      <x:c r="I46" s="14"/>
      <x:c r="J46" s="20"/>
      <x:c r="K46" s="11"/>
      <x:c r="L46" s="11"/>
      <x:c r="M46" s="14"/>
      <x:c r="N46" s="35"/>
    </x:row>
    <x:row r="47" ht="9.75" customHeight="1">
      <x:c r="A47" s="32"/>
      <x:c r="B47" s="11"/>
      <x:c r="C47" s="11"/>
      <x:c r="D47" s="6"/>
      <x:c r="E47" s="11"/>
      <x:c r="F47" s="11"/>
      <x:c r="G47" s="11"/>
      <x:c r="H47" s="11"/>
      <x:c r="I47" s="14"/>
      <x:c r="J47" s="20"/>
      <x:c r="K47" s="11"/>
      <x:c r="L47" s="11"/>
      <x:c r="M47" s="14"/>
      <x:c r="N47" s="35"/>
    </x:row>
    <x:row r="48" ht="9.75" customHeight="1">
      <x:c r="A48" s="32"/>
      <x:c r="B48" s="11"/>
      <x:c r="C48" s="11"/>
      <x:c r="D48" s="6"/>
      <x:c r="E48" s="11"/>
      <x:c r="F48" s="11"/>
      <x:c r="G48" s="11"/>
      <x:c r="H48" s="11"/>
      <x:c r="I48" s="14"/>
      <x:c r="J48" s="20"/>
      <x:c r="K48" s="11"/>
      <x:c r="L48" s="11"/>
      <x:c r="M48" s="14"/>
      <x:c r="N48" s="35"/>
    </x:row>
    <x:row r="49" ht="9.75" customHeight="1">
      <x:c r="A49" s="32"/>
      <x:c r="B49" s="11"/>
      <x:c r="C49" s="11"/>
      <x:c r="D49" s="6"/>
      <x:c r="E49" s="11"/>
      <x:c r="F49" s="11"/>
      <x:c r="G49" s="11"/>
      <x:c r="H49" s="11"/>
      <x:c r="I49" s="14"/>
      <x:c r="J49" s="20"/>
      <x:c r="K49" s="11"/>
      <x:c r="L49" s="11"/>
      <x:c r="M49" s="14"/>
      <x:c r="N49" s="35"/>
    </x:row>
    <x:row r="50" ht="9.75" customHeight="1">
      <x:c r="A50" s="32"/>
      <x:c r="B50" s="11"/>
      <x:c r="C50" s="11"/>
      <x:c r="D50" s="6"/>
      <x:c r="E50" s="11"/>
      <x:c r="F50" s="11"/>
      <x:c r="G50" s="11"/>
      <x:c r="H50" s="11"/>
      <x:c r="I50" s="14"/>
      <x:c r="J50" s="20"/>
      <x:c r="K50" s="11"/>
      <x:c r="L50" s="11"/>
      <x:c r="M50" s="14"/>
      <x:c r="N50" s="35"/>
    </x:row>
    <x:row r="51" ht="9.75" customHeight="1">
      <x:c r="A51" s="32"/>
      <x:c r="B51" s="11"/>
      <x:c r="C51" s="11"/>
      <x:c r="D51" s="6"/>
      <x:c r="E51" s="11"/>
      <x:c r="F51" s="11"/>
      <x:c r="G51" s="11"/>
      <x:c r="H51" s="11"/>
      <x:c r="I51" s="14"/>
      <x:c r="J51" s="20"/>
      <x:c r="K51" s="11"/>
      <x:c r="L51" s="11"/>
      <x:c r="M51" s="14"/>
      <x:c r="N51" s="35"/>
    </x:row>
    <x:row r="52" ht="9.75" customHeight="1">
      <x:c r="A52" s="32"/>
      <x:c r="B52" s="11"/>
      <x:c r="C52" s="11"/>
      <x:c r="D52" s="6"/>
      <x:c r="E52" s="11"/>
      <x:c r="F52" s="11"/>
      <x:c r="G52" s="11"/>
      <x:c r="H52" s="11"/>
      <x:c r="I52" s="14"/>
      <x:c r="J52" s="20"/>
      <x:c r="K52" s="11"/>
      <x:c r="L52" s="11"/>
      <x:c r="M52" s="14"/>
      <x:c r="N52" s="35"/>
    </x:row>
    <x:row r="53" ht="9.75" customHeight="1">
      <x:c r="A53" s="32"/>
      <x:c r="B53" s="11"/>
      <x:c r="C53" s="11"/>
      <x:c r="D53" s="6"/>
      <x:c r="E53" s="11"/>
      <x:c r="F53" s="11"/>
      <x:c r="G53" s="11"/>
      <x:c r="H53" s="11"/>
      <x:c r="I53" s="14"/>
      <x:c r="J53" s="20"/>
      <x:c r="K53" s="11"/>
      <x:c r="L53" s="11"/>
      <x:c r="M53" s="14"/>
      <x:c r="N53" s="35"/>
    </x:row>
    <x:row r="54" ht="9.75" customHeight="1">
      <x:c r="A54" s="32"/>
      <x:c r="B54" s="11"/>
      <x:c r="C54" s="11"/>
      <x:c r="D54" s="6"/>
      <x:c r="E54" s="11"/>
      <x:c r="F54" s="11"/>
      <x:c r="G54" s="11"/>
      <x:c r="H54" s="11"/>
      <x:c r="I54" s="14"/>
      <x:c r="J54" s="20"/>
      <x:c r="K54" s="11"/>
      <x:c r="L54" s="11"/>
      <x:c r="M54" s="14"/>
      <x:c r="N54" s="35"/>
    </x:row>
    <x:row r="55" ht="9.75" customHeight="1">
      <x:c r="A55" s="32"/>
      <x:c r="B55" s="11"/>
      <x:c r="C55" s="11"/>
      <x:c r="D55" s="6"/>
      <x:c r="E55" s="11"/>
      <x:c r="F55" s="11"/>
      <x:c r="G55" s="11"/>
      <x:c r="H55" s="11"/>
      <x:c r="I55" s="14"/>
      <x:c r="J55" s="20"/>
      <x:c r="K55" s="11"/>
      <x:c r="L55" s="11"/>
      <x:c r="M55" s="14"/>
      <x:c r="N55" s="35"/>
    </x:row>
    <x:row r="56" ht="9.75" customHeight="1">
      <x:c r="A56" s="32"/>
      <x:c r="B56" s="11"/>
      <x:c r="C56" s="11"/>
      <x:c r="D56" s="6"/>
      <x:c r="E56" s="11"/>
      <x:c r="F56" s="11"/>
      <x:c r="G56" s="11"/>
      <x:c r="H56" s="11"/>
      <x:c r="I56" s="14"/>
      <x:c r="J56" s="20"/>
      <x:c r="K56" s="11"/>
      <x:c r="L56" s="11"/>
      <x:c r="M56" s="14"/>
      <x:c r="N56" s="35"/>
    </x:row>
    <x:row r="57" ht="9.75" customHeight="1">
      <x:c r="A57" s="32"/>
      <x:c r="B57" s="11"/>
      <x:c r="C57" s="11"/>
      <x:c r="D57" s="6"/>
      <x:c r="E57" s="11"/>
      <x:c r="F57" s="11"/>
      <x:c r="G57" s="11"/>
      <x:c r="H57" s="11"/>
      <x:c r="I57" s="14"/>
      <x:c r="J57" s="20"/>
      <x:c r="K57" s="11"/>
      <x:c r="L57" s="11"/>
      <x:c r="M57" s="14"/>
      <x:c r="N57" s="35"/>
    </x:row>
    <x:row r="58" ht="9.75" customHeight="1">
      <x:c r="A58" s="32"/>
      <x:c r="B58" s="11"/>
      <x:c r="C58" s="11"/>
      <x:c r="D58" s="6"/>
      <x:c r="E58" s="11"/>
      <x:c r="F58" s="11"/>
      <x:c r="G58" s="11"/>
      <x:c r="H58" s="11"/>
      <x:c r="I58" s="14"/>
      <x:c r="J58" s="20"/>
      <x:c r="K58" s="11"/>
      <x:c r="L58" s="11"/>
      <x:c r="M58" s="14"/>
      <x:c r="N58" s="35"/>
    </x:row>
    <x:row r="59" ht="9.75" customHeight="1">
      <x:c r="A59" s="32"/>
      <x:c r="B59" s="11"/>
      <x:c r="C59" s="11"/>
      <x:c r="D59" s="6"/>
      <x:c r="E59" s="11"/>
      <x:c r="F59" s="11"/>
      <x:c r="G59" s="11"/>
      <x:c r="H59" s="11"/>
      <x:c r="I59" s="14"/>
      <x:c r="J59" s="20"/>
      <x:c r="K59" s="11"/>
      <x:c r="L59" s="11"/>
      <x:c r="M59" s="14"/>
      <x:c r="N59" s="35"/>
    </x:row>
    <x:row r="60" ht="9.75" customHeight="1">
      <x:c r="A60" s="32"/>
      <x:c r="B60" s="11"/>
      <x:c r="C60" s="11"/>
      <x:c r="D60" s="6"/>
      <x:c r="E60" s="11"/>
      <x:c r="F60" s="11"/>
      <x:c r="G60" s="11"/>
      <x:c r="H60" s="11"/>
      <x:c r="I60" s="14"/>
      <x:c r="J60" s="20"/>
      <x:c r="K60" s="11"/>
      <x:c r="L60" s="11"/>
      <x:c r="M60" s="14"/>
      <x:c r="N60" s="35"/>
    </x:row>
    <x:row r="61" ht="9.75" customHeight="1">
      <x:c r="A61" s="32"/>
      <x:c r="B61" s="11"/>
      <x:c r="C61" s="11"/>
      <x:c r="D61" s="6"/>
      <x:c r="E61" s="11"/>
      <x:c r="F61" s="11"/>
      <x:c r="G61" s="11"/>
      <x:c r="H61" s="11"/>
      <x:c r="I61" s="14"/>
      <x:c r="J61" s="20"/>
      <x:c r="K61" s="11"/>
      <x:c r="L61" s="11"/>
      <x:c r="M61" s="14"/>
      <x:c r="N61" s="35"/>
    </x:row>
    <x:row r="62" ht="9.75" customHeight="1">
      <x:c r="A62" s="32"/>
      <x:c r="B62" s="11"/>
      <x:c r="C62" s="11"/>
      <x:c r="D62" s="6"/>
      <x:c r="E62" s="11"/>
      <x:c r="F62" s="11"/>
      <x:c r="G62" s="11"/>
      <x:c r="H62" s="11"/>
      <x:c r="I62" s="14"/>
      <x:c r="J62" s="20"/>
      <x:c r="K62" s="11"/>
      <x:c r="L62" s="11"/>
      <x:c r="M62" s="14"/>
      <x:c r="N62" s="35"/>
    </x:row>
    <x:row r="63" ht="9.75" customHeight="1">
      <x:c r="A63" s="32"/>
      <x:c r="B63" s="11"/>
      <x:c r="C63" s="11"/>
      <x:c r="D63" s="6"/>
      <x:c r="E63" s="11"/>
      <x:c r="F63" s="11"/>
      <x:c r="G63" s="11"/>
      <x:c r="H63" s="11"/>
      <x:c r="I63" s="14"/>
      <x:c r="J63" s="20"/>
      <x:c r="K63" s="11"/>
      <x:c r="L63" s="11"/>
      <x:c r="M63" s="14"/>
      <x:c r="N63" s="35"/>
    </x:row>
    <x:row r="64" ht="9.75" customHeight="1">
      <x:c r="A64" s="32"/>
      <x:c r="B64" s="11"/>
      <x:c r="C64" s="11"/>
      <x:c r="D64" s="6"/>
      <x:c r="E64" s="11"/>
      <x:c r="F64" s="11"/>
      <x:c r="G64" s="11"/>
      <x:c r="H64" s="11"/>
      <x:c r="I64" s="14"/>
      <x:c r="J64" s="20"/>
      <x:c r="K64" s="11"/>
      <x:c r="L64" s="11"/>
      <x:c r="M64" s="14"/>
      <x:c r="N64" s="35"/>
    </x:row>
    <x:row r="65" ht="9.75" customHeight="1">
      <x:c r="A65" s="32"/>
      <x:c r="B65" s="11"/>
      <x:c r="C65" s="11"/>
      <x:c r="D65" s="6"/>
      <x:c r="E65" s="11"/>
      <x:c r="F65" s="11"/>
      <x:c r="G65" s="11"/>
      <x:c r="H65" s="11"/>
      <x:c r="I65" s="14"/>
      <x:c r="J65" s="20"/>
      <x:c r="K65" s="11"/>
      <x:c r="L65" s="11"/>
      <x:c r="M65" s="14"/>
      <x:c r="N65" s="35"/>
    </x:row>
    <x:row r="66" ht="9.75" customHeight="1">
      <x:c r="A66" s="32"/>
      <x:c r="B66" s="11"/>
      <x:c r="C66" s="11"/>
      <x:c r="D66" s="6"/>
      <x:c r="E66" s="11"/>
      <x:c r="F66" s="11"/>
      <x:c r="G66" s="11"/>
      <x:c r="H66" s="11"/>
      <x:c r="I66" s="14"/>
      <x:c r="J66" s="20"/>
      <x:c r="K66" s="11"/>
      <x:c r="L66" s="11"/>
      <x:c r="M66" s="14"/>
      <x:c r="N66" s="35"/>
    </x:row>
    <x:row r="67" ht="9.75" customHeight="1">
      <x:c r="A67" s="32"/>
      <x:c r="B67" s="11"/>
      <x:c r="C67" s="11"/>
      <x:c r="D67" s="6"/>
      <x:c r="E67" s="11"/>
      <x:c r="F67" s="11"/>
      <x:c r="G67" s="11"/>
      <x:c r="H67" s="11"/>
      <x:c r="I67" s="14"/>
      <x:c r="J67" s="20"/>
      <x:c r="K67" s="11"/>
      <x:c r="L67" s="11"/>
      <x:c r="M67" s="14"/>
      <x:c r="N67" s="35"/>
    </x:row>
    <x:row r="68" ht="9.75" customHeight="1">
      <x:c r="A68" s="32"/>
      <x:c r="B68" s="11"/>
      <x:c r="C68" s="11"/>
      <x:c r="D68" s="6"/>
      <x:c r="E68" s="11"/>
      <x:c r="F68" s="11"/>
      <x:c r="G68" s="11"/>
      <x:c r="H68" s="11"/>
      <x:c r="I68" s="14"/>
      <x:c r="J68" s="20"/>
      <x:c r="K68" s="11"/>
      <x:c r="L68" s="11"/>
      <x:c r="M68" s="14"/>
      <x:c r="N68" s="35"/>
    </x:row>
    <x:row r="69" ht="9.75" customHeight="1">
      <x:c r="A69" s="32"/>
      <x:c r="B69" s="11"/>
      <x:c r="C69" s="11"/>
      <x:c r="D69" s="6"/>
      <x:c r="E69" s="11"/>
      <x:c r="F69" s="11"/>
      <x:c r="G69" s="11"/>
      <x:c r="H69" s="11"/>
      <x:c r="I69" s="14"/>
      <x:c r="J69" s="20"/>
      <x:c r="K69" s="11"/>
      <x:c r="L69" s="11"/>
      <x:c r="M69" s="14"/>
      <x:c r="N69" s="35"/>
    </x:row>
    <x:row r="70" ht="9.75" customHeight="1">
      <x:c r="A70" s="32"/>
      <x:c r="B70" s="11"/>
      <x:c r="C70" s="11"/>
      <x:c r="D70" s="6"/>
      <x:c r="E70" s="11"/>
      <x:c r="F70" s="11"/>
      <x:c r="G70" s="11"/>
      <x:c r="H70" s="11"/>
      <x:c r="I70" s="14"/>
      <x:c r="J70" s="20"/>
      <x:c r="K70" s="11"/>
      <x:c r="L70" s="11"/>
      <x:c r="M70" s="14"/>
      <x:c r="N70" s="35"/>
    </x:row>
    <x:row r="71" ht="9.75" customHeight="1">
      <x:c r="A71" s="32"/>
      <x:c r="B71" s="11"/>
      <x:c r="C71" s="11"/>
      <x:c r="D71" s="6"/>
      <x:c r="E71" s="11"/>
      <x:c r="F71" s="11"/>
      <x:c r="G71" s="11"/>
      <x:c r="H71" s="11"/>
      <x:c r="I71" s="14"/>
      <x:c r="J71" s="20"/>
      <x:c r="K71" s="11"/>
      <x:c r="L71" s="11"/>
      <x:c r="M71" s="14"/>
      <x:c r="N71" s="35"/>
    </x:row>
    <x:row r="72" ht="9.75" customHeight="1">
      <x:c r="A72" s="32"/>
      <x:c r="B72" s="11"/>
      <x:c r="C72" s="11"/>
      <x:c r="D72" s="6"/>
      <x:c r="E72" s="11"/>
      <x:c r="F72" s="11"/>
      <x:c r="G72" s="11"/>
      <x:c r="H72" s="11"/>
      <x:c r="I72" s="14"/>
      <x:c r="J72" s="20"/>
      <x:c r="K72" s="11"/>
      <x:c r="L72" s="11"/>
      <x:c r="M72" s="14"/>
      <x:c r="N72" s="35"/>
    </x:row>
    <x:row r="73" ht="9.75" customHeight="1">
      <x:c r="A73" s="32"/>
      <x:c r="B73" s="11"/>
      <x:c r="C73" s="11"/>
      <x:c r="D73" s="6"/>
      <x:c r="E73" s="11"/>
      <x:c r="F73" s="11"/>
      <x:c r="G73" s="11"/>
      <x:c r="H73" s="11"/>
      <x:c r="I73" s="14"/>
      <x:c r="J73" s="20"/>
      <x:c r="K73" s="11"/>
      <x:c r="L73" s="11"/>
      <x:c r="M73" s="14"/>
      <x:c r="N73" s="35"/>
    </x:row>
    <x:row r="74" ht="9.75" customHeight="1">
      <x:c r="A74" s="32"/>
      <x:c r="B74" s="11"/>
      <x:c r="C74" s="11"/>
      <x:c r="D74" s="6"/>
      <x:c r="E74" s="11"/>
      <x:c r="F74" s="11"/>
      <x:c r="G74" s="11"/>
      <x:c r="H74" s="11"/>
      <x:c r="I74" s="14"/>
      <x:c r="J74" s="20"/>
      <x:c r="K74" s="11"/>
      <x:c r="L74" s="11"/>
      <x:c r="M74" s="14"/>
      <x:c r="N74" s="35"/>
    </x:row>
    <x:row r="75" ht="9.75" customHeight="1">
      <x:c r="A75" s="32"/>
      <x:c r="B75" s="11"/>
      <x:c r="C75" s="11"/>
      <x:c r="D75" s="6"/>
      <x:c r="E75" s="11"/>
      <x:c r="F75" s="11"/>
      <x:c r="G75" s="11"/>
      <x:c r="H75" s="11"/>
      <x:c r="I75" s="14"/>
      <x:c r="J75" s="20"/>
      <x:c r="K75" s="11"/>
      <x:c r="L75" s="11"/>
      <x:c r="M75" s="14"/>
      <x:c r="N75" s="35"/>
    </x:row>
    <x:row r="76" ht="9.75" customHeight="1">
      <x:c r="A76" s="32"/>
      <x:c r="B76" s="11"/>
      <x:c r="C76" s="11"/>
      <x:c r="D76" s="6"/>
      <x:c r="E76" s="11"/>
      <x:c r="F76" s="11"/>
      <x:c r="G76" s="11"/>
      <x:c r="H76" s="11"/>
      <x:c r="I76" s="14"/>
      <x:c r="J76" s="20"/>
      <x:c r="K76" s="11"/>
      <x:c r="L76" s="11"/>
      <x:c r="M76" s="14"/>
      <x:c r="N76" s="35"/>
    </x:row>
    <x:row r="77" ht="9.75" customHeight="1">
      <x:c r="A77" s="32"/>
      <x:c r="B77" s="11"/>
      <x:c r="C77" s="11"/>
      <x:c r="D77" s="6"/>
      <x:c r="E77" s="11"/>
      <x:c r="F77" s="11"/>
      <x:c r="G77" s="11"/>
      <x:c r="H77" s="11"/>
      <x:c r="I77" s="14"/>
      <x:c r="J77" s="20"/>
      <x:c r="K77" s="11"/>
      <x:c r="L77" s="11"/>
      <x:c r="M77" s="14"/>
      <x:c r="N77" s="35"/>
    </x:row>
    <x:row r="78" ht="9.75" customHeight="1">
      <x:c r="A78" s="32"/>
      <x:c r="B78" s="11"/>
      <x:c r="C78" s="11"/>
      <x:c r="D78" s="6"/>
      <x:c r="E78" s="11"/>
      <x:c r="F78" s="11"/>
      <x:c r="G78" s="11"/>
      <x:c r="H78" s="11"/>
      <x:c r="I78" s="14"/>
      <x:c r="J78" s="20"/>
      <x:c r="K78" s="11"/>
      <x:c r="L78" s="11"/>
      <x:c r="M78" s="14"/>
      <x:c r="N78" s="35"/>
    </x:row>
    <x:row r="79" ht="9.75" customHeight="1">
      <x:c r="A79" s="32"/>
      <x:c r="B79" s="11"/>
      <x:c r="C79" s="11"/>
      <x:c r="D79" s="6"/>
      <x:c r="E79" s="11"/>
      <x:c r="F79" s="11"/>
      <x:c r="G79" s="11"/>
      <x:c r="H79" s="11"/>
      <x:c r="I79" s="14"/>
      <x:c r="J79" s="20"/>
      <x:c r="K79" s="11"/>
      <x:c r="L79" s="11"/>
      <x:c r="M79" s="14"/>
      <x:c r="N79" s="35"/>
    </x:row>
    <x:row r="80" ht="9.75" customHeight="1">
      <x:c r="A80" s="32"/>
      <x:c r="B80" s="11"/>
      <x:c r="C80" s="11"/>
      <x:c r="D80" s="6"/>
      <x:c r="E80" s="11"/>
      <x:c r="F80" s="11"/>
      <x:c r="G80" s="11"/>
      <x:c r="H80" s="11"/>
      <x:c r="I80" s="14"/>
      <x:c r="J80" s="20"/>
      <x:c r="K80" s="11"/>
      <x:c r="L80" s="11"/>
      <x:c r="M80" s="14"/>
      <x:c r="N80" s="35"/>
    </x:row>
    <x:row r="81" ht="9.75" customHeight="1">
      <x:c r="A81" s="32"/>
      <x:c r="B81" s="11"/>
      <x:c r="C81" s="11"/>
      <x:c r="D81" s="6"/>
      <x:c r="E81" s="11"/>
      <x:c r="F81" s="11"/>
      <x:c r="G81" s="11"/>
      <x:c r="H81" s="11"/>
      <x:c r="I81" s="14"/>
      <x:c r="J81" s="20"/>
      <x:c r="K81" s="11"/>
      <x:c r="L81" s="11"/>
      <x:c r="M81" s="14"/>
      <x:c r="N81" s="35"/>
    </x:row>
    <x:row r="82" ht="9.75" customHeight="1">
      <x:c r="A82" s="32"/>
      <x:c r="B82" s="11"/>
      <x:c r="C82" s="11"/>
      <x:c r="D82" s="6"/>
      <x:c r="E82" s="11"/>
      <x:c r="F82" s="11"/>
      <x:c r="G82" s="11"/>
      <x:c r="H82" s="11"/>
      <x:c r="I82" s="14"/>
      <x:c r="J82" s="20"/>
      <x:c r="K82" s="11"/>
      <x:c r="L82" s="11"/>
      <x:c r="M82" s="14"/>
      <x:c r="N82" s="35"/>
    </x:row>
    <x:row r="83" ht="9.75" customHeight="1">
      <x:c r="A83" s="32"/>
      <x:c r="B83" s="11"/>
      <x:c r="C83" s="11"/>
      <x:c r="D83" s="6"/>
      <x:c r="E83" s="11"/>
      <x:c r="F83" s="11"/>
      <x:c r="G83" s="11"/>
      <x:c r="H83" s="11"/>
      <x:c r="I83" s="14"/>
      <x:c r="J83" s="20"/>
      <x:c r="K83" s="11"/>
      <x:c r="L83" s="11"/>
      <x:c r="M83" s="14"/>
      <x:c r="N83" s="35"/>
    </x:row>
    <x:row r="84" ht="9.75" customHeight="1">
      <x:c r="A84" s="32"/>
      <x:c r="B84" s="11"/>
      <x:c r="C84" s="11"/>
      <x:c r="D84" s="6"/>
      <x:c r="E84" s="11"/>
      <x:c r="F84" s="11"/>
      <x:c r="G84" s="11"/>
      <x:c r="H84" s="11"/>
      <x:c r="I84" s="14"/>
      <x:c r="J84" s="20"/>
      <x:c r="K84" s="11"/>
      <x:c r="L84" s="11"/>
      <x:c r="M84" s="14"/>
      <x:c r="N84" s="35"/>
    </x:row>
    <x:row r="85" ht="9.75" customHeight="1">
      <x:c r="A85" s="32"/>
      <x:c r="B85" s="11"/>
      <x:c r="C85" s="11"/>
      <x:c r="D85" s="6"/>
      <x:c r="E85" s="11"/>
      <x:c r="F85" s="11"/>
      <x:c r="G85" s="11"/>
      <x:c r="H85" s="11"/>
      <x:c r="I85" s="14"/>
      <x:c r="J85" s="20"/>
      <x:c r="K85" s="11"/>
      <x:c r="L85" s="11"/>
      <x:c r="M85" s="14"/>
      <x:c r="N85" s="35"/>
    </x:row>
    <x:row r="86" ht="9.75" customHeight="1">
      <x:c r="A86" s="32"/>
      <x:c r="B86" s="11"/>
      <x:c r="C86" s="11"/>
      <x:c r="D86" s="6"/>
      <x:c r="E86" s="11"/>
      <x:c r="F86" s="11"/>
      <x:c r="G86" s="11"/>
      <x:c r="H86" s="11"/>
      <x:c r="I86" s="14"/>
      <x:c r="J86" s="20"/>
      <x:c r="K86" s="11"/>
      <x:c r="L86" s="11"/>
      <x:c r="M86" s="14"/>
      <x:c r="N86" s="35"/>
    </x:row>
    <x:row r="87" ht="9.75" customHeight="1">
      <x:c r="A87" s="32"/>
      <x:c r="B87" s="11"/>
      <x:c r="C87" s="11"/>
      <x:c r="D87" s="6"/>
      <x:c r="E87" s="11"/>
      <x:c r="F87" s="11"/>
      <x:c r="G87" s="11"/>
      <x:c r="H87" s="11"/>
      <x:c r="I87" s="14"/>
      <x:c r="J87" s="20"/>
      <x:c r="K87" s="11"/>
      <x:c r="L87" s="11"/>
      <x:c r="M87" s="14"/>
      <x:c r="N87" s="35"/>
    </x:row>
    <x:row r="88" ht="9.75" customHeight="1">
      <x:c r="A88" s="32"/>
      <x:c r="B88" s="11"/>
      <x:c r="C88" s="11"/>
      <x:c r="D88" s="6"/>
      <x:c r="E88" s="11"/>
      <x:c r="F88" s="11"/>
      <x:c r="G88" s="11"/>
      <x:c r="H88" s="11"/>
      <x:c r="I88" s="14"/>
      <x:c r="J88" s="20"/>
      <x:c r="K88" s="11"/>
      <x:c r="L88" s="11"/>
      <x:c r="M88" s="14"/>
      <x:c r="N88" s="35"/>
    </x:row>
    <x:row r="89" ht="9.75" customHeight="1">
      <x:c r="A89" s="32"/>
      <x:c r="B89" s="11"/>
      <x:c r="C89" s="11"/>
      <x:c r="D89" s="6"/>
      <x:c r="E89" s="11"/>
      <x:c r="F89" s="11"/>
      <x:c r="G89" s="11"/>
      <x:c r="H89" s="11"/>
      <x:c r="I89" s="14"/>
      <x:c r="J89" s="20"/>
      <x:c r="K89" s="11"/>
      <x:c r="L89" s="11"/>
      <x:c r="M89" s="14"/>
      <x:c r="N89" s="35"/>
    </x:row>
    <x:row r="90" ht="9.75" customHeight="1">
      <x:c r="A90" s="32"/>
      <x:c r="B90" s="11"/>
      <x:c r="C90" s="11"/>
      <x:c r="D90" s="6"/>
      <x:c r="E90" s="11"/>
      <x:c r="F90" s="11"/>
      <x:c r="G90" s="11"/>
      <x:c r="H90" s="11"/>
      <x:c r="I90" s="14"/>
      <x:c r="J90" s="20"/>
      <x:c r="K90" s="11"/>
      <x:c r="L90" s="11"/>
      <x:c r="M90" s="14"/>
      <x:c r="N90" s="35"/>
    </x:row>
    <x:row r="91" ht="9.75" customHeight="1">
      <x:c r="A91" s="32"/>
      <x:c r="B91" s="11"/>
      <x:c r="C91" s="11"/>
      <x:c r="D91" s="6"/>
      <x:c r="E91" s="11"/>
      <x:c r="F91" s="11"/>
      <x:c r="G91" s="11"/>
      <x:c r="H91" s="11"/>
      <x:c r="I91" s="14"/>
      <x:c r="J91" s="20"/>
      <x:c r="K91" s="11"/>
      <x:c r="L91" s="11"/>
      <x:c r="M91" s="14"/>
      <x:c r="N91" s="35"/>
    </x:row>
    <x:row r="92" ht="9.75" customHeight="1">
      <x:c r="A92" s="32"/>
      <x:c r="B92" s="11"/>
      <x:c r="C92" s="11"/>
      <x:c r="D92" s="6"/>
      <x:c r="E92" s="11"/>
      <x:c r="F92" s="11"/>
      <x:c r="G92" s="11"/>
      <x:c r="H92" s="11"/>
      <x:c r="I92" s="14"/>
      <x:c r="J92" s="20"/>
      <x:c r="K92" s="11"/>
      <x:c r="L92" s="11"/>
      <x:c r="M92" s="14"/>
      <x:c r="N92" s="35"/>
    </x:row>
    <x:row r="93" ht="9.75" customHeight="1">
      <x:c r="A93" s="32"/>
      <x:c r="B93" s="11"/>
      <x:c r="C93" s="11"/>
      <x:c r="D93" s="6"/>
      <x:c r="E93" s="11"/>
      <x:c r="F93" s="11"/>
      <x:c r="G93" s="11"/>
      <x:c r="H93" s="11"/>
      <x:c r="I93" s="14"/>
      <x:c r="J93" s="20"/>
      <x:c r="K93" s="11"/>
      <x:c r="L93" s="11"/>
      <x:c r="M93" s="14"/>
      <x:c r="N93" s="35"/>
    </x:row>
    <x:row r="94" ht="9.75" customHeight="1">
      <x:c r="A94" s="32"/>
      <x:c r="B94" s="11"/>
      <x:c r="C94" s="11"/>
      <x:c r="D94" s="6"/>
      <x:c r="E94" s="11"/>
      <x:c r="F94" s="11"/>
      <x:c r="G94" s="11"/>
      <x:c r="H94" s="11"/>
      <x:c r="I94" s="14"/>
      <x:c r="J94" s="20"/>
      <x:c r="K94" s="11"/>
      <x:c r="L94" s="11"/>
      <x:c r="M94" s="14"/>
      <x:c r="N94" s="35"/>
    </x:row>
    <x:row r="95" ht="9.75" customHeight="1">
      <x:c r="A95" s="32"/>
      <x:c r="B95" s="11"/>
      <x:c r="C95" s="11"/>
      <x:c r="D95" s="6"/>
      <x:c r="E95" s="11"/>
      <x:c r="F95" s="11"/>
      <x:c r="G95" s="11"/>
      <x:c r="H95" s="11"/>
      <x:c r="I95" s="14"/>
      <x:c r="J95" s="20"/>
      <x:c r="K95" s="11"/>
      <x:c r="L95" s="11"/>
      <x:c r="M95" s="14"/>
      <x:c r="N95" s="35"/>
    </x:row>
    <x:row r="96" ht="9.75" customHeight="1">
      <x:c r="A96" s="32"/>
      <x:c r="B96" s="11"/>
      <x:c r="C96" s="11"/>
      <x:c r="D96" s="6"/>
      <x:c r="E96" s="11"/>
      <x:c r="F96" s="11"/>
      <x:c r="G96" s="11"/>
      <x:c r="H96" s="11"/>
      <x:c r="I96" s="14"/>
      <x:c r="J96" s="20"/>
      <x:c r="K96" s="11"/>
      <x:c r="L96" s="11"/>
      <x:c r="M96" s="14"/>
      <x:c r="N96" s="35"/>
    </x:row>
    <x:row r="97" ht="9.75" customHeight="1">
      <x:c r="A97" s="32"/>
      <x:c r="B97" s="11"/>
      <x:c r="C97" s="11"/>
      <x:c r="D97" s="6"/>
      <x:c r="E97" s="11"/>
      <x:c r="F97" s="11"/>
      <x:c r="G97" s="11"/>
      <x:c r="H97" s="11"/>
      <x:c r="I97" s="14"/>
      <x:c r="J97" s="20"/>
      <x:c r="K97" s="11"/>
      <x:c r="L97" s="11"/>
      <x:c r="M97" s="14"/>
      <x:c r="N97" s="35"/>
    </x:row>
    <x:row r="98" ht="9.75" customHeight="1">
      <x:c r="A98" s="32"/>
      <x:c r="B98" s="11"/>
      <x:c r="C98" s="11"/>
      <x:c r="D98" s="6"/>
      <x:c r="E98" s="11"/>
      <x:c r="F98" s="11"/>
      <x:c r="G98" s="11"/>
      <x:c r="H98" s="11"/>
      <x:c r="I98" s="14"/>
      <x:c r="J98" s="20"/>
      <x:c r="K98" s="11"/>
      <x:c r="L98" s="11"/>
      <x:c r="M98" s="14"/>
      <x:c r="N98" s="35"/>
    </x:row>
    <x:row r="99" ht="9.75" customHeight="1">
      <x:c r="A99" s="32"/>
      <x:c r="B99" s="11"/>
      <x:c r="C99" s="11"/>
      <x:c r="D99" s="6"/>
      <x:c r="E99" s="11"/>
      <x:c r="F99" s="11"/>
      <x:c r="G99" s="11"/>
      <x:c r="H99" s="11"/>
      <x:c r="I99" s="14"/>
      <x:c r="J99" s="20"/>
      <x:c r="K99" s="11"/>
      <x:c r="L99" s="11"/>
      <x:c r="M99" s="14"/>
      <x:c r="N99" s="35"/>
    </x:row>
    <x:row r="100" ht="9.75" customHeight="1">
      <x:c r="A100" s="32"/>
      <x:c r="B100" s="11"/>
      <x:c r="C100" s="11"/>
      <x:c r="D100" s="6"/>
      <x:c r="E100" s="11"/>
      <x:c r="F100" s="11"/>
      <x:c r="G100" s="11"/>
      <x:c r="H100" s="11"/>
      <x:c r="I100" s="14"/>
      <x:c r="J100" s="20"/>
      <x:c r="K100" s="11"/>
      <x:c r="L100" s="11"/>
      <x:c r="M100" s="14"/>
      <x:c r="N100" s="35"/>
    </x:row>
    <x:row r="101" ht="9.75" customHeight="1">
      <x:c r="A101" s="32"/>
      <x:c r="B101" s="11"/>
      <x:c r="C101" s="11"/>
      <x:c r="D101" s="6"/>
      <x:c r="E101" s="11"/>
      <x:c r="F101" s="11"/>
      <x:c r="G101" s="11"/>
      <x:c r="H101" s="11"/>
      <x:c r="I101" s="14"/>
      <x:c r="J101" s="20"/>
      <x:c r="K101" s="11"/>
      <x:c r="L101" s="11"/>
      <x:c r="M101" s="14"/>
      <x:c r="N101" s="35"/>
    </x:row>
    <x:row r="102" ht="9.75" customHeight="1">
      <x:c r="A102" s="32"/>
      <x:c r="B102" s="11"/>
      <x:c r="C102" s="11"/>
      <x:c r="D102" s="6"/>
      <x:c r="E102" s="11"/>
      <x:c r="F102" s="11"/>
      <x:c r="G102" s="11"/>
      <x:c r="H102" s="11"/>
      <x:c r="I102" s="14"/>
      <x:c r="J102" s="20"/>
      <x:c r="K102" s="11"/>
      <x:c r="L102" s="11"/>
      <x:c r="M102" s="14"/>
      <x:c r="N102" s="35"/>
    </x:row>
    <x:row r="103" ht="9.75" customHeight="1">
      <x:c r="A103" s="32"/>
      <x:c r="B103" s="11"/>
      <x:c r="C103" s="11"/>
      <x:c r="D103" s="6"/>
      <x:c r="E103" s="11"/>
      <x:c r="F103" s="11"/>
      <x:c r="G103" s="11"/>
      <x:c r="H103" s="11"/>
      <x:c r="I103" s="14"/>
      <x:c r="J103" s="20"/>
      <x:c r="K103" s="11"/>
      <x:c r="L103" s="11"/>
      <x:c r="M103" s="14"/>
      <x:c r="N103" s="35"/>
    </x:row>
    <x:row r="104" ht="9.75" customHeight="1">
      <x:c r="A104" s="32"/>
      <x:c r="B104" s="11"/>
      <x:c r="C104" s="11"/>
      <x:c r="D104" s="6"/>
      <x:c r="E104" s="11"/>
      <x:c r="F104" s="11"/>
      <x:c r="G104" s="11"/>
      <x:c r="H104" s="11"/>
      <x:c r="I104" s="14"/>
      <x:c r="J104" s="20"/>
      <x:c r="K104" s="11"/>
      <x:c r="L104" s="11"/>
      <x:c r="M104" s="14"/>
      <x:c r="N104" s="35"/>
    </x:row>
    <x:row r="105" ht="9.75" customHeight="1">
      <x:c r="A105" s="32"/>
      <x:c r="B105" s="11"/>
      <x:c r="C105" s="11"/>
      <x:c r="D105" s="6"/>
      <x:c r="E105" s="11"/>
      <x:c r="F105" s="11"/>
      <x:c r="G105" s="11"/>
      <x:c r="H105" s="11"/>
      <x:c r="I105" s="14"/>
      <x:c r="J105" s="20"/>
      <x:c r="K105" s="11"/>
      <x:c r="L105" s="11"/>
      <x:c r="M105" s="14"/>
      <x:c r="N105" s="35"/>
    </x:row>
    <x:row r="106" ht="9.75" customHeight="1">
      <x:c r="A106" s="32"/>
      <x:c r="B106" s="11"/>
      <x:c r="C106" s="11"/>
      <x:c r="D106" s="6"/>
      <x:c r="E106" s="11"/>
      <x:c r="F106" s="11"/>
      <x:c r="G106" s="11"/>
      <x:c r="H106" s="11"/>
      <x:c r="I106" s="14"/>
      <x:c r="J106" s="20"/>
      <x:c r="K106" s="11"/>
      <x:c r="L106" s="11"/>
      <x:c r="M106" s="14"/>
      <x:c r="N106" s="35"/>
    </x:row>
    <x:row r="107" ht="9.75" customHeight="1">
      <x:c r="A107" s="32"/>
      <x:c r="B107" s="11"/>
      <x:c r="C107" s="11"/>
      <x:c r="D107" s="6"/>
      <x:c r="E107" s="11"/>
      <x:c r="F107" s="11"/>
      <x:c r="G107" s="11"/>
      <x:c r="H107" s="11"/>
      <x:c r="I107" s="14"/>
      <x:c r="J107" s="20"/>
      <x:c r="K107" s="11"/>
      <x:c r="L107" s="11"/>
      <x:c r="M107" s="14"/>
      <x:c r="N107" s="35"/>
    </x:row>
    <x:row r="108" ht="9.75" customHeight="1">
      <x:c r="A108" s="32"/>
      <x:c r="B108" s="11"/>
      <x:c r="C108" s="11"/>
      <x:c r="D108" s="6"/>
      <x:c r="E108" s="11"/>
      <x:c r="F108" s="11"/>
      <x:c r="G108" s="11"/>
      <x:c r="H108" s="11"/>
      <x:c r="I108" s="14"/>
      <x:c r="J108" s="20"/>
      <x:c r="K108" s="11"/>
      <x:c r="L108" s="11"/>
      <x:c r="M108" s="14"/>
      <x:c r="N108" s="35"/>
    </x:row>
    <x:row r="109" ht="9.75" customHeight="1">
      <x:c r="A109" s="32"/>
      <x:c r="B109" s="11"/>
      <x:c r="C109" s="11"/>
      <x:c r="D109" s="6"/>
      <x:c r="E109" s="11"/>
      <x:c r="F109" s="11"/>
      <x:c r="G109" s="11"/>
      <x:c r="H109" s="11"/>
      <x:c r="I109" s="14"/>
      <x:c r="J109" s="20"/>
      <x:c r="K109" s="11"/>
      <x:c r="L109" s="11"/>
      <x:c r="M109" s="14"/>
      <x:c r="N109" s="35"/>
    </x:row>
    <x:row r="110" ht="9.75" customHeight="1">
      <x:c r="A110" s="32"/>
      <x:c r="B110" s="11"/>
      <x:c r="C110" s="11"/>
      <x:c r="D110" s="6"/>
      <x:c r="E110" s="11"/>
      <x:c r="F110" s="11"/>
      <x:c r="G110" s="11"/>
      <x:c r="H110" s="11"/>
      <x:c r="I110" s="14"/>
      <x:c r="J110" s="20"/>
      <x:c r="K110" s="11"/>
      <x:c r="L110" s="11"/>
      <x:c r="M110" s="14"/>
      <x:c r="N110" s="35"/>
    </x:row>
    <x:row r="111" ht="9.75" customHeight="1">
      <x:c r="A111" s="32"/>
      <x:c r="B111" s="11"/>
      <x:c r="C111" s="11"/>
      <x:c r="D111" s="6"/>
      <x:c r="E111" s="11"/>
      <x:c r="F111" s="11"/>
      <x:c r="G111" s="11"/>
      <x:c r="H111" s="11"/>
      <x:c r="I111" s="14"/>
      <x:c r="J111" s="20"/>
      <x:c r="K111" s="11"/>
      <x:c r="L111" s="11"/>
      <x:c r="M111" s="14"/>
      <x:c r="N111" s="35"/>
    </x:row>
    <x:row r="112" ht="9.75" customHeight="1">
      <x:c r="A112" s="32"/>
      <x:c r="B112" s="11"/>
      <x:c r="C112" s="11"/>
      <x:c r="D112" s="6"/>
      <x:c r="E112" s="11"/>
      <x:c r="F112" s="11"/>
      <x:c r="G112" s="11"/>
      <x:c r="H112" s="11"/>
      <x:c r="I112" s="14"/>
      <x:c r="J112" s="20"/>
      <x:c r="K112" s="11"/>
      <x:c r="L112" s="11"/>
      <x:c r="M112" s="14"/>
      <x:c r="N112" s="35"/>
    </x:row>
    <x:row r="113" ht="9.75" customHeight="1">
      <x:c r="A113" s="32"/>
      <x:c r="B113" s="11"/>
      <x:c r="C113" s="11"/>
      <x:c r="D113" s="6"/>
      <x:c r="E113" s="11"/>
      <x:c r="F113" s="11"/>
      <x:c r="G113" s="11"/>
      <x:c r="H113" s="11"/>
      <x:c r="I113" s="14"/>
      <x:c r="J113" s="20"/>
      <x:c r="K113" s="11"/>
      <x:c r="L113" s="11"/>
      <x:c r="M113" s="14"/>
      <x:c r="N113" s="35"/>
    </x:row>
    <x:row r="114" ht="9.75" customHeight="1">
      <x:c r="A114" s="32"/>
      <x:c r="B114" s="11"/>
      <x:c r="C114" s="11"/>
      <x:c r="D114" s="6"/>
      <x:c r="E114" s="11"/>
      <x:c r="F114" s="11"/>
      <x:c r="G114" s="11"/>
      <x:c r="H114" s="11"/>
      <x:c r="I114" s="14"/>
      <x:c r="J114" s="20"/>
      <x:c r="K114" s="11"/>
      <x:c r="L114" s="11"/>
      <x:c r="M114" s="14"/>
      <x:c r="N114" s="35"/>
    </x:row>
    <x:row r="115" ht="9.75" customHeight="1">
      <x:c r="A115" s="32"/>
      <x:c r="B115" s="11"/>
      <x:c r="C115" s="11"/>
      <x:c r="D115" s="6"/>
      <x:c r="E115" s="11"/>
      <x:c r="F115" s="11"/>
      <x:c r="G115" s="11"/>
      <x:c r="H115" s="11"/>
      <x:c r="I115" s="14"/>
      <x:c r="J115" s="20"/>
      <x:c r="K115" s="11"/>
      <x:c r="L115" s="11"/>
      <x:c r="M115" s="14"/>
      <x:c r="N115" s="35"/>
    </x:row>
    <x:row r="116" ht="9.75" customHeight="1">
      <x:c r="A116" s="32"/>
      <x:c r="B116" s="11"/>
      <x:c r="C116" s="11"/>
      <x:c r="D116" s="6"/>
      <x:c r="E116" s="11"/>
      <x:c r="F116" s="11"/>
      <x:c r="G116" s="11"/>
      <x:c r="H116" s="11"/>
      <x:c r="I116" s="14"/>
      <x:c r="J116" s="20"/>
      <x:c r="K116" s="11"/>
      <x:c r="L116" s="11"/>
      <x:c r="M116" s="14"/>
      <x:c r="N116" s="35"/>
    </x:row>
    <x:row r="117" ht="9.75" customHeight="1">
      <x:c r="A117" s="32"/>
      <x:c r="B117" s="11"/>
      <x:c r="C117" s="11"/>
      <x:c r="D117" s="6"/>
      <x:c r="E117" s="11"/>
      <x:c r="F117" s="11"/>
      <x:c r="G117" s="11"/>
      <x:c r="H117" s="11"/>
      <x:c r="I117" s="14"/>
      <x:c r="J117" s="20"/>
      <x:c r="K117" s="11"/>
      <x:c r="L117" s="11"/>
      <x:c r="M117" s="14"/>
      <x:c r="N117" s="35"/>
    </x:row>
    <x:row r="118" ht="9.75" customHeight="1">
      <x:c r="A118" s="32"/>
      <x:c r="B118" s="11"/>
      <x:c r="C118" s="11"/>
      <x:c r="D118" s="6"/>
      <x:c r="E118" s="11"/>
      <x:c r="F118" s="11"/>
      <x:c r="G118" s="11"/>
      <x:c r="H118" s="11"/>
      <x:c r="I118" s="14"/>
      <x:c r="J118" s="20"/>
      <x:c r="K118" s="11"/>
      <x:c r="L118" s="11"/>
      <x:c r="M118" s="14"/>
      <x:c r="N118" s="35"/>
    </x:row>
    <x:row r="119" ht="9.75" customHeight="1">
      <x:c r="A119" s="32"/>
      <x:c r="B119" s="11"/>
      <x:c r="C119" s="11"/>
      <x:c r="D119" s="6"/>
      <x:c r="E119" s="11"/>
      <x:c r="F119" s="11"/>
      <x:c r="G119" s="11"/>
      <x:c r="H119" s="11"/>
      <x:c r="I119" s="14"/>
      <x:c r="J119" s="20"/>
      <x:c r="K119" s="11"/>
      <x:c r="L119" s="11"/>
      <x:c r="M119" s="14"/>
      <x:c r="N119" s="35"/>
    </x:row>
    <x:row r="120" ht="9.75" customHeight="1">
      <x:c r="A120" s="32"/>
      <x:c r="B120" s="11"/>
      <x:c r="C120" s="11"/>
      <x:c r="D120" s="6"/>
      <x:c r="E120" s="11"/>
      <x:c r="F120" s="11"/>
      <x:c r="G120" s="11"/>
      <x:c r="H120" s="11"/>
      <x:c r="I120" s="14"/>
      <x:c r="J120" s="20"/>
      <x:c r="K120" s="11"/>
      <x:c r="L120" s="11"/>
      <x:c r="M120" s="14"/>
      <x:c r="N120" s="35"/>
    </x:row>
    <x:row r="121" ht="9.75" customHeight="1">
      <x:c r="A121" s="32"/>
      <x:c r="B121" s="11"/>
      <x:c r="C121" s="11"/>
      <x:c r="D121" s="6"/>
      <x:c r="E121" s="11"/>
      <x:c r="F121" s="11"/>
      <x:c r="G121" s="11"/>
      <x:c r="H121" s="11"/>
      <x:c r="I121" s="14"/>
      <x:c r="J121" s="20"/>
      <x:c r="K121" s="11"/>
      <x:c r="L121" s="11"/>
      <x:c r="M121" s="14"/>
      <x:c r="N121" s="35"/>
    </x:row>
    <x:row r="122" ht="9.75" customHeight="1">
      <x:c r="A122" s="32"/>
      <x:c r="B122" s="11"/>
      <x:c r="C122" s="11"/>
      <x:c r="D122" s="6"/>
      <x:c r="E122" s="11"/>
      <x:c r="F122" s="11"/>
      <x:c r="G122" s="11"/>
      <x:c r="H122" s="11"/>
      <x:c r="I122" s="14"/>
      <x:c r="J122" s="20"/>
      <x:c r="K122" s="11"/>
      <x:c r="L122" s="11"/>
      <x:c r="M122" s="14"/>
      <x:c r="N122" s="35"/>
    </x:row>
    <x:row r="123" ht="9.75" customHeight="1">
      <x:c r="A123" s="32"/>
      <x:c r="B123" s="11"/>
      <x:c r="C123" s="11"/>
      <x:c r="D123" s="6"/>
      <x:c r="E123" s="11"/>
      <x:c r="F123" s="11"/>
      <x:c r="G123" s="11"/>
      <x:c r="H123" s="11"/>
      <x:c r="I123" s="14"/>
      <x:c r="J123" s="20"/>
      <x:c r="K123" s="11"/>
      <x:c r="L123" s="11"/>
      <x:c r="M123" s="14"/>
      <x:c r="N123" s="35"/>
    </x:row>
    <x:row r="124" ht="9.75" customHeight="1">
      <x:c r="A124" s="32"/>
      <x:c r="B124" s="11"/>
      <x:c r="C124" s="11"/>
      <x:c r="D124" s="6"/>
      <x:c r="E124" s="11"/>
      <x:c r="F124" s="11"/>
      <x:c r="G124" s="11"/>
      <x:c r="H124" s="11"/>
      <x:c r="I124" s="14"/>
      <x:c r="J124" s="20"/>
      <x:c r="K124" s="11"/>
      <x:c r="L124" s="11"/>
      <x:c r="M124" s="14"/>
      <x:c r="N124" s="35"/>
    </x:row>
    <x:row r="125" ht="9.75" customHeight="1">
      <x:c r="A125" s="32"/>
      <x:c r="B125" s="11"/>
      <x:c r="C125" s="11"/>
      <x:c r="D125" s="6"/>
      <x:c r="E125" s="11"/>
      <x:c r="F125" s="11"/>
      <x:c r="G125" s="11"/>
      <x:c r="H125" s="11"/>
      <x:c r="I125" s="14"/>
      <x:c r="J125" s="20"/>
      <x:c r="K125" s="11"/>
      <x:c r="L125" s="11"/>
      <x:c r="M125" s="14"/>
      <x:c r="N125" s="35"/>
    </x:row>
    <x:row r="126" ht="9.75" customHeight="1">
      <x:c r="A126" s="32"/>
      <x:c r="B126" s="11"/>
      <x:c r="C126" s="11"/>
      <x:c r="D126" s="6"/>
      <x:c r="E126" s="11"/>
      <x:c r="F126" s="11"/>
      <x:c r="G126" s="11"/>
      <x:c r="H126" s="11"/>
      <x:c r="I126" s="14"/>
      <x:c r="J126" s="20"/>
      <x:c r="K126" s="11"/>
      <x:c r="L126" s="11"/>
      <x:c r="M126" s="14"/>
      <x:c r="N126" s="35"/>
    </x:row>
    <x:row r="127" ht="9.75" customHeight="1">
      <x:c r="A127" s="32"/>
      <x:c r="B127" s="11"/>
      <x:c r="C127" s="11"/>
      <x:c r="D127" s="6"/>
      <x:c r="E127" s="11"/>
      <x:c r="F127" s="11"/>
      <x:c r="G127" s="11"/>
      <x:c r="H127" s="11"/>
      <x:c r="I127" s="14"/>
      <x:c r="J127" s="20"/>
      <x:c r="K127" s="11"/>
      <x:c r="L127" s="11"/>
      <x:c r="M127" s="14"/>
      <x:c r="N127" s="35"/>
    </x:row>
    <x:row r="128" ht="9.75" customHeight="1">
      <x:c r="A128" s="32"/>
      <x:c r="B128" s="11"/>
      <x:c r="C128" s="11"/>
      <x:c r="D128" s="6"/>
      <x:c r="E128" s="11"/>
      <x:c r="F128" s="11"/>
      <x:c r="G128" s="11"/>
      <x:c r="H128" s="11"/>
      <x:c r="I128" s="14"/>
      <x:c r="J128" s="20"/>
      <x:c r="K128" s="11"/>
      <x:c r="L128" s="11"/>
      <x:c r="M128" s="14"/>
      <x:c r="N128" s="35"/>
    </x:row>
    <x:row r="129" ht="9.75" customHeight="1">
      <x:c r="A129" s="32"/>
      <x:c r="B129" s="11"/>
      <x:c r="C129" s="11"/>
      <x:c r="D129" s="6"/>
      <x:c r="E129" s="11"/>
      <x:c r="F129" s="11"/>
      <x:c r="G129" s="11"/>
      <x:c r="H129" s="11"/>
      <x:c r="I129" s="14"/>
      <x:c r="J129" s="20"/>
      <x:c r="K129" s="11"/>
      <x:c r="L129" s="11"/>
      <x:c r="M129" s="14"/>
      <x:c r="N129" s="35"/>
    </x:row>
    <x:row r="130" ht="9.75" customHeight="1">
      <x:c r="A130" s="32"/>
      <x:c r="B130" s="11"/>
      <x:c r="C130" s="11"/>
      <x:c r="D130" s="6"/>
      <x:c r="E130" s="11"/>
      <x:c r="F130" s="11"/>
      <x:c r="G130" s="11"/>
      <x:c r="H130" s="11"/>
      <x:c r="I130" s="14"/>
      <x:c r="J130" s="20"/>
      <x:c r="K130" s="11"/>
      <x:c r="L130" s="11"/>
      <x:c r="M130" s="14"/>
      <x:c r="N130" s="35"/>
    </x:row>
    <x:row r="131" ht="9.75" customHeight="1">
      <x:c r="A131" s="32"/>
      <x:c r="B131" s="11"/>
      <x:c r="C131" s="11"/>
      <x:c r="D131" s="6"/>
      <x:c r="E131" s="11"/>
      <x:c r="F131" s="11"/>
      <x:c r="G131" s="11"/>
      <x:c r="H131" s="11"/>
      <x:c r="I131" s="14"/>
      <x:c r="J131" s="20"/>
      <x:c r="K131" s="11"/>
      <x:c r="L131" s="11"/>
      <x:c r="M131" s="14"/>
      <x:c r="N131" s="35"/>
    </x:row>
    <x:row r="132" ht="9.75" customHeight="1">
      <x:c r="A132" s="32"/>
      <x:c r="B132" s="11"/>
      <x:c r="C132" s="11"/>
      <x:c r="D132" s="6"/>
      <x:c r="E132" s="11"/>
      <x:c r="F132" s="11"/>
      <x:c r="G132" s="11"/>
      <x:c r="H132" s="11"/>
      <x:c r="I132" s="14"/>
      <x:c r="J132" s="20"/>
      <x:c r="K132" s="11"/>
      <x:c r="L132" s="11"/>
      <x:c r="M132" s="14"/>
      <x:c r="N132" s="35"/>
    </x:row>
    <x:row r="133" ht="9.75" customHeight="1">
      <x:c r="A133" s="32"/>
      <x:c r="B133" s="11"/>
      <x:c r="C133" s="11"/>
      <x:c r="D133" s="6"/>
      <x:c r="E133" s="11"/>
      <x:c r="F133" s="11"/>
      <x:c r="G133" s="11"/>
      <x:c r="H133" s="11"/>
      <x:c r="I133" s="14"/>
      <x:c r="J133" s="20"/>
      <x:c r="K133" s="11"/>
      <x:c r="L133" s="11"/>
      <x:c r="M133" s="14"/>
      <x:c r="N133" s="35"/>
    </x:row>
    <x:row r="134" ht="9.75" customHeight="1">
      <x:c r="A134" s="32"/>
      <x:c r="B134" s="11"/>
      <x:c r="C134" s="11"/>
      <x:c r="D134" s="6"/>
      <x:c r="E134" s="11"/>
      <x:c r="F134" s="11"/>
      <x:c r="G134" s="11"/>
      <x:c r="H134" s="11"/>
      <x:c r="I134" s="14"/>
      <x:c r="J134" s="20"/>
      <x:c r="K134" s="11"/>
      <x:c r="L134" s="11"/>
      <x:c r="M134" s="14"/>
      <x:c r="N134" s="35"/>
    </x:row>
    <x:row r="135" ht="9.75" customHeight="1">
      <x:c r="A135" s="32"/>
      <x:c r="B135" s="11"/>
      <x:c r="C135" s="11"/>
      <x:c r="D135" s="6"/>
      <x:c r="E135" s="11"/>
      <x:c r="F135" s="11"/>
      <x:c r="G135" s="11"/>
      <x:c r="H135" s="11"/>
      <x:c r="I135" s="14"/>
      <x:c r="J135" s="20"/>
      <x:c r="K135" s="11"/>
      <x:c r="L135" s="11"/>
      <x:c r="M135" s="14"/>
      <x:c r="N135" s="35"/>
    </x:row>
    <x:row r="136" ht="9.75" customHeight="1">
      <x:c r="A136" s="32"/>
      <x:c r="B136" s="11"/>
      <x:c r="C136" s="11"/>
      <x:c r="D136" s="6"/>
      <x:c r="E136" s="11"/>
      <x:c r="F136" s="11"/>
      <x:c r="G136" s="11"/>
      <x:c r="H136" s="11"/>
      <x:c r="I136" s="14"/>
      <x:c r="J136" s="20"/>
      <x:c r="K136" s="11"/>
      <x:c r="L136" s="11"/>
      <x:c r="M136" s="14"/>
      <x:c r="N136" s="35"/>
    </x:row>
    <x:row r="137" ht="9.75" customHeight="1">
      <x:c r="A137" s="32"/>
      <x:c r="B137" s="11"/>
      <x:c r="C137" s="11"/>
      <x:c r="D137" s="6"/>
      <x:c r="E137" s="11"/>
      <x:c r="F137" s="11"/>
      <x:c r="G137" s="11"/>
      <x:c r="H137" s="11"/>
      <x:c r="I137" s="14"/>
      <x:c r="J137" s="20"/>
      <x:c r="K137" s="11"/>
      <x:c r="L137" s="11"/>
      <x:c r="M137" s="14"/>
      <x:c r="N137" s="35"/>
    </x:row>
    <x:row r="138" ht="9.75" customHeight="1">
      <x:c r="A138" s="32"/>
      <x:c r="B138" s="11"/>
      <x:c r="C138" s="11"/>
      <x:c r="D138" s="6"/>
      <x:c r="E138" s="11"/>
      <x:c r="F138" s="11"/>
      <x:c r="G138" s="11"/>
      <x:c r="H138" s="11"/>
      <x:c r="I138" s="14"/>
      <x:c r="J138" s="20"/>
      <x:c r="K138" s="11"/>
      <x:c r="L138" s="11"/>
      <x:c r="M138" s="14"/>
      <x:c r="N138" s="35"/>
    </x:row>
    <x:row r="139" ht="9.75" customHeight="1">
      <x:c r="A139" s="32"/>
      <x:c r="B139" s="11"/>
      <x:c r="C139" s="11"/>
      <x:c r="D139" s="6"/>
      <x:c r="E139" s="11"/>
      <x:c r="F139" s="11"/>
      <x:c r="G139" s="11"/>
      <x:c r="H139" s="11"/>
      <x:c r="I139" s="14"/>
      <x:c r="J139" s="20"/>
      <x:c r="K139" s="11"/>
      <x:c r="L139" s="11"/>
      <x:c r="M139" s="14"/>
      <x:c r="N139" s="35"/>
    </x:row>
    <x:row r="140" ht="9.75" customHeight="1">
      <x:c r="A140" s="32"/>
      <x:c r="B140" s="11"/>
      <x:c r="C140" s="11"/>
      <x:c r="D140" s="6"/>
      <x:c r="E140" s="11"/>
      <x:c r="F140" s="11"/>
      <x:c r="G140" s="11"/>
      <x:c r="H140" s="11"/>
      <x:c r="I140" s="14"/>
      <x:c r="J140" s="20"/>
      <x:c r="K140" s="11"/>
      <x:c r="L140" s="11"/>
      <x:c r="M140" s="14"/>
      <x:c r="N140" s="35"/>
    </x:row>
    <x:row r="141" ht="9.75" customHeight="1">
      <x:c r="A141" s="32"/>
      <x:c r="B141" s="11"/>
      <x:c r="C141" s="11"/>
      <x:c r="D141" s="6"/>
      <x:c r="E141" s="11"/>
      <x:c r="F141" s="11"/>
      <x:c r="G141" s="11"/>
      <x:c r="H141" s="11"/>
      <x:c r="I141" s="14"/>
      <x:c r="J141" s="20"/>
      <x:c r="K141" s="11"/>
      <x:c r="L141" s="11"/>
      <x:c r="M141" s="14"/>
      <x:c r="N141" s="35"/>
    </x:row>
    <x:row r="142" ht="9.75" customHeight="1">
      <x:c r="A142" s="32"/>
      <x:c r="B142" s="11"/>
      <x:c r="C142" s="11"/>
      <x:c r="D142" s="6"/>
      <x:c r="E142" s="11"/>
      <x:c r="F142" s="11"/>
      <x:c r="G142" s="11"/>
      <x:c r="H142" s="11"/>
      <x:c r="I142" s="14"/>
      <x:c r="J142" s="20"/>
      <x:c r="K142" s="11"/>
      <x:c r="L142" s="11"/>
      <x:c r="M142" s="14"/>
      <x:c r="N142" s="35"/>
    </x:row>
    <x:row r="143" ht="9.75" customHeight="1">
      <x:c r="A143" s="32"/>
      <x:c r="B143" s="11"/>
      <x:c r="C143" s="11"/>
      <x:c r="D143" s="6"/>
      <x:c r="E143" s="11"/>
      <x:c r="F143" s="11"/>
      <x:c r="G143" s="11"/>
      <x:c r="H143" s="11"/>
      <x:c r="I143" s="14"/>
      <x:c r="J143" s="20"/>
      <x:c r="K143" s="11"/>
      <x:c r="L143" s="11"/>
      <x:c r="M143" s="14"/>
      <x:c r="N143" s="35"/>
    </x:row>
    <x:row r="144" ht="9.75" customHeight="1">
      <x:c r="A144" s="32"/>
      <x:c r="B144" s="11"/>
      <x:c r="C144" s="11"/>
      <x:c r="D144" s="6"/>
      <x:c r="E144" s="11"/>
      <x:c r="F144" s="11"/>
      <x:c r="G144" s="11"/>
      <x:c r="H144" s="11"/>
      <x:c r="I144" s="14"/>
      <x:c r="J144" s="20"/>
      <x:c r="K144" s="11"/>
      <x:c r="L144" s="11"/>
      <x:c r="M144" s="14"/>
      <x:c r="N144" s="35"/>
    </x:row>
    <x:row r="145" ht="9.75" customHeight="1">
      <x:c r="A145" s="32"/>
      <x:c r="B145" s="11"/>
      <x:c r="C145" s="11"/>
      <x:c r="D145" s="6"/>
      <x:c r="E145" s="11"/>
      <x:c r="F145" s="11"/>
      <x:c r="G145" s="11"/>
      <x:c r="H145" s="11"/>
      <x:c r="I145" s="14"/>
      <x:c r="J145" s="20"/>
      <x:c r="K145" s="11"/>
      <x:c r="L145" s="11"/>
      <x:c r="M145" s="14"/>
      <x:c r="N145" s="35"/>
    </x:row>
    <x:row r="146" ht="9.75" customHeight="1">
      <x:c r="A146" s="32"/>
      <x:c r="B146" s="11"/>
      <x:c r="C146" s="11"/>
      <x:c r="D146" s="6"/>
      <x:c r="E146" s="11"/>
      <x:c r="F146" s="11"/>
      <x:c r="G146" s="11"/>
      <x:c r="H146" s="11"/>
      <x:c r="I146" s="14"/>
      <x:c r="J146" s="20"/>
      <x:c r="K146" s="11"/>
      <x:c r="L146" s="11"/>
      <x:c r="M146" s="14"/>
      <x:c r="N146" s="35"/>
    </x:row>
    <x:row r="147" ht="9.75" customHeight="1">
      <x:c r="A147" s="32"/>
      <x:c r="B147" s="11"/>
      <x:c r="C147" s="11"/>
      <x:c r="D147" s="6"/>
      <x:c r="E147" s="11"/>
      <x:c r="F147" s="11"/>
      <x:c r="G147" s="11"/>
      <x:c r="H147" s="11"/>
      <x:c r="I147" s="14"/>
      <x:c r="J147" s="20"/>
      <x:c r="K147" s="11"/>
      <x:c r="L147" s="11"/>
      <x:c r="M147" s="14"/>
      <x:c r="N147" s="35"/>
    </x:row>
    <x:row r="148" ht="9.75" customHeight="1">
      <x:c r="A148" s="32"/>
      <x:c r="B148" s="11"/>
      <x:c r="C148" s="11"/>
      <x:c r="D148" s="6"/>
      <x:c r="E148" s="11"/>
      <x:c r="F148" s="11"/>
      <x:c r="G148" s="11"/>
      <x:c r="H148" s="11"/>
      <x:c r="I148" s="14"/>
      <x:c r="J148" s="20"/>
      <x:c r="K148" s="11"/>
      <x:c r="L148" s="11"/>
      <x:c r="M148" s="14"/>
      <x:c r="N148" s="35"/>
    </x:row>
    <x:row r="149" ht="9.75" customHeight="1">
      <x:c r="A149" s="32"/>
      <x:c r="B149" s="11"/>
      <x:c r="C149" s="11"/>
      <x:c r="D149" s="6"/>
      <x:c r="E149" s="11"/>
      <x:c r="F149" s="11"/>
      <x:c r="G149" s="11"/>
      <x:c r="H149" s="11"/>
      <x:c r="I149" s="14"/>
      <x:c r="J149" s="20"/>
      <x:c r="K149" s="11"/>
      <x:c r="L149" s="11"/>
      <x:c r="M149" s="14"/>
      <x:c r="N149" s="35"/>
    </x:row>
    <x:row r="150" ht="9.75" customHeight="1">
      <x:c r="A150" s="32"/>
      <x:c r="B150" s="11"/>
      <x:c r="C150" s="11"/>
      <x:c r="D150" s="6"/>
      <x:c r="E150" s="11"/>
      <x:c r="F150" s="11"/>
      <x:c r="G150" s="11"/>
      <x:c r="H150" s="11"/>
      <x:c r="I150" s="14"/>
      <x:c r="J150" s="20"/>
      <x:c r="K150" s="11"/>
      <x:c r="L150" s="11"/>
      <x:c r="M150" s="14"/>
      <x:c r="N150" s="35"/>
    </x:row>
    <x:row r="151" ht="9.75" customHeight="1">
      <x:c r="A151" s="32"/>
      <x:c r="B151" s="11"/>
      <x:c r="C151" s="11"/>
      <x:c r="D151" s="6"/>
      <x:c r="E151" s="11"/>
      <x:c r="F151" s="11"/>
      <x:c r="G151" s="11"/>
      <x:c r="H151" s="11"/>
      <x:c r="I151" s="14"/>
      <x:c r="J151" s="20"/>
      <x:c r="K151" s="11"/>
      <x:c r="L151" s="11"/>
      <x:c r="M151" s="14"/>
      <x:c r="N151" s="35"/>
    </x:row>
    <x:row r="152" ht="9.75" customHeight="1">
      <x:c r="A152" s="32"/>
      <x:c r="B152" s="11"/>
      <x:c r="C152" s="11"/>
      <x:c r="D152" s="6"/>
      <x:c r="E152" s="11"/>
      <x:c r="F152" s="11"/>
      <x:c r="G152" s="11"/>
      <x:c r="H152" s="11"/>
      <x:c r="I152" s="14"/>
      <x:c r="J152" s="20"/>
      <x:c r="K152" s="11"/>
      <x:c r="L152" s="11"/>
      <x:c r="M152" s="14"/>
      <x:c r="N152" s="35"/>
    </x:row>
    <x:row r="153" ht="9.75" customHeight="1">
      <x:c r="A153" s="32"/>
      <x:c r="B153" s="11"/>
      <x:c r="C153" s="11"/>
      <x:c r="D153" s="6"/>
      <x:c r="E153" s="11"/>
      <x:c r="F153" s="11"/>
      <x:c r="G153" s="11"/>
      <x:c r="H153" s="11"/>
      <x:c r="I153" s="14"/>
      <x:c r="J153" s="20"/>
      <x:c r="K153" s="11"/>
      <x:c r="L153" s="11"/>
      <x:c r="M153" s="14"/>
      <x:c r="N153" s="35"/>
    </x:row>
    <x:row r="154" ht="9.75" customHeight="1">
      <x:c r="A154" s="32"/>
      <x:c r="B154" s="11"/>
      <x:c r="C154" s="11"/>
      <x:c r="D154" s="6"/>
      <x:c r="E154" s="11"/>
      <x:c r="F154" s="11"/>
      <x:c r="G154" s="11"/>
      <x:c r="H154" s="11"/>
      <x:c r="I154" s="14"/>
      <x:c r="J154" s="20"/>
      <x:c r="K154" s="11"/>
      <x:c r="L154" s="11"/>
      <x:c r="M154" s="14"/>
      <x:c r="N154" s="35"/>
    </x:row>
    <x:row r="155" ht="9.75" customHeight="1">
      <x:c r="A155" s="33"/>
      <x:c r="B155" s="12"/>
      <x:c r="C155" s="12"/>
      <x:c r="D155" s="8"/>
      <x:c r="E155" s="12"/>
      <x:c r="F155" s="12"/>
      <x:c r="G155" s="12"/>
      <x:c r="H155" s="12"/>
      <x:c r="I155" s="15"/>
      <x:c r="J155" s="21"/>
      <x:c r="K155" s="12"/>
      <x:c r="L155" s="12"/>
      <x:c r="M155" s="15"/>
      <x:c r="N155" s="36"/>
    </x:row>
  </x:sheetData>
  <x:mergeCells>
    <x:mergeCell ref="A1:N1"/>
    <x:mergeCell ref="A2:N2"/>
    <x:mergeCell ref="A3:N3"/>
  </x:mergeCells>
  <x:dataValidations count="4">
    <x:dataValidation type="list" sqref="E6:E155">
      <x:formula1>"Baik,Gangguan Ringan,Rusak Ringan,Rusak Sedang,Rusak Berat,Perlu Pembersihan,Perlu Pemantauan"</x:formula1>
    </x:dataValidation>
    <x:dataValidation type="list" sqref="F6:F155">
      <x:formula1>"Rendah,Sedang,Tinggi"</x:formula1>
    </x:dataValidation>
    <x:dataValidation type="list" sqref="H6:H155">
      <x:formula1>"Belum Ditindaklanjuti,Direncanakan,Dalam Pelaksanaan,Selesai"</x:formula1>
    </x:dataValidation>
    <x:dataValidation type="list" sqref="L6:L1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f821d6ed1b45b5"/>
  </x:tableParts>
</x:worksheet>
</file>